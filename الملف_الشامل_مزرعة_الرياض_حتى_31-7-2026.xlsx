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هرس" sheetId="1" state="visible" r:id="rId1"/>
    <sheet name="الملخص العام" sheetId="2" state="visible" r:id="rId2"/>
    <sheet name="الأسئلة المطلوبة" sheetId="3" state="visible" r:id="rId3"/>
    <sheet name="ملخص الشركاء" sheetId="4" state="visible" r:id="rId4"/>
    <sheet name="حساب أبو خالد" sheetId="5" state="visible" r:id="rId5"/>
    <sheet name="مطابقة حساب أبو خالد" sheetId="6" state="visible" r:id="rId6"/>
    <sheet name="حساب أبو مازن" sheetId="7" state="visible" r:id="rId7"/>
    <sheet name="إيرادات قبل الفترة" sheetId="8" state="visible" r:id="rId8"/>
    <sheet name="تحقق سند أبو خالد" sheetId="9" state="visible" r:id="rId9"/>
    <sheet name="مبيعات - الملخص" sheetId="10" state="visible" r:id="rId10"/>
    <sheet name="الحركة المدمجة" sheetId="11" state="visible" r:id="rId11"/>
    <sheet name="مبيعات - شهري" sheetId="12" state="visible" r:id="rId12"/>
    <sheet name="مبيعات قبل 30.7.2025" sheetId="13" state="visible" r:id="rId13"/>
    <sheet name="مبيعات عصمت" sheetId="14" state="visible" r:id="rId14"/>
    <sheet name="مبيعات عماد" sheetId="15" state="visible" r:id="rId15"/>
    <sheet name="مبيعات أبو خالد" sheetId="16" state="visible" r:id="rId16"/>
    <sheet name="أبو خالد - تفصيل البنود" sheetId="17" state="visible" r:id="rId17"/>
    <sheet name="الفواتير المبدئية" sheetId="18" state="visible" r:id="rId18"/>
    <sheet name="فواتير - حسب المندوب" sheetId="19" state="visible" r:id="rId19"/>
    <sheet name="فواتير - شهري" sheetId="20" state="visible" r:id="rId20"/>
    <sheet name="مطابقة العقود" sheetId="21" state="visible" r:id="rId21"/>
    <sheet name="فواتير عقودها غير مسجلة" sheetId="22" state="visible" r:id="rId22"/>
    <sheet name="الفواتير مقابل الكشف" sheetId="23" state="visible" r:id="rId23"/>
    <sheet name="قيود كشف بدون فاتورة" sheetId="24" state="visible" r:id="rId24"/>
    <sheet name="مصروفات - الملخص" sheetId="25" state="visible" r:id="rId25"/>
    <sheet name="مصروفات التأسيس" sheetId="26" state="visible" r:id="rId26"/>
    <sheet name="مصروفات قبل 30.7.2025" sheetId="27" state="visible" r:id="rId27"/>
    <sheet name="أوامر الشراء 2026" sheetId="28" state="visible" r:id="rId28"/>
    <sheet name="العهد - التفصيل" sheetId="29" state="visible" r:id="rId29"/>
    <sheet name="العهد - الملخص" sheetId="30" state="visible" r:id="rId30"/>
    <sheet name="مصروفات الخزنة (كشف الحساب)" sheetId="31" state="visible" r:id="rId31"/>
    <sheet name="خزنة الرياض 6-7 2026" sheetId="32" state="visible" r:id="rId32"/>
    <sheet name="صرف بدون بيان" sheetId="33" state="visible" r:id="rId33"/>
    <sheet name="أرصدة العملاء والموردين" sheetId="34" state="visible" r:id="rId34"/>
    <sheet name="مصروفات 2025 - تفصيل" sheetId="35" state="visible" r:id="rId35"/>
    <sheet name="مصروفات 2025 - ملخص" sheetId="36" state="visible" r:id="rId36"/>
    <sheet name="مواد - الملخص" sheetId="37" state="visible" r:id="rId37"/>
    <sheet name="مواد - سجل العقود" sheetId="38" state="visible" r:id="rId38"/>
    <sheet name="مواد - تفصيل البنود" sheetId="39" state="visible" r:id="rId39"/>
    <sheet name="مواد - الكميات حسب الصنف" sheetId="40" state="visible" r:id="rId40"/>
    <sheet name="مسحوبات - ملخص المراجعة" sheetId="41" state="visible" r:id="rId41"/>
    <sheet name="مسحوبات تبوك قبل الفترة" sheetId="42" state="visible" r:id="rId42"/>
    <sheet name="مصاريف إدارية وديزل تبوك" sheetId="43" state="visible" r:id="rId43"/>
    <sheet name="مسحوبات الرياض من تبوك" sheetId="44" state="visible" r:id="rId44"/>
    <sheet name="مسحوبات تبوك من الرياض" sheetId="45" state="visible" r:id="rId45"/>
    <sheet name="سندات غير مدرجة بالمحاسب" sheetId="46" state="visible" r:id="rId46"/>
  </sheets>
  <definedNames>
    <definedName name="_xlnm._FilterDatabase" localSheetId="10" hidden="1">'الحركة المدمجة'!$A$1:$J$360</definedName>
    <definedName name="_xlnm._FilterDatabase" localSheetId="13" hidden="1">'مبيعات عصمت'!$A$1:$I$255</definedName>
    <definedName name="_xlnm._FilterDatabase" localSheetId="14" hidden="1">'مبيعات عماد'!$A$1:$I$59</definedName>
    <definedName name="_xlnm._FilterDatabase" localSheetId="15" hidden="1">'مبيعات أبو خالد'!$A$1:$I$48</definedName>
    <definedName name="_xlnm._FilterDatabase" localSheetId="17" hidden="1">'الفواتير المبدئية'!$A$2:$H$241</definedName>
    <definedName name="_xlnm._FilterDatabase" localSheetId="20" hidden="1">'مطابقة العقود'!$A$1:$I$251</definedName>
    <definedName name="_xlnm._FilterDatabase" localSheetId="27" hidden="1">'أوامر الشراء 2026'!$A$1:$L$32</definedName>
    <definedName name="_xlnm._FilterDatabase" localSheetId="28" hidden="1">'العهد - التفصيل'!$A$1:$I$179</definedName>
    <definedName name="_xlnm._FilterDatabase" localSheetId="30" hidden="1">'مصروفات الخزنة (كشف الحساب)'!$A$1:$I$198</definedName>
    <definedName name="_xlnm._FilterDatabase" localSheetId="34" hidden="1">'مصروفات 2025 - تفصيل'!$A$1:$L$307</definedName>
    <definedName name="_xlnm._FilterDatabase" localSheetId="37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yyyy-mm-dd"/>
    <numFmt numFmtId="166" formatCode="#,##0.##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styles" Target="styles.xml" Id="rId47" /><Relationship Type="http://schemas.openxmlformats.org/officeDocument/2006/relationships/theme" Target="theme/theme1.xml" Id="rId4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575;&#1604;&#1605;&#1604;&#1582;&#1589; &#1575;&#1604;&#1593;&#1575;&#1605;'!A1" TargetMode="External" Id="rId1" /><Relationship Type="http://schemas.openxmlformats.org/officeDocument/2006/relationships/hyperlink" Target="#'&#1575;&#1604;&#1571;&#1587;&#1574;&#1604;&#1577; &#1575;&#1604;&#1605;&#1591;&#1604;&#1608;&#1576;&#1577;'!A1" TargetMode="External" Id="rId2" /><Relationship Type="http://schemas.openxmlformats.org/officeDocument/2006/relationships/hyperlink" Target="#'&#1605;&#1604;&#1582;&#1589; &#1575;&#1604;&#1588;&#1585;&#1603;&#1575;&#1569;'!A1" TargetMode="External" Id="rId3" /><Relationship Type="http://schemas.openxmlformats.org/officeDocument/2006/relationships/hyperlink" Target="#'&#1581;&#1587;&#1575;&#1576; &#1571;&#1576;&#1608; &#1582;&#1575;&#1604;&#1583;'!A1" TargetMode="External" Id="rId4" /><Relationship Type="http://schemas.openxmlformats.org/officeDocument/2006/relationships/hyperlink" Target="#'&#1581;&#1587;&#1575;&#1576; &#1571;&#1576;&#1608; &#1605;&#1575;&#1586;&#1606;'!A1" TargetMode="External" Id="rId5" /><Relationship Type="http://schemas.openxmlformats.org/officeDocument/2006/relationships/hyperlink" Target="#'&#1573;&#1610;&#1585;&#1575;&#1583;&#1575;&#1578; &#1602;&#1576;&#1604; &#1575;&#1604;&#1601;&#1578;&#1585;&#1577;'!A1" TargetMode="External" Id="rId6" /><Relationship Type="http://schemas.openxmlformats.org/officeDocument/2006/relationships/hyperlink" Target="#'&#1578;&#1581;&#1602;&#1602; &#1587;&#1606;&#1583; &#1571;&#1576;&#1608; &#1582;&#1575;&#1604;&#1583;'!A1" TargetMode="External" Id="rId7" /><Relationship Type="http://schemas.openxmlformats.org/officeDocument/2006/relationships/hyperlink" Target="#'&#1605;&#1576;&#1610;&#1593;&#1575;&#1578; - &#1575;&#1604;&#1605;&#1604;&#1582;&#1589;'!A1" TargetMode="External" Id="rId8" /><Relationship Type="http://schemas.openxmlformats.org/officeDocument/2006/relationships/hyperlink" Target="#'&#1575;&#1604;&#1581;&#1585;&#1603;&#1577; &#1575;&#1604;&#1605;&#1583;&#1605;&#1580;&#1577;'!A1" TargetMode="External" Id="rId9" /><Relationship Type="http://schemas.openxmlformats.org/officeDocument/2006/relationships/hyperlink" Target="#'&#1605;&#1576;&#1610;&#1593;&#1575;&#1578; - &#1588;&#1607;&#1585;&#1610;'!A1" TargetMode="External" Id="rId10" /><Relationship Type="http://schemas.openxmlformats.org/officeDocument/2006/relationships/hyperlink" Target="#'&#1605;&#1576;&#1610;&#1593;&#1575;&#1578; &#1602;&#1576;&#1604; 30.7.2025'!A1" TargetMode="External" Id="rId11" /><Relationship Type="http://schemas.openxmlformats.org/officeDocument/2006/relationships/hyperlink" Target="#'&#1605;&#1576;&#1610;&#1593;&#1575;&#1578; &#1593;&#1589;&#1605;&#1578;'!A1" TargetMode="External" Id="rId12" /><Relationship Type="http://schemas.openxmlformats.org/officeDocument/2006/relationships/hyperlink" Target="#'&#1605;&#1576;&#1610;&#1593;&#1575;&#1578; &#1593;&#1605;&#1575;&#1583;'!A1" TargetMode="External" Id="rId13" /><Relationship Type="http://schemas.openxmlformats.org/officeDocument/2006/relationships/hyperlink" Target="#'&#1605;&#1576;&#1610;&#1593;&#1575;&#1578; &#1571;&#1576;&#1608; &#1582;&#1575;&#1604;&#1583;'!A1" TargetMode="External" Id="rId14" /><Relationship Type="http://schemas.openxmlformats.org/officeDocument/2006/relationships/hyperlink" Target="#'&#1571;&#1576;&#1608; &#1582;&#1575;&#1604;&#1583; - &#1578;&#1601;&#1589;&#1610;&#1604; &#1575;&#1604;&#1576;&#1606;&#1608;&#1583;'!A1" TargetMode="External" Id="rId15" /><Relationship Type="http://schemas.openxmlformats.org/officeDocument/2006/relationships/hyperlink" Target="#'&#1575;&#1604;&#1601;&#1608;&#1575;&#1578;&#1610;&#1585; &#1575;&#1604;&#1605;&#1576;&#1583;&#1574;&#1610;&#1577;'!A1" TargetMode="External" Id="rId16" /><Relationship Type="http://schemas.openxmlformats.org/officeDocument/2006/relationships/hyperlink" Target="#'&#1601;&#1608;&#1575;&#1578;&#1610;&#1585; - &#1581;&#1587;&#1576; &#1575;&#1604;&#1605;&#1606;&#1583;&#1608;&#1576;'!A1" TargetMode="External" Id="rId17" /><Relationship Type="http://schemas.openxmlformats.org/officeDocument/2006/relationships/hyperlink" Target="#'&#1601;&#1608;&#1575;&#1578;&#1610;&#1585; - &#1588;&#1607;&#1585;&#1610;'!A1" TargetMode="External" Id="rId18" /><Relationship Type="http://schemas.openxmlformats.org/officeDocument/2006/relationships/hyperlink" Target="#'&#1605;&#1591;&#1575;&#1576;&#1602;&#1577; &#1575;&#1604;&#1593;&#1602;&#1608;&#1583;'!A1" TargetMode="External" Id="rId19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20" /><Relationship Type="http://schemas.openxmlformats.org/officeDocument/2006/relationships/hyperlink" Target="#'&#1575;&#1604;&#1601;&#1608;&#1575;&#1578;&#1610;&#1585; &#1605;&#1602;&#1575;&#1576;&#1604; &#1575;&#1604;&#1603;&#1588;&#1601;'!A1" TargetMode="External" Id="rId21" /><Relationship Type="http://schemas.openxmlformats.org/officeDocument/2006/relationships/hyperlink" Target="#'&#1602;&#1610;&#1608;&#1583; &#1603;&#1588;&#1601; &#1576;&#1583;&#1608;&#1606; &#1601;&#1575;&#1578;&#1608;&#1585;&#1577;'!A1" TargetMode="External" Id="rId22" /><Relationship Type="http://schemas.openxmlformats.org/officeDocument/2006/relationships/hyperlink" Target="#'&#1605;&#1589;&#1585;&#1608;&#1601;&#1575;&#1578; - &#1575;&#1604;&#1605;&#1604;&#1582;&#1589;'!A1" TargetMode="External" Id="rId23" /><Relationship Type="http://schemas.openxmlformats.org/officeDocument/2006/relationships/hyperlink" Target="#'&#1605;&#1589;&#1585;&#1608;&#1601;&#1575;&#1578; &#1575;&#1604;&#1578;&#1571;&#1587;&#1610;&#1587;'!A1" TargetMode="External" Id="rId24" /><Relationship Type="http://schemas.openxmlformats.org/officeDocument/2006/relationships/hyperlink" Target="#'&#1605;&#1589;&#1585;&#1608;&#1601;&#1575;&#1578; &#1602;&#1576;&#1604; 30.7.2025'!A1" TargetMode="External" Id="rId25" /><Relationship Type="http://schemas.openxmlformats.org/officeDocument/2006/relationships/hyperlink" Target="#'&#1571;&#1608;&#1575;&#1605;&#1585; &#1575;&#1604;&#1588;&#1585;&#1575;&#1569; 2026'!A1" TargetMode="External" Id="rId26" /><Relationship Type="http://schemas.openxmlformats.org/officeDocument/2006/relationships/hyperlink" Target="#'&#1575;&#1604;&#1593;&#1607;&#1583; - &#1575;&#1604;&#1578;&#1601;&#1589;&#1610;&#1604;'!A1" TargetMode="External" Id="rId27" /><Relationship Type="http://schemas.openxmlformats.org/officeDocument/2006/relationships/hyperlink" Target="#'&#1575;&#1604;&#1593;&#1607;&#1583; - &#1575;&#1604;&#1605;&#1604;&#1582;&#1589;'!A1" TargetMode="External" Id="rId28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29" /><Relationship Type="http://schemas.openxmlformats.org/officeDocument/2006/relationships/hyperlink" Target="#'&#1582;&#1586;&#1606;&#1577; &#1575;&#1604;&#1585;&#1610;&#1575;&#1590; 6-7 2026'!A1" TargetMode="External" Id="rId30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31" /><Relationship Type="http://schemas.openxmlformats.org/officeDocument/2006/relationships/hyperlink" Target="#'&#1605;&#1589;&#1585;&#1608;&#1601;&#1575;&#1578; 2025 - &#1578;&#1601;&#1589;&#1610;&#1604;'!A1" TargetMode="External" Id="rId32" /><Relationship Type="http://schemas.openxmlformats.org/officeDocument/2006/relationships/hyperlink" Target="#'&#1605;&#1589;&#1585;&#1608;&#1601;&#1575;&#1578; 2025 - &#1605;&#1604;&#1582;&#1589;'!A1" TargetMode="External" Id="rId33" /><Relationship Type="http://schemas.openxmlformats.org/officeDocument/2006/relationships/hyperlink" Target="#'&#1605;&#1608;&#1575;&#1583; - &#1575;&#1604;&#1605;&#1604;&#1582;&#1589;'!A1" TargetMode="External" Id="rId34" /><Relationship Type="http://schemas.openxmlformats.org/officeDocument/2006/relationships/hyperlink" Target="#'&#1605;&#1608;&#1575;&#1583; - &#1587;&#1580;&#1604; &#1575;&#1604;&#1593;&#1602;&#1608;&#1583;'!A1" TargetMode="External" Id="rId35" /><Relationship Type="http://schemas.openxmlformats.org/officeDocument/2006/relationships/hyperlink" Target="#'&#1605;&#1608;&#1575;&#1583; - &#1578;&#1601;&#1589;&#1610;&#1604; &#1575;&#1604;&#1576;&#1606;&#1608;&#1583;'!A1" TargetMode="External" Id="rId36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37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38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39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40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41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42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43" /><Relationship Type="http://schemas.openxmlformats.org/officeDocument/2006/relationships/hyperlink" Target="#'&#1605;&#1591;&#1575;&#1576;&#1602;&#1577; &#1581;&#1587;&#1575;&#1576; &#1571;&#1576;&#1608; &#1582;&#1575;&#1604;&#1583;'!A1" TargetMode="External" Id="rId44" /><Relationship Type="http://schemas.openxmlformats.org/officeDocument/2006/relationships/hyperlink" Target="#'&#1589;&#1585;&#1601; &#1576;&#1583;&#1608;&#1606; &#1576;&#1610;&#1575;&#1606;'!A1" TargetMode="External" Id="rId45" 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D47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عام</t>
        </is>
      </c>
      <c r="C3" s="90" t="inlineStr">
        <is>
          <t>الملخص العام</t>
        </is>
      </c>
      <c r="D3" s="16" t="inlineStr">
        <is>
          <t>الأرقام الرئيسية لكل الأقسام في صفحة واحدة</t>
        </is>
      </c>
    </row>
    <row r="4">
      <c r="A4" s="16" t="n">
        <v>2</v>
      </c>
      <c r="B4" s="16" t="inlineStr">
        <is>
          <t>عام</t>
        </is>
      </c>
      <c r="C4" s="90" t="inlineStr">
        <is>
          <t>الأسئلة المطلوبة</t>
        </is>
      </c>
      <c r="D4" s="16" t="inlineStr">
        <is>
          <t>كل الأسئلة المفتوحة مع المبلغ المتأثر وخانة للإجابة</t>
        </is>
      </c>
    </row>
    <row r="5">
      <c r="A5" s="16" t="n">
        <v>3</v>
      </c>
      <c r="B5" s="16" t="inlineStr">
        <is>
          <t>حساب الشريكين</t>
        </is>
      </c>
      <c r="C5" s="90" t="inlineStr">
        <is>
          <t>ملخص الشركاء</t>
        </is>
      </c>
      <c r="D5" s="16" t="inlineStr">
        <is>
          <t>مسحوبات ودعم وسدادات كل شريك والصافي</t>
        </is>
      </c>
    </row>
    <row r="6">
      <c r="A6" s="16" t="n">
        <v>4</v>
      </c>
      <c r="B6" s="16" t="inlineStr">
        <is>
          <t>حساب الشريكين</t>
        </is>
      </c>
      <c r="C6" s="90" t="inlineStr">
        <is>
          <t>حساب أبو خالد</t>
        </is>
      </c>
      <c r="D6" s="16" t="inlineStr">
        <is>
          <t>تفصيل حساب أبو خالد / بساتين الرياض</t>
        </is>
      </c>
    </row>
    <row r="7">
      <c r="A7" s="16" t="n">
        <v>5</v>
      </c>
      <c r="B7" s="16" t="inlineStr">
        <is>
          <t>حساب الشريكين</t>
        </is>
      </c>
      <c r="C7" s="90" t="inlineStr">
        <is>
          <t>حساب أبو مازن</t>
        </is>
      </c>
      <c r="D7" s="16" t="inlineStr">
        <is>
          <t>تفصيل حساب أبو مازن / نسما الشرق</t>
        </is>
      </c>
    </row>
    <row r="8">
      <c r="A8" s="16" t="n">
        <v>6</v>
      </c>
      <c r="B8" s="16" t="inlineStr">
        <is>
          <t>حساب الشريكين</t>
        </is>
      </c>
      <c r="C8" s="90" t="inlineStr">
        <is>
          <t>إيرادات قبل الفترة</t>
        </is>
      </c>
      <c r="D8" s="16" t="inlineStr">
        <is>
          <t>تسوية إيرادات 610,688 قبل 30-7-2025</t>
        </is>
      </c>
    </row>
    <row r="9">
      <c r="A9" s="16" t="n">
        <v>7</v>
      </c>
      <c r="B9" s="16" t="inlineStr">
        <is>
          <t>حساب الشريكين</t>
        </is>
      </c>
      <c r="C9" s="90" t="inlineStr">
        <is>
          <t>تحقق سند أبو خالد</t>
        </is>
      </c>
      <c r="D9" s="16" t="inlineStr">
        <is>
          <t>مطابقة سند مسحوبات بساتين 24.2–3.6.2026 مع الفواتير</t>
        </is>
      </c>
    </row>
    <row r="10">
      <c r="A10" s="16" t="n">
        <v>8</v>
      </c>
      <c r="B10" s="16" t="inlineStr">
        <is>
          <t>المبيعات</t>
        </is>
      </c>
      <c r="C10" s="90" t="inlineStr">
        <is>
          <t>مبيعات - الملخص</t>
        </is>
      </c>
      <c r="D10" s="16" t="inlineStr">
        <is>
          <t>إجمالي مبيعات كل مندوب + ما قبل الفترة</t>
        </is>
      </c>
    </row>
    <row r="11">
      <c r="A11" s="16" t="n">
        <v>9</v>
      </c>
      <c r="B11" s="16" t="inlineStr">
        <is>
          <t>المبيعات</t>
        </is>
      </c>
      <c r="C11" s="90" t="inlineStr">
        <is>
          <t>الحركة المدمجة</t>
        </is>
      </c>
      <c r="D11" s="16" t="inlineStr">
        <is>
          <t>كل حركات البيع (جملة + سيارات) مرتبة بالتاريخ</t>
        </is>
      </c>
    </row>
    <row r="12">
      <c r="A12" s="16" t="n">
        <v>10</v>
      </c>
      <c r="B12" s="16" t="inlineStr">
        <is>
          <t>المبيعات</t>
        </is>
      </c>
      <c r="C12" s="90" t="inlineStr">
        <is>
          <t>مبيعات - شهري</t>
        </is>
      </c>
      <c r="D12" s="16" t="inlineStr">
        <is>
          <t>المبيعات الشهرية لكل مندوب من 10-2024</t>
        </is>
      </c>
    </row>
    <row r="13">
      <c r="A13" s="16" t="n">
        <v>11</v>
      </c>
      <c r="B13" s="16" t="inlineStr">
        <is>
          <t>المبيعات</t>
        </is>
      </c>
      <c r="C13" s="90" t="inlineStr">
        <is>
          <t>مبيعات قبل 30.7.2025</t>
        </is>
      </c>
      <c r="D13" s="16" t="inlineStr">
        <is>
          <t>مبيعات 10-2024 إلى 6-2025 شهرياً</t>
        </is>
      </c>
    </row>
    <row r="14">
      <c r="A14" s="16" t="n">
        <v>12</v>
      </c>
      <c r="B14" s="16" t="inlineStr">
        <is>
          <t>المبيعات</t>
        </is>
      </c>
      <c r="C14" s="90" t="inlineStr">
        <is>
          <t>مبيعات عصمت</t>
        </is>
      </c>
      <c r="D14" s="16" t="inlineStr">
        <is>
          <t>كل عقود عصمت + فواتير سيارة 1219</t>
        </is>
      </c>
    </row>
    <row r="15">
      <c r="A15" s="16" t="n">
        <v>13</v>
      </c>
      <c r="B15" s="16" t="inlineStr">
        <is>
          <t>المبيعات</t>
        </is>
      </c>
      <c r="C15" s="90" t="inlineStr">
        <is>
          <t>مبيعات عماد</t>
        </is>
      </c>
      <c r="D15" s="16" t="inlineStr">
        <is>
          <t>كل عقود عماد + فواتير سيارة 3010</t>
        </is>
      </c>
    </row>
    <row r="16">
      <c r="A16" s="16" t="n">
        <v>14</v>
      </c>
      <c r="B16" s="16" t="inlineStr">
        <is>
          <t>المبيعات</t>
        </is>
      </c>
      <c r="C16" s="90" t="inlineStr">
        <is>
          <t>مبيعات أبو خالد</t>
        </is>
      </c>
      <c r="D16" s="16" t="inlineStr">
        <is>
          <t>كل عقود أبو خالد WHK</t>
        </is>
      </c>
    </row>
    <row r="17">
      <c r="A17" s="16" t="n">
        <v>15</v>
      </c>
      <c r="B17" s="16" t="inlineStr">
        <is>
          <t>المبيعات</t>
        </is>
      </c>
      <c r="C17" s="90" t="inlineStr">
        <is>
          <t>أبو خالد - تفصيل البنود</t>
        </is>
      </c>
      <c r="D17" s="16" t="inlineStr">
        <is>
          <t>بنود كل عقد لأبو خالد (الصنف والكمية والسعر)</t>
        </is>
      </c>
    </row>
    <row r="18">
      <c r="A18" s="16" t="n">
        <v>16</v>
      </c>
      <c r="B18" s="16" t="inlineStr">
        <is>
          <t>الفواتير والمطابقات</t>
        </is>
      </c>
      <c r="C18" s="90" t="inlineStr">
        <is>
          <t>الفواتير المبدئية</t>
        </is>
      </c>
      <c r="D18" s="16" t="inlineStr">
        <is>
          <t>239 فاتورة مبدئية (25–263)</t>
        </is>
      </c>
    </row>
    <row r="19">
      <c r="A19" s="16" t="n">
        <v>17</v>
      </c>
      <c r="B19" s="16" t="inlineStr">
        <is>
          <t>الفواتير والمطابقات</t>
        </is>
      </c>
      <c r="C19" s="90" t="inlineStr">
        <is>
          <t>فواتير - حسب المندوب</t>
        </is>
      </c>
      <c r="D19" s="16" t="inlineStr">
        <is>
          <t>ملخص الفواتير حسب المندوب</t>
        </is>
      </c>
    </row>
    <row r="20">
      <c r="A20" s="16" t="n">
        <v>18</v>
      </c>
      <c r="B20" s="16" t="inlineStr">
        <is>
          <t>الفواتير والمطابقات</t>
        </is>
      </c>
      <c r="C20" s="90" t="inlineStr">
        <is>
          <t>فواتير - شهري</t>
        </is>
      </c>
      <c r="D20" s="16" t="inlineStr">
        <is>
          <t>ملخص الفواتير شهرياً</t>
        </is>
      </c>
    </row>
    <row r="21">
      <c r="A21" s="16" t="n">
        <v>19</v>
      </c>
      <c r="B21" s="16" t="inlineStr">
        <is>
          <t>الفواتير والمطابقات</t>
        </is>
      </c>
      <c r="C21" s="90" t="inlineStr">
        <is>
          <t>مطابقة العقود</t>
        </is>
      </c>
      <c r="D21" s="16" t="inlineStr">
        <is>
          <t>سجل العقود مقابل الفواتير المبدئية</t>
        </is>
      </c>
    </row>
    <row r="22">
      <c r="A22" s="16" t="n">
        <v>20</v>
      </c>
      <c r="B22" s="16" t="inlineStr">
        <is>
          <t>الفواتير والمطابقات</t>
        </is>
      </c>
      <c r="C22" s="90" t="inlineStr">
        <is>
          <t>فواتير عقودها غير مسجلة</t>
        </is>
      </c>
      <c r="D22" s="16" t="inlineStr">
        <is>
          <t>فواتير عقودها غير موجودة بسجل العقود</t>
        </is>
      </c>
    </row>
    <row r="23">
      <c r="A23" s="16" t="n">
        <v>21</v>
      </c>
      <c r="B23" s="16" t="inlineStr">
        <is>
          <t>الفواتير والمطابقات</t>
        </is>
      </c>
      <c r="C23" s="90" t="inlineStr">
        <is>
          <t>الفواتير مقابل الكشف</t>
        </is>
      </c>
      <c r="D23" s="16" t="inlineStr">
        <is>
          <t>الفواتير المبدئية مقابل كشف الخزنة</t>
        </is>
      </c>
    </row>
    <row r="24">
      <c r="A24" s="16" t="n">
        <v>22</v>
      </c>
      <c r="B24" s="16" t="inlineStr">
        <is>
          <t>الفواتير والمطابقات</t>
        </is>
      </c>
      <c r="C24" s="90" t="inlineStr">
        <is>
          <t>قيود كشف بدون فاتورة</t>
        </is>
      </c>
      <c r="D24" s="16" t="inlineStr">
        <is>
          <t>قيود مبيعات بالكشف بدون فاتورة</t>
        </is>
      </c>
    </row>
    <row r="25">
      <c r="A25" s="16" t="n">
        <v>23</v>
      </c>
      <c r="B25" s="16" t="inlineStr">
        <is>
          <t>المصروفات</t>
        </is>
      </c>
      <c r="C25" s="90" t="inlineStr">
        <is>
          <t>مصروفات - الملخص</t>
        </is>
      </c>
      <c r="D25" s="16" t="inlineStr">
        <is>
          <t>ملخص كل المصروفات</t>
        </is>
      </c>
    </row>
    <row r="26">
      <c r="A26" s="16" t="n">
        <v>24</v>
      </c>
      <c r="B26" s="16" t="inlineStr">
        <is>
          <t>المصروفات</t>
        </is>
      </c>
      <c r="C26" s="90" t="inlineStr">
        <is>
          <t>مصروفات التأسيس</t>
        </is>
      </c>
      <c r="D26" s="16" t="inlineStr">
        <is>
          <t>24 بند تأسيس (1,089,735.80)</t>
        </is>
      </c>
    </row>
    <row r="27">
      <c r="A27" s="16" t="n">
        <v>25</v>
      </c>
      <c r="B27" s="16" t="inlineStr">
        <is>
          <t>المصروفات</t>
        </is>
      </c>
      <c r="C27" s="90" t="inlineStr">
        <is>
          <t>مصروفات قبل 30.7.2025</t>
        </is>
      </c>
      <c r="D27" s="16" t="inlineStr">
        <is>
          <t>مصروفات تشغيل 2024 + مصروفات م/ عادل من المبيعات</t>
        </is>
      </c>
    </row>
    <row r="28">
      <c r="A28" s="16" t="n">
        <v>26</v>
      </c>
      <c r="B28" s="16" t="inlineStr">
        <is>
          <t>المصروفات</t>
        </is>
      </c>
      <c r="C28" s="90" t="inlineStr">
        <is>
          <t>أوامر الشراء 2026</t>
        </is>
      </c>
      <c r="D28" s="16" t="inlineStr">
        <is>
          <t>31 أمر شراء وحالة الدفع والمديونية</t>
        </is>
      </c>
    </row>
    <row r="29">
      <c r="A29" s="16" t="n">
        <v>27</v>
      </c>
      <c r="B29" s="16" t="inlineStr">
        <is>
          <t>المصروفات</t>
        </is>
      </c>
      <c r="C29" s="90" t="inlineStr">
        <is>
          <t>العهد - التفصيل</t>
        </is>
      </c>
      <c r="D29" s="16" t="inlineStr">
        <is>
          <t>178 مصروف من العهد النقدية</t>
        </is>
      </c>
    </row>
    <row r="30">
      <c r="A30" s="16" t="n">
        <v>28</v>
      </c>
      <c r="B30" s="16" t="inlineStr">
        <is>
          <t>المصروفات</t>
        </is>
      </c>
      <c r="C30" s="90" t="inlineStr">
        <is>
          <t>العهد - الملخص</t>
        </is>
      </c>
      <c r="D30" s="16" t="inlineStr">
        <is>
          <t>العهد حسب صاحبها والبند والسيارة</t>
        </is>
      </c>
    </row>
    <row r="31">
      <c r="A31" s="16" t="n">
        <v>29</v>
      </c>
      <c r="B31" s="16" t="inlineStr">
        <is>
          <t>المصروفات</t>
        </is>
      </c>
      <c r="C31" s="90" t="inlineStr">
        <is>
          <t>مصروفات الخزنة (كشف الحساب)</t>
        </is>
      </c>
      <c r="D31" s="16" t="inlineStr">
        <is>
          <t>197 مصروف من كشف الخزنة مع كشف التداخل</t>
        </is>
      </c>
    </row>
    <row r="32">
      <c r="A32" s="16" t="n">
        <v>30</v>
      </c>
      <c r="B32" s="16" t="inlineStr">
        <is>
          <t>المصروفات</t>
        </is>
      </c>
      <c r="C32" s="90" t="inlineStr">
        <is>
          <t>خزنة الرياض 6-7 2026</t>
        </is>
      </c>
      <c r="D32" s="16" t="inlineStr">
        <is>
          <t>مقبوضات ومدفوعات خزنة النظام الجديد يونيو–يوليو 2026</t>
        </is>
      </c>
    </row>
    <row r="33">
      <c r="A33" s="16" t="n">
        <v>31</v>
      </c>
      <c r="B33" s="16" t="inlineStr">
        <is>
          <t>المصروفات</t>
        </is>
      </c>
      <c r="C33" s="90" t="inlineStr">
        <is>
          <t>أرصدة العملاء والموردين</t>
        </is>
      </c>
      <c r="D33" s="16" t="inlineStr">
        <is>
          <t>المبالغ الآجلة لدى العملاء والمستحق للموردين</t>
        </is>
      </c>
    </row>
    <row r="34">
      <c r="A34" s="16" t="n">
        <v>32</v>
      </c>
      <c r="B34" s="16" t="inlineStr">
        <is>
          <t>المصروفات</t>
        </is>
      </c>
      <c r="C34" s="90" t="inlineStr">
        <is>
          <t>مصروفات 2025 - تفصيل</t>
        </is>
      </c>
      <c r="D34" s="16" t="inlineStr">
        <is>
          <t>306 مصروف (7–12-2025)</t>
        </is>
      </c>
    </row>
    <row r="35">
      <c r="A35" s="16" t="n">
        <v>33</v>
      </c>
      <c r="B35" s="16" t="inlineStr">
        <is>
          <t>المصروفات</t>
        </is>
      </c>
      <c r="C35" s="90" t="inlineStr">
        <is>
          <t>مصروفات 2025 - ملخص</t>
        </is>
      </c>
      <c r="D35" s="16" t="inlineStr">
        <is>
          <t>مصروفات 2025 حسب التصنيف والشهر + المدفوع من تبوك</t>
        </is>
      </c>
    </row>
    <row r="36">
      <c r="A36" s="16" t="n">
        <v>34</v>
      </c>
      <c r="B36" s="16" t="inlineStr">
        <is>
          <t>حركات المواد</t>
        </is>
      </c>
      <c r="C36" s="90" t="inlineStr">
        <is>
          <t>مواد - الملخص</t>
        </is>
      </c>
      <c r="D36" s="16" t="inlineStr">
        <is>
          <t>ملخص TNR/RNT/RNP/RNO/RNL من 3 مصادر</t>
        </is>
      </c>
    </row>
    <row r="37">
      <c r="A37" s="16" t="n">
        <v>35</v>
      </c>
      <c r="B37" s="16" t="inlineStr">
        <is>
          <t>حركات المواد</t>
        </is>
      </c>
      <c r="C37" s="90" t="inlineStr">
        <is>
          <t>مواد - سجل العقود</t>
        </is>
      </c>
      <c r="D37" s="16" t="inlineStr">
        <is>
          <t>كل سندات حركة المواد</t>
        </is>
      </c>
    </row>
    <row r="38">
      <c r="A38" s="16" t="n">
        <v>36</v>
      </c>
      <c r="B38" s="16" t="inlineStr">
        <is>
          <t>حركات المواد</t>
        </is>
      </c>
      <c r="C38" s="90" t="inlineStr">
        <is>
          <t>مواد - تفصيل البنود</t>
        </is>
      </c>
      <c r="D38" s="16" t="inlineStr">
        <is>
          <t>بنود كل سند (الصنف والكمية والسعر)</t>
        </is>
      </c>
    </row>
    <row r="39">
      <c r="A39" s="16" t="n">
        <v>37</v>
      </c>
      <c r="B39" s="16" t="inlineStr">
        <is>
          <t>حركات المواد</t>
        </is>
      </c>
      <c r="C39" s="90" t="inlineStr">
        <is>
          <t>مواد - الكميات حسب الصنف</t>
        </is>
      </c>
      <c r="D39" s="16" t="inlineStr">
        <is>
          <t>إجمالي الكميات لكل صنف</t>
        </is>
      </c>
    </row>
    <row r="40">
      <c r="A40" s="16" t="n">
        <v>38</v>
      </c>
      <c r="B40" s="16" t="inlineStr">
        <is>
          <t>المسحوبات بين المزرعتين</t>
        </is>
      </c>
      <c r="C40" s="90" t="inlineStr">
        <is>
          <t>مسحوبات - ملخص المراجعة</t>
        </is>
      </c>
      <c r="D40" s="16" t="inlineStr">
        <is>
          <t>مراجعة شيتات المحاسب للمسحوبات</t>
        </is>
      </c>
    </row>
    <row r="41">
      <c r="A41" s="16" t="n">
        <v>39</v>
      </c>
      <c r="B41" s="16" t="inlineStr">
        <is>
          <t>المسحوبات بين المزرعتين</t>
        </is>
      </c>
      <c r="C41" s="90" t="inlineStr">
        <is>
          <t>مسحوبات تبوك قبل الفترة</t>
        </is>
      </c>
      <c r="D41" s="16" t="inlineStr">
        <is>
          <t>أوامر شراء قبل الفترة (بدون أسعار)</t>
        </is>
      </c>
    </row>
    <row r="42">
      <c r="A42" s="16" t="n">
        <v>40</v>
      </c>
      <c r="B42" s="16" t="inlineStr">
        <is>
          <t>المسحوبات بين المزرعتين</t>
        </is>
      </c>
      <c r="C42" s="90" t="inlineStr">
        <is>
          <t>مصاريف إدارية وديزل تبوك</t>
        </is>
      </c>
      <c r="D42" s="16" t="inlineStr">
        <is>
          <t>مصاريف إدارية 2025/2026 + ديزل + نقل بالكيلومتر</t>
        </is>
      </c>
    </row>
    <row r="43">
      <c r="A43" s="16" t="n">
        <v>41</v>
      </c>
      <c r="B43" s="16" t="inlineStr">
        <is>
          <t>المسحوبات بين المزرعتين</t>
        </is>
      </c>
      <c r="C43" s="90" t="inlineStr">
        <is>
          <t>مسحوبات الرياض من تبوك</t>
        </is>
      </c>
      <c r="D43" s="16" t="inlineStr">
        <is>
          <t>مراجعة شيت المحاسب سطراً بسطر</t>
        </is>
      </c>
    </row>
    <row r="44">
      <c r="A44" s="16" t="n">
        <v>42</v>
      </c>
      <c r="B44" s="16" t="inlineStr">
        <is>
          <t>المسحوبات بين المزرعتين</t>
        </is>
      </c>
      <c r="C44" s="90" t="inlineStr">
        <is>
          <t>مسحوبات تبوك من الرياض</t>
        </is>
      </c>
      <c r="D44" s="16" t="inlineStr">
        <is>
          <t>مراجعة شيت المحاسب سطراً بسطر</t>
        </is>
      </c>
    </row>
    <row r="45">
      <c r="A45" s="16" t="n">
        <v>43</v>
      </c>
      <c r="B45" s="16" t="inlineStr">
        <is>
          <t>المسحوبات بين المزرعتين</t>
        </is>
      </c>
      <c r="C45" s="90" t="inlineStr">
        <is>
          <t>سندات غير مدرجة بالمحاسب</t>
        </is>
      </c>
      <c r="D45" s="16" t="inlineStr">
        <is>
          <t>سندات بالنظام لم يدرجها المحاسب</t>
        </is>
      </c>
    </row>
    <row r="46">
      <c r="A46" s="16" t="n">
        <v>44</v>
      </c>
      <c r="B46" s="16" t="inlineStr">
        <is>
          <t>حساب الشريكين</t>
        </is>
      </c>
      <c r="C46" s="90" t="inlineStr">
        <is>
          <t>مطابقة حساب أبو خالد</t>
        </is>
      </c>
      <c r="D46" s="16" t="inlineStr">
        <is>
          <t>مقارنة مسحوبات أبو خالد بين قائمة العقود وكشف الخزنة – مع خيارات الاعتماد</t>
        </is>
      </c>
    </row>
    <row r="47">
      <c r="A47" s="16" t="n">
        <v>45</v>
      </c>
      <c r="B47" s="16" t="inlineStr">
        <is>
          <t>المصروفات</t>
        </is>
      </c>
      <c r="C47" s="90" t="inlineStr">
        <is>
          <t>صرف بدون بيان</t>
        </is>
      </c>
      <c r="D47" s="16" t="inlineStr">
        <is>
          <t>سندات صرف بدون بيان: رقمها وتاريخها ومكانها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1">
      <c r="A11" s="93" t="inlineStr">
        <is>
          <t>ثانياً: المصروفات</t>
        </is>
      </c>
    </row>
    <row r="12">
      <c r="A12" s="3" t="inlineStr">
        <is>
          <t>مصروفات التأسيس (2024)</t>
        </is>
      </c>
      <c r="B12" s="4">
        <f>'مصروفات التأسيس'!E27</f>
        <v/>
      </c>
      <c r="C12" s="4" t="n"/>
      <c r="D12" s="3" t="inlineStr">
        <is>
          <t>ممولة من أبو مازن / نسما</t>
        </is>
      </c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تفصيل'!H308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الحساب)'!F199</f>
        <v/>
      </c>
      <c r="C17" s="4" t="n"/>
      <c r="D17" s="3" t="inlineStr">
        <is>
          <t>⚠ متداخلة جزئياً مع أوامر الشراء والعهد ومصروفات 2025 – راجع عمود الارتباط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</t>
        </is>
      </c>
      <c r="B21" s="4">
        <f>'مواد - الملخص'!J5</f>
        <v/>
      </c>
      <c r="C21" s="4" t="n"/>
      <c r="D21" s="3" t="inlineStr"/>
    </row>
    <row r="22">
      <c r="A22" s="3" t="inlineStr">
        <is>
          <t>RNT ترحيل من الرياض إلى تبوك</t>
        </is>
      </c>
      <c r="B22" s="4">
        <f>'مواد - الملخص'!J6</f>
        <v/>
      </c>
      <c r="C22" s="4" t="n"/>
      <c r="D22" s="3" t="inlineStr"/>
    </row>
    <row r="23">
      <c r="A23" s="3" t="inlineStr">
        <is>
          <t>RNP ترحيل لقسم المشاريع تبوك</t>
        </is>
      </c>
      <c r="B23" s="4">
        <f>'مواد - الملخص'!J7</f>
        <v/>
      </c>
      <c r="C23" s="4" t="n"/>
      <c r="D23" s="3" t="inlineStr"/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والموردين'!F42</f>
        <v/>
      </c>
      <c r="C29" s="4" t="n"/>
      <c r="D29" s="3" t="inlineStr">
        <is>
          <t>PO-0777 بقيمته كاملة لحين معرفة المسدد</t>
        </is>
      </c>
    </row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'ملخص الشركاء'!B7</f>
        <v/>
      </c>
      <c r="C33" s="6">
        <f>'ملخص الشركاء'!C7</f>
        <v/>
      </c>
      <c r="D33" s="5" t="inlineStr"/>
    </row>
    <row r="34">
      <c r="A34" s="3" t="inlineStr">
        <is>
          <t>سدادات مسجلة بكشف الخزنة</t>
        </is>
      </c>
      <c r="B34" s="4">
        <f>'ملخص الشركاء'!B8</f>
        <v/>
      </c>
      <c r="C34" s="4">
        <f>'ملخص الشركاء'!C8</f>
        <v/>
      </c>
      <c r="D34" s="3" t="inlineStr"/>
    </row>
    <row r="35">
      <c r="A35" s="3" t="inlineStr">
        <is>
          <t>الدعم المقدم للمزرعة</t>
        </is>
      </c>
      <c r="B35" s="4">
        <f>'ملخص الشركاء'!B9</f>
        <v/>
      </c>
      <c r="C35" s="4">
        <f>'ملخص الشركاء'!C9</f>
        <v/>
      </c>
      <c r="D35" s="3" t="inlineStr"/>
    </row>
    <row r="36">
      <c r="A36" s="5" t="inlineStr">
        <is>
          <t>الصافي (موجب = عليه للمزرعة / سالب = مستحق له)</t>
        </is>
      </c>
      <c r="B36" s="6">
        <f>'ملخص الشركاء'!B11</f>
        <v/>
      </c>
      <c r="C36" s="6">
        <f>'ملخص الشركاء'!C11</f>
        <v/>
      </c>
      <c r="D36" s="5" t="inlineStr">
        <is>
          <t>⚠ نهائي بعد الإجابة على الأسئلة المفتوحة</t>
        </is>
      </c>
    </row>
    <row r="38">
      <c r="A38" t="inlineStr">
        <is>
          <t>تنبيه: الأرقام تتحدّث تلقائياً من صفحات التفصيل. البنود التي تحتاج تأكيد مذكورة في صفحة "الأسئلة المطلوبة".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المطلوب الإجابة عليها لاعتماد الحسابات بنسبة 100%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/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/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/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/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/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/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/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/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/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/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/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/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/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/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/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/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/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/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/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/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/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/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/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/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/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/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/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23-10-2025، الجزيرة 20,000 مرتين في 25-12-2025 وأخرى – هل هي مكررة؟</t>
        </is>
      </c>
      <c r="D30" s="4" t="n">
        <v>70600</v>
      </c>
      <c r="E30" s="11" t="inlineStr"/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/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/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/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/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/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/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/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/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/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/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/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/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/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/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/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/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/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D11"/>
  <sheetViews>
    <sheetView rightToLeft="1" zoomScale="100" workbookViewId="0">
      <selection activeCell="A1" sqref="A1"/>
    </sheetView>
  </sheetViews>
  <sheetFormatPr baseColWidth="8" defaultRowHeight="15"/>
  <cols>
    <col width="54" customWidth="1" min="1" max="1"/>
    <col width="22" customWidth="1" min="2" max="2"/>
    <col width="22" customWidth="1" min="3" max="3"/>
    <col width="56" customWidth="1" min="4" max="4"/>
  </cols>
  <sheetData>
    <row r="1">
      <c r="A1" s="1" t="inlineStr">
        <is>
          <t>ملخص حساب الشريكين مع مزرعة الرياض</t>
        </is>
      </c>
    </row>
    <row r="2">
      <c r="A2" t="inlineStr">
        <is>
          <t>أبو خالد = مؤسسة بساتين الرياض | أبو مازن = شركة نسما الشرق (مزرعة تبوك)</t>
        </is>
      </c>
    </row>
    <row r="4">
      <c r="A4" s="2" t="inlineStr">
        <is>
          <t>البند</t>
        </is>
      </c>
      <c r="B4" s="2" t="inlineStr">
        <is>
          <t>أبو خالد – بساتين الرياض</t>
        </is>
      </c>
      <c r="C4" s="2" t="inlineStr">
        <is>
          <t>أبو مازن – نسما الشرق</t>
        </is>
      </c>
      <c r="D4" s="2" t="inlineStr">
        <is>
          <t>ملاحظة</t>
        </is>
      </c>
    </row>
    <row r="5">
      <c r="A5" s="3" t="inlineStr">
        <is>
          <t>1) المسحوبات المباشرة</t>
        </is>
      </c>
      <c r="B5" s="4">
        <f>'حساب أبو خالد'!C7</f>
        <v/>
      </c>
      <c r="C5" s="4">
        <f>'حساب أبو مازن'!C9</f>
        <v/>
      </c>
      <c r="D5" s="3" t="n"/>
    </row>
    <row r="6">
      <c r="A6" s="3" t="inlineStr">
        <is>
          <t>2) المسحوبات النقدية</t>
        </is>
      </c>
      <c r="B6" s="4">
        <f>'حساب أبو خالد'!C12</f>
        <v/>
      </c>
      <c r="C6" s="4">
        <f>'حساب أبو مازن'!C16</f>
        <v/>
      </c>
      <c r="D6" s="3" t="n"/>
    </row>
    <row r="7">
      <c r="A7" s="5" t="inlineStr">
        <is>
          <t>إجمالي المسحوبات (عليه)</t>
        </is>
      </c>
      <c r="B7" s="6">
        <f>B5+B6</f>
        <v/>
      </c>
      <c r="C7" s="6">
        <f>C5+C6</f>
        <v/>
      </c>
      <c r="D7" s="5" t="n"/>
    </row>
    <row r="8">
      <c r="A8" s="3" t="inlineStr">
        <is>
          <t>3) سدادات لمسحوباته مسجلة بكشف الخزنة</t>
        </is>
      </c>
      <c r="B8" s="4">
        <f>'حساب أبو خالد'!C17</f>
        <v/>
      </c>
      <c r="C8" s="4" t="n">
        <v>0</v>
      </c>
      <c r="D8" s="3" t="inlineStr">
        <is>
          <t>توريدات وسدادات أبو خالد</t>
        </is>
      </c>
    </row>
    <row r="9">
      <c r="A9" s="3" t="inlineStr">
        <is>
          <t>4) الدعم المقدم للمزرعة</t>
        </is>
      </c>
      <c r="B9" s="4">
        <f>'حساب أبو خالد'!C24</f>
        <v/>
      </c>
      <c r="C9" s="4">
        <f>'حساب أبو مازن'!C26</f>
        <v/>
      </c>
      <c r="D9" s="3" t="n"/>
    </row>
    <row r="10">
      <c r="A10" s="5" t="inlineStr">
        <is>
          <t>إجمالي ما له (سدادات + دعم)</t>
        </is>
      </c>
      <c r="B10" s="6">
        <f>B8+B9</f>
        <v/>
      </c>
      <c r="C10" s="6">
        <f>C8+C9</f>
        <v/>
      </c>
      <c r="D10" s="5" t="n"/>
    </row>
    <row r="11">
      <c r="A11" s="5" t="inlineStr">
        <is>
          <t>الصافي (موجب = مديونية عليه للمزرعة / سالب = مستحق له)</t>
        </is>
      </c>
      <c r="B11" s="6">
        <f>B7-B10</f>
        <v/>
      </c>
      <c r="C11" s="6">
        <f>C7-C10</f>
        <v/>
      </c>
      <c r="D11" s="5" t="inlineStr">
        <is>
          <t>⚠ لم تُسعّر بعد مسحوبات تبوك قبل الفترة (102,875 حبة)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م/ عادل أبو خالد – مؤسسة بساتين الرياض مع مزرعة الرياض</t>
        </is>
      </c>
    </row>
    <row r="3">
      <c r="A3" s="7" t="inlineStr">
        <is>
          <t>أولاً: المسحوبات المباشرة (مديونية على أبو خالد)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عقد عرعر WHK-2364 بالقيمة الكاملة</t>
        </is>
      </c>
      <c r="C5" s="4" t="n">
        <v>440000</v>
      </c>
      <c r="D5" s="3" t="inlineStr">
        <is>
          <t>ملف المبيعات – مبيعات أبو خالد</t>
        </is>
      </c>
      <c r="E5" s="3" t="n"/>
    </row>
    <row r="6">
      <c r="A6" s="3" t="n">
        <v>2</v>
      </c>
      <c r="B6" s="3" t="inlineStr">
        <is>
          <t>مبيعات المندوب أبو خالد – باقي عقود WHK (46 عقد) من 30-7-2025 إلى 31-7-2026</t>
        </is>
      </c>
      <c r="C6" s="4">
        <f>'مبيعات أبو خالد'!E49-440000</f>
        <v/>
      </c>
      <c r="D6" s="3" t="inlineStr">
        <is>
          <t>ملف المبيعات – مبيعات أبو خالد</t>
        </is>
      </c>
      <c r="E6" s="3" t="inlineStr">
        <is>
          <t>تشمل بنود سند المسحوبات 24.2–3.6.2026 (لا تُحسب مرتين)</t>
        </is>
      </c>
    </row>
    <row r="7">
      <c r="A7" s="9" t="n"/>
      <c r="B7" s="9" t="inlineStr">
        <is>
          <t>الإجمالي</t>
        </is>
      </c>
      <c r="C7" s="10">
        <f>SUM(C5:C6)</f>
        <v/>
      </c>
      <c r="D7" s="9" t="n"/>
      <c r="E7" s="9" t="n"/>
    </row>
    <row r="9">
      <c r="A9" s="7" t="inlineStr">
        <is>
          <t>ثانياً: المسحوبات النقدية من خزنة المزرعة (مديونية على أبو خالد)</t>
        </is>
      </c>
    </row>
    <row r="10">
      <c r="A10" s="8" t="inlineStr">
        <is>
          <t>م</t>
        </is>
      </c>
      <c r="B10" s="8" t="inlineStr">
        <is>
          <t>البند</t>
        </is>
      </c>
      <c r="C10" s="8" t="inlineStr">
        <is>
          <t>المبلغ</t>
        </is>
      </c>
      <c r="D10" s="8" t="inlineStr">
        <is>
          <t>المصدر</t>
        </is>
      </c>
      <c r="E10" s="8" t="inlineStr">
        <is>
          <t>ملاحظة</t>
        </is>
      </c>
    </row>
    <row r="11">
      <c r="A11" s="11" t="n">
        <v>1</v>
      </c>
      <c r="B11" s="11" t="inlineStr">
        <is>
          <t>تسديد لأبو خالد من المديونية (18-5-2026)</t>
        </is>
      </c>
      <c r="C11" s="12" t="n">
        <v>2000</v>
      </c>
      <c r="D11" s="11" t="inlineStr">
        <is>
          <t>كشف الخزنة – مستند 156</t>
        </is>
      </c>
      <c r="E11" s="11" t="inlineStr">
        <is>
          <t>⚠ مسجل على حساب أبو خالد – يلزم التأكيد إن كان يخصه أو يخص أبو مازن</t>
        </is>
      </c>
    </row>
    <row r="12">
      <c r="A12" s="9" t="n"/>
      <c r="B12" s="9" t="inlineStr">
        <is>
          <t>الإجمالي</t>
        </is>
      </c>
      <c r="C12" s="10">
        <f>SUM(C11:C11)</f>
        <v/>
      </c>
      <c r="D12" s="9" t="n"/>
      <c r="E12" s="9" t="n"/>
    </row>
    <row r="14">
      <c r="A14" s="7" t="inlineStr">
        <is>
          <t>ثالثاً: سدادات أبو خالد لمسحوباته (مسجلة لحسابه في كشف الخزنة)</t>
        </is>
      </c>
    </row>
    <row r="15">
      <c r="A15" s="8" t="inlineStr">
        <is>
          <t>م</t>
        </is>
      </c>
      <c r="B15" s="8" t="inlineStr">
        <is>
          <t>البند</t>
        </is>
      </c>
      <c r="C15" s="8" t="inlineStr">
        <is>
          <t>المبلغ</t>
        </is>
      </c>
      <c r="D15" s="8" t="inlineStr">
        <is>
          <t>المصدر</t>
        </is>
      </c>
      <c r="E15" s="8" t="inlineStr">
        <is>
          <t>ملاحظة</t>
        </is>
      </c>
    </row>
    <row r="16">
      <c r="A16" s="3" t="n">
        <v>1</v>
      </c>
      <c r="B16" s="3" t="inlineStr">
        <is>
          <t>توريدات نقدية وسدادات مسجلة لحسابه (Cash Payment)</t>
        </is>
      </c>
      <c r="C16" s="4" t="n">
        <v>763323.8100000001</v>
      </c>
      <c r="D16" s="3" t="inlineStr">
        <is>
          <t>كشف الحساب – عميل 5000</t>
        </is>
      </c>
      <c r="E16" s="3" t="inlineStr">
        <is>
          <t>سداد لمسحوباته وليست دعماً. تشمل توريدات نقدية من المبيعات + مشتريات دفعها عن المزرعة (زهور الجزيرة لعقد عرعر 199,353 – بذور بساتين قديم 147,745.75 – بيتموس 53,475 – جهنمية وسايكس 49,550 – غرس نجد 14,515 – مراكن 20,000 ...)</t>
        </is>
      </c>
    </row>
    <row r="17">
      <c r="A17" s="9" t="n"/>
      <c r="B17" s="9" t="inlineStr">
        <is>
          <t>الإجمالي</t>
        </is>
      </c>
      <c r="C17" s="10">
        <f>SUM(C16:C16)</f>
        <v/>
      </c>
      <c r="D17" s="9" t="n"/>
      <c r="E17" s="9" t="n"/>
    </row>
    <row r="19">
      <c r="A19" s="7" t="inlineStr">
        <is>
          <t>رابعاً: دعم أبو خالد لمزرعة الرياض (حق له)</t>
        </is>
      </c>
    </row>
    <row r="20">
      <c r="A20" s="8" t="inlineStr">
        <is>
          <t>م</t>
        </is>
      </c>
      <c r="B20" s="8" t="inlineStr">
        <is>
          <t>البند</t>
        </is>
      </c>
      <c r="C20" s="8" t="inlineStr">
        <is>
          <t>المبلغ</t>
        </is>
      </c>
      <c r="D20" s="8" t="inlineStr">
        <is>
          <t>المصدر</t>
        </is>
      </c>
      <c r="E20" s="8" t="inlineStr">
        <is>
          <t>ملاحظة</t>
        </is>
      </c>
    </row>
    <row r="21">
      <c r="A21" s="3" t="n">
        <v>1</v>
      </c>
      <c r="B21" s="3" t="inlineStr">
        <is>
          <t>ضخ نقدي في مصاريف تشغيل المزرعة</t>
        </is>
      </c>
      <c r="C21" s="4" t="n">
        <v>189235</v>
      </c>
      <c r="D21" s="3" t="inlineStr">
        <is>
          <t>بيان صاحب الحساب</t>
        </is>
      </c>
      <c r="E21" s="3" t="n"/>
    </row>
    <row r="22">
      <c r="A22" s="3" t="n">
        <v>2</v>
      </c>
      <c r="B22" s="3" t="inlineStr">
        <is>
          <t>أوامر شراء بساتين الرياض غير مسددة – PO-1023</t>
        </is>
      </c>
      <c r="C22" s="4" t="n">
        <v>33950</v>
      </c>
      <c r="D22" s="3" t="inlineStr">
        <is>
          <t>ملف أوامر الشراء 2026</t>
        </is>
      </c>
      <c r="E22" s="3" t="n"/>
    </row>
    <row r="23">
      <c r="A23" s="11" t="n">
        <v>3</v>
      </c>
      <c r="B23" s="11" t="inlineStr">
        <is>
          <t>أوامر شراء بساتين الرياض مدفوعة جزئياً – PO-0777</t>
        </is>
      </c>
      <c r="C23" s="12" t="n">
        <v>66420</v>
      </c>
      <c r="D23" s="11" t="inlineStr">
        <is>
          <t>ملف أوامر الشراء 2026</t>
        </is>
      </c>
      <c r="E23" s="11" t="inlineStr">
        <is>
          <t>⚠ القيمة كاملة – يُخصم المسدد عند معرفته</t>
        </is>
      </c>
    </row>
    <row r="24">
      <c r="A24" s="9" t="n"/>
      <c r="B24" s="9" t="inlineStr">
        <is>
          <t>الإجمالي</t>
        </is>
      </c>
      <c r="C24" s="10">
        <f>SUM(C21:C23)</f>
        <v/>
      </c>
      <c r="D24" s="9" t="n"/>
      <c r="E24" s="9" t="n"/>
    </row>
    <row r="26" ht="32" customHeight="1">
      <c r="B26" s="13" t="inlineStr">
        <is>
          <t>ملاحظة: أوامر بساتين المسددة (PO-288 و PO-287-REV1 = 147,745.75 سُددت كتسوية على حسابه، و PO-146 و PO-255 و PO-0707 مدفوعة) لم تُحتسب كدعم لأنها سُددت.</t>
        </is>
      </c>
    </row>
  </sheetData>
  <mergeCells count="6">
    <mergeCell ref="B26:E26"/>
    <mergeCell ref="A19:E19"/>
    <mergeCell ref="A1:E1"/>
    <mergeCell ref="A14:E14"/>
    <mergeCell ref="A9:E9"/>
    <mergeCell ref="A3:E3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2"/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9"/>
    <row r="10">
      <c r="A10" s="7" t="inlineStr">
        <is>
          <t>ثانياً: ماذا يعني "سداد أبو خالد لمسحوباته"</t>
        </is>
      </c>
    </row>
    <row r="11" ht="80" customHeight="1"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2"/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151,988.75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0"/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أبو مازن – شركة نسما الشرق (مزرعة تبوك) مع مزرعة الرياض</t>
        </is>
      </c>
    </row>
    <row r="3">
      <c r="A3" s="7" t="inlineStr">
        <is>
          <t>أولاً: المسحوبات المباشرة (مديونية على أبو مازن)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11" t="n">
        <v>1</v>
      </c>
      <c r="B5" s="11" t="inlineStr">
        <is>
          <t>ترحيلات من الرياض إلى تبوك RNT</t>
        </is>
      </c>
      <c r="C5" s="12">
        <f>'مواد - الملخص'!J6</f>
        <v/>
      </c>
      <c r="D5" s="11" t="inlineStr">
        <is>
          <t>ملف حركات المواد – بقيم النظام</t>
        </is>
      </c>
      <c r="E5" s="11" t="inlineStr">
        <is>
          <t>⚠ بقيم النظام – شيت المحاسب بأسعار التحويل مختلف</t>
        </is>
      </c>
    </row>
    <row r="6">
      <c r="A6" s="3" t="n">
        <v>2</v>
      </c>
      <c r="B6" s="3" t="inlineStr">
        <is>
          <t>ترحيلات إلى قسم المشاريع تبوك RNP</t>
        </is>
      </c>
      <c r="C6" s="4">
        <f>'مواد - الملخص'!J7</f>
        <v/>
      </c>
      <c r="D6" s="3" t="inlineStr">
        <is>
          <t>ملف حركات المواد – بقيم النظام</t>
        </is>
      </c>
      <c r="E6" s="3" t="n"/>
    </row>
    <row r="7">
      <c r="A7" s="3" t="n">
        <v>3</v>
      </c>
      <c r="B7" s="3" t="inlineStr">
        <is>
          <t>تكاليف نقل خارج الرياض لصالح تبوك (15,290 كم × 1.30)</t>
        </is>
      </c>
      <c r="C7" s="4">
        <f>'مصاريف إدارية وديزل تبوك'!F59</f>
        <v/>
      </c>
      <c r="D7" s="3" t="inlineStr">
        <is>
          <t>ملف مراجعة المسحوبات</t>
        </is>
      </c>
      <c r="E7" s="3" t="n"/>
    </row>
    <row r="8">
      <c r="A8" s="11" t="n">
        <v>4</v>
      </c>
      <c r="B8" s="11" t="inlineStr">
        <is>
          <t>مسحوبات قبل الفترة – أوامر P00480 إلى P00523 (102,875 حبة)</t>
        </is>
      </c>
      <c r="C8" s="12" t="n">
        <v>0</v>
      </c>
      <c r="D8" s="11" t="inlineStr">
        <is>
          <t>ملف مراجعة المسحوبات</t>
        </is>
      </c>
      <c r="E8" s="11" t="inlineStr">
        <is>
          <t>⚠ بدون أسعار – تُدخل يدوياً</t>
        </is>
      </c>
    </row>
    <row r="9">
      <c r="A9" s="9" t="n"/>
      <c r="B9" s="9" t="inlineStr">
        <is>
          <t>الإجمالي</t>
        </is>
      </c>
      <c r="C9" s="10">
        <f>SUM(C5:C8)</f>
        <v/>
      </c>
      <c r="D9" s="9" t="n"/>
      <c r="E9" s="9" t="n"/>
    </row>
    <row r="11">
      <c r="A11" s="7" t="inlineStr">
        <is>
          <t>ثانياً: المسحوبات النقدية (مديونية على أبو مازن)</t>
        </is>
      </c>
    </row>
    <row r="12">
      <c r="A12" s="8" t="inlineStr">
        <is>
          <t>م</t>
        </is>
      </c>
      <c r="B12" s="8" t="inlineStr">
        <is>
          <t>البند</t>
        </is>
      </c>
      <c r="C12" s="8" t="inlineStr">
        <is>
          <t>المبلغ</t>
        </is>
      </c>
      <c r="D12" s="8" t="inlineStr">
        <is>
          <t>المصدر</t>
        </is>
      </c>
      <c r="E12" s="8" t="inlineStr">
        <is>
          <t>ملاحظة</t>
        </is>
      </c>
    </row>
    <row r="13">
      <c r="A13" s="3" t="n">
        <v>1</v>
      </c>
      <c r="B13" s="3" t="inlineStr">
        <is>
          <t>إيداع في حساب أبو مازن من إيرادات المناديب قبل الفترة</t>
        </is>
      </c>
      <c r="C13" s="4" t="n">
        <v>197452</v>
      </c>
      <c r="D13" s="3" t="inlineStr">
        <is>
          <t>بيان صاحب الحساب</t>
        </is>
      </c>
      <c r="E13" s="3" t="inlineStr">
        <is>
          <t>إيرادات 610,688 − مصروفات تشغيل دفعها م/ عادل 413,236 ✓</t>
        </is>
      </c>
    </row>
    <row r="14">
      <c r="A14" s="3" t="n">
        <v>2</v>
      </c>
      <c r="B14" s="3" t="inlineStr">
        <is>
          <t>منصرف 100,000 بتعليمات أبو مازن (9-3-2026)</t>
        </is>
      </c>
      <c r="C14" s="4" t="n">
        <v>100000</v>
      </c>
      <c r="D14" s="3" t="inlineStr">
        <is>
          <t>كشف الخزنة – مصروف 131</t>
        </is>
      </c>
      <c r="E14" s="3" t="n"/>
    </row>
    <row r="15">
      <c r="A15" s="3" t="n">
        <v>3</v>
      </c>
      <c r="B15" s="3" t="inlineStr">
        <is>
          <t>توريد نقدي للإدارة – أبو مازن (21-5-2026)</t>
        </is>
      </c>
      <c r="C15" s="4" t="n">
        <v>13000</v>
      </c>
      <c r="D15" s="3" t="inlineStr">
        <is>
          <t>كشف الخزنة – مصروف 157</t>
        </is>
      </c>
      <c r="E15" s="3" t="n"/>
    </row>
    <row r="16">
      <c r="A16" s="9" t="n"/>
      <c r="B16" s="9" t="inlineStr">
        <is>
          <t>الإجمالي</t>
        </is>
      </c>
      <c r="C16" s="10">
        <f>SUM(C13:C15)</f>
        <v/>
      </c>
      <c r="D16" s="9" t="n"/>
      <c r="E16" s="9" t="n"/>
    </row>
    <row r="18">
      <c r="A18" s="7" t="inlineStr">
        <is>
          <t>ثالثاً: دعم أبو مازن / نسما لمزرعة الرياض (حق له)</t>
        </is>
      </c>
    </row>
    <row r="19">
      <c r="A19" s="8" t="inlineStr">
        <is>
          <t>م</t>
        </is>
      </c>
      <c r="B19" s="8" t="inlineStr">
        <is>
          <t>البند</t>
        </is>
      </c>
      <c r="C19" s="8" t="inlineStr">
        <is>
          <t>المبلغ</t>
        </is>
      </c>
      <c r="D19" s="8" t="inlineStr">
        <is>
          <t>المصدر</t>
        </is>
      </c>
      <c r="E19" s="8" t="inlineStr">
        <is>
          <t>ملاحظة</t>
        </is>
      </c>
    </row>
    <row r="20">
      <c r="A20" s="11" t="n">
        <v>1</v>
      </c>
      <c r="B20" s="11" t="inlineStr">
        <is>
          <t>مصروفات التأسيس كاملة</t>
        </is>
      </c>
      <c r="C20" s="12">
        <f>'مصروفات التأسيس'!E27</f>
        <v/>
      </c>
      <c r="D20" s="11" t="inlineStr">
        <is>
          <t>كشف مصروفات التأسيس</t>
        </is>
      </c>
      <c r="E20" s="11" t="inlineStr">
        <is>
          <t>⚠ البند 23 (دينة عماد 123,000) تاريخه 1-11-2025</t>
        </is>
      </c>
    </row>
    <row r="21">
      <c r="A21" s="3" t="n">
        <v>2</v>
      </c>
      <c r="B21" s="3" t="inlineStr">
        <is>
          <t>ترحيلات من تبوك إلى الرياض TNR</t>
        </is>
      </c>
      <c r="C21" s="4">
        <f>'مواد - الملخص'!J5</f>
        <v/>
      </c>
      <c r="D21" s="3" t="inlineStr">
        <is>
          <t>ملف حركات المواد – بقيم النظام</t>
        </is>
      </c>
      <c r="E21" s="3" t="n"/>
    </row>
    <row r="22">
      <c r="A22" s="3" t="n">
        <v>3</v>
      </c>
      <c r="B22" s="3" t="inlineStr">
        <is>
          <t>مصروفات إدارية 2025</t>
        </is>
      </c>
      <c r="C22" s="4">
        <f>'مصاريف إدارية وديزل تبوك'!D12</f>
        <v/>
      </c>
      <c r="D22" s="3" t="inlineStr">
        <is>
          <t>كشف المصاريف الإدارية</t>
        </is>
      </c>
      <c r="E22" s="3" t="n"/>
    </row>
    <row r="23">
      <c r="A23" s="3" t="n">
        <v>4</v>
      </c>
      <c r="B23" s="3" t="inlineStr">
        <is>
          <t>مصروفات إدارية وحكومية 2026 (تشمل إيجار المزرعة 150,000)</t>
        </is>
      </c>
      <c r="C23" s="4">
        <f>'مصاريف إدارية وديزل تبوك'!D36</f>
        <v/>
      </c>
      <c r="D23" s="3" t="inlineStr">
        <is>
          <t>تقرير العهدة الإدارية</t>
        </is>
      </c>
      <c r="E23" s="3" t="n"/>
    </row>
    <row r="24">
      <c r="A24" s="11" t="n">
        <v>5</v>
      </c>
      <c r="B24" s="11" t="inlineStr">
        <is>
          <t>ديزل مدفوع من نسما</t>
        </is>
      </c>
      <c r="C24" s="12">
        <f>'مصاريف إدارية وديزل تبوك'!F42</f>
        <v/>
      </c>
      <c r="D24" s="11" t="inlineStr">
        <is>
          <t>شيت الديزل</t>
        </is>
      </c>
      <c r="E24" s="11" t="inlineStr">
        <is>
          <t>⚠ قد يتداخل مع ديزل العهد</t>
        </is>
      </c>
    </row>
    <row r="25">
      <c r="A25" s="11" t="n">
        <v>6</v>
      </c>
      <c r="B25" s="11" t="inlineStr">
        <is>
          <t>مشتريات 2025 مدفوعة من نسما (تحويل بنكي)</t>
        </is>
      </c>
      <c r="C25" s="12" t="n">
        <v>226679.26</v>
      </c>
      <c r="D25" s="11" t="inlineStr">
        <is>
          <t>ملف مصروفات 2025</t>
        </is>
      </c>
      <c r="E25" s="11" t="inlineStr">
        <is>
          <t>⚠ الرقم اليدوي بالملف 269,099.26 (فرق 42,420 بدون حركات)</t>
        </is>
      </c>
    </row>
    <row r="26">
      <c r="A26" s="9" t="n"/>
      <c r="B26" s="9" t="inlineStr">
        <is>
          <t>الإجمالي</t>
        </is>
      </c>
      <c r="C26" s="10">
        <f>SUM(C20:C25)</f>
        <v/>
      </c>
      <c r="D26" s="9" t="n"/>
      <c r="E26" s="9" t="n"/>
    </row>
  </sheetData>
  <mergeCells count="4">
    <mergeCell ref="A11:E11"/>
    <mergeCell ref="A1:E1"/>
    <mergeCell ref="A18:E18"/>
    <mergeCell ref="A3:E3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 t="n">
        <v>440000</v>
      </c>
      <c r="I41" s="16" t="inlineStr">
        <is>
          <t>صحيح (ملاحظة)</t>
        </is>
      </c>
      <c r="J41" s="16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 t="n">
        <v>440000</v>
      </c>
      <c r="F7" s="28" t="inlineStr">
        <is>
          <t>صحيح (ملاحظة)</t>
        </is>
      </c>
      <c r="G7" s="28" t="inlineStr">
        <is>
          <t>كشف الحساب</t>
        </is>
      </c>
      <c r="H7" s="28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4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0.6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28" t="inlineStr">
        <is>
          <t>WHK-2364</t>
        </is>
      </c>
      <c r="B18" s="100" t="n">
        <v>45935</v>
      </c>
      <c r="C18" s="28" t="inlineStr">
        <is>
          <t>كشف الحساب</t>
        </is>
      </c>
      <c r="D18" s="28" t="inlineStr">
        <is>
          <t>RN-OD560</t>
        </is>
      </c>
      <c r="E18" s="28" t="inlineStr">
        <is>
          <t>زهور بيتونيا</t>
        </is>
      </c>
      <c r="F18" s="38" t="n">
        <v>392450</v>
      </c>
      <c r="G18" s="28" t="inlineStr">
        <is>
          <t>EA</t>
        </is>
      </c>
      <c r="H18" s="29" t="n">
        <v>0.55</v>
      </c>
      <c r="I18" s="29">
        <f>F18*H18</f>
        <v/>
      </c>
      <c r="J18" s="28" t="inlineStr">
        <is>
          <t>قيد بكشف الحساب بدون فاتورة مبدئية: زهور الجزيرة -392450</t>
        </is>
      </c>
    </row>
    <row r="19">
      <c r="A19" s="28" t="inlineStr">
        <is>
          <t>WHK-2364</t>
        </is>
      </c>
      <c r="B19" s="100" t="n">
        <v>45935</v>
      </c>
      <c r="C19" s="28" t="inlineStr">
        <is>
          <t>كشف الحساب</t>
        </is>
      </c>
      <c r="D19" s="28" t="inlineStr">
        <is>
          <t>RN-OD560</t>
        </is>
      </c>
      <c r="E19" s="28" t="inlineStr">
        <is>
          <t>زهور بيتونيا</t>
        </is>
      </c>
      <c r="F19" s="38" t="n">
        <v>69625</v>
      </c>
      <c r="G19" s="28" t="inlineStr">
        <is>
          <t>EA</t>
        </is>
      </c>
      <c r="H19" s="29" t="n">
        <v>0.55</v>
      </c>
      <c r="I19" s="29">
        <f>F19*H19</f>
        <v/>
      </c>
      <c r="J19" s="28" t="inlineStr">
        <is>
          <t>قيد بكشف الحساب بدون فاتورة مبدئية: زهور تبوك - 69625*.55</t>
        </is>
      </c>
    </row>
    <row r="20">
      <c r="A20" s="28" t="inlineStr">
        <is>
          <t>WHK-2364</t>
        </is>
      </c>
      <c r="B20" s="100" t="n">
        <v>45935</v>
      </c>
      <c r="C20" s="28" t="inlineStr">
        <is>
          <t>—</t>
        </is>
      </c>
      <c r="D20" s="28" t="inlineStr">
        <is>
          <t>RN-OD560</t>
        </is>
      </c>
      <c r="E20" s="28" t="inlineStr">
        <is>
          <t>زهور بيتونيا (رصيد العقد)</t>
        </is>
      </c>
      <c r="F20" s="38" t="n">
        <v>131265.91</v>
      </c>
      <c r="G20" s="28" t="inlineStr">
        <is>
          <t>EA</t>
        </is>
      </c>
      <c r="H20" s="29" t="n">
        <v>0.55</v>
      </c>
      <c r="I20" s="29" t="n">
        <v>72196.25</v>
      </c>
      <c r="J20" s="28" t="inlineStr">
        <is>
          <t>باقي قيمة العقد 440,000 – لا توجد فاتورة ولا قيد بالكشف (الكمية محسوبة على سعر 0.55)</t>
        </is>
      </c>
    </row>
    <row r="21">
      <c r="A21" s="9" t="inlineStr">
        <is>
          <t>إجمالي العقد WHK-2364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SUM(I12:I20)</f>
        <v/>
      </c>
      <c r="J21" s="9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22">
      <c r="A22" s="28" t="inlineStr">
        <is>
          <t>WHK-2411</t>
        </is>
      </c>
      <c r="B22" s="100" t="n">
        <v>45938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4200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WHK-2411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WHK-2425</t>
        </is>
      </c>
      <c r="B24" s="100" t="n">
        <v>45939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11000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WHK-2425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WHK-2434</t>
        </is>
      </c>
      <c r="B26" s="100" t="n">
        <v>45941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70250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WHK-2434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WHK-2465</t>
        </is>
      </c>
      <c r="B28" s="100" t="n">
        <v>45943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1750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WHK-2465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WHK-2480</t>
        </is>
      </c>
      <c r="B30" s="100" t="n">
        <v>45944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412.5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WHK-2480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WHK-2498</t>
        </is>
      </c>
      <c r="B32" s="100" t="n">
        <v>45945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17055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WHK-2498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WHK-2509</t>
        </is>
      </c>
      <c r="B34" s="100" t="n">
        <v>45946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3150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WHK-2509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WHK-2515</t>
        </is>
      </c>
      <c r="B36" s="100" t="n">
        <v>45948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6975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WHK-2515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WHK-2563</t>
        </is>
      </c>
      <c r="B38" s="100" t="n">
        <v>45951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2925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WHK-2563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WHK-2583</t>
        </is>
      </c>
      <c r="B40" s="100" t="n">
        <v>45952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4125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WHK-2583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WHK-2605</t>
        </is>
      </c>
      <c r="B42" s="100" t="n">
        <v>45953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1331.25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WHK-2605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WHK-2626</t>
        </is>
      </c>
      <c r="B44" s="100" t="n">
        <v>45955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2150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WHK-2626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28" t="inlineStr">
        <is>
          <t>WHK-2639</t>
        </is>
      </c>
      <c r="B46" s="100" t="n">
        <v>45956</v>
      </c>
      <c r="C46" s="28" t="inlineStr">
        <is>
          <t>—</t>
        </is>
      </c>
      <c r="D46" s="28" t="inlineStr">
        <is>
          <t>—</t>
        </is>
      </c>
      <c r="E46" s="28" t="inlineStr">
        <is>
          <t>لا توجد بنود تفصيلية</t>
        </is>
      </c>
      <c r="F46" s="38" t="n"/>
      <c r="G46" s="28" t="n"/>
      <c r="H46" s="29" t="n"/>
      <c r="I46" s="29" t="n">
        <v>1125</v>
      </c>
      <c r="J46" s="28" t="inlineStr">
        <is>
          <t>لا توجد فاتورة مبدئية لهذا العقد (القيمة من شيت المحاسب WHK2025)</t>
        </is>
      </c>
    </row>
    <row r="47">
      <c r="A47" s="9" t="inlineStr">
        <is>
          <t>إجمالي العقد WHK-2639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WHK-2656</t>
        </is>
      </c>
      <c r="B48" s="95" t="n">
        <v>45957</v>
      </c>
      <c r="C48" s="16" t="inlineStr">
        <is>
          <t>RN-INV#26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1200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WHK-2656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WHK-2712</t>
        </is>
      </c>
      <c r="B50" s="95" t="n">
        <v>45963</v>
      </c>
      <c r="C50" s="16" t="inlineStr">
        <is>
          <t>RN-INV#31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1500</v>
      </c>
      <c r="G50" s="16" t="inlineStr">
        <is>
          <t>EA</t>
        </is>
      </c>
      <c r="H50" s="17" t="n">
        <v>0.75</v>
      </c>
      <c r="I50" s="17">
        <f>F50*H50</f>
        <v/>
      </c>
      <c r="J50" s="16" t="n"/>
    </row>
    <row r="51">
      <c r="A51" s="9" t="inlineStr">
        <is>
          <t>إجمالي العقد WHK-2712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WHK-2776</t>
        </is>
      </c>
      <c r="B52" s="95" t="n">
        <v>45966</v>
      </c>
      <c r="C52" s="16" t="inlineStr">
        <is>
          <t>RN-INV#35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1075</v>
      </c>
      <c r="G52" s="16" t="inlineStr">
        <is>
          <t>EA</t>
        </is>
      </c>
      <c r="H52" s="17" t="n">
        <v>0.7</v>
      </c>
      <c r="I52" s="17">
        <f>F52*H52</f>
        <v/>
      </c>
      <c r="J52" s="16" t="n"/>
    </row>
    <row r="53">
      <c r="A53" s="9" t="inlineStr">
        <is>
          <t>إجمالي العقد WHK-2776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WHK-2787</t>
        </is>
      </c>
      <c r="B54" s="95" t="n">
        <v>45967</v>
      </c>
      <c r="C54" s="16" t="inlineStr">
        <is>
          <t>RN-INV#37</t>
        </is>
      </c>
      <c r="D54" s="16" t="inlineStr">
        <is>
          <t>RN-OD560</t>
        </is>
      </c>
      <c r="E54" s="16" t="inlineStr">
        <is>
          <t>زهور بيتونيا</t>
        </is>
      </c>
      <c r="F54" s="41" t="n">
        <v>450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9" t="inlineStr">
        <is>
          <t>إجمالي العقد WHK-2787</t>
        </is>
      </c>
      <c r="B55" s="101" t="n"/>
      <c r="C55" s="9" t="n"/>
      <c r="D55" s="9" t="n"/>
      <c r="E55" s="9" t="n"/>
      <c r="F55" s="40" t="n"/>
      <c r="G55" s="9" t="n"/>
      <c r="H55" s="10" t="n"/>
      <c r="I55" s="10">
        <f>SUM(I54:I54)</f>
        <v/>
      </c>
      <c r="J55" s="9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RN-OD637</t>
        </is>
      </c>
      <c r="E56" s="16" t="inlineStr">
        <is>
          <t>زهور سالفيا مركن9 سم</t>
        </is>
      </c>
      <c r="F56" s="41" t="n">
        <v>2725</v>
      </c>
      <c r="G56" s="16" t="inlineStr">
        <is>
          <t>EA</t>
        </is>
      </c>
      <c r="H56" s="17" t="n">
        <v>0.75</v>
      </c>
      <c r="I56" s="17">
        <f>F56*H56</f>
        <v/>
      </c>
      <c r="J56" s="16" t="n"/>
    </row>
    <row r="57">
      <c r="A57" s="16" t="inlineStr">
        <is>
          <t>WHK-2804</t>
        </is>
      </c>
      <c r="B57" s="95" t="n">
        <v>45969</v>
      </c>
      <c r="C57" s="16" t="inlineStr">
        <is>
          <t>RN-INV#39</t>
        </is>
      </c>
      <c r="D57" s="16" t="inlineStr">
        <is>
          <t>RN-OD560</t>
        </is>
      </c>
      <c r="E57" s="16" t="inlineStr">
        <is>
          <t>زهور بيتونيا</t>
        </is>
      </c>
      <c r="F57" s="41" t="n">
        <v>825</v>
      </c>
      <c r="G57" s="16" t="inlineStr">
        <is>
          <t>EA</t>
        </is>
      </c>
      <c r="H57" s="17" t="n">
        <v>0.75</v>
      </c>
      <c r="I57" s="17">
        <f>F57*H57</f>
        <v/>
      </c>
      <c r="J57" s="16" t="n"/>
    </row>
    <row r="58">
      <c r="A58" s="16" t="inlineStr">
        <is>
          <t>WHK-2804</t>
        </is>
      </c>
      <c r="B58" s="95" t="n">
        <v>45969</v>
      </c>
      <c r="C58" s="16" t="inlineStr">
        <is>
          <t>RN-INV#39</t>
        </is>
      </c>
      <c r="D58" s="16" t="inlineStr">
        <is>
          <t>RN-OD604</t>
        </is>
      </c>
      <c r="E58" s="16" t="inlineStr">
        <is>
          <t>زهور اقحوان افريقى مركن12 سم</t>
        </is>
      </c>
      <c r="F58" s="41" t="n">
        <v>3750</v>
      </c>
      <c r="G58" s="16" t="inlineStr">
        <is>
          <t>EA</t>
        </is>
      </c>
      <c r="H58" s="17" t="n">
        <v>3.25</v>
      </c>
      <c r="I58" s="17">
        <f>F58*H58</f>
        <v/>
      </c>
      <c r="J58" s="16" t="n"/>
    </row>
    <row r="59">
      <c r="A59" s="9" t="inlineStr">
        <is>
          <t>إجمالي العقد WHK-2804</t>
        </is>
      </c>
      <c r="B59" s="101" t="n"/>
      <c r="C59" s="9" t="n"/>
      <c r="D59" s="9" t="n"/>
      <c r="E59" s="9" t="n"/>
      <c r="F59" s="40" t="n"/>
      <c r="G59" s="9" t="n"/>
      <c r="H59" s="10" t="n"/>
      <c r="I59" s="10">
        <f>SUM(I56:I58)</f>
        <v/>
      </c>
      <c r="J59" s="9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RN-OD560</t>
        </is>
      </c>
      <c r="E60" s="16" t="inlineStr">
        <is>
          <t>زهور بيتونيا</t>
        </is>
      </c>
      <c r="F60" s="41" t="n">
        <v>3250</v>
      </c>
      <c r="G60" s="16" t="inlineStr">
        <is>
          <t>EA</t>
        </is>
      </c>
      <c r="H60" s="17" t="n">
        <v>0.75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RN-OD603</t>
        </is>
      </c>
      <c r="E61" s="16" t="inlineStr">
        <is>
          <t>زهور جرانيوم مركن9 سم</t>
        </is>
      </c>
      <c r="F61" s="41" t="n">
        <v>900</v>
      </c>
      <c r="G61" s="16" t="inlineStr">
        <is>
          <t>EA</t>
        </is>
      </c>
      <c r="H61" s="17" t="n">
        <v>1.4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RN-OD620</t>
        </is>
      </c>
      <c r="E62" s="16" t="inlineStr">
        <is>
          <t>زهور جيرانيوم مركن12 سم</t>
        </is>
      </c>
      <c r="F62" s="41" t="n">
        <v>500</v>
      </c>
      <c r="G62" s="16" t="inlineStr">
        <is>
          <t>EA</t>
        </is>
      </c>
      <c r="H62" s="17" t="n">
        <v>3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RN-OD693</t>
        </is>
      </c>
      <c r="E63" s="16" t="inlineStr">
        <is>
          <t>زهور جيرانيوم هولندى مركن12 سم</t>
        </is>
      </c>
      <c r="F63" s="41" t="n">
        <v>500</v>
      </c>
      <c r="G63" s="16" t="inlineStr">
        <is>
          <t>EA</t>
        </is>
      </c>
      <c r="H63" s="17" t="n">
        <v>3.75</v>
      </c>
      <c r="I63" s="17">
        <f>F63*H63</f>
        <v/>
      </c>
      <c r="J63" s="16" t="n"/>
    </row>
    <row r="64">
      <c r="A64" s="16" t="inlineStr">
        <is>
          <t>WHK-2835</t>
        </is>
      </c>
      <c r="B64" s="95" t="n">
        <v>45971</v>
      </c>
      <c r="C64" s="16" t="inlineStr">
        <is>
          <t>RN-INV#43</t>
        </is>
      </c>
      <c r="D64" s="16" t="inlineStr">
        <is>
          <t>RN-OD638</t>
        </is>
      </c>
      <c r="E64" s="16" t="inlineStr">
        <is>
          <t>زهور هيبوستس مركن9 سم</t>
        </is>
      </c>
      <c r="F64" s="41" t="n">
        <v>500</v>
      </c>
      <c r="G64" s="16" t="inlineStr">
        <is>
          <t>EA</t>
        </is>
      </c>
      <c r="H64" s="17" t="n">
        <v>0.7</v>
      </c>
      <c r="I64" s="17">
        <f>F64*H64</f>
        <v/>
      </c>
      <c r="J64" s="16" t="n"/>
    </row>
    <row r="65">
      <c r="A65" s="16" t="inlineStr">
        <is>
          <t>WHK-2835</t>
        </is>
      </c>
      <c r="B65" s="95" t="n">
        <v>45971</v>
      </c>
      <c r="C65" s="16" t="inlineStr">
        <is>
          <t>RN-INV#43</t>
        </is>
      </c>
      <c r="D65" s="16" t="inlineStr">
        <is>
          <t>RN-OD604</t>
        </is>
      </c>
      <c r="E65" s="16" t="inlineStr">
        <is>
          <t>زهور اقحوان افريقى مركن12 سم</t>
        </is>
      </c>
      <c r="F65" s="41" t="n">
        <v>500</v>
      </c>
      <c r="G65" s="16" t="inlineStr">
        <is>
          <t>EA</t>
        </is>
      </c>
      <c r="H65" s="17" t="n">
        <v>3.25</v>
      </c>
      <c r="I65" s="17">
        <f>F65*H65</f>
        <v/>
      </c>
      <c r="J65" s="16" t="n"/>
    </row>
    <row r="66">
      <c r="A66" s="9" t="inlineStr">
        <is>
          <t>إجمالي العقد WHK-2835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SUM(I60:I65)</f>
        <v/>
      </c>
      <c r="J66" s="9" t="n"/>
    </row>
    <row r="67">
      <c r="A67" s="16" t="inlineStr">
        <is>
          <t>WHK-2853</t>
        </is>
      </c>
      <c r="B67" s="95" t="n">
        <v>45972</v>
      </c>
      <c r="C67" s="16" t="inlineStr">
        <is>
          <t>RN-INV#46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10000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WHK-2853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WHK-2868</t>
        </is>
      </c>
      <c r="B69" s="95" t="n">
        <v>45973</v>
      </c>
      <c r="C69" s="16" t="inlineStr">
        <is>
          <t>RN-INV#47</t>
        </is>
      </c>
      <c r="D69" s="16" t="inlineStr">
        <is>
          <t>RN-OD560</t>
        </is>
      </c>
      <c r="E69" s="16" t="inlineStr">
        <is>
          <t>زهور بيتونيا</t>
        </is>
      </c>
      <c r="F69" s="41" t="n">
        <v>2000</v>
      </c>
      <c r="G69" s="16" t="inlineStr">
        <is>
          <t>EA</t>
        </is>
      </c>
      <c r="H69" s="17" t="n">
        <v>0.75</v>
      </c>
      <c r="I69" s="17">
        <f>F69*H69</f>
        <v/>
      </c>
      <c r="J69" s="16" t="n"/>
    </row>
    <row r="70">
      <c r="A70" s="9" t="inlineStr">
        <is>
          <t>إجمالي العقد WHK-2868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WHK-2881</t>
        </is>
      </c>
      <c r="B71" s="95" t="n">
        <v>45974</v>
      </c>
      <c r="C71" s="16" t="inlineStr">
        <is>
          <t>RN-INV#49</t>
        </is>
      </c>
      <c r="D71" s="16" t="inlineStr">
        <is>
          <t>RN-OD693</t>
        </is>
      </c>
      <c r="E71" s="16" t="inlineStr">
        <is>
          <t>زهور جيرانيوم هولندى مركن12 سم</t>
        </is>
      </c>
      <c r="F71" s="41" t="n">
        <v>510</v>
      </c>
      <c r="G71" s="16" t="inlineStr">
        <is>
          <t>EA</t>
        </is>
      </c>
      <c r="H71" s="17" t="n">
        <v>3.45</v>
      </c>
      <c r="I71" s="17">
        <f>F71*H71</f>
        <v/>
      </c>
      <c r="J71" s="16" t="n"/>
    </row>
    <row r="72">
      <c r="A72" s="9" t="inlineStr">
        <is>
          <t>إجمالي العقد WHK-2881</t>
        </is>
      </c>
      <c r="B72" s="101" t="n"/>
      <c r="C72" s="9" t="n"/>
      <c r="D72" s="9" t="n"/>
      <c r="E72" s="9" t="n"/>
      <c r="F72" s="40" t="n"/>
      <c r="G72" s="9" t="n"/>
      <c r="H72" s="10" t="n"/>
      <c r="I72" s="10">
        <f>SUM(I71:I71)</f>
        <v/>
      </c>
      <c r="J72" s="9" t="n"/>
    </row>
    <row r="73">
      <c r="A73" s="16" t="inlineStr">
        <is>
          <t>WHK-2912</t>
        </is>
      </c>
      <c r="B73" s="95" t="n">
        <v>45978</v>
      </c>
      <c r="C73" s="16" t="inlineStr">
        <is>
          <t>RN-INV#52</t>
        </is>
      </c>
      <c r="D73" s="16" t="inlineStr">
        <is>
          <t>RN-OD560</t>
        </is>
      </c>
      <c r="E73" s="16" t="inlineStr">
        <is>
          <t>زهور بيتونيا</t>
        </is>
      </c>
      <c r="F73" s="41" t="n">
        <v>2600</v>
      </c>
      <c r="G73" s="16" t="inlineStr">
        <is>
          <t>EA</t>
        </is>
      </c>
      <c r="H73" s="17" t="n">
        <v>0.75</v>
      </c>
      <c r="I73" s="17">
        <f>F73*H73</f>
        <v/>
      </c>
      <c r="J73" s="16" t="n"/>
    </row>
    <row r="74">
      <c r="A74" s="16" t="inlineStr">
        <is>
          <t>WHK-2912</t>
        </is>
      </c>
      <c r="B74" s="95" t="n">
        <v>45978</v>
      </c>
      <c r="C74" s="16" t="inlineStr">
        <is>
          <t>RN-INV#52</t>
        </is>
      </c>
      <c r="D74" s="16" t="inlineStr">
        <is>
          <t>RN-OD603</t>
        </is>
      </c>
      <c r="E74" s="16" t="inlineStr">
        <is>
          <t>زهور جرانيوم مركن9 سم</t>
        </is>
      </c>
      <c r="F74" s="41" t="n">
        <v>500</v>
      </c>
      <c r="G74" s="16" t="inlineStr">
        <is>
          <t>EA</t>
        </is>
      </c>
      <c r="H74" s="17" t="n">
        <v>1.4</v>
      </c>
      <c r="I74" s="17">
        <f>F74*H74</f>
        <v/>
      </c>
      <c r="J74" s="16" t="n"/>
    </row>
    <row r="75">
      <c r="A75" s="9" t="inlineStr">
        <is>
          <t>إجمالي العقد WHK-2912</t>
        </is>
      </c>
      <c r="B75" s="101" t="n"/>
      <c r="C75" s="9" t="n"/>
      <c r="D75" s="9" t="n"/>
      <c r="E75" s="9" t="n"/>
      <c r="F75" s="40" t="n"/>
      <c r="G75" s="9" t="n"/>
      <c r="H75" s="10" t="n"/>
      <c r="I75" s="10">
        <f>SUM(I73:I74)</f>
        <v/>
      </c>
      <c r="J75" s="9" t="n"/>
    </row>
    <row r="76">
      <c r="A76" s="16" t="inlineStr">
        <is>
          <t>WHK-2948</t>
        </is>
      </c>
      <c r="B76" s="95" t="n">
        <v>45981</v>
      </c>
      <c r="C76" s="16" t="inlineStr">
        <is>
          <t>RN-INV#55</t>
        </is>
      </c>
      <c r="D76" s="16" t="inlineStr">
        <is>
          <t>RN-OD560</t>
        </is>
      </c>
      <c r="E76" s="16" t="inlineStr">
        <is>
          <t>زهور بيتونيا</t>
        </is>
      </c>
      <c r="F76" s="41" t="n">
        <v>1300</v>
      </c>
      <c r="G76" s="16" t="inlineStr">
        <is>
          <t>EA</t>
        </is>
      </c>
      <c r="H76" s="17" t="n">
        <v>0.75</v>
      </c>
      <c r="I76" s="17">
        <f>F76*H76</f>
        <v/>
      </c>
      <c r="J76" s="16" t="n"/>
    </row>
    <row r="77">
      <c r="A77" s="16" t="inlineStr">
        <is>
          <t>WHK-2948</t>
        </is>
      </c>
      <c r="B77" s="95" t="n">
        <v>45981</v>
      </c>
      <c r="C77" s="16" t="inlineStr">
        <is>
          <t>RN-INV#55</t>
        </is>
      </c>
      <c r="D77" s="16" t="inlineStr">
        <is>
          <t>RN-OD603</t>
        </is>
      </c>
      <c r="E77" s="16" t="inlineStr">
        <is>
          <t>زهور جرانيوم مركن9 سم</t>
        </is>
      </c>
      <c r="F77" s="41" t="n">
        <v>400</v>
      </c>
      <c r="G77" s="16" t="inlineStr">
        <is>
          <t>EA</t>
        </is>
      </c>
      <c r="H77" s="17" t="n">
        <v>1.4</v>
      </c>
      <c r="I77" s="17">
        <f>F77*H77</f>
        <v/>
      </c>
      <c r="J77" s="16" t="n"/>
    </row>
    <row r="78">
      <c r="A78" s="9" t="inlineStr">
        <is>
          <t>إجمالي العقد WHK-2948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SUM(I76:I77)</f>
        <v/>
      </c>
      <c r="J78" s="9" t="n"/>
    </row>
    <row r="79">
      <c r="A79" s="16" t="inlineStr">
        <is>
          <t>WHK-2971</t>
        </is>
      </c>
      <c r="B79" s="95" t="n">
        <v>45984</v>
      </c>
      <c r="C79" s="16" t="inlineStr">
        <is>
          <t>RN-INV#61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8700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WHK-2971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WHK-2995</t>
        </is>
      </c>
      <c r="B81" s="95" t="n">
        <v>45985</v>
      </c>
      <c r="C81" s="16" t="inlineStr">
        <is>
          <t>RN-INV#64</t>
        </is>
      </c>
      <c r="D81" s="16" t="inlineStr">
        <is>
          <t>RN-OD560</t>
        </is>
      </c>
      <c r="E81" s="16" t="inlineStr">
        <is>
          <t>زهور بيتونيا</t>
        </is>
      </c>
      <c r="F81" s="41" t="n">
        <v>6000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WHK-2995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WHK-3029</t>
        </is>
      </c>
      <c r="B83" s="95" t="n">
        <v>45988</v>
      </c>
      <c r="C83" s="16" t="inlineStr">
        <is>
          <t>RN-INV#68</t>
        </is>
      </c>
      <c r="D83" s="16" t="inlineStr">
        <is>
          <t>RN-OD561</t>
        </is>
      </c>
      <c r="E83" s="16" t="inlineStr">
        <is>
          <t>زهور مارى جولد</t>
        </is>
      </c>
      <c r="F83" s="41" t="n">
        <v>225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WHK-3029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WHK-3135</t>
        </is>
      </c>
      <c r="B85" s="95" t="n">
        <v>45996</v>
      </c>
      <c r="C85" s="16" t="inlineStr">
        <is>
          <t>RN-INV#78</t>
        </is>
      </c>
      <c r="D85" s="16" t="inlineStr">
        <is>
          <t>RN-OD560</t>
        </is>
      </c>
      <c r="E85" s="16" t="inlineStr">
        <is>
          <t>زهور بيتونيا</t>
        </is>
      </c>
      <c r="F85" s="41" t="n">
        <v>2400</v>
      </c>
      <c r="G85" s="16" t="inlineStr">
        <is>
          <t>EA</t>
        </is>
      </c>
      <c r="H85" s="17" t="n">
        <v>0.7</v>
      </c>
      <c r="I85" s="17">
        <f>F85*H85</f>
        <v/>
      </c>
      <c r="J85" s="16" t="n"/>
    </row>
    <row r="86">
      <c r="A86" s="9" t="inlineStr">
        <is>
          <t>إجمالي العقد WHK-3135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WHK-3243</t>
        </is>
      </c>
      <c r="B87" s="95" t="n">
        <v>46006</v>
      </c>
      <c r="C87" s="16" t="inlineStr">
        <is>
          <t>RN-INV#89</t>
        </is>
      </c>
      <c r="D87" s="16" t="inlineStr">
        <is>
          <t>RN-OD603</t>
        </is>
      </c>
      <c r="E87" s="16" t="inlineStr">
        <is>
          <t>زهور جرانيوم مركن9 سم</t>
        </is>
      </c>
      <c r="F87" s="41" t="n">
        <v>1500</v>
      </c>
      <c r="G87" s="16" t="inlineStr">
        <is>
          <t>EA</t>
        </is>
      </c>
      <c r="H87" s="17" t="n">
        <v>1.25</v>
      </c>
      <c r="I87" s="17">
        <f>F87*H87</f>
        <v/>
      </c>
      <c r="J87" s="16" t="n"/>
    </row>
    <row r="88">
      <c r="A88" s="9" t="inlineStr">
        <is>
          <t>إجمالي العقد WHK-3243</t>
        </is>
      </c>
      <c r="B88" s="101" t="n"/>
      <c r="C88" s="9" t="n"/>
      <c r="D88" s="9" t="n"/>
      <c r="E88" s="9" t="n"/>
      <c r="F88" s="40" t="n"/>
      <c r="G88" s="9" t="n"/>
      <c r="H88" s="10" t="n"/>
      <c r="I88" s="10">
        <f>SUM(I87:I87)</f>
        <v/>
      </c>
      <c r="J88" s="9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RN-HP-S-WT</t>
        </is>
      </c>
      <c r="E89" s="16" t="inlineStr">
        <is>
          <t>حجر ديكوري أبيض لامع 1:3 سم (10 كجم)</t>
        </is>
      </c>
      <c r="F89" s="41" t="n">
        <v>5</v>
      </c>
      <c r="G89" s="16" t="inlineStr">
        <is>
          <t>EA</t>
        </is>
      </c>
      <c r="H89" s="17" t="n">
        <v>25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RN-HP-S-RD</t>
        </is>
      </c>
      <c r="E90" s="16" t="inlineStr">
        <is>
          <t>حجر ديكوري أحمر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RN-NP-B-WT</t>
        </is>
      </c>
      <c r="E91" s="16" t="inlineStr">
        <is>
          <t>حجر ديكوري أبيض مطفي 3:5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16" t="inlineStr">
        <is>
          <t>WHK-3400</t>
        </is>
      </c>
      <c r="B92" s="95" t="n">
        <v>46021</v>
      </c>
      <c r="C92" s="16" t="inlineStr">
        <is>
          <t>RN-INV#103</t>
        </is>
      </c>
      <c r="D92" s="16" t="inlineStr">
        <is>
          <t>RN-HP-S-BK</t>
        </is>
      </c>
      <c r="E92" s="16" t="inlineStr">
        <is>
          <t>حجر ديكوري أسود لامع 1:3 سم (10 كجم)</t>
        </is>
      </c>
      <c r="F92" s="41" t="n">
        <v>5</v>
      </c>
      <c r="G92" s="16" t="inlineStr">
        <is>
          <t>EA</t>
        </is>
      </c>
      <c r="H92" s="17" t="n">
        <v>25</v>
      </c>
      <c r="I92" s="17">
        <f>F92*H92</f>
        <v/>
      </c>
      <c r="J92" s="16" t="n"/>
    </row>
    <row r="93">
      <c r="A93" s="16" t="inlineStr">
        <is>
          <t>WHK-3400</t>
        </is>
      </c>
      <c r="B93" s="95" t="n">
        <v>46021</v>
      </c>
      <c r="C93" s="16" t="inlineStr">
        <is>
          <t>RN-INV#103</t>
        </is>
      </c>
      <c r="D93" s="16" t="inlineStr">
        <is>
          <t>RN-NP-S-YW</t>
        </is>
      </c>
      <c r="E93" s="16" t="inlineStr">
        <is>
          <t>حجر ديكوري أصفر مطفي 1:3 سم (10 كجم)</t>
        </is>
      </c>
      <c r="F93" s="41" t="n">
        <v>5</v>
      </c>
      <c r="G93" s="16" t="inlineStr">
        <is>
          <t>EA</t>
        </is>
      </c>
      <c r="H93" s="17" t="n">
        <v>13</v>
      </c>
      <c r="I93" s="17">
        <f>F93*H93</f>
        <v/>
      </c>
      <c r="J93" s="16" t="n"/>
    </row>
    <row r="94">
      <c r="A94" s="9" t="inlineStr">
        <is>
          <t>إجمالي العقد WHK-3400</t>
        </is>
      </c>
      <c r="B94" s="101" t="n"/>
      <c r="C94" s="9" t="n"/>
      <c r="D94" s="9" t="n"/>
      <c r="E94" s="9" t="n"/>
      <c r="F94" s="40" t="n"/>
      <c r="G94" s="9" t="n"/>
      <c r="H94" s="10" t="n"/>
      <c r="I94" s="10">
        <f>SUM(I89:I93)</f>
        <v/>
      </c>
      <c r="J94" s="9" t="inlineStr">
        <is>
          <t>فاتورة مبدئية 103 ومسجلة بكشف الحساب – سقطت من شيت المحاسب</t>
        </is>
      </c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RN-OD560</t>
        </is>
      </c>
      <c r="E95" s="16" t="inlineStr">
        <is>
          <t>زهور بيتونيا</t>
        </is>
      </c>
      <c r="F95" s="41" t="n">
        <v>35600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16" t="inlineStr">
        <is>
          <t>WHK-3758</t>
        </is>
      </c>
      <c r="B96" s="95" t="n">
        <v>46058</v>
      </c>
      <c r="C96" s="16" t="inlineStr">
        <is>
          <t>RN-INV#140</t>
        </is>
      </c>
      <c r="D96" s="16" t="inlineStr">
        <is>
          <t>RN-OD637</t>
        </is>
      </c>
      <c r="E96" s="16" t="inlineStr">
        <is>
          <t>زهور سالفيا مركن9 سم</t>
        </is>
      </c>
      <c r="F96" s="41" t="n">
        <v>3000</v>
      </c>
      <c r="G96" s="16" t="inlineStr">
        <is>
          <t>EA</t>
        </is>
      </c>
      <c r="H96" s="17" t="n">
        <v>0.5</v>
      </c>
      <c r="I96" s="17">
        <f>F96*H96</f>
        <v/>
      </c>
      <c r="J96" s="16" t="n"/>
    </row>
    <row r="97">
      <c r="A97" s="16" t="inlineStr">
        <is>
          <t>WHK-3758</t>
        </is>
      </c>
      <c r="B97" s="95" t="n">
        <v>46058</v>
      </c>
      <c r="C97" s="16" t="inlineStr">
        <is>
          <t>RN-INV#140</t>
        </is>
      </c>
      <c r="D97" s="16" t="inlineStr">
        <is>
          <t>RN-OD641</t>
        </is>
      </c>
      <c r="E97" s="16" t="inlineStr">
        <is>
          <t>زهور قرنفل صيني مركن9 سم</t>
        </is>
      </c>
      <c r="F97" s="41" t="n">
        <v>2000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9" t="inlineStr">
        <is>
          <t>إجمالي العقد WHK-3758</t>
        </is>
      </c>
      <c r="B98" s="101" t="n"/>
      <c r="C98" s="9" t="n"/>
      <c r="D98" s="9" t="n"/>
      <c r="E98" s="9" t="n"/>
      <c r="F98" s="40" t="n"/>
      <c r="G98" s="9" t="n"/>
      <c r="H98" s="10" t="n"/>
      <c r="I98" s="10">
        <f>SUM(I95:I97)</f>
        <v/>
      </c>
      <c r="J98" s="9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RN-OD560</t>
        </is>
      </c>
      <c r="E99" s="16" t="inlineStr">
        <is>
          <t>زهور بيتونيا</t>
        </is>
      </c>
      <c r="F99" s="41" t="n">
        <v>55450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RN-OD637</t>
        </is>
      </c>
      <c r="E100" s="16" t="inlineStr">
        <is>
          <t>زهور سالفيا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RN-OD642</t>
        </is>
      </c>
      <c r="E101" s="16" t="inlineStr">
        <is>
          <t>زهور اليسوم مركن9 سم</t>
        </is>
      </c>
      <c r="F101" s="41" t="n">
        <v>200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RN-OD641</t>
        </is>
      </c>
      <c r="E102" s="16" t="inlineStr">
        <is>
          <t>زهور قرنفل صيني مركن9 سم</t>
        </is>
      </c>
      <c r="F102" s="41" t="n">
        <v>300</v>
      </c>
      <c r="G102" s="16" t="inlineStr">
        <is>
          <t>EA</t>
        </is>
      </c>
      <c r="H102" s="17" t="n">
        <v>0.5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RN-OD634</t>
        </is>
      </c>
      <c r="E103" s="16" t="inlineStr">
        <is>
          <t>زهور ملفوف براسيكا مركن9 سم</t>
        </is>
      </c>
      <c r="F103" s="41" t="n">
        <v>50</v>
      </c>
      <c r="G103" s="16" t="inlineStr">
        <is>
          <t>EA</t>
        </is>
      </c>
      <c r="H103" s="17" t="n">
        <v>0.5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RN-OD643</t>
        </is>
      </c>
      <c r="E104" s="16" t="inlineStr">
        <is>
          <t>زهور سينيراريا مركن12 سم</t>
        </is>
      </c>
      <c r="F104" s="41" t="n">
        <v>300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16" t="inlineStr">
        <is>
          <t>WHK-3760</t>
        </is>
      </c>
      <c r="B105" s="95" t="n">
        <v>46058</v>
      </c>
      <c r="C105" s="16" t="inlineStr">
        <is>
          <t>RN-INV#141</t>
        </is>
      </c>
      <c r="D105" s="16" t="inlineStr">
        <is>
          <t>RN-OD696</t>
        </is>
      </c>
      <c r="E105" s="16" t="inlineStr">
        <is>
          <t>زهور اقحوان افريقي مركن9 سم</t>
        </is>
      </c>
      <c r="F105" s="41" t="n">
        <v>100</v>
      </c>
      <c r="G105" s="16" t="inlineStr">
        <is>
          <t>EA</t>
        </is>
      </c>
      <c r="H105" s="17" t="n">
        <v>2</v>
      </c>
      <c r="I105" s="17">
        <f>F105*H105</f>
        <v/>
      </c>
      <c r="J105" s="16" t="n"/>
    </row>
    <row r="106">
      <c r="A106" s="16" t="inlineStr">
        <is>
          <t>WHK-3760</t>
        </is>
      </c>
      <c r="B106" s="95" t="n">
        <v>46058</v>
      </c>
      <c r="C106" s="16" t="inlineStr">
        <is>
          <t>RN-INV#141</t>
        </is>
      </c>
      <c r="D106" s="16" t="inlineStr">
        <is>
          <t>RN-OD694</t>
        </is>
      </c>
      <c r="E106" s="16" t="inlineStr">
        <is>
          <t>كالنشو هولندى مركن12 سم</t>
        </is>
      </c>
      <c r="F106" s="41" t="n">
        <v>200</v>
      </c>
      <c r="G106" s="16" t="inlineStr">
        <is>
          <t>EA</t>
        </is>
      </c>
      <c r="H106" s="17" t="n">
        <v>5</v>
      </c>
      <c r="I106" s="17">
        <f>F106*H106</f>
        <v/>
      </c>
      <c r="J106" s="16" t="n"/>
    </row>
    <row r="107">
      <c r="A107" s="9" t="inlineStr">
        <is>
          <t>إجمالي العقد WHK-3760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SUM(I99:I106)</f>
        <v/>
      </c>
      <c r="J107" s="9" t="n"/>
    </row>
    <row r="108">
      <c r="A108" s="16" t="inlineStr">
        <is>
          <t>WHK-3809</t>
        </is>
      </c>
      <c r="B108" s="95" t="n">
        <v>46064</v>
      </c>
      <c r="C108" s="16" t="inlineStr">
        <is>
          <t>RN-INV#149</t>
        </is>
      </c>
      <c r="D108" s="16" t="inlineStr">
        <is>
          <t>RN-OD603</t>
        </is>
      </c>
      <c r="E108" s="16" t="inlineStr">
        <is>
          <t>زهور جرانيوم مركن9 سم</t>
        </is>
      </c>
      <c r="F108" s="41" t="n">
        <v>2500</v>
      </c>
      <c r="G108" s="16" t="inlineStr">
        <is>
          <t>EA</t>
        </is>
      </c>
      <c r="H108" s="17" t="n">
        <v>1.25</v>
      </c>
      <c r="I108" s="17">
        <f>F108*H108</f>
        <v/>
      </c>
      <c r="J108" s="16" t="n"/>
    </row>
    <row r="109">
      <c r="A109" s="9" t="inlineStr">
        <is>
          <t>إجمالي العقد WHK-3809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WHK-3878</t>
        </is>
      </c>
      <c r="B110" s="95" t="n">
        <v>46072</v>
      </c>
      <c r="C110" s="16" t="inlineStr">
        <is>
          <t>RN-INV#160</t>
        </is>
      </c>
      <c r="D110" s="16" t="inlineStr">
        <is>
          <t>RN-OD560</t>
        </is>
      </c>
      <c r="E110" s="16" t="inlineStr">
        <is>
          <t>زهور بيتونيا</t>
        </is>
      </c>
      <c r="F110" s="41" t="n">
        <v>4025</v>
      </c>
      <c r="G110" s="16" t="inlineStr">
        <is>
          <t>EA</t>
        </is>
      </c>
      <c r="H110" s="17" t="n">
        <v>0.5</v>
      </c>
      <c r="I110" s="17">
        <f>F110*H110</f>
        <v/>
      </c>
      <c r="J110" s="16" t="n"/>
    </row>
    <row r="111">
      <c r="A111" s="9" t="inlineStr">
        <is>
          <t>إجمالي العقد WHK-3878</t>
        </is>
      </c>
      <c r="B111" s="101" t="n"/>
      <c r="C111" s="9" t="n"/>
      <c r="D111" s="9" t="n"/>
      <c r="E111" s="9" t="n"/>
      <c r="F111" s="40" t="n"/>
      <c r="G111" s="9" t="n"/>
      <c r="H111" s="10" t="n"/>
      <c r="I111" s="10">
        <f>SUM(I110:I110)</f>
        <v/>
      </c>
      <c r="J111" s="9" t="n"/>
    </row>
    <row r="112">
      <c r="A112" s="16" t="inlineStr">
        <is>
          <t>WHK-3923</t>
        </is>
      </c>
      <c r="B112" s="95" t="n">
        <v>46084</v>
      </c>
      <c r="C112" s="16" t="inlineStr">
        <is>
          <t>RN-INV#166</t>
        </is>
      </c>
      <c r="D112" s="16" t="inlineStr">
        <is>
          <t>RN-OD696</t>
        </is>
      </c>
      <c r="E112" s="16" t="inlineStr">
        <is>
          <t>زهور اقحوان افريقي مركن9 سم</t>
        </is>
      </c>
      <c r="F112" s="41" t="n">
        <v>2075</v>
      </c>
      <c r="G112" s="16" t="inlineStr">
        <is>
          <t>EA</t>
        </is>
      </c>
      <c r="H112" s="17" t="n">
        <v>1.5</v>
      </c>
      <c r="I112" s="17">
        <f>F112*H112</f>
        <v/>
      </c>
      <c r="J112" s="16" t="n"/>
    </row>
    <row r="113">
      <c r="A113" s="16" t="inlineStr">
        <is>
          <t>WHK-3923</t>
        </is>
      </c>
      <c r="B113" s="95" t="n">
        <v>46084</v>
      </c>
      <c r="C113" s="16" t="inlineStr">
        <is>
          <t>RN-INV#166</t>
        </is>
      </c>
      <c r="D113" s="16" t="inlineStr">
        <is>
          <t>RN-OD603</t>
        </is>
      </c>
      <c r="E113" s="16" t="inlineStr">
        <is>
          <t>زهور جرانيوم مركن9 سم</t>
        </is>
      </c>
      <c r="F113" s="41" t="n">
        <v>3000</v>
      </c>
      <c r="G113" s="16" t="inlineStr">
        <is>
          <t>EA</t>
        </is>
      </c>
      <c r="H113" s="17" t="n">
        <v>1.25</v>
      </c>
      <c r="I113" s="17">
        <f>F113*H113</f>
        <v/>
      </c>
      <c r="J113" s="16" t="n"/>
    </row>
    <row r="114">
      <c r="A114" s="9" t="inlineStr">
        <is>
          <t>إجمالي العقد WHK-3923</t>
        </is>
      </c>
      <c r="B114" s="101" t="n"/>
      <c r="C114" s="9" t="n"/>
      <c r="D114" s="9" t="n"/>
      <c r="E114" s="9" t="n"/>
      <c r="F114" s="40" t="n"/>
      <c r="G114" s="9" t="n"/>
      <c r="H114" s="10" t="n"/>
      <c r="I114" s="10">
        <f>SUM(I112:I113)</f>
        <v/>
      </c>
      <c r="J114" s="9" t="n"/>
    </row>
    <row r="115">
      <c r="A115" s="16" t="inlineStr">
        <is>
          <t>WHK-3963</t>
        </is>
      </c>
      <c r="B115" s="95" t="n">
        <v>46085</v>
      </c>
      <c r="C115" s="16" t="inlineStr">
        <is>
          <t>RN-INV#174</t>
        </is>
      </c>
      <c r="D115" s="16" t="inlineStr">
        <is>
          <t>RN-OD696</t>
        </is>
      </c>
      <c r="E115" s="16" t="inlineStr">
        <is>
          <t>زهور اقحوان افريقي مركن9 سم</t>
        </is>
      </c>
      <c r="F115" s="41" t="n">
        <v>1000</v>
      </c>
      <c r="G115" s="16" t="inlineStr">
        <is>
          <t>EA</t>
        </is>
      </c>
      <c r="H115" s="17" t="n">
        <v>1.5</v>
      </c>
      <c r="I115" s="17">
        <f>F115*H115</f>
        <v/>
      </c>
      <c r="J115" s="16" t="n"/>
    </row>
    <row r="116">
      <c r="A116" s="16" t="inlineStr">
        <is>
          <t>WHK-3963</t>
        </is>
      </c>
      <c r="B116" s="95" t="n">
        <v>46085</v>
      </c>
      <c r="C116" s="16" t="inlineStr">
        <is>
          <t>RN-INV#174</t>
        </is>
      </c>
      <c r="D116" s="16" t="inlineStr">
        <is>
          <t>RN-OD694</t>
        </is>
      </c>
      <c r="E116" s="16" t="inlineStr">
        <is>
          <t>كالنشو هولندى مركن12 سم</t>
        </is>
      </c>
      <c r="F116" s="41" t="n">
        <v>300</v>
      </c>
      <c r="G116" s="16" t="inlineStr">
        <is>
          <t>EA</t>
        </is>
      </c>
      <c r="H116" s="17" t="n">
        <v>4</v>
      </c>
      <c r="I116" s="17">
        <f>F116*H116</f>
        <v/>
      </c>
      <c r="J116" s="16" t="n"/>
    </row>
    <row r="117">
      <c r="A117" s="9" t="inlineStr">
        <is>
          <t>إجمالي العقد WHK-3963</t>
        </is>
      </c>
      <c r="B117" s="101" t="n"/>
      <c r="C117" s="9" t="n"/>
      <c r="D117" s="9" t="n"/>
      <c r="E117" s="9" t="n"/>
      <c r="F117" s="40" t="n"/>
      <c r="G117" s="9" t="n"/>
      <c r="H117" s="10" t="n"/>
      <c r="I117" s="10">
        <f>SUM(I115:I116)</f>
        <v/>
      </c>
      <c r="J117" s="9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RN-OD562</t>
        </is>
      </c>
      <c r="E118" s="16" t="inlineStr">
        <is>
          <t>زهور زينيا</t>
        </is>
      </c>
      <c r="F118" s="41" t="n">
        <v>25625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RN-OD563</t>
        </is>
      </c>
      <c r="E119" s="16" t="inlineStr">
        <is>
          <t>زهور سيلوزيا</t>
        </is>
      </c>
      <c r="F119" s="41" t="n">
        <v>3000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RN-OD564</t>
        </is>
      </c>
      <c r="E120" s="16" t="inlineStr">
        <is>
          <t>زهور امرانتس</t>
        </is>
      </c>
      <c r="F120" s="41" t="n">
        <v>5000</v>
      </c>
      <c r="G120" s="16" t="inlineStr">
        <is>
          <t>EA</t>
        </is>
      </c>
      <c r="H120" s="17" t="n">
        <v>0.5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RN-OD565</t>
        </is>
      </c>
      <c r="E121" s="16" t="inlineStr">
        <is>
          <t>زهور جازانيا</t>
        </is>
      </c>
      <c r="F121" s="41" t="n">
        <v>4475</v>
      </c>
      <c r="G121" s="16" t="inlineStr">
        <is>
          <t>EA</t>
        </is>
      </c>
      <c r="H121" s="17" t="n">
        <v>0.5</v>
      </c>
      <c r="I121" s="17">
        <f>F121*H121</f>
        <v/>
      </c>
      <c r="J121" s="16" t="n"/>
    </row>
    <row r="122">
      <c r="A122" s="16" t="inlineStr">
        <is>
          <t>WHK-4256</t>
        </is>
      </c>
      <c r="B122" s="95" t="n">
        <v>46145</v>
      </c>
      <c r="C122" s="16" t="inlineStr">
        <is>
          <t>RN-INV#227</t>
        </is>
      </c>
      <c r="D122" s="16" t="inlineStr">
        <is>
          <t>RN-OD454</t>
        </is>
      </c>
      <c r="E122" s="16" t="inlineStr">
        <is>
          <t>تيكوماريا50 سم</t>
        </is>
      </c>
      <c r="F122" s="41" t="n">
        <v>50</v>
      </c>
      <c r="G122" s="16" t="inlineStr">
        <is>
          <t>EA</t>
        </is>
      </c>
      <c r="H122" s="17" t="n">
        <v>4</v>
      </c>
      <c r="I122" s="17">
        <f>F122*H122</f>
        <v/>
      </c>
      <c r="J122" s="16" t="n"/>
    </row>
    <row r="123">
      <c r="A123" s="16" t="inlineStr">
        <is>
          <t>WHK-4256</t>
        </is>
      </c>
      <c r="B123" s="95" t="n">
        <v>46145</v>
      </c>
      <c r="C123" s="16" t="inlineStr">
        <is>
          <t>RN-INV#227</t>
        </is>
      </c>
      <c r="D123" s="16" t="inlineStr">
        <is>
          <t>RN-OD623</t>
        </is>
      </c>
      <c r="E123" s="16" t="inlineStr">
        <is>
          <t>أشجار تيسبيسيا 2-3 متر</t>
        </is>
      </c>
      <c r="F123" s="41" t="n">
        <v>4</v>
      </c>
      <c r="G123" s="16" t="inlineStr">
        <is>
          <t>EA</t>
        </is>
      </c>
      <c r="H123" s="17" t="n">
        <v>60</v>
      </c>
      <c r="I123" s="17">
        <f>F123*H123</f>
        <v/>
      </c>
      <c r="J123" s="16" t="n"/>
    </row>
    <row r="124">
      <c r="A124" s="9" t="inlineStr">
        <is>
          <t>إجمالي العقد WHK-4256</t>
        </is>
      </c>
      <c r="B124" s="101" t="n"/>
      <c r="C124" s="9" t="n"/>
      <c r="D124" s="9" t="n"/>
      <c r="E124" s="9" t="n"/>
      <c r="F124" s="40" t="n"/>
      <c r="G124" s="9" t="n"/>
      <c r="H124" s="10" t="n"/>
      <c r="I124" s="10">
        <f>SUM(I118:I123)</f>
        <v/>
      </c>
      <c r="J124" s="9" t="n"/>
    </row>
    <row r="125">
      <c r="A125" s="16" t="inlineStr">
        <is>
          <t>WHK-4275</t>
        </is>
      </c>
      <c r="B125" s="95" t="n">
        <v>46147</v>
      </c>
      <c r="C125" s="16" t="inlineStr">
        <is>
          <t>RN-INV#231</t>
        </is>
      </c>
      <c r="D125" s="16" t="inlineStr">
        <is>
          <t>RN-OD569</t>
        </is>
      </c>
      <c r="E125" s="16" t="inlineStr">
        <is>
          <t>زهور فينكا روزا</t>
        </is>
      </c>
      <c r="F125" s="41" t="n">
        <v>37400</v>
      </c>
      <c r="G125" s="16" t="inlineStr">
        <is>
          <t>EA</t>
        </is>
      </c>
      <c r="H125" s="17" t="n">
        <v>0.55</v>
      </c>
      <c r="I125" s="17">
        <f>F125*H125</f>
        <v/>
      </c>
      <c r="J125" s="16" t="n"/>
    </row>
    <row r="126">
      <c r="A126" s="16" t="inlineStr">
        <is>
          <t>WHK-4275</t>
        </is>
      </c>
      <c r="B126" s="95" t="n">
        <v>46147</v>
      </c>
      <c r="C126" s="16" t="inlineStr">
        <is>
          <t>RN-INV#231</t>
        </is>
      </c>
      <c r="D126" s="16" t="inlineStr">
        <is>
          <t>RN-OD567</t>
        </is>
      </c>
      <c r="E126" s="16" t="inlineStr">
        <is>
          <t>زهور كيليوس</t>
        </is>
      </c>
      <c r="F126" s="41" t="n">
        <v>2200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WHK-4275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SUM(I125:I126)</f>
        <v/>
      </c>
      <c r="J127" s="9" t="n"/>
    </row>
    <row r="128">
      <c r="A128" s="16" t="inlineStr">
        <is>
          <t>WHK-4291</t>
        </is>
      </c>
      <c r="B128" s="95" t="n">
        <v>46152</v>
      </c>
      <c r="C128" s="16" t="inlineStr">
        <is>
          <t>RN-INV#239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5700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WHK-4291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WHK-4305</t>
        </is>
      </c>
      <c r="B130" s="95" t="n">
        <v>46154</v>
      </c>
      <c r="C130" s="16" t="inlineStr">
        <is>
          <t>RN-INV#243</t>
        </is>
      </c>
      <c r="D130" s="16" t="inlineStr">
        <is>
          <t>RN-OD569</t>
        </is>
      </c>
      <c r="E130" s="16" t="inlineStr">
        <is>
          <t>زهور فينكا روزا</t>
        </is>
      </c>
      <c r="F130" s="41" t="n">
        <v>5500</v>
      </c>
      <c r="G130" s="16" t="inlineStr">
        <is>
          <t>EA</t>
        </is>
      </c>
      <c r="H130" s="17" t="n">
        <v>0.55</v>
      </c>
      <c r="I130" s="17">
        <f>F130*H130</f>
        <v/>
      </c>
      <c r="J130" s="16" t="n"/>
    </row>
    <row r="131">
      <c r="A131" s="9" t="inlineStr">
        <is>
          <t>إجمالي العقد WHK-4305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16" t="inlineStr">
        <is>
          <t>WHK-4323</t>
        </is>
      </c>
      <c r="B132" s="95" t="n">
        <v>46160</v>
      </c>
      <c r="C132" s="16" t="inlineStr">
        <is>
          <t>RN-INV#250</t>
        </is>
      </c>
      <c r="D132" s="16" t="inlineStr">
        <is>
          <t>RN-OD564</t>
        </is>
      </c>
      <c r="E132" s="16" t="inlineStr">
        <is>
          <t>زهور امرانتس</t>
        </is>
      </c>
      <c r="F132" s="41" t="n">
        <v>1500</v>
      </c>
      <c r="G132" s="16" t="inlineStr">
        <is>
          <t>EA</t>
        </is>
      </c>
      <c r="H132" s="17" t="n">
        <v>0.5</v>
      </c>
      <c r="I132" s="17">
        <f>F132*H132</f>
        <v/>
      </c>
      <c r="J132" s="16" t="n"/>
    </row>
    <row r="133">
      <c r="A133" s="9" t="inlineStr">
        <is>
          <t>إجمالي العقد WHK-4323</t>
        </is>
      </c>
      <c r="B133" s="101" t="n"/>
      <c r="C133" s="9" t="n"/>
      <c r="D133" s="9" t="n"/>
      <c r="E133" s="9" t="n"/>
      <c r="F133" s="40" t="n"/>
      <c r="G133" s="9" t="n"/>
      <c r="H133" s="10" t="n"/>
      <c r="I133" s="10">
        <f>SUM(I132:I132)</f>
        <v/>
      </c>
      <c r="J133" s="9" t="n"/>
    </row>
    <row r="134">
      <c r="A134" s="42" t="inlineStr">
        <is>
          <t>إجمالي مبيعات أبو خالد</t>
        </is>
      </c>
      <c r="B134" s="102" t="n"/>
      <c r="C134" s="42" t="n"/>
      <c r="D134" s="42" t="n"/>
      <c r="E134" s="42" t="n"/>
      <c r="F134" s="44" t="n"/>
      <c r="G134" s="42" t="n"/>
      <c r="H134" s="45" t="n"/>
      <c r="I134" s="45">
        <f>I3+I5+I7+I9+I11+I21+I23+I25+I27+I29+I31+I33+I35+I37+I39+I41+I43+I45+I47+I49+I51+I53+I55+I59+I66+I68+I70+I72+I75+I78+I80+I82+I84+I86+I88+I94+I98+I107+I109+I111+I114+I117+I124+I127+I129+I131+I133</f>
        <v/>
      </c>
      <c r="J134" s="42" t="n"/>
    </row>
  </sheetData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12742.5</v>
      </c>
      <c r="E36" s="51" t="inlineStr">
        <is>
          <t>WHT-2953</t>
        </is>
      </c>
      <c r="F36" s="51" t="inlineStr">
        <is>
          <t>عصمت الله خان</t>
        </is>
      </c>
      <c r="G36" s="54" t="n"/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توريد من المديونية5235 رايل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409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215847.5</v>
      </c>
      <c r="F5" s="34" t="inlineStr">
        <is>
          <t>م/ عادل أبو خالد</t>
        </is>
      </c>
      <c r="G5" s="34" t="inlineStr">
        <is>
          <t>زهور الجزيرة -392450</t>
        </is>
      </c>
      <c r="H5" s="34" t="inlineStr">
        <is>
          <t>طلبية عرعر – بدون فاتورة مبدئية، تحتاج مستند (عدد×سعر مذكور بالبيان)</t>
        </is>
      </c>
    </row>
    <row r="6">
      <c r="A6" s="34" t="n">
        <v>410</v>
      </c>
      <c r="B6" s="34" t="inlineStr">
        <is>
          <t>1</t>
        </is>
      </c>
      <c r="C6" s="99" t="n">
        <v>46081</v>
      </c>
      <c r="D6" s="34" t="inlineStr">
        <is>
          <t>WHK-2364</t>
        </is>
      </c>
      <c r="E6" s="36" t="n">
        <v>38293.75</v>
      </c>
      <c r="F6" s="34" t="inlineStr">
        <is>
          <t>م/ عادل أبو خالد</t>
        </is>
      </c>
      <c r="G6" s="34" t="inlineStr">
        <is>
          <t>زهور تبوك - 69625*.55</t>
        </is>
      </c>
      <c r="H6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المبلغ المدفوع غير موضح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100370</v>
      </c>
      <c r="D9" s="3" t="inlineStr">
        <is>
          <t>غير المدفوع + المدفوع جزئياً بالكامل لحين معرفة المسدد من PO-0777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0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123000</v>
      </c>
      <c r="F25" s="11" t="inlineStr">
        <is>
          <t>⚠ التاريخ 1-11-2025 وليس 2024 – خارج فترة التأسيس (يقع ضمن فترة التشغيل)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9">
      <c r="A29" s="59" t="inlineStr">
        <is>
          <t>حسب طريقة الدفع</t>
        </is>
      </c>
    </row>
    <row r="30">
      <c r="A30" s="16" t="n"/>
      <c r="B30" s="16" t="n"/>
      <c r="C30" s="16" t="inlineStr">
        <is>
          <t>البنك السعودي</t>
        </is>
      </c>
      <c r="D30" s="16" t="n"/>
      <c r="E30" s="17">
        <f>SUMIFS(E3:E26,D3:D26,C30)</f>
        <v/>
      </c>
      <c r="F30" s="16" t="n"/>
    </row>
    <row r="31">
      <c r="A31" s="16" t="n"/>
      <c r="B31" s="16" t="n"/>
      <c r="C31" s="16" t="inlineStr">
        <is>
          <t>بنك الرياض</t>
        </is>
      </c>
      <c r="D31" s="16" t="n"/>
      <c r="E31" s="17">
        <f>SUMIFS(E3:E26,D3:D26,C31)</f>
        <v/>
      </c>
      <c r="F31" s="16" t="n"/>
    </row>
    <row r="32">
      <c r="A32" s="16" t="n"/>
      <c r="B32" s="16" t="n"/>
      <c r="C32" s="16" t="inlineStr">
        <is>
          <t>بنك ساب</t>
        </is>
      </c>
      <c r="D32" s="16" t="n"/>
      <c r="E32" s="17">
        <f>SUMIFS(E3:E26,D3:D26,C32)</f>
        <v/>
      </c>
      <c r="F32" s="16" t="n"/>
    </row>
    <row r="33">
      <c r="A33" s="16" t="n"/>
      <c r="B33" s="16" t="n"/>
      <c r="C33" s="16" t="inlineStr">
        <is>
          <t>أبومازن</t>
        </is>
      </c>
      <c r="D33" s="16" t="n"/>
      <c r="E33" s="17">
        <f>SUMIFS(E3:E26,D3:D26,C33)</f>
        <v/>
      </c>
      <c r="F33" s="16" t="n"/>
    </row>
    <row r="34" ht="32" customHeight="1">
      <c r="A34" s="13" t="n"/>
    </row>
    <row r="35" ht="32" customHeight="1">
      <c r="A35" s="13" t="inlineStr">
        <is>
          <t>ملاحظات:</t>
        </is>
      </c>
    </row>
    <row r="36" ht="32" customHeight="1">
      <c r="A36" s="13" t="inlineStr">
        <is>
          <t>1) الإجمالي 1,089,735.80 مطابق لمجموع البنود.</t>
        </is>
      </c>
    </row>
    <row r="37" ht="32" customHeight="1">
      <c r="A37" s="13" t="inlineStr">
        <is>
          <t>2) ⚠ البند 23 "دينة مندوب الرياض – عماد" 123,000 تاريخه 1-11-2025 وليس 2024 – يقع داخل فترة التشغيل، يلزم التأكد من التاريخ أو نقله.</t>
        </is>
      </c>
    </row>
    <row r="38" ht="32" customHeight="1">
      <c r="A38" s="13" t="inlineStr">
        <is>
          <t>3) ⚠ البنود 1 و 2 (98,770) مدفوعة عن طريق أبومازن، والبند 14 (35,000) دفعة لسليمان الخضيري بتوجيه منه بدون بيان للغرض.</t>
        </is>
      </c>
    </row>
    <row r="39" ht="32" customHeight="1">
      <c r="A39" s="13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0" ht="32" customHeight="1">
      <c r="A40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</sheetData>
  <mergeCells count="8">
    <mergeCell ref="A38:F38"/>
    <mergeCell ref="A36:F36"/>
    <mergeCell ref="A1:F1"/>
    <mergeCell ref="A37:F37"/>
    <mergeCell ref="A34:F34"/>
    <mergeCell ref="A35:F35"/>
    <mergeCell ref="A40:F40"/>
    <mergeCell ref="A39:F39"/>
  </mergeCell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>
        <f>H31</f>
        <v/>
      </c>
      <c r="L31" s="11" t="inlineStr">
        <is>
          <t>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C55A11"/>
    <outlinePr summaryBelow="1" summaryRight="1"/>
    <pageSetUpPr/>
  </sheetPr>
  <dimension ref="A1:I19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3" t="n">
        <v>156</v>
      </c>
      <c r="B157" s="107" t="n">
        <v>46081</v>
      </c>
      <c r="C157" s="3" t="inlineStr">
        <is>
          <t>1</t>
        </is>
      </c>
      <c r="D157" s="3" t="inlineStr">
        <is>
          <t>مصروف</t>
        </is>
      </c>
      <c r="E157" s="3" t="inlineStr">
        <is>
          <t>زهور الجزيرة - عقد عرعر</t>
        </is>
      </c>
      <c r="F157" s="4" t="n">
        <v>196225</v>
      </c>
      <c r="G157" s="3" t="inlineStr">
        <is>
          <t>نباتات وبذور</t>
        </is>
      </c>
      <c r="H157" s="3" t="n"/>
      <c r="I157" s="3" t="n"/>
    </row>
    <row r="158">
      <c r="A158" s="3" t="n">
        <v>157</v>
      </c>
      <c r="B158" s="107" t="n">
        <v>46081</v>
      </c>
      <c r="C158" s="3" t="inlineStr">
        <is>
          <t>1</t>
        </is>
      </c>
      <c r="D158" s="3" t="inlineStr">
        <is>
          <t>مصروف</t>
        </is>
      </c>
      <c r="E158" s="3" t="inlineStr">
        <is>
          <t>مشتريات فلين مستعمل الجزيرة</t>
        </is>
      </c>
      <c r="F158" s="4" t="n">
        <v>3128</v>
      </c>
      <c r="G158" s="3" t="inlineStr">
        <is>
          <t>مستلزمات إنتاج (فلين)</t>
        </is>
      </c>
      <c r="H158" s="3" t="n"/>
      <c r="I158" s="3" t="n"/>
    </row>
    <row r="159">
      <c r="A159" s="11" t="n">
        <v>158</v>
      </c>
      <c r="B159" s="106" t="n">
        <v>46081</v>
      </c>
      <c r="C159" s="11" t="inlineStr">
        <is>
          <t>125</t>
        </is>
      </c>
      <c r="D159" s="11" t="inlineStr">
        <is>
          <t>مصروف</t>
        </is>
      </c>
      <c r="E159" s="11" t="inlineStr">
        <is>
          <t>مشتريات جهنمية كروية</t>
        </is>
      </c>
      <c r="F159" s="12" t="n">
        <v>37550</v>
      </c>
      <c r="G159" s="11" t="inlineStr">
        <is>
          <t>نباتات وبذور</t>
        </is>
      </c>
      <c r="H159" s="11" t="inlineStr">
        <is>
          <t>مشتل الجوده المطلقه  2025-08-11</t>
        </is>
      </c>
      <c r="I159" s="11" t="n"/>
    </row>
    <row r="160">
      <c r="A160" s="11" t="n">
        <v>159</v>
      </c>
      <c r="B160" s="106" t="n">
        <v>46081</v>
      </c>
      <c r="C160" s="11" t="inlineStr">
        <is>
          <t>125</t>
        </is>
      </c>
      <c r="D160" s="11" t="inlineStr">
        <is>
          <t>مصروف</t>
        </is>
      </c>
      <c r="E160" s="11" t="inlineStr">
        <is>
          <t>مشتريات شجر سايكس</t>
        </is>
      </c>
      <c r="F160" s="12" t="n">
        <v>12000</v>
      </c>
      <c r="G160" s="11" t="inlineStr">
        <is>
          <t>نباتات وبذور</t>
        </is>
      </c>
      <c r="H160" s="11" t="inlineStr">
        <is>
          <t>مشتل الجوده المطلقه  2025-08-11</t>
        </is>
      </c>
      <c r="I160" s="11" t="n"/>
    </row>
    <row r="161">
      <c r="A161" s="11" t="n">
        <v>160</v>
      </c>
      <c r="B161" s="106" t="n">
        <v>46081</v>
      </c>
      <c r="C161" s="11" t="inlineStr">
        <is>
          <t>124</t>
        </is>
      </c>
      <c r="D161" s="11" t="inlineStr">
        <is>
          <t>مصروف</t>
        </is>
      </c>
      <c r="E161" s="11" t="inlineStr">
        <is>
          <t>مشتريات غرس نجد</t>
        </is>
      </c>
      <c r="F161" s="12" t="n">
        <v>14515</v>
      </c>
      <c r="G161" s="11" t="inlineStr">
        <is>
          <t>نباتات وبذور</t>
        </is>
      </c>
      <c r="H161" s="11" t="inlineStr">
        <is>
          <t>PO-295، شركة غرس نجد الزراعي 2025-08-04</t>
        </is>
      </c>
      <c r="I161" s="11" t="n"/>
    </row>
    <row r="162">
      <c r="A162" s="3" t="n">
        <v>161</v>
      </c>
      <c r="B162" s="107" t="n">
        <v>46081</v>
      </c>
      <c r="C162" s="3" t="inlineStr">
        <is>
          <t>126</t>
        </is>
      </c>
      <c r="D162" s="3" t="inlineStr">
        <is>
          <t>مصروف</t>
        </is>
      </c>
      <c r="E162" s="3" t="inlineStr">
        <is>
          <t>بذور بساتين الرياض - قديم</t>
        </is>
      </c>
      <c r="F162" s="4" t="n">
        <v>147745.75</v>
      </c>
      <c r="G162" s="3" t="inlineStr">
        <is>
          <t>نباتات وبذور</t>
        </is>
      </c>
      <c r="H162" s="3" t="n"/>
      <c r="I162" s="3" t="n"/>
    </row>
    <row r="163">
      <c r="A163" s="11" t="n">
        <v>162</v>
      </c>
      <c r="B163" s="106" t="n">
        <v>46081</v>
      </c>
      <c r="C163" s="11" t="inlineStr">
        <is>
          <t>123</t>
        </is>
      </c>
      <c r="D163" s="11" t="inlineStr">
        <is>
          <t>مصروف</t>
        </is>
      </c>
      <c r="E163" s="11" t="inlineStr">
        <is>
          <t>شراء فلين 4000 حبه</t>
        </is>
      </c>
      <c r="F163" s="12" t="n">
        <v>9660</v>
      </c>
      <c r="G163" s="11" t="inlineStr">
        <is>
          <t>مستلزمات إنتاج (فلين)</t>
        </is>
      </c>
      <c r="H163" s="11" t="inlineStr">
        <is>
          <t>PO-294، PO-228-REV1</t>
        </is>
      </c>
      <c r="I163" s="11" t="n"/>
    </row>
    <row r="164">
      <c r="A164" s="11" t="n">
        <v>163</v>
      </c>
      <c r="B164" s="106" t="n">
        <v>46084</v>
      </c>
      <c r="C164" s="11" t="inlineStr">
        <is>
          <t>127</t>
        </is>
      </c>
      <c r="D164" s="11" t="inlineStr">
        <is>
          <t>مصروف</t>
        </is>
      </c>
      <c r="E164" s="11" t="inlineStr">
        <is>
          <t>قيمة شراء 500 كيس بيتموس</t>
        </is>
      </c>
      <c r="F164" s="12" t="n">
        <v>53475</v>
      </c>
      <c r="G164" s="11" t="inlineStr">
        <is>
          <t>مواد زراعية</t>
        </is>
      </c>
      <c r="H164" s="11" t="inlineStr">
        <is>
          <t>PO-309، PO-267</t>
        </is>
      </c>
      <c r="I164" s="11" t="n"/>
    </row>
    <row r="165">
      <c r="A165" s="11" t="n">
        <v>164</v>
      </c>
      <c r="B165" s="106" t="n">
        <v>46085</v>
      </c>
      <c r="C165" s="11" t="inlineStr">
        <is>
          <t>128</t>
        </is>
      </c>
      <c r="D165" s="11" t="inlineStr">
        <is>
          <t>مصروف</t>
        </is>
      </c>
      <c r="E165" s="11" t="inlineStr">
        <is>
          <t>مصاريف من عهدة حسين 2-2026</t>
        </is>
      </c>
      <c r="F165" s="12" t="n">
        <v>3628</v>
      </c>
      <c r="G165" s="11" t="inlineStr">
        <is>
          <t>تعزيز/تصفية عهدة</t>
        </is>
      </c>
      <c r="H165" s="11" t="inlineStr">
        <is>
          <t>عهدة حسين مصطفى 2026-03-02</t>
        </is>
      </c>
      <c r="I165" s="11" t="n"/>
    </row>
    <row r="166">
      <c r="A166" s="3" t="n">
        <v>165</v>
      </c>
      <c r="B166" s="107" t="n">
        <v>46098</v>
      </c>
      <c r="C166" s="3" t="inlineStr">
        <is>
          <t>135</t>
        </is>
      </c>
      <c r="D166" s="3" t="inlineStr">
        <is>
          <t>مصروف</t>
        </is>
      </c>
      <c r="E166" s="3" t="inlineStr">
        <is>
          <t>مصاريف من عهدة حسين 3-2026</t>
        </is>
      </c>
      <c r="F166" s="4" t="n">
        <v>2110</v>
      </c>
      <c r="G166" s="3" t="inlineStr">
        <is>
          <t>تعزيز/تصفية عهدة</t>
        </is>
      </c>
      <c r="H166" s="3" t="n"/>
      <c r="I166" s="3" t="n"/>
    </row>
    <row r="167">
      <c r="A167" s="11" t="n">
        <v>166</v>
      </c>
      <c r="B167" s="106" t="n">
        <v>46089</v>
      </c>
      <c r="C167" s="11" t="inlineStr">
        <is>
          <t>129</t>
        </is>
      </c>
      <c r="D167" s="11" t="inlineStr">
        <is>
          <t>مصروف</t>
        </is>
      </c>
      <c r="E167" s="11" t="inlineStr">
        <is>
          <t>شراء حديد مخلبي 10 علبة</t>
        </is>
      </c>
      <c r="F167" s="12" t="n">
        <v>500</v>
      </c>
      <c r="G167" s="11" t="inlineStr">
        <is>
          <t>مصروفات تشغيل متنوعة</t>
        </is>
      </c>
      <c r="H167" s="11" t="inlineStr">
        <is>
          <t>مصنعيات 2025-07-28، عهدة حسين مصطفى 2026-07-02، عهدة عظمت الله خان 2026-06-29</t>
        </is>
      </c>
      <c r="I167" s="11" t="n"/>
    </row>
    <row r="168">
      <c r="A168" s="3" t="n">
        <v>167</v>
      </c>
      <c r="B168" s="107" t="n">
        <v>46090</v>
      </c>
      <c r="C168" s="3" t="inlineStr">
        <is>
          <t>130</t>
        </is>
      </c>
      <c r="D168" s="3" t="inlineStr">
        <is>
          <t>مصروف – رواتب</t>
        </is>
      </c>
      <c r="E168" s="3" t="inlineStr">
        <is>
          <t>رواتب شهر 2-2026</t>
        </is>
      </c>
      <c r="F168" s="4" t="n">
        <v>32899</v>
      </c>
      <c r="G168" s="3" t="inlineStr">
        <is>
          <t>رواتب</t>
        </is>
      </c>
      <c r="H168" s="3" t="n"/>
      <c r="I168" s="3" t="n"/>
    </row>
    <row r="169">
      <c r="A169" s="3" t="n">
        <v>168</v>
      </c>
      <c r="B169" s="107" t="n">
        <v>46090</v>
      </c>
      <c r="C169" s="3" t="inlineStr">
        <is>
          <t>131</t>
        </is>
      </c>
      <c r="D169" s="3" t="inlineStr">
        <is>
          <t>مصروف</t>
        </is>
      </c>
      <c r="E169" s="3" t="inlineStr">
        <is>
          <t>منصرف لابوخالد تعليمات أبو مازن</t>
        </is>
      </c>
      <c r="F169" s="4" t="n">
        <v>100000</v>
      </c>
      <c r="G169" s="3" t="inlineStr">
        <is>
          <t>مسحوبات شركاء</t>
        </is>
      </c>
      <c r="H169" s="3" t="n"/>
      <c r="I169" s="3" t="n"/>
    </row>
    <row r="170">
      <c r="A170" s="3" t="n">
        <v>169</v>
      </c>
      <c r="B170" s="107" t="n">
        <v>46090</v>
      </c>
      <c r="C170" s="3" t="inlineStr">
        <is>
          <t>132</t>
        </is>
      </c>
      <c r="D170" s="3" t="inlineStr">
        <is>
          <t>مصروف</t>
        </is>
      </c>
      <c r="E170" s="3" t="inlineStr">
        <is>
          <t>كهرباء  المزرعة عن 3-2026</t>
        </is>
      </c>
      <c r="F170" s="4" t="n">
        <v>3085.56</v>
      </c>
      <c r="G170" s="3" t="inlineStr">
        <is>
          <t>كهرباء وخدمات</t>
        </is>
      </c>
      <c r="H170" s="3" t="n"/>
      <c r="I170" s="3" t="n"/>
    </row>
    <row r="171">
      <c r="A171" s="11" t="n">
        <v>170</v>
      </c>
      <c r="B171" s="106" t="n">
        <v>46095</v>
      </c>
      <c r="C171" s="11" t="inlineStr">
        <is>
          <t>134</t>
        </is>
      </c>
      <c r="D171" s="11" t="inlineStr">
        <is>
          <t>مصروف</t>
        </is>
      </c>
      <c r="E171" s="11" t="inlineStr">
        <is>
          <t>شراء مركن مقاس 9</t>
        </is>
      </c>
      <c r="F171" s="12" t="n">
        <v>10000</v>
      </c>
      <c r="G171" s="11" t="inlineStr">
        <is>
          <t>مستلزمات إنتاج (مراكن)</t>
        </is>
      </c>
      <c r="H171" s="11" t="inlineStr">
        <is>
          <t>PO-313</t>
        </is>
      </c>
      <c r="I171" s="11" t="n"/>
    </row>
    <row r="172">
      <c r="A172" s="11" t="n">
        <v>171</v>
      </c>
      <c r="B172" s="106" t="n">
        <v>46099</v>
      </c>
      <c r="C172" s="11" t="inlineStr">
        <is>
          <t>142</t>
        </is>
      </c>
      <c r="D172" s="11" t="inlineStr">
        <is>
          <t>مصروف</t>
        </is>
      </c>
      <c r="E172" s="11" t="inlineStr">
        <is>
          <t>عهدة حسين 7-4-2026</t>
        </is>
      </c>
      <c r="F172" s="12" t="n">
        <v>3266.5</v>
      </c>
      <c r="G172" s="11" t="inlineStr">
        <is>
          <t>تعزيز/تصفية عهدة</t>
        </is>
      </c>
      <c r="H172" s="11" t="inlineStr">
        <is>
          <t>عهدة حسين مصطفى 2026-04-06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136</t>
        </is>
      </c>
      <c r="D173" s="11" t="inlineStr">
        <is>
          <t>مصروف</t>
        </is>
      </c>
      <c r="E173" s="11" t="inlineStr">
        <is>
          <t>شراء سندات لاشجار</t>
        </is>
      </c>
      <c r="F173" s="12" t="n">
        <v>6000</v>
      </c>
      <c r="G173" s="11" t="inlineStr">
        <is>
          <t>مصروفات تشغيل متنوعة</t>
        </is>
      </c>
      <c r="H173" s="11" t="inlineStr">
        <is>
          <t>PO-365</t>
        </is>
      </c>
      <c r="I173" s="11" t="n"/>
    </row>
    <row r="174">
      <c r="A174" s="11" t="n">
        <v>173</v>
      </c>
      <c r="B174" s="106" t="n">
        <v>46104</v>
      </c>
      <c r="C174" s="11" t="inlineStr">
        <is>
          <t>137</t>
        </is>
      </c>
      <c r="D174" s="11" t="inlineStr">
        <is>
          <t>مصروف</t>
        </is>
      </c>
      <c r="E174" s="11" t="inlineStr">
        <is>
          <t>فاتورة فلين</t>
        </is>
      </c>
      <c r="F174" s="12" t="n">
        <v>4200</v>
      </c>
      <c r="G174" s="11" t="inlineStr">
        <is>
          <t>مستلزمات إنتاج (فلين)</t>
        </is>
      </c>
      <c r="H174" s="11" t="inlineStr">
        <is>
          <t>PO-366</t>
        </is>
      </c>
      <c r="I174" s="11" t="n"/>
    </row>
    <row r="175">
      <c r="A175" s="11" t="n">
        <v>174</v>
      </c>
      <c r="B175" s="106" t="n">
        <v>46104</v>
      </c>
      <c r="C175" s="11" t="inlineStr">
        <is>
          <t>138</t>
        </is>
      </c>
      <c r="D175" s="11" t="inlineStr">
        <is>
          <t>مصروف</t>
        </is>
      </c>
      <c r="E175" s="11" t="inlineStr">
        <is>
          <t>شراء كمبوست</t>
        </is>
      </c>
      <c r="F175" s="12" t="n">
        <v>400</v>
      </c>
      <c r="G175" s="11" t="inlineStr">
        <is>
          <t>مصروفات تشغيل متنوعة</t>
        </is>
      </c>
      <c r="H175" s="11" t="inlineStr">
        <is>
          <t>ورشة الرحالة لصيانة  2025-12-17</t>
        </is>
      </c>
      <c r="I175" s="11" t="n"/>
    </row>
    <row r="176">
      <c r="A176" s="11" t="n">
        <v>175</v>
      </c>
      <c r="B176" s="106" t="n">
        <v>46105</v>
      </c>
      <c r="C176" s="11" t="inlineStr">
        <is>
          <t>139</t>
        </is>
      </c>
      <c r="D176" s="11" t="inlineStr">
        <is>
          <t>مصروف</t>
        </is>
      </c>
      <c r="E176" s="11" t="inlineStr">
        <is>
          <t>شراء بيتموس 500 كيس</t>
        </is>
      </c>
      <c r="F176" s="12" t="n">
        <v>53475</v>
      </c>
      <c r="G176" s="11" t="inlineStr">
        <is>
          <t>مواد زراعية</t>
        </is>
      </c>
      <c r="H176" s="11" t="inlineStr">
        <is>
          <t>PO-309، PO-267</t>
        </is>
      </c>
      <c r="I176" s="11" t="n"/>
    </row>
    <row r="177">
      <c r="A177" s="11" t="n">
        <v>176</v>
      </c>
      <c r="B177" s="106" t="n">
        <v>46112</v>
      </c>
      <c r="C177" s="11" t="inlineStr">
        <is>
          <t>141</t>
        </is>
      </c>
      <c r="D177" s="11" t="inlineStr">
        <is>
          <t>مصروف</t>
        </is>
      </c>
      <c r="E177" s="11" t="inlineStr">
        <is>
          <t>قيمة شراء مركن 19 علاقة</t>
        </is>
      </c>
      <c r="F177" s="12" t="n">
        <v>4000</v>
      </c>
      <c r="G177" s="11" t="inlineStr">
        <is>
          <t>مستلزمات إنتاج (مراكن)</t>
        </is>
      </c>
      <c r="H177" s="11" t="inlineStr">
        <is>
          <t>PO-404-REV1</t>
        </is>
      </c>
      <c r="I177" s="11" t="n"/>
    </row>
    <row r="178">
      <c r="A178" s="11" t="n">
        <v>177</v>
      </c>
      <c r="B178" s="106" t="n">
        <v>46132</v>
      </c>
      <c r="C178" s="11" t="inlineStr">
        <is>
          <t>145</t>
        </is>
      </c>
      <c r="D178" s="11" t="inlineStr">
        <is>
          <t>مصروف</t>
        </is>
      </c>
      <c r="E178" s="11" t="inlineStr">
        <is>
          <t>عهدة حسين 20-4-2026</t>
        </is>
      </c>
      <c r="F178" s="12" t="n">
        <v>3306</v>
      </c>
      <c r="G178" s="11" t="inlineStr">
        <is>
          <t>تعزيز/تصفية عهدة</t>
        </is>
      </c>
      <c r="H178" s="11" t="inlineStr">
        <is>
          <t>عهدة حسين مصطفى 2026-04-19</t>
        </is>
      </c>
      <c r="I178" s="11" t="n"/>
    </row>
    <row r="179">
      <c r="A179" s="11" t="n">
        <v>178</v>
      </c>
      <c r="B179" s="106" t="n">
        <v>46119</v>
      </c>
      <c r="C179" s="11" t="inlineStr">
        <is>
          <t>140</t>
        </is>
      </c>
      <c r="D179" s="11" t="inlineStr">
        <is>
          <t>مصروف</t>
        </is>
      </c>
      <c r="E179" s="11" t="inlineStr">
        <is>
          <t>نولون نقل بيرلايت الدمام</t>
        </is>
      </c>
      <c r="F179" s="12" t="n">
        <v>500</v>
      </c>
      <c r="G179" s="11" t="inlineStr">
        <is>
          <t>مصروفات تشغيل متنوعة</t>
        </is>
      </c>
      <c r="H179" s="11" t="inlineStr">
        <is>
          <t>مصنعيات 2025-07-28، عهدة حسين مصطفى 2026-07-02، عهدة عظمت الله خان 2026-06-29</t>
        </is>
      </c>
      <c r="I179" s="11" t="n"/>
    </row>
    <row r="180">
      <c r="A180" s="3" t="n">
        <v>179</v>
      </c>
      <c r="B180" s="107" t="n">
        <v>46123</v>
      </c>
      <c r="C180" s="3" t="inlineStr">
        <is>
          <t>143</t>
        </is>
      </c>
      <c r="D180" s="3" t="inlineStr">
        <is>
          <t>مصروف</t>
        </is>
      </c>
      <c r="E180" s="3" t="inlineStr">
        <is>
          <t>كهرباء  المزرعة عن 4-2026</t>
        </is>
      </c>
      <c r="F180" s="4" t="n">
        <v>2904</v>
      </c>
      <c r="G180" s="3" t="inlineStr">
        <is>
          <t>كهرباء وخدمات</t>
        </is>
      </c>
      <c r="H180" s="3" t="n"/>
      <c r="I180" s="3" t="n"/>
    </row>
    <row r="181">
      <c r="A181" s="3" t="n">
        <v>180</v>
      </c>
      <c r="B181" s="107" t="n">
        <v>46125</v>
      </c>
      <c r="C181" s="3" t="inlineStr">
        <is>
          <t>144</t>
        </is>
      </c>
      <c r="D181" s="3" t="inlineStr">
        <is>
          <t>مصروف</t>
        </is>
      </c>
      <c r="E181" s="3" t="inlineStr">
        <is>
          <t>شراء حديد مخلبي وسم فئران</t>
        </is>
      </c>
      <c r="F181" s="4" t="n">
        <v>1095</v>
      </c>
      <c r="G181" s="3" t="inlineStr">
        <is>
          <t>مصروفات تشغيل متنوعة</t>
        </is>
      </c>
      <c r="H181" s="3" t="n"/>
      <c r="I181" s="3" t="n"/>
    </row>
    <row r="182">
      <c r="A182" s="11" t="n">
        <v>181</v>
      </c>
      <c r="B182" s="106" t="n">
        <v>46133</v>
      </c>
      <c r="C182" s="11" t="inlineStr">
        <is>
          <t>146</t>
        </is>
      </c>
      <c r="D182" s="11" t="inlineStr">
        <is>
          <t>مصروف</t>
        </is>
      </c>
      <c r="E182" s="11" t="inlineStr">
        <is>
          <t>شراء مركن مقاس 9 -400 الاف</t>
        </is>
      </c>
      <c r="F182" s="12" t="n">
        <v>20000</v>
      </c>
      <c r="G182" s="11" t="inlineStr">
        <is>
          <t>مستلزمات إنتاج (مراكن)</t>
        </is>
      </c>
      <c r="H182" s="11" t="inlineStr">
        <is>
          <t>PO-419، شركة الجزيرة الحديثة 2025-12-25، شركة الجزيرة الحديثة 2025-12-25</t>
        </is>
      </c>
      <c r="I182" s="11" t="n"/>
    </row>
    <row r="183">
      <c r="A183" s="3" t="n">
        <v>182</v>
      </c>
      <c r="B183" s="107" t="n">
        <v>46134</v>
      </c>
      <c r="C183" s="3" t="inlineStr">
        <is>
          <t>147</t>
        </is>
      </c>
      <c r="D183" s="3" t="inlineStr">
        <is>
          <t>مصروف – رواتب</t>
        </is>
      </c>
      <c r="E183" s="3" t="inlineStr">
        <is>
          <t>مرتبات شهر 3-2026</t>
        </is>
      </c>
      <c r="F183" s="4" t="n">
        <v>33165</v>
      </c>
      <c r="G183" s="3" t="inlineStr">
        <is>
          <t>رواتب</t>
        </is>
      </c>
      <c r="H183" s="3" t="n"/>
      <c r="I183" s="3" t="n"/>
    </row>
    <row r="184">
      <c r="A184" s="3" t="n">
        <v>183</v>
      </c>
      <c r="B184" s="107" t="n">
        <v>46173</v>
      </c>
      <c r="C184" s="3" t="inlineStr">
        <is>
          <t>160</t>
        </is>
      </c>
      <c r="D184" s="3" t="inlineStr">
        <is>
          <t>مصروف</t>
        </is>
      </c>
      <c r="E184" s="3" t="inlineStr">
        <is>
          <t>عهدة حسين 22-4-2026</t>
        </is>
      </c>
      <c r="F184" s="4" t="n">
        <v>13942.5</v>
      </c>
      <c r="G184" s="3" t="inlineStr">
        <is>
          <t>تعزيز/تصفية عهدة</t>
        </is>
      </c>
      <c r="H184" s="3" t="n"/>
      <c r="I184" s="3" t="n"/>
    </row>
    <row r="185">
      <c r="A185" s="3" t="n">
        <v>184</v>
      </c>
      <c r="B185" s="107" t="n">
        <v>46141</v>
      </c>
      <c r="C185" s="3" t="inlineStr">
        <is>
          <t>148</t>
        </is>
      </c>
      <c r="D185" s="3" t="inlineStr">
        <is>
          <t>مصروف</t>
        </is>
      </c>
      <c r="E185" s="3" t="inlineStr">
        <is>
          <t>سداد GPS س عصمت</t>
        </is>
      </c>
      <c r="F185" s="4" t="n">
        <v>536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46141</v>
      </c>
      <c r="C186" s="11" t="inlineStr">
        <is>
          <t>149</t>
        </is>
      </c>
      <c r="D186" s="11" t="inlineStr">
        <is>
          <t>مصروف</t>
        </is>
      </c>
      <c r="E186" s="11" t="inlineStr">
        <is>
          <t>سداد نقاط س عصمت</t>
        </is>
      </c>
      <c r="F186" s="12" t="n">
        <v>115</v>
      </c>
      <c r="G186" s="11" t="inlineStr">
        <is>
          <t>مصروفات تشغيل متنوعة</t>
        </is>
      </c>
      <c r="H186" s="11" t="inlineStr">
        <is>
          <t>هاتف الموبايل 2025-12-17، هاتف الموبايل 2025-12-04، هاتف الموبايل 2025-11-22</t>
        </is>
      </c>
      <c r="I186" s="11" t="n"/>
    </row>
    <row r="187">
      <c r="A187" s="3" t="n">
        <v>186</v>
      </c>
      <c r="B187" s="107" t="n">
        <v>46142</v>
      </c>
      <c r="C187" s="3" t="inlineStr">
        <is>
          <t>150</t>
        </is>
      </c>
      <c r="D187" s="3" t="inlineStr">
        <is>
          <t>مصروف</t>
        </is>
      </c>
      <c r="E187" s="3" t="inlineStr">
        <is>
          <t>سداد تامين سيارة عصمت</t>
        </is>
      </c>
      <c r="F187" s="4" t="n">
        <v>1870</v>
      </c>
      <c r="G187" s="3" t="inlineStr">
        <is>
          <t>مصروفات تشغيل متنوعة</t>
        </is>
      </c>
      <c r="H187" s="3" t="n"/>
      <c r="I187" s="3" t="n"/>
    </row>
    <row r="188">
      <c r="A188" s="11" t="n">
        <v>187</v>
      </c>
      <c r="B188" s="106" t="n">
        <v>46147</v>
      </c>
      <c r="C188" s="11" t="inlineStr">
        <is>
          <t>151</t>
        </is>
      </c>
      <c r="D188" s="11" t="inlineStr">
        <is>
          <t>مصروف</t>
        </is>
      </c>
      <c r="E188" s="11" t="inlineStr">
        <is>
          <t>شراء 2 كيس سماد سنجرال</t>
        </is>
      </c>
      <c r="F188" s="12" t="n">
        <v>700</v>
      </c>
      <c r="G188" s="11" t="inlineStr">
        <is>
          <t>مواد زراعية</t>
        </is>
      </c>
      <c r="H188" s="11" t="inlineStr">
        <is>
          <t>PO-585، مؤسسة محمد عبدالله ل 2025-11-23</t>
        </is>
      </c>
      <c r="I188" s="11" t="n"/>
    </row>
    <row r="189">
      <c r="A189" s="3" t="n">
        <v>188</v>
      </c>
      <c r="B189" s="107" t="n">
        <v>46149</v>
      </c>
      <c r="C189" s="3" t="inlineStr">
        <is>
          <t>152</t>
        </is>
      </c>
      <c r="D189" s="3" t="inlineStr">
        <is>
          <t>مصروف – رواتب</t>
        </is>
      </c>
      <c r="E189" s="3" t="inlineStr">
        <is>
          <t>مرتبات شهر 4-2026</t>
        </is>
      </c>
      <c r="F189" s="4" t="n">
        <v>31722</v>
      </c>
      <c r="G189" s="3" t="inlineStr">
        <is>
          <t>رواتب</t>
        </is>
      </c>
      <c r="H189" s="3" t="n"/>
      <c r="I189" s="3" t="n"/>
    </row>
    <row r="190">
      <c r="A190" s="11" t="n">
        <v>189</v>
      </c>
      <c r="B190" s="106" t="n">
        <v>46155</v>
      </c>
      <c r="C190" s="11" t="inlineStr">
        <is>
          <t>153</t>
        </is>
      </c>
      <c r="D190" s="11" t="inlineStr">
        <is>
          <t>مصروف</t>
        </is>
      </c>
      <c r="E190" s="11" t="inlineStr">
        <is>
          <t>شراء فلين 5000 حبه</t>
        </is>
      </c>
      <c r="F190" s="12" t="n">
        <v>13250</v>
      </c>
      <c r="G190" s="11" t="inlineStr">
        <is>
          <t>مستلزمات إنتاج (فلين)</t>
        </is>
      </c>
      <c r="H190" s="11" t="inlineStr">
        <is>
          <t>PO-557، PO-506</t>
        </is>
      </c>
      <c r="I190" s="11" t="n"/>
    </row>
    <row r="191">
      <c r="A191" s="11" t="n">
        <v>190</v>
      </c>
      <c r="B191" s="106" t="n">
        <v>46155</v>
      </c>
      <c r="C191" s="11" t="inlineStr">
        <is>
          <t>154</t>
        </is>
      </c>
      <c r="D191" s="11" t="inlineStr">
        <is>
          <t>مصروف</t>
        </is>
      </c>
      <c r="E191" s="11" t="inlineStr">
        <is>
          <t>شراء فلين 5000 حبه</t>
        </is>
      </c>
      <c r="F191" s="12" t="n">
        <v>13250</v>
      </c>
      <c r="G191" s="11" t="inlineStr">
        <is>
          <t>مستلزمات إنتاج (فلين)</t>
        </is>
      </c>
      <c r="H191" s="11" t="inlineStr">
        <is>
          <t>PO-557، PO-506</t>
        </is>
      </c>
      <c r="I191" s="11" t="n"/>
    </row>
    <row r="192">
      <c r="A192" s="3" t="n">
        <v>191</v>
      </c>
      <c r="B192" s="107" t="n">
        <v>46155</v>
      </c>
      <c r="C192" s="3" t="inlineStr">
        <is>
          <t>155</t>
        </is>
      </c>
      <c r="D192" s="3" t="inlineStr">
        <is>
          <t>مصروف</t>
        </is>
      </c>
      <c r="E192" s="3" t="inlineStr">
        <is>
          <t>شراء بذور</t>
        </is>
      </c>
      <c r="F192" s="4" t="n">
        <v>4800</v>
      </c>
      <c r="G192" s="3" t="inlineStr">
        <is>
          <t>نباتات وبذور</t>
        </is>
      </c>
      <c r="H192" s="3" t="n"/>
      <c r="I192" s="3" t="n"/>
    </row>
    <row r="193">
      <c r="A193" s="11" t="n">
        <v>192</v>
      </c>
      <c r="B193" s="106" t="n">
        <v>46160</v>
      </c>
      <c r="C193" s="11" t="inlineStr">
        <is>
          <t>156</t>
        </is>
      </c>
      <c r="D193" s="11" t="inlineStr">
        <is>
          <t>أبو خالد</t>
        </is>
      </c>
      <c r="E193" s="11" t="inlineStr">
        <is>
          <t>تسديد لابوخالد من المديونية</t>
        </is>
      </c>
      <c r="F193" s="12" t="n">
        <v>2000</v>
      </c>
      <c r="G193" s="11" t="inlineStr">
        <is>
          <t>مسحوبات شركاء</t>
        </is>
      </c>
      <c r="H193" s="11" t="inlineStr">
        <is>
          <t>PO-210، عهدة حسين مصطفى 2026-06-07</t>
        </is>
      </c>
      <c r="I193" s="11" t="inlineStr">
        <is>
          <t>مسجل على حساب أبو خالد</t>
        </is>
      </c>
    </row>
    <row r="194">
      <c r="A194" s="11" t="n">
        <v>193</v>
      </c>
      <c r="B194" s="106" t="n">
        <v>46163</v>
      </c>
      <c r="C194" s="11" t="inlineStr">
        <is>
          <t>157</t>
        </is>
      </c>
      <c r="D194" s="11" t="inlineStr">
        <is>
          <t>مصروف</t>
        </is>
      </c>
      <c r="E194" s="11" t="inlineStr">
        <is>
          <t>توريد نقدي لادارة - ابومازن</t>
        </is>
      </c>
      <c r="F194" s="12" t="n">
        <v>13000</v>
      </c>
      <c r="G194" s="11" t="inlineStr">
        <is>
          <t>مسحوبات شركاء</t>
        </is>
      </c>
      <c r="H194" s="11" t="inlineStr">
        <is>
          <t>ورشة الرحالة لصيانة  2025-12-17، شركة التاج المميزة ا 2025-11-17</t>
        </is>
      </c>
      <c r="I194" s="11" t="n"/>
    </row>
    <row r="195">
      <c r="A195" s="3" t="n">
        <v>194</v>
      </c>
      <c r="B195" s="107" t="n">
        <v>46165</v>
      </c>
      <c r="C195" s="3" t="inlineStr">
        <is>
          <t>158</t>
        </is>
      </c>
      <c r="D195" s="3" t="inlineStr">
        <is>
          <t>مصروف</t>
        </is>
      </c>
      <c r="E195" s="3" t="inlineStr">
        <is>
          <t>سلفة عماد حمدي - مخالفات المرور</t>
        </is>
      </c>
      <c r="F195" s="4" t="n">
        <v>1351</v>
      </c>
      <c r="G195" s="3" t="inlineStr">
        <is>
          <t>مصروفات تشغيل متنوعة</t>
        </is>
      </c>
      <c r="H195" s="3" t="n"/>
      <c r="I195" s="3" t="n"/>
    </row>
    <row r="196">
      <c r="A196" s="115" t="n">
        <v>195</v>
      </c>
      <c r="B196" s="116" t="n">
        <v>46173</v>
      </c>
      <c r="C196" s="115" t="inlineStr">
        <is>
          <t>159</t>
        </is>
      </c>
      <c r="D196" s="115" t="inlineStr">
        <is>
          <t>مصروف – رواتب</t>
        </is>
      </c>
      <c r="E196" s="115" t="inlineStr">
        <is>
          <t>رواتب شهر 5-2026 (المبلغ مكتوب بخانة البيان 29,457 والمبلغ صفر)</t>
        </is>
      </c>
      <c r="F196" s="117" t="n">
        <v>0</v>
      </c>
      <c r="G196" s="115" t="inlineStr">
        <is>
          <t>رواتب</t>
        </is>
      </c>
      <c r="H196" s="115" t="n"/>
      <c r="I196" s="115" t="inlineStr">
        <is>
          <t>مبلغ صفر – البيان مسجل بدون قيمة</t>
        </is>
      </c>
    </row>
    <row r="197">
      <c r="A197" s="115" t="n">
        <v>196</v>
      </c>
      <c r="B197" s="116" t="n">
        <v>46174</v>
      </c>
      <c r="C197" s="115" t="inlineStr">
        <is>
          <t>111</t>
        </is>
      </c>
      <c r="D197" s="115" t="inlineStr">
        <is>
          <t>مصروف</t>
        </is>
      </c>
      <c r="E197" s="115" t="inlineStr">
        <is>
          <t>مصروفات من عهدة حسين جديد</t>
        </is>
      </c>
      <c r="F197" s="117" t="n">
        <v>0</v>
      </c>
      <c r="G197" s="115" t="inlineStr">
        <is>
          <t>تعزيز/تصفية عهدة</t>
        </is>
      </c>
      <c r="H197" s="115" t="n"/>
      <c r="I197" s="115" t="inlineStr">
        <is>
          <t>مبلغ صفر – البيان مسجل بدون قيمة</t>
        </is>
      </c>
    </row>
    <row r="198">
      <c r="A198" s="115" t="n">
        <v>197</v>
      </c>
      <c r="B198" s="116" t="n">
        <v>46176</v>
      </c>
      <c r="C198" s="115" t="inlineStr">
        <is>
          <t>161</t>
        </is>
      </c>
      <c r="D198" s="115" t="inlineStr">
        <is>
          <t>مصروف</t>
        </is>
      </c>
      <c r="E198" s="115" t="inlineStr">
        <is>
          <t>دفع فاتورة كهرباء شهر 5-2026</t>
        </is>
      </c>
      <c r="F198" s="117" t="n">
        <v>0</v>
      </c>
      <c r="G198" s="115" t="inlineStr">
        <is>
          <t>كهرباء وخدمات</t>
        </is>
      </c>
      <c r="H198" s="115" t="n"/>
      <c r="I198" s="115" t="inlineStr">
        <is>
          <t>مبلغ صفر – البيان مسجل بدون قيمة</t>
        </is>
      </c>
    </row>
    <row r="199">
      <c r="A199" s="9" t="n"/>
      <c r="B199" s="9" t="n"/>
      <c r="C199" s="9" t="n"/>
      <c r="D199" s="9" t="n"/>
      <c r="E199" s="9" t="inlineStr">
        <is>
          <t>الإجمالي</t>
        </is>
      </c>
      <c r="F199" s="10">
        <f>SUM(F2:F198)</f>
        <v/>
      </c>
      <c r="G199" s="9" t="n"/>
      <c r="H199" s="9" t="n"/>
      <c r="I199" s="9" t="n"/>
    </row>
  </sheetData>
  <autoFilter ref="A1:I198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1" t="n">
        <v>34</v>
      </c>
      <c r="B36" s="11" t="inlineStr">
        <is>
          <t>DIS-Riyadh-0012</t>
        </is>
      </c>
      <c r="C36" s="106" t="n">
        <v>46204</v>
      </c>
      <c r="D36" s="11" t="inlineStr">
        <is>
          <t>صرف</t>
        </is>
      </c>
      <c r="E36" s="11" t="inlineStr">
        <is>
          <t>ENG.AHMED ABDELSABOUR</t>
        </is>
      </c>
      <c r="F36" s="12" t="n"/>
      <c r="G36" s="12" t="n">
        <v>11000</v>
      </c>
      <c r="H36" s="11" t="inlineStr">
        <is>
          <t>⚠ صرف 11,000 لموظف نسما – بدون بيان (هل هو مسحوبات أبو مازن؟)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3" t="n">
        <v>4</v>
      </c>
      <c r="B6" s="3" t="inlineStr">
        <is>
          <t>DIS-Riyadh-0012</t>
        </is>
      </c>
      <c r="C6" s="107" t="n">
        <v>46204</v>
      </c>
      <c r="D6" s="4" t="n">
        <v>11000</v>
      </c>
      <c r="E6" s="3" t="inlineStr">
        <is>
          <t>ENG.AHMED ABDELSABOUR</t>
        </is>
      </c>
      <c r="F6" s="3" t="inlineStr">
        <is>
          <t>تقرير الخزنة – صفحة 5 سطر 117</t>
        </is>
      </c>
      <c r="G6" s="3" t="inlineStr">
        <is>
          <t>صفحة "خزنة الرياض 6-7 2026"</t>
        </is>
      </c>
      <c r="H6" s="3" t="inlineStr">
        <is>
          <t>هل هو تحويل لأبو مازن؟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1" ht="34" customHeight="1"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C55A11"/>
    <outlinePr summaryBelow="1" summaryRight="1"/>
    <pageSetUpPr/>
  </sheetPr>
  <dimension ref="A1:G42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8" t="n">
        <v>2</v>
      </c>
      <c r="B40" s="18" t="inlineStr">
        <is>
          <t>بساتين الرياض – PO-0777 (24-6-2026)</t>
        </is>
      </c>
      <c r="C40" s="18" t="inlineStr"/>
      <c r="D40" s="19" t="n">
        <v>66420</v>
      </c>
      <c r="E40" s="19" t="n"/>
      <c r="F40" s="19">
        <f>D40-IF(E40="",0,E40)</f>
        <v/>
      </c>
      <c r="G40" s="18" t="inlineStr">
        <is>
          <t>⚠ مدفوع جزئياً – المسدد غير معروف</t>
        </is>
      </c>
    </row>
    <row r="41">
      <c r="A41" s="16" t="n">
        <v>3</v>
      </c>
      <c r="B41" s="16" t="inlineStr">
        <is>
          <t>شركة الجزيرة الحديثة – عقد عرعر (25-12-2025)</t>
        </is>
      </c>
      <c r="C41" s="16" t="inlineStr"/>
      <c r="D41" s="17" t="n">
        <v>21250</v>
      </c>
      <c r="E41" s="17" t="n">
        <v>0</v>
      </c>
      <c r="F41" s="17">
        <f>D41-IF(E41="",0,E41)</f>
        <v/>
      </c>
      <c r="G41" s="16" t="inlineStr">
        <is>
          <t>غير مدفوع</t>
        </is>
      </c>
    </row>
    <row r="42">
      <c r="A42" s="9" t="inlineStr"/>
      <c r="B42" s="9" t="inlineStr">
        <is>
          <t>الإجمالي</t>
        </is>
      </c>
      <c r="C42" s="9" t="inlineStr"/>
      <c r="D42" s="10">
        <f>SUM(D39:D41)</f>
        <v/>
      </c>
      <c r="E42" s="9" t="inlineStr"/>
      <c r="F42" s="10">
        <f>SUM(F39:F41)</f>
        <v/>
      </c>
      <c r="G42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شركة الجزيرة الحديثة الزراعية</t>
        </is>
      </c>
      <c r="D129" s="16" t="inlineStr">
        <is>
          <t>WHK-2364</t>
        </is>
      </c>
      <c r="E129" s="16" t="inlineStr">
        <is>
          <t>مرفق طلب التوريد</t>
        </is>
      </c>
      <c r="F129" s="17" t="n">
        <v>36956.52</v>
      </c>
      <c r="G129" s="16" t="n">
        <v>15</v>
      </c>
      <c r="H129" s="17" t="n">
        <v>42500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مشتريات زهور لعقد عرعر (WHK-2364)</t>
        </is>
      </c>
      <c r="L129" s="16" t="inlineStr">
        <is>
          <t>تكلفة زهور مشتراة لتوريد عقد عرعر لأبو خالد</t>
        </is>
      </c>
    </row>
    <row r="130">
      <c r="A130" s="16" t="n">
        <v>129</v>
      </c>
      <c r="B130" s="95" t="n">
        <v>45935</v>
      </c>
      <c r="C130" s="16" t="inlineStr">
        <is>
          <t>اللوازم المكتبية</t>
        </is>
      </c>
      <c r="D130" s="16" t="inlineStr">
        <is>
          <t>RIYADH NURSERY</t>
        </is>
      </c>
      <c r="E130" s="16" t="inlineStr">
        <is>
          <t>شراء ادوات للطبخ</t>
        </is>
      </c>
      <c r="F130" s="17" t="n">
        <v>224.35</v>
      </c>
      <c r="G130" s="16" t="n">
        <v>15</v>
      </c>
      <c r="H130" s="17" t="n">
        <v>258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مصروفات إدارية وأخرى</t>
        </is>
      </c>
      <c r="L130" s="16" t="n"/>
    </row>
    <row r="131">
      <c r="A131" s="16" t="n">
        <v>130</v>
      </c>
      <c r="B131" s="95" t="n">
        <v>45935</v>
      </c>
      <c r="C131" s="16" t="inlineStr">
        <is>
          <t>شركة سائح لى للبلاستيك المحدوده</t>
        </is>
      </c>
      <c r="D131" s="16" t="inlineStr">
        <is>
          <t>RIYADH NURSERY</t>
        </is>
      </c>
      <c r="E131" s="16" t="inlineStr">
        <is>
          <t>شراء صناديق فلين</t>
        </is>
      </c>
      <c r="F131" s="17" t="n">
        <v>1780.8</v>
      </c>
      <c r="G131" s="16" t="n">
        <v>15</v>
      </c>
      <c r="H131" s="17" t="n">
        <v>2047.92</v>
      </c>
      <c r="I131" s="16" t="inlineStr">
        <is>
          <t>نعم</t>
        </is>
      </c>
      <c r="J131" s="16" t="inlineStr">
        <is>
          <t>مزرعة الرياض (عهدة/صندوق)</t>
        </is>
      </c>
      <c r="K131" s="16" t="inlineStr">
        <is>
          <t>مستلزمات إنتاج (مراكن/فلين/مفارش)</t>
        </is>
      </c>
      <c r="L131" s="16" t="n"/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8" t="n">
        <v>133</v>
      </c>
      <c r="B134" s="98" t="n">
        <v>45935</v>
      </c>
      <c r="C134" s="18" t="inlineStr">
        <is>
          <t>شركة سائح لى للبلاستيك المحدوده</t>
        </is>
      </c>
      <c r="D134" s="18" t="inlineStr">
        <is>
          <t>RIYADH NURSERY</t>
        </is>
      </c>
      <c r="E134" s="18" t="n"/>
      <c r="F134" s="19" t="n">
        <v>1965.6</v>
      </c>
      <c r="G134" s="18" t="n">
        <v>15</v>
      </c>
      <c r="H134" s="19" t="n">
        <v>2260.44</v>
      </c>
      <c r="I134" s="18" t="inlineStr">
        <is>
          <t>نعم</t>
        </is>
      </c>
      <c r="J134" s="18" t="inlineStr">
        <is>
          <t>مزرعة الرياض (عهدة/صندوق)</t>
        </is>
      </c>
      <c r="K134" s="18" t="inlineStr">
        <is>
          <t>مستلزمات إنتاج (مراكن/فلين/مفارش)</t>
        </is>
      </c>
      <c r="L134" s="18" t="inlineStr">
        <is>
          <t>⚠ نفس المورد ونفس التاريخ ونفس القيمة مكرر – يلزم التأكد</t>
        </is>
      </c>
    </row>
    <row r="135">
      <c r="A135" s="16" t="n">
        <v>134</v>
      </c>
      <c r="B135" s="95" t="n">
        <v>45936</v>
      </c>
      <c r="C135" s="16" t="inlineStr">
        <is>
          <t>مؤسسة تلال الربيع للمفارش</t>
        </is>
      </c>
      <c r="D135" s="16" t="inlineStr">
        <is>
          <t>RIYADH NURSERY</t>
        </is>
      </c>
      <c r="E135" s="16" t="n"/>
      <c r="F135" s="17" t="n">
        <v>105</v>
      </c>
      <c r="G135" s="16" t="n">
        <v>15</v>
      </c>
      <c r="H135" s="17" t="n">
        <v>120.75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مصروفات إدارية وأخرى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ورشة زهرة الجنادل</t>
        </is>
      </c>
      <c r="D136" s="16" t="inlineStr">
        <is>
          <t>RIYADH NURSERY</t>
        </is>
      </c>
      <c r="E136" s="16" t="n"/>
      <c r="F136" s="17" t="n">
        <v>147.83</v>
      </c>
      <c r="G136" s="16" t="n">
        <v>15</v>
      </c>
      <c r="H136" s="17" t="n">
        <v>170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صيانة سيارات ومعدات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شركة سائح لى للبلاستيك المحدوده</t>
        </is>
      </c>
      <c r="D137" s="16" t="inlineStr">
        <is>
          <t>RIYADH NURSERY</t>
        </is>
      </c>
      <c r="E137" s="16" t="n"/>
      <c r="F137" s="17" t="n">
        <v>1965.6</v>
      </c>
      <c r="G137" s="16" t="n">
        <v>15</v>
      </c>
      <c r="H137" s="17" t="n">
        <v>2260.44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مستلزمات إنتاج (مراكن/فلين/مفارش)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217.39</v>
      </c>
      <c r="G138" s="16" t="n">
        <v>15</v>
      </c>
      <c r="H138" s="17" t="n">
        <v>250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45936</v>
      </c>
      <c r="C139" s="16" t="inlineStr">
        <is>
          <t>الوقود</t>
        </is>
      </c>
      <c r="D139" s="16" t="inlineStr">
        <is>
          <t>RIYADH NURSERY</t>
        </is>
      </c>
      <c r="E139" s="16" t="n"/>
      <c r="F139" s="17" t="n">
        <v>173.91</v>
      </c>
      <c r="G139" s="16" t="n">
        <v>15</v>
      </c>
      <c r="H139" s="17" t="n">
        <v>200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وقود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صيانة</t>
        </is>
      </c>
      <c r="D140" s="16" t="inlineStr">
        <is>
          <t>RIYADH NURSERY</t>
        </is>
      </c>
      <c r="E140" s="16" t="n"/>
      <c r="F140" s="17" t="n">
        <v>26.09</v>
      </c>
      <c r="G140" s="16" t="n">
        <v>15</v>
      </c>
      <c r="H140" s="17" t="n">
        <v>30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صيانة وإنشاءات المزرعة</t>
        </is>
      </c>
      <c r="L140" s="16" t="n"/>
    </row>
    <row r="141">
      <c r="A141" s="16" t="n">
        <v>140</v>
      </c>
      <c r="B141" s="95" t="n">
        <v>45938</v>
      </c>
      <c r="C141" s="16" t="inlineStr">
        <is>
          <t>إصلاحات</t>
        </is>
      </c>
      <c r="D141" s="16" t="inlineStr">
        <is>
          <t>RIYADH NURSERY</t>
        </is>
      </c>
      <c r="E141" s="16" t="inlineStr">
        <is>
          <t>300 ريال ايجار لودر يطلع</t>
        </is>
      </c>
      <c r="F141" s="17" t="n">
        <v>260.87</v>
      </c>
      <c r="G141" s="16" t="n">
        <v>15</v>
      </c>
      <c r="H141" s="17" t="n">
        <v>300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شركة الجزيرة الحديثة الزراعية</t>
        </is>
      </c>
      <c r="D142" s="16" t="inlineStr">
        <is>
          <t>WHK-2364</t>
        </is>
      </c>
      <c r="E142" s="16" t="inlineStr">
        <is>
          <t>مرفق طلب التوريد</t>
        </is>
      </c>
      <c r="F142" s="17" t="n">
        <v>34173.91</v>
      </c>
      <c r="G142" s="16" t="n">
        <v>15</v>
      </c>
      <c r="H142" s="17" t="n">
        <v>39300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مشتريات زهور لعقد عرعر (WHK-2364)</t>
        </is>
      </c>
      <c r="L142" s="16" t="inlineStr">
        <is>
          <t>تكلفة زهور مشتراة لتوريد عقد عرعر لأبو خالد</t>
        </is>
      </c>
    </row>
    <row r="143">
      <c r="A143" s="16" t="n">
        <v>142</v>
      </c>
      <c r="B143" s="95" t="n">
        <v>45939</v>
      </c>
      <c r="C143" s="16" t="inlineStr">
        <is>
          <t>شركة امجاد الخليج</t>
        </is>
      </c>
      <c r="D143" s="16" t="inlineStr">
        <is>
          <t>RIYADH NURSERY</t>
        </is>
      </c>
      <c r="E143" s="16" t="inlineStr">
        <is>
          <t>51000 مركن 12 تم تعديل سع</t>
        </is>
      </c>
      <c r="F143" s="17" t="n">
        <v>8160</v>
      </c>
      <c r="G143" s="16" t="n">
        <v>0</v>
      </c>
      <c r="H143" s="17" t="n">
        <v>8160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45939</v>
      </c>
      <c r="C144" s="16" t="inlineStr">
        <is>
          <t>الوقود</t>
        </is>
      </c>
      <c r="D144" s="16" t="inlineStr">
        <is>
          <t>RIYADH NURSERY</t>
        </is>
      </c>
      <c r="E144" s="16" t="n"/>
      <c r="F144" s="17" t="n">
        <v>30.43</v>
      </c>
      <c r="G144" s="16" t="n">
        <v>15</v>
      </c>
      <c r="H144" s="17" t="n">
        <v>35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وقود</t>
        </is>
      </c>
      <c r="L144" s="16" t="n"/>
    </row>
    <row r="145">
      <c r="A145" s="16" t="n">
        <v>144</v>
      </c>
      <c r="B145" s="95" t="n">
        <v>45939</v>
      </c>
      <c r="C145" s="16" t="inlineStr">
        <is>
          <t>شركة محمد مبارك المسعودى للتجاره</t>
        </is>
      </c>
      <c r="D145" s="16" t="inlineStr">
        <is>
          <t>RIYADH NURSERY</t>
        </is>
      </c>
      <c r="E145" s="16" t="inlineStr">
        <is>
          <t>شراء ثلاجه وفريزر</t>
        </is>
      </c>
      <c r="F145" s="17" t="n">
        <v>1478.26</v>
      </c>
      <c r="G145" s="16" t="n">
        <v>15</v>
      </c>
      <c r="H145" s="17" t="n">
        <v>1700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البرمجيات</t>
        </is>
      </c>
      <c r="D146" s="16" t="inlineStr">
        <is>
          <t>RIYADH NURSERY</t>
        </is>
      </c>
      <c r="E146" s="16" t="n"/>
      <c r="F146" s="17" t="n">
        <v>891.3</v>
      </c>
      <c r="G146" s="16" t="n">
        <v>15</v>
      </c>
      <c r="H146" s="17" t="n">
        <v>1025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مصروفات إدارية وأخرى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شركة زهور المدينة التجارية</t>
        </is>
      </c>
      <c r="D147" s="16" t="inlineStr">
        <is>
          <t>RIYADH NURSERY</t>
        </is>
      </c>
      <c r="E147" s="16" t="n"/>
      <c r="F147" s="17" t="n">
        <v>686.96</v>
      </c>
      <c r="G147" s="16" t="n">
        <v>15</v>
      </c>
      <c r="H147" s="17" t="n">
        <v>790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مصروفات إدارية وأخرى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ينابع المئويه لتحلية المياه</t>
        </is>
      </c>
      <c r="D148" s="16" t="inlineStr">
        <is>
          <t>RIYADH NURSERY</t>
        </is>
      </c>
      <c r="E148" s="16" t="n"/>
      <c r="F148" s="17" t="n">
        <v>52.17</v>
      </c>
      <c r="G148" s="16" t="n">
        <v>15</v>
      </c>
      <c r="H148" s="17" t="n">
        <v>60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خدمات (كهرباء/مياه/اتصالات)</t>
        </is>
      </c>
      <c r="L148" s="16" t="n"/>
    </row>
    <row r="149">
      <c r="A149" s="16" t="n">
        <v>148</v>
      </c>
      <c r="B149" s="95" t="n">
        <v>45940</v>
      </c>
      <c r="C149" s="16" t="inlineStr">
        <is>
          <t>الوقود</t>
        </is>
      </c>
      <c r="D149" s="16" t="inlineStr">
        <is>
          <t>RIYADH NURSERY</t>
        </is>
      </c>
      <c r="E149" s="16" t="n"/>
      <c r="F149" s="17" t="n">
        <v>30.45</v>
      </c>
      <c r="G149" s="16" t="n">
        <v>15</v>
      </c>
      <c r="H149" s="17" t="n">
        <v>35.02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وقود</t>
        </is>
      </c>
      <c r="L149" s="16" t="n"/>
    </row>
    <row r="150">
      <c r="A150" s="16" t="n">
        <v>149</v>
      </c>
      <c r="B150" s="95" t="n">
        <v>45940</v>
      </c>
      <c r="C150" s="16" t="inlineStr">
        <is>
          <t>الوقود</t>
        </is>
      </c>
      <c r="D150" s="16" t="inlineStr">
        <is>
          <t>RIYADH NURSERY</t>
        </is>
      </c>
      <c r="E150" s="16" t="n"/>
      <c r="F150" s="17" t="n">
        <v>204.35</v>
      </c>
      <c r="G150" s="16" t="n">
        <v>15</v>
      </c>
      <c r="H150" s="17" t="n">
        <v>235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وقود</t>
        </is>
      </c>
      <c r="L150" s="16" t="n"/>
    </row>
    <row r="151">
      <c r="A151" s="16" t="n">
        <v>150</v>
      </c>
      <c r="B151" s="95" t="n">
        <v>45941</v>
      </c>
      <c r="C151" s="16" t="inlineStr">
        <is>
          <t>مصنع شركة سانح لى للبلاستيك</t>
        </is>
      </c>
      <c r="D151" s="16" t="inlineStr">
        <is>
          <t>RIYADH NURSERY-PO955</t>
        </is>
      </c>
      <c r="E151" s="16" t="n"/>
      <c r="F151" s="17" t="n">
        <v>1965.6</v>
      </c>
      <c r="G151" s="16" t="n">
        <v>15</v>
      </c>
      <c r="H151" s="17" t="n">
        <v>2260.44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مستلزمات إنتاج (مراكن/فلين/مفارش)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رواتب</t>
        </is>
      </c>
      <c r="D152" s="16" t="inlineStr">
        <is>
          <t>RIYADH NURSERY</t>
        </is>
      </c>
      <c r="E152" s="16" t="n"/>
      <c r="F152" s="17" t="n">
        <v>19565.22</v>
      </c>
      <c r="G152" s="16" t="n">
        <v>15</v>
      </c>
      <c r="H152" s="17" t="n">
        <v>22500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رواتب وعمولات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رواتب</t>
        </is>
      </c>
      <c r="D153" s="16" t="inlineStr">
        <is>
          <t>RIYADH NURSERY</t>
        </is>
      </c>
      <c r="E153" s="16" t="n"/>
      <c r="F153" s="17" t="n">
        <v>20388.7</v>
      </c>
      <c r="G153" s="16" t="n">
        <v>15</v>
      </c>
      <c r="H153" s="17" t="n">
        <v>23447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رواتب وعمولات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مصنع شركة سانح لى للبلاستيك</t>
        </is>
      </c>
      <c r="D154" s="16" t="inlineStr">
        <is>
          <t>RIYADH NURSERY-PO958</t>
        </is>
      </c>
      <c r="E154" s="16" t="n"/>
      <c r="F154" s="17" t="n">
        <v>1965.6</v>
      </c>
      <c r="G154" s="16" t="n">
        <v>15</v>
      </c>
      <c r="H154" s="17" t="n">
        <v>2260.44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مستلزمات إنتاج (مراكن/فلين/مفارش)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HETA NURSERYS</t>
        </is>
      </c>
      <c r="D155" s="16" t="inlineStr">
        <is>
          <t>RIYADH NURSERY - PO959</t>
        </is>
      </c>
      <c r="E155" s="16" t="n"/>
      <c r="F155" s="17" t="n">
        <v>4065.22</v>
      </c>
      <c r="G155" s="16" t="n">
        <v>15</v>
      </c>
      <c r="H155" s="17" t="n">
        <v>4675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45942</v>
      </c>
      <c r="C156" s="16" t="inlineStr">
        <is>
          <t>HETA NURSERYS</t>
        </is>
      </c>
      <c r="D156" s="16" t="inlineStr">
        <is>
          <t>RIYADH NURSERY-PO956</t>
        </is>
      </c>
      <c r="E156" s="16" t="n"/>
      <c r="F156" s="17" t="n">
        <v>11920.65</v>
      </c>
      <c r="G156" s="16" t="n">
        <v>15</v>
      </c>
      <c r="H156" s="17" t="n">
        <v>13708.75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مشتريات نباتات وبذور</t>
        </is>
      </c>
      <c r="L156" s="16" t="n"/>
    </row>
    <row r="157">
      <c r="A157" s="16" t="n">
        <v>156</v>
      </c>
      <c r="B157" s="95" t="n">
        <v>45942</v>
      </c>
      <c r="C157" s="16" t="inlineStr">
        <is>
          <t>موسسة الدلتا الخضراء للتجاره</t>
        </is>
      </c>
      <c r="D157" s="16" t="inlineStr">
        <is>
          <t>RIYADH NURSERY</t>
        </is>
      </c>
      <c r="E157" s="16" t="n"/>
      <c r="F157" s="17" t="n">
        <v>515</v>
      </c>
      <c r="G157" s="16" t="n">
        <v>15</v>
      </c>
      <c r="H157" s="17" t="n">
        <v>592.25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مشتريات نباتات وبذور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هاتف الموبايل</t>
        </is>
      </c>
      <c r="D158" s="16" t="inlineStr">
        <is>
          <t>RIYADH NURSERY</t>
        </is>
      </c>
      <c r="E158" s="16" t="inlineStr">
        <is>
          <t>شحن جوال عصمت</t>
        </is>
      </c>
      <c r="F158" s="17" t="n">
        <v>100</v>
      </c>
      <c r="G158" s="16" t="n">
        <v>15</v>
      </c>
      <c r="H158" s="17" t="n">
        <v>115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خدمات (كهرباء/مياه/اتصالات)</t>
        </is>
      </c>
      <c r="L158" s="16" t="n"/>
    </row>
    <row r="159">
      <c r="A159" s="16" t="n">
        <v>158</v>
      </c>
      <c r="B159" s="95" t="n">
        <v>45943</v>
      </c>
      <c r="C159" s="16" t="inlineStr">
        <is>
          <t>مؤسسة تركي بن محمد العتيبي للشحن</t>
        </is>
      </c>
      <c r="D159" s="16" t="inlineStr">
        <is>
          <t>RIYADH NURSERY</t>
        </is>
      </c>
      <c r="E159" s="16" t="n"/>
      <c r="F159" s="17" t="n">
        <v>69.56999999999999</v>
      </c>
      <c r="G159" s="16" t="n">
        <v>15</v>
      </c>
      <c r="H159" s="17" t="n">
        <v>80.01000000000001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مصروفات إدارية وأخرى</t>
        </is>
      </c>
      <c r="L159" s="16" t="n"/>
    </row>
    <row r="160">
      <c r="A160" s="16" t="n">
        <v>159</v>
      </c>
      <c r="B160" s="95" t="n">
        <v>45943</v>
      </c>
      <c r="C160" s="16" t="inlineStr">
        <is>
          <t>اللوازم المكتبية</t>
        </is>
      </c>
      <c r="D160" s="16" t="inlineStr">
        <is>
          <t>RIYADH NURSERY</t>
        </is>
      </c>
      <c r="E160" s="16" t="n"/>
      <c r="F160" s="17" t="n">
        <v>43.26</v>
      </c>
      <c r="G160" s="16" t="n">
        <v>15</v>
      </c>
      <c r="H160" s="17" t="n">
        <v>49.75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45944</v>
      </c>
      <c r="C161" s="16" t="inlineStr">
        <is>
          <t>مؤسسة المحترف الامثل للتجارة - سباكة</t>
        </is>
      </c>
      <c r="D161" s="16" t="inlineStr">
        <is>
          <t>RIYADH NURSERY</t>
        </is>
      </c>
      <c r="E161" s="16" t="n"/>
      <c r="F161" s="17" t="n">
        <v>234</v>
      </c>
      <c r="G161" s="16" t="n">
        <v>15</v>
      </c>
      <c r="H161" s="17" t="n">
        <v>269.1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صيانة وإنشاءات المزرعة</t>
        </is>
      </c>
      <c r="L161" s="16" t="n"/>
    </row>
    <row r="162">
      <c r="A162" s="16" t="n">
        <v>161</v>
      </c>
      <c r="B162" s="95" t="n">
        <v>45944</v>
      </c>
      <c r="C162" s="16" t="inlineStr">
        <is>
          <t>مؤسسة قاعدة الركن التجارية - معدات زراعبة</t>
        </is>
      </c>
      <c r="D162" s="16" t="inlineStr">
        <is>
          <t>RIYADH NURSERY</t>
        </is>
      </c>
      <c r="E162" s="16" t="n"/>
      <c r="F162" s="17" t="n">
        <v>104.35</v>
      </c>
      <c r="G162" s="16" t="n">
        <v>15</v>
      </c>
      <c r="H162" s="17" t="n">
        <v>120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مصروفات إدارية وأخرى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HETA NURSERYS</t>
        </is>
      </c>
      <c r="D163" s="16" t="inlineStr">
        <is>
          <t>RIYADH NURSERY - PO1003</t>
        </is>
      </c>
      <c r="E163" s="16" t="n"/>
      <c r="F163" s="17" t="n">
        <v>3826.09</v>
      </c>
      <c r="G163" s="16" t="n">
        <v>15</v>
      </c>
      <c r="H163" s="17" t="n">
        <v>4400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مشتريات نباتات وبذور</t>
        </is>
      </c>
      <c r="L163" s="16" t="n"/>
    </row>
    <row r="164">
      <c r="A164" s="16" t="n">
        <v>163</v>
      </c>
      <c r="B164" s="95" t="n">
        <v>45945</v>
      </c>
      <c r="C164" s="16" t="inlineStr">
        <is>
          <t>مؤسسة رغدان للزراعه</t>
        </is>
      </c>
      <c r="D164" s="16" t="inlineStr">
        <is>
          <t>RIYADH NURSERY</t>
        </is>
      </c>
      <c r="E164" s="16" t="n"/>
      <c r="F164" s="17" t="n">
        <v>225.22</v>
      </c>
      <c r="G164" s="16" t="n">
        <v>15</v>
      </c>
      <c r="H164" s="17" t="n">
        <v>259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مشتريات نباتات وبذور</t>
        </is>
      </c>
      <c r="L164" s="16" t="n"/>
    </row>
    <row r="165">
      <c r="A165" s="16" t="n">
        <v>164</v>
      </c>
      <c r="B165" s="95" t="n">
        <v>45945</v>
      </c>
      <c r="C165" s="16" t="inlineStr">
        <is>
          <t>رواتب</t>
        </is>
      </c>
      <c r="D165" s="16" t="inlineStr">
        <is>
          <t>RIYADH NURSERY</t>
        </is>
      </c>
      <c r="E165" s="16" t="n"/>
      <c r="F165" s="17" t="n">
        <v>695.65</v>
      </c>
      <c r="G165" s="16" t="n">
        <v>15</v>
      </c>
      <c r="H165" s="17" t="n">
        <v>800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رواتب وعمولات</t>
        </is>
      </c>
      <c r="L165" s="16" t="n"/>
    </row>
    <row r="166">
      <c r="A166" s="16" t="n">
        <v>165</v>
      </c>
      <c r="B166" s="95" t="n">
        <v>45946</v>
      </c>
      <c r="C166" s="16" t="inlineStr">
        <is>
          <t>مؤسسة المحترف الامثل للتجارة - سباكة</t>
        </is>
      </c>
      <c r="D166" s="16" t="inlineStr">
        <is>
          <t>RIYADH NURSERY</t>
        </is>
      </c>
      <c r="E166" s="16" t="n"/>
      <c r="F166" s="17" t="n">
        <v>86</v>
      </c>
      <c r="G166" s="16" t="n">
        <v>15</v>
      </c>
      <c r="H166" s="17" t="n">
        <v>98.90000000000001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صيانة وإنشاءات المزرعة</t>
        </is>
      </c>
      <c r="L166" s="16" t="n"/>
    </row>
    <row r="167">
      <c r="A167" s="16" t="n">
        <v>166</v>
      </c>
      <c r="B167" s="95" t="n">
        <v>45946</v>
      </c>
      <c r="C167" s="16" t="inlineStr">
        <is>
          <t>مؤسسة رواد سلام للتجارة</t>
        </is>
      </c>
      <c r="D167" s="16" t="inlineStr">
        <is>
          <t>RIYADH NURSERY</t>
        </is>
      </c>
      <c r="E167" s="16" t="n"/>
      <c r="F167" s="17" t="n">
        <v>478.26</v>
      </c>
      <c r="G167" s="16" t="n">
        <v>15</v>
      </c>
      <c r="H167" s="17" t="n">
        <v>550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مواد زراعية (بيتموس/بيرلايت/أسمدة/مبيدات)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HETA NURSERYS</t>
        </is>
      </c>
      <c r="D168" s="16" t="inlineStr">
        <is>
          <t>RIYADH NURSERY - PO1020</t>
        </is>
      </c>
      <c r="E168" s="16" t="n"/>
      <c r="F168" s="17" t="n">
        <v>2869.57</v>
      </c>
      <c r="G168" s="16" t="n">
        <v>15</v>
      </c>
      <c r="H168" s="17" t="n">
        <v>3300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مشتريات نباتات وبذور</t>
        </is>
      </c>
      <c r="L168" s="16" t="n"/>
    </row>
    <row r="169">
      <c r="A169" s="16" t="n">
        <v>168</v>
      </c>
      <c r="B169" s="95" t="n">
        <v>45948</v>
      </c>
      <c r="C169" s="16" t="inlineStr">
        <is>
          <t>سامي نقل - نولون</t>
        </is>
      </c>
      <c r="D169" s="16" t="inlineStr">
        <is>
          <t>RIYADH NURSERY</t>
        </is>
      </c>
      <c r="E169" s="16" t="n"/>
      <c r="F169" s="17" t="n">
        <v>304.35</v>
      </c>
      <c r="G169" s="16" t="n">
        <v>15</v>
      </c>
      <c r="H169" s="17" t="n">
        <v>350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مصروفات إدارية وأخرى</t>
        </is>
      </c>
      <c r="L169" s="16" t="n"/>
    </row>
    <row r="170">
      <c r="A170" s="16" t="n">
        <v>169</v>
      </c>
      <c r="B170" s="95" t="n">
        <v>45948</v>
      </c>
      <c r="C170" s="16" t="inlineStr">
        <is>
          <t>مبسط العجفة لمواد البناء</t>
        </is>
      </c>
      <c r="D170" s="16" t="inlineStr">
        <is>
          <t>RIYADH NURSERY</t>
        </is>
      </c>
      <c r="E170" s="16" t="n"/>
      <c r="F170" s="17" t="n">
        <v>1869.57</v>
      </c>
      <c r="G170" s="16" t="n">
        <v>15</v>
      </c>
      <c r="H170" s="17" t="n">
        <v>2150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صيانة وإنشاءات المزرعة</t>
        </is>
      </c>
      <c r="L170" s="16" t="n"/>
    </row>
    <row r="171">
      <c r="A171" s="16" t="n">
        <v>170</v>
      </c>
      <c r="B171" s="95" t="n">
        <v>45949</v>
      </c>
      <c r="C171" s="16" t="inlineStr">
        <is>
          <t>مصنع شركة سانح لى للبلاستيك</t>
        </is>
      </c>
      <c r="D171" s="16" t="inlineStr">
        <is>
          <t>RIYADH NURSERY - PO1023</t>
        </is>
      </c>
      <c r="E171" s="16" t="inlineStr">
        <is>
          <t>PO 1023</t>
        </is>
      </c>
      <c r="F171" s="17" t="n">
        <v>1965.6</v>
      </c>
      <c r="G171" s="16" t="n">
        <v>15</v>
      </c>
      <c r="H171" s="17" t="n">
        <v>2260.44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مستلزمات إنتاج (مراكن/فلين/مفارش)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ينابع المئويه لتحلية المياه</t>
        </is>
      </c>
      <c r="D172" s="16" t="inlineStr">
        <is>
          <t>RIYADH NURSERY</t>
        </is>
      </c>
      <c r="E172" s="16" t="n"/>
      <c r="F172" s="17" t="n">
        <v>52.17</v>
      </c>
      <c r="G172" s="16" t="n">
        <v>15</v>
      </c>
      <c r="H172" s="17" t="n">
        <v>60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خدمات (كهرباء/مياه/اتصالات)</t>
        </is>
      </c>
      <c r="L172" s="16" t="n"/>
    </row>
    <row r="173">
      <c r="A173" s="16" t="n">
        <v>172</v>
      </c>
      <c r="B173" s="95" t="n">
        <v>45950</v>
      </c>
      <c r="C173" s="16" t="inlineStr">
        <is>
          <t>مبسط العجفة لمواد البناء</t>
        </is>
      </c>
      <c r="D173" s="16" t="inlineStr">
        <is>
          <t>RIYADH NURSERY</t>
        </is>
      </c>
      <c r="E173" s="16" t="n"/>
      <c r="F173" s="17" t="n">
        <v>330.43</v>
      </c>
      <c r="G173" s="16" t="n">
        <v>15</v>
      </c>
      <c r="H173" s="17" t="n">
        <v>380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صيانة وإنشاءات المزرعة</t>
        </is>
      </c>
      <c r="L173" s="16" t="n"/>
    </row>
    <row r="174">
      <c r="A174" s="16" t="n">
        <v>173</v>
      </c>
      <c r="B174" s="95" t="n">
        <v>45950</v>
      </c>
      <c r="C174" s="16" t="inlineStr">
        <is>
          <t>مصنع شركة سانح لى للبلاستيك</t>
        </is>
      </c>
      <c r="D174" s="16" t="inlineStr">
        <is>
          <t>RIYADH NURSERY - PO1034</t>
        </is>
      </c>
      <c r="E174" s="16" t="inlineStr">
        <is>
          <t>PO 1034</t>
        </is>
      </c>
      <c r="F174" s="17" t="n">
        <v>1965.6</v>
      </c>
      <c r="G174" s="16" t="n">
        <v>15</v>
      </c>
      <c r="H174" s="17" t="n">
        <v>2260.44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مستلزمات إنتاج (مراكن/فلين/مفارش)</t>
        </is>
      </c>
      <c r="L174" s="16" t="n"/>
    </row>
    <row r="175">
      <c r="A175" s="16" t="n">
        <v>174</v>
      </c>
      <c r="B175" s="95" t="n">
        <v>45951</v>
      </c>
      <c r="C175" s="16" t="inlineStr">
        <is>
          <t>مؤسسة تلال الربيع للمفارش</t>
        </is>
      </c>
      <c r="D175" s="16" t="inlineStr">
        <is>
          <t>RIYADH NURSERY</t>
        </is>
      </c>
      <c r="E175" s="16" t="n"/>
      <c r="F175" s="17" t="n">
        <v>1382.39</v>
      </c>
      <c r="G175" s="16" t="n">
        <v>15</v>
      </c>
      <c r="H175" s="17" t="n">
        <v>1589.75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45951</v>
      </c>
      <c r="C176" s="16" t="inlineStr">
        <is>
          <t>مؤسسة المحترف الامثل للتجارة - سباكة</t>
        </is>
      </c>
      <c r="D176" s="16" t="inlineStr">
        <is>
          <t>RIYADH NURSERY</t>
        </is>
      </c>
      <c r="E176" s="16" t="inlineStr">
        <is>
          <t>شحن جوال عصمت</t>
        </is>
      </c>
      <c r="F176" s="17" t="n">
        <v>310</v>
      </c>
      <c r="G176" s="16" t="n">
        <v>15</v>
      </c>
      <c r="H176" s="17" t="n">
        <v>356.5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صيانة وإنشاءات المزرعة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مؤسسة النمور للخدمات التسويقية</t>
        </is>
      </c>
      <c r="D177" s="16" t="inlineStr">
        <is>
          <t>RIYADH NURSERY</t>
        </is>
      </c>
      <c r="E177" s="16" t="n"/>
      <c r="F177" s="17" t="n">
        <v>173.91</v>
      </c>
      <c r="G177" s="16" t="n">
        <v>15</v>
      </c>
      <c r="H177" s="17" t="n">
        <v>200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مصروفات إدارية وأخرى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موسسة بيت الوسيط لتجاره</t>
        </is>
      </c>
      <c r="D178" s="16" t="inlineStr">
        <is>
          <t>RIYADH NURSERY</t>
        </is>
      </c>
      <c r="E178" s="16" t="n"/>
      <c r="F178" s="17" t="n">
        <v>260.87</v>
      </c>
      <c r="G178" s="16" t="n">
        <v>15</v>
      </c>
      <c r="H178" s="17" t="n">
        <v>300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مواد زراعية (بيتموس/بيرلايت/أسمدة/مبيدات)</t>
        </is>
      </c>
      <c r="L178" s="16" t="n"/>
    </row>
    <row r="179">
      <c r="A179" s="16" t="n">
        <v>178</v>
      </c>
      <c r="B179" s="95" t="n">
        <v>45953</v>
      </c>
      <c r="C179" s="16" t="inlineStr">
        <is>
          <t>شركة التكامل</t>
        </is>
      </c>
      <c r="D179" s="16" t="inlineStr">
        <is>
          <t>RIYADH NURSERY</t>
        </is>
      </c>
      <c r="E179" s="16" t="n"/>
      <c r="F179" s="17" t="n">
        <v>730.3200000000001</v>
      </c>
      <c r="G179" s="16" t="n">
        <v>15</v>
      </c>
      <c r="H179" s="17" t="n">
        <v>839.87</v>
      </c>
      <c r="I179" s="16" t="inlineStr">
        <is>
          <t>نعم</t>
        </is>
      </c>
      <c r="J179" s="16" t="inlineStr">
        <is>
          <t>مزرعة الرياض (عهدة/صندوق)</t>
        </is>
      </c>
      <c r="K179" s="16" t="inlineStr">
        <is>
          <t>مشتريات نباتات وبذور</t>
        </is>
      </c>
      <c r="L179" s="16" t="n"/>
    </row>
    <row r="180">
      <c r="A180" s="16" t="n">
        <v>179</v>
      </c>
      <c r="B180" s="95" t="n">
        <v>45953</v>
      </c>
      <c r="C180" s="16" t="inlineStr">
        <is>
          <t>مؤسسة هيلاء عبيد الدوسرى</t>
        </is>
      </c>
      <c r="D180" s="16" t="inlineStr">
        <is>
          <t>RIYADH NURSERY</t>
        </is>
      </c>
      <c r="E180" s="16" t="n"/>
      <c r="F180" s="17" t="n">
        <v>204.35</v>
      </c>
      <c r="G180" s="16" t="n">
        <v>15</v>
      </c>
      <c r="H180" s="17" t="n">
        <v>235</v>
      </c>
      <c r="I180" s="16" t="inlineStr">
        <is>
          <t>نعم</t>
        </is>
      </c>
      <c r="J180" s="16" t="inlineStr">
        <is>
          <t>مزرعة الرياض (عهدة/صندوق)</t>
        </is>
      </c>
      <c r="K180" s="16" t="inlineStr">
        <is>
          <t>مصروفات إدارية وأخرى</t>
        </is>
      </c>
      <c r="L180" s="16" t="n"/>
    </row>
    <row r="181">
      <c r="A181" s="18" t="n">
        <v>180</v>
      </c>
      <c r="B181" s="98" t="n">
        <v>45953</v>
      </c>
      <c r="C181" s="18" t="inlineStr">
        <is>
          <t>شركة المدارات السعودية للتجارة والاستيراد</t>
        </is>
      </c>
      <c r="D181" s="18" t="inlineStr">
        <is>
          <t>RIYADH NURSERY - PO1040</t>
        </is>
      </c>
      <c r="E181" s="18" t="inlineStr">
        <is>
          <t>تم التحويل البنكى من نسما</t>
        </is>
      </c>
      <c r="F181" s="19" t="n">
        <v>44000</v>
      </c>
      <c r="G181" s="18" t="n">
        <v>15</v>
      </c>
      <c r="H181" s="19" t="n">
        <v>50600</v>
      </c>
      <c r="I181" s="18" t="inlineStr">
        <is>
          <t>نعم</t>
        </is>
      </c>
      <c r="J181" s="18" t="inlineStr">
        <is>
          <t>مزرعة تبوك (نسما) – تحويل بنكي</t>
        </is>
      </c>
      <c r="K181" s="18" t="inlineStr">
        <is>
          <t>مواد زراعية (بيتموس/بيرلايت/أسمدة/مبيدات)</t>
        </is>
      </c>
      <c r="L1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2">
      <c r="A182" s="18" t="n">
        <v>181</v>
      </c>
      <c r="B182" s="98" t="n">
        <v>45953</v>
      </c>
      <c r="C182" s="18" t="inlineStr">
        <is>
          <t>شركة المدارات السعودية للتجارة والاستيراد</t>
        </is>
      </c>
      <c r="D182" s="18" t="inlineStr">
        <is>
          <t>RIYADH NURSERY - PO1043</t>
        </is>
      </c>
      <c r="E182" s="18" t="inlineStr">
        <is>
          <t>اذن صرف نقدية 8</t>
        </is>
      </c>
      <c r="F182" s="19" t="n">
        <v>44000</v>
      </c>
      <c r="G182" s="18" t="n">
        <v>15</v>
      </c>
      <c r="H182" s="19" t="n">
        <v>50600</v>
      </c>
      <c r="I182" s="18" t="inlineStr">
        <is>
          <t>نعم</t>
        </is>
      </c>
      <c r="J182" s="18" t="inlineStr">
        <is>
          <t>مزرعة الرياض (عهدة/صندوق)</t>
        </is>
      </c>
      <c r="K182" s="18" t="inlineStr">
        <is>
          <t>مواد زراعية (بيتموس/بيرلايت/أسمدة/مبيدات)</t>
        </is>
      </c>
      <c r="L182" s="18" t="inlineStr">
        <is>
          <t>⚠ نفس المورد ونفس التاريخ ونفس القيمة مكرر – يلزم التأكد</t>
        </is>
      </c>
    </row>
    <row r="183">
      <c r="A183" s="16" t="n">
        <v>182</v>
      </c>
      <c r="B183" s="95" t="n">
        <v>45953</v>
      </c>
      <c r="C183" s="16" t="inlineStr">
        <is>
          <t>شركة المدارات السعودية للتجارة والاستيراد</t>
        </is>
      </c>
      <c r="D183" s="16" t="inlineStr">
        <is>
          <t>RIYADH NURSERY - PO1042</t>
        </is>
      </c>
      <c r="E183" s="16" t="inlineStr">
        <is>
          <t>اذن صرف نقدية 8</t>
        </is>
      </c>
      <c r="F183" s="17" t="n">
        <v>20000</v>
      </c>
      <c r="G183" s="16" t="n">
        <v>15</v>
      </c>
      <c r="H183" s="17" t="n">
        <v>23000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مواد زراعية (بيتموس/بيرلايت/أسمدة/مبيدات)</t>
        </is>
      </c>
      <c r="L183" s="16" t="n"/>
    </row>
    <row r="184">
      <c r="A184" s="16" t="n">
        <v>183</v>
      </c>
      <c r="B184" s="95" t="n">
        <v>45954</v>
      </c>
      <c r="C184" s="16" t="inlineStr">
        <is>
          <t>شركة الجزيرة الحديثة الزراعية</t>
        </is>
      </c>
      <c r="D184" s="16" t="inlineStr">
        <is>
          <t>WHK-2364</t>
        </is>
      </c>
      <c r="E184" s="16" t="inlineStr">
        <is>
          <t>مرفق طلب التوريد</t>
        </is>
      </c>
      <c r="F184" s="17" t="n">
        <v>35740</v>
      </c>
      <c r="G184" s="16" t="n">
        <v>0</v>
      </c>
      <c r="H184" s="17" t="n">
        <v>35740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مشتريات زهور لعقد عرعر (WHK-2364)</t>
        </is>
      </c>
      <c r="L184" s="16" t="inlineStr">
        <is>
          <t>تكلفة زهور مشتراة لتوريد عقد عرعر لأبو خالد</t>
        </is>
      </c>
    </row>
    <row r="185">
      <c r="A185" s="16" t="n">
        <v>184</v>
      </c>
      <c r="B185" s="95" t="n">
        <v>45955</v>
      </c>
      <c r="C185" s="16" t="inlineStr">
        <is>
          <t>مؤسسة هيلاء عبيد الدوسرى</t>
        </is>
      </c>
      <c r="D185" s="16" t="inlineStr">
        <is>
          <t>RIYADH NURSERY</t>
        </is>
      </c>
      <c r="E185" s="16" t="n"/>
      <c r="F185" s="17" t="n">
        <v>204.35</v>
      </c>
      <c r="G185" s="16" t="n">
        <v>15</v>
      </c>
      <c r="H185" s="17" t="n">
        <v>235</v>
      </c>
      <c r="I185" s="16" t="inlineStr">
        <is>
          <t>نعم</t>
        </is>
      </c>
      <c r="J185" s="16" t="inlineStr">
        <is>
          <t>مزرعة الرياض (عهدة/صندوق)</t>
        </is>
      </c>
      <c r="K185" s="16" t="inlineStr">
        <is>
          <t>مصروفات إدارية وأخرى</t>
        </is>
      </c>
      <c r="L185" s="16" t="n"/>
    </row>
    <row r="186">
      <c r="A186" s="16" t="n">
        <v>185</v>
      </c>
      <c r="B186" s="95" t="n">
        <v>45955</v>
      </c>
      <c r="C186" s="16" t="inlineStr">
        <is>
          <t>مؤسسة بساتين الرياض</t>
        </is>
      </c>
      <c r="D186" s="16" t="inlineStr">
        <is>
          <t>RIYADH NURSERY - PO1046</t>
        </is>
      </c>
      <c r="E186" s="16" t="inlineStr">
        <is>
          <t>PO 1046</t>
        </is>
      </c>
      <c r="F186" s="17" t="n">
        <v>12017.39</v>
      </c>
      <c r="G186" s="16" t="n">
        <v>15</v>
      </c>
      <c r="H186" s="17" t="n">
        <v>13820</v>
      </c>
      <c r="I186" s="16" t="inlineStr">
        <is>
          <t>نعم</t>
        </is>
      </c>
      <c r="J186" s="16" t="inlineStr">
        <is>
          <t>مزرعة الرياض (عهدة/صندوق)</t>
        </is>
      </c>
      <c r="K186" s="16" t="inlineStr">
        <is>
          <t>مشتريات نباتات وبذور</t>
        </is>
      </c>
      <c r="L186" s="16" t="n"/>
    </row>
    <row r="187">
      <c r="A187" s="16" t="n">
        <v>186</v>
      </c>
      <c r="B187" s="95" t="n">
        <v>45955</v>
      </c>
      <c r="C187" s="16" t="inlineStr">
        <is>
          <t>شركة التاج المميزة التجارية</t>
        </is>
      </c>
      <c r="D187" s="16" t="inlineStr">
        <is>
          <t>RIYADH NURSERY - PO1057+PO1061</t>
        </is>
      </c>
      <c r="E187" s="16" t="inlineStr">
        <is>
          <t>PO1061+PO1057</t>
        </is>
      </c>
      <c r="F187" s="17" t="n">
        <v>10750</v>
      </c>
      <c r="G187" s="16" t="n">
        <v>15</v>
      </c>
      <c r="H187" s="17" t="n">
        <v>12362.5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مواد زراعية (بيتموس/بيرلايت/أسمدة/مبيدات)</t>
        </is>
      </c>
      <c r="L187" s="16" t="n"/>
    </row>
    <row r="188">
      <c r="A188" s="18" t="n">
        <v>187</v>
      </c>
      <c r="B188" s="98" t="n">
        <v>45955</v>
      </c>
      <c r="C188" s="18" t="inlineStr">
        <is>
          <t>مصنع شركة سانح لى للبلاستيك</t>
        </is>
      </c>
      <c r="D188" s="18" t="inlineStr">
        <is>
          <t>RIYADH NURSERY - PO1049</t>
        </is>
      </c>
      <c r="E188" s="18" t="inlineStr">
        <is>
          <t>PO 1049</t>
        </is>
      </c>
      <c r="F188" s="19" t="n">
        <v>1965.6</v>
      </c>
      <c r="G188" s="18" t="n">
        <v>15</v>
      </c>
      <c r="H188" s="19" t="n">
        <v>2260.44</v>
      </c>
      <c r="I188" s="18" t="inlineStr">
        <is>
          <t>نعم</t>
        </is>
      </c>
      <c r="J188" s="18" t="inlineStr">
        <is>
          <t>مزرعة الرياض (عهدة/صندوق)</t>
        </is>
      </c>
      <c r="K188" s="18" t="inlineStr">
        <is>
          <t>مستلزمات إنتاج (مراكن/فلين/مفارش)</t>
        </is>
      </c>
      <c r="L188" s="18" t="inlineStr">
        <is>
          <t>⚠ نفس المورد ونفس التاريخ ونفس القيمة مكرر – يلزم التأكد</t>
        </is>
      </c>
    </row>
    <row r="189">
      <c r="A189" s="18" t="n">
        <v>188</v>
      </c>
      <c r="B189" s="98" t="n">
        <v>45955</v>
      </c>
      <c r="C189" s="18" t="inlineStr">
        <is>
          <t>مصنع شركة سانح لى للبلاستيك</t>
        </is>
      </c>
      <c r="D189" s="18" t="inlineStr">
        <is>
          <t>RIYADH NURSERY - PO1048</t>
        </is>
      </c>
      <c r="E189" s="18" t="inlineStr">
        <is>
          <t>PO 1048</t>
        </is>
      </c>
      <c r="F189" s="19" t="n">
        <v>1965.6</v>
      </c>
      <c r="G189" s="18" t="n">
        <v>15</v>
      </c>
      <c r="H189" s="19" t="n">
        <v>2260.44</v>
      </c>
      <c r="I189" s="18" t="inlineStr">
        <is>
          <t>نعم</t>
        </is>
      </c>
      <c r="J189" s="18" t="inlineStr">
        <is>
          <t>مزرعة الرياض (عهدة/صندوق)</t>
        </is>
      </c>
      <c r="K189" s="18" t="inlineStr">
        <is>
          <t>مستلزمات إنتاج (مراكن/فلين/مفارش)</t>
        </is>
      </c>
      <c r="L189" s="18" t="inlineStr">
        <is>
          <t>⚠ نفس المورد ونفس التاريخ ونفس القيمة مكرر – يلزم التأكد</t>
        </is>
      </c>
    </row>
    <row r="190">
      <c r="A190" s="16" t="n">
        <v>189</v>
      </c>
      <c r="B190" s="95" t="n">
        <v>45956</v>
      </c>
      <c r="C190" s="16" t="inlineStr">
        <is>
          <t>مؤسسة الجودة النوعية للتجارة</t>
        </is>
      </c>
      <c r="D190" s="16" t="inlineStr">
        <is>
          <t>RIYADH NURSERY</t>
        </is>
      </c>
      <c r="E190" s="16" t="n"/>
      <c r="F190" s="17" t="n">
        <v>240</v>
      </c>
      <c r="G190" s="16" t="n">
        <v>15</v>
      </c>
      <c r="H190" s="17" t="n">
        <v>276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مشتريات نباتات وبذور</t>
        </is>
      </c>
      <c r="L190" s="16" t="n"/>
    </row>
    <row r="191">
      <c r="A191" s="16" t="n">
        <v>190</v>
      </c>
      <c r="B191" s="95" t="n">
        <v>45956</v>
      </c>
      <c r="C191" s="16" t="inlineStr">
        <is>
          <t>الوقود</t>
        </is>
      </c>
      <c r="D191" s="16" t="inlineStr">
        <is>
          <t>RIYADH NURSERY</t>
        </is>
      </c>
      <c r="E191" s="16" t="inlineStr">
        <is>
          <t>باقي فواتير الديزل</t>
        </is>
      </c>
      <c r="F191" s="17" t="n">
        <v>878.63</v>
      </c>
      <c r="G191" s="16" t="n">
        <v>15</v>
      </c>
      <c r="H191" s="17" t="n">
        <v>1010.42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وقود</t>
        </is>
      </c>
      <c r="L191" s="16" t="n"/>
    </row>
    <row r="192">
      <c r="A192" s="16" t="n">
        <v>191</v>
      </c>
      <c r="B192" s="95" t="n">
        <v>45956</v>
      </c>
      <c r="C192" s="16" t="inlineStr">
        <is>
          <t>الوقود</t>
        </is>
      </c>
      <c r="D192" s="16" t="inlineStr">
        <is>
          <t>RIYADH NURSERY</t>
        </is>
      </c>
      <c r="E192" s="16" t="inlineStr">
        <is>
          <t>فواتير ديزل من يوم 2-10 ح</t>
        </is>
      </c>
      <c r="F192" s="17" t="n">
        <v>773.91</v>
      </c>
      <c r="G192" s="16" t="n">
        <v>15</v>
      </c>
      <c r="H192" s="17" t="n">
        <v>890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وقود</t>
        </is>
      </c>
      <c r="L192" s="16" t="n"/>
    </row>
    <row r="193">
      <c r="A193" s="16" t="n">
        <v>192</v>
      </c>
      <c r="B193" s="95" t="n">
        <v>45957</v>
      </c>
      <c r="C193" s="16" t="inlineStr">
        <is>
          <t>مصنع شركة سانح لى للبلاستيك</t>
        </is>
      </c>
      <c r="D193" s="16" t="inlineStr">
        <is>
          <t>RIYADH NURSERY</t>
        </is>
      </c>
      <c r="E193" s="16" t="inlineStr">
        <is>
          <t>PO 1066</t>
        </is>
      </c>
      <c r="F193" s="17" t="n">
        <v>1965.6</v>
      </c>
      <c r="G193" s="16" t="n">
        <v>15</v>
      </c>
      <c r="H193" s="17" t="n">
        <v>2260.44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مستلزمات إنتاج (مراكن/فلين/مفارش)</t>
        </is>
      </c>
      <c r="L193" s="16" t="n"/>
    </row>
    <row r="194">
      <c r="A194" s="16" t="n">
        <v>193</v>
      </c>
      <c r="B194" s="95" t="n">
        <v>45957</v>
      </c>
      <c r="C194" s="16" t="inlineStr">
        <is>
          <t>هاتف الموبايل</t>
        </is>
      </c>
      <c r="D194" s="16" t="inlineStr">
        <is>
          <t>RIYADH NURSERY</t>
        </is>
      </c>
      <c r="E194" s="16" t="inlineStr">
        <is>
          <t>شحن جوال م - محمد</t>
        </is>
      </c>
      <c r="F194" s="17" t="n">
        <v>100</v>
      </c>
      <c r="G194" s="16" t="n">
        <v>15</v>
      </c>
      <c r="H194" s="17" t="n">
        <v>115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45958</v>
      </c>
      <c r="C195" s="16" t="inlineStr">
        <is>
          <t>مؤسسة المرافق والجودة للمقاولات العامة</t>
        </is>
      </c>
      <c r="D195" s="16" t="inlineStr">
        <is>
          <t>RIYADH NURSERY</t>
        </is>
      </c>
      <c r="E195" s="16" t="n"/>
      <c r="F195" s="17" t="n">
        <v>43</v>
      </c>
      <c r="G195" s="16" t="n">
        <v>15</v>
      </c>
      <c r="H195" s="17" t="n">
        <v>49.45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صيانة وإنشاءات المزرعة</t>
        </is>
      </c>
      <c r="L195" s="16" t="n"/>
    </row>
    <row r="196">
      <c r="A196" s="16" t="n">
        <v>195</v>
      </c>
      <c r="B196" s="95" t="n">
        <v>45958</v>
      </c>
      <c r="C196" s="16" t="inlineStr">
        <is>
          <t>الوقود</t>
        </is>
      </c>
      <c r="D196" s="16" t="inlineStr">
        <is>
          <t>RIYADH NURSERY</t>
        </is>
      </c>
      <c r="E196" s="16" t="n"/>
      <c r="F196" s="17" t="n">
        <v>246.97</v>
      </c>
      <c r="G196" s="16" t="n">
        <v>15</v>
      </c>
      <c r="H196" s="17" t="n">
        <v>284.01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وقود</t>
        </is>
      </c>
      <c r="L196" s="16" t="n"/>
    </row>
    <row r="197">
      <c r="A197" s="16" t="n">
        <v>196</v>
      </c>
      <c r="B197" s="95" t="n">
        <v>45958</v>
      </c>
      <c r="C197" s="16" t="inlineStr">
        <is>
          <t>الشركة السعوديه للكهرباء</t>
        </is>
      </c>
      <c r="D197" s="16" t="inlineStr">
        <is>
          <t>RIYADH NURSERY</t>
        </is>
      </c>
      <c r="E197" s="16" t="n"/>
      <c r="F197" s="17" t="n">
        <v>4499.47</v>
      </c>
      <c r="G197" s="16" t="n">
        <v>15</v>
      </c>
      <c r="H197" s="17" t="n">
        <v>5174.39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خدمات (كهرباء/مياه/اتصالات)</t>
        </is>
      </c>
      <c r="L197" s="16" t="n"/>
    </row>
    <row r="198">
      <c r="A198" s="16" t="n">
        <v>197</v>
      </c>
      <c r="B198" s="95" t="n">
        <v>45959</v>
      </c>
      <c r="C198" s="16" t="inlineStr">
        <is>
          <t>مؤسسة اصداء الصحة للسباكة والكهرباء</t>
        </is>
      </c>
      <c r="D198" s="16" t="inlineStr">
        <is>
          <t>RIYADH NURSERY</t>
        </is>
      </c>
      <c r="E198" s="16" t="n"/>
      <c r="F198" s="17" t="n">
        <v>71.3</v>
      </c>
      <c r="G198" s="16" t="n">
        <v>15</v>
      </c>
      <c r="H198" s="17" t="n">
        <v>82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45959</v>
      </c>
      <c r="C199" s="16" t="inlineStr">
        <is>
          <t>اللوازم المكتبية</t>
        </is>
      </c>
      <c r="D199" s="16" t="inlineStr">
        <is>
          <t>RIYADH NURSERY</t>
        </is>
      </c>
      <c r="E199" s="16" t="n"/>
      <c r="F199" s="17" t="n">
        <v>75.22</v>
      </c>
      <c r="G199" s="16" t="n">
        <v>15</v>
      </c>
      <c r="H199" s="17" t="n">
        <v>86.5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مصروفات إدارية وأخرى</t>
        </is>
      </c>
      <c r="L199" s="16" t="n"/>
    </row>
    <row r="200">
      <c r="A200" s="16" t="n">
        <v>199</v>
      </c>
      <c r="B200" s="95" t="n">
        <v>45960</v>
      </c>
      <c r="C200" s="16" t="inlineStr">
        <is>
          <t>مؤسسة المحترف الامثل للتجارة - سباكة</t>
        </is>
      </c>
      <c r="D200" s="16" t="inlineStr">
        <is>
          <t>RIYADH NURSERY</t>
        </is>
      </c>
      <c r="E200" s="16" t="n"/>
      <c r="F200" s="17" t="n">
        <v>97</v>
      </c>
      <c r="G200" s="16" t="n">
        <v>15</v>
      </c>
      <c r="H200" s="17" t="n">
        <v>111.55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صيانة وإنشاءات المزرعة</t>
        </is>
      </c>
      <c r="L200" s="16" t="n"/>
    </row>
    <row r="201">
      <c r="A201" s="16" t="n">
        <v>200</v>
      </c>
      <c r="B201" s="95" t="n">
        <v>45960</v>
      </c>
      <c r="C201" s="16" t="inlineStr">
        <is>
          <t>هاتف الموبايل</t>
        </is>
      </c>
      <c r="D201" s="16" t="inlineStr">
        <is>
          <t>RIYADH NURSERY</t>
        </is>
      </c>
      <c r="E201" s="16" t="n"/>
      <c r="F201" s="17" t="n">
        <v>77.39</v>
      </c>
      <c r="G201" s="16" t="n">
        <v>15</v>
      </c>
      <c r="H201" s="17" t="n">
        <v>89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خدمات (كهرباء/مياه/اتصالات)</t>
        </is>
      </c>
      <c r="L201" s="16" t="n"/>
    </row>
    <row r="202">
      <c r="A202" s="16" t="n">
        <v>201</v>
      </c>
      <c r="B202" s="95" t="n">
        <v>45960</v>
      </c>
      <c r="C202" s="16" t="inlineStr">
        <is>
          <t>مصنع شركة سانح لى للبلاستيك</t>
        </is>
      </c>
      <c r="D202" s="16" t="inlineStr">
        <is>
          <t>RIYADH NURSERY - PO1080</t>
        </is>
      </c>
      <c r="E202" s="16" t="n"/>
      <c r="F202" s="17" t="n">
        <v>1965.6</v>
      </c>
      <c r="G202" s="16" t="n">
        <v>15</v>
      </c>
      <c r="H202" s="17" t="n">
        <v>2260.44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مستلزمات إنتاج (مراكن/فلين/مفارش)</t>
        </is>
      </c>
      <c r="L202" s="16" t="n"/>
    </row>
    <row r="203">
      <c r="A203" s="16" t="n">
        <v>202</v>
      </c>
      <c r="B203" s="95" t="n">
        <v>45961</v>
      </c>
      <c r="C203" s="16" t="inlineStr">
        <is>
          <t>مؤسسة بساتين الرياض</t>
        </is>
      </c>
      <c r="D203" s="16" t="inlineStr">
        <is>
          <t>RIYADH NURSERY</t>
        </is>
      </c>
      <c r="E203" s="16" t="n"/>
      <c r="F203" s="17" t="n">
        <v>495.65</v>
      </c>
      <c r="G203" s="16" t="n">
        <v>15</v>
      </c>
      <c r="H203" s="17" t="n">
        <v>570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45961</v>
      </c>
      <c r="C204" s="16" t="inlineStr">
        <is>
          <t>HETA NURSERYS</t>
        </is>
      </c>
      <c r="D204" s="16" t="inlineStr">
        <is>
          <t>RIYADH NURSERY</t>
        </is>
      </c>
      <c r="E204" s="16" t="n"/>
      <c r="F204" s="17" t="n">
        <v>6130.43</v>
      </c>
      <c r="G204" s="16" t="n">
        <v>15</v>
      </c>
      <c r="H204" s="17" t="n">
        <v>7050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6" t="n">
        <v>204</v>
      </c>
      <c r="B205" s="95" t="n">
        <v>45962</v>
      </c>
      <c r="C205" s="16" t="inlineStr">
        <is>
          <t>ينابع المئويه لتحلية المياه</t>
        </is>
      </c>
      <c r="D205" s="16" t="inlineStr">
        <is>
          <t>RIYADH NURSERY</t>
        </is>
      </c>
      <c r="E205" s="16" t="n"/>
      <c r="F205" s="17" t="n">
        <v>52.17</v>
      </c>
      <c r="G205" s="16" t="n">
        <v>15</v>
      </c>
      <c r="H205" s="17" t="n">
        <v>60</v>
      </c>
      <c r="I205" s="16" t="inlineStr">
        <is>
          <t>نعم</t>
        </is>
      </c>
      <c r="J205" s="16" t="inlineStr">
        <is>
          <t>مزرعة الرياض (عهدة/صندوق)</t>
        </is>
      </c>
      <c r="K205" s="16" t="inlineStr">
        <is>
          <t>خدمات (كهرباء/مياه/اتصالات)</t>
        </is>
      </c>
      <c r="L205" s="16" t="n"/>
    </row>
    <row r="206">
      <c r="A206" s="16" t="n">
        <v>205</v>
      </c>
      <c r="B206" s="95" t="n">
        <v>45963</v>
      </c>
      <c r="C206" s="16" t="inlineStr">
        <is>
          <t>HETA NURSERYS</t>
        </is>
      </c>
      <c r="D206" s="16" t="inlineStr">
        <is>
          <t>RIYADH NURSERY - PO1090</t>
        </is>
      </c>
      <c r="E206" s="16" t="n"/>
      <c r="F206" s="17" t="n">
        <v>6105.01</v>
      </c>
      <c r="G206" s="16" t="n">
        <v>15</v>
      </c>
      <c r="H206" s="17" t="n">
        <v>7020.76</v>
      </c>
      <c r="I206" s="16" t="inlineStr">
        <is>
          <t>نعم</t>
        </is>
      </c>
      <c r="J206" s="16" t="inlineStr">
        <is>
          <t>مزرعة الرياض (عهدة/صندوق)</t>
        </is>
      </c>
      <c r="K206" s="16" t="inlineStr">
        <is>
          <t>مشتريات نباتات وبذور</t>
        </is>
      </c>
      <c r="L206" s="16" t="n"/>
    </row>
    <row r="207">
      <c r="A207" s="16" t="n">
        <v>206</v>
      </c>
      <c r="B207" s="95" t="n">
        <v>45964</v>
      </c>
      <c r="C207" s="16" t="inlineStr">
        <is>
          <t>HETA NURSERYS</t>
        </is>
      </c>
      <c r="D207" s="16" t="inlineStr">
        <is>
          <t>RIYADH NURSERY - PO1094</t>
        </is>
      </c>
      <c r="E207" s="16" t="inlineStr">
        <is>
          <t>PO 1094</t>
        </is>
      </c>
      <c r="F207" s="17" t="n">
        <v>5826.09</v>
      </c>
      <c r="G207" s="16" t="n">
        <v>15</v>
      </c>
      <c r="H207" s="17" t="n">
        <v>6700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مشتريات نباتات وبذور</t>
        </is>
      </c>
      <c r="L207" s="16" t="n"/>
    </row>
    <row r="208">
      <c r="A208" s="18" t="n">
        <v>207</v>
      </c>
      <c r="B208" s="98" t="n">
        <v>45965</v>
      </c>
      <c r="C208" s="18" t="inlineStr">
        <is>
          <t>مصنع شركة سانح لى للبلاستيك</t>
        </is>
      </c>
      <c r="D208" s="18" t="inlineStr">
        <is>
          <t>RIYADH NURSERY - PO1096</t>
        </is>
      </c>
      <c r="E208" s="18" t="inlineStr">
        <is>
          <t>سداد اذن صرف رقم 10</t>
        </is>
      </c>
      <c r="F208" s="19" t="n">
        <v>1965.6</v>
      </c>
      <c r="G208" s="18" t="n">
        <v>15</v>
      </c>
      <c r="H208" s="19" t="n">
        <v>2260.44</v>
      </c>
      <c r="I208" s="18" t="inlineStr">
        <is>
          <t>نعم</t>
        </is>
      </c>
      <c r="J208" s="18" t="inlineStr">
        <is>
          <t>مزرعة الرياض (عهدة/صندوق)</t>
        </is>
      </c>
      <c r="K208" s="18" t="inlineStr">
        <is>
          <t>مستلزمات إنتاج (مراكن/فلين/مفارش)</t>
        </is>
      </c>
      <c r="L208" s="18" t="inlineStr">
        <is>
          <t>⚠ نفس المورد ونفس التاريخ ونفس القيمة مكرر – يلزم التأكد</t>
        </is>
      </c>
    </row>
    <row r="209">
      <c r="A209" s="18" t="n">
        <v>208</v>
      </c>
      <c r="B209" s="98" t="n">
        <v>45965</v>
      </c>
      <c r="C209" s="18" t="inlineStr">
        <is>
          <t>مصنع شركة سانح لى للبلاستيك</t>
        </is>
      </c>
      <c r="D209" s="18" t="inlineStr">
        <is>
          <t>RIYADH NURSERY - PO1097</t>
        </is>
      </c>
      <c r="E209" s="18" t="inlineStr">
        <is>
          <t>سداد اذن صرف رقم 10</t>
        </is>
      </c>
      <c r="F209" s="19" t="n">
        <v>1965.6</v>
      </c>
      <c r="G209" s="18" t="n">
        <v>15</v>
      </c>
      <c r="H209" s="19" t="n">
        <v>2260.44</v>
      </c>
      <c r="I209" s="18" t="inlineStr">
        <is>
          <t>نعم</t>
        </is>
      </c>
      <c r="J209" s="18" t="inlineStr">
        <is>
          <t>مزرعة الرياض (عهدة/صندوق)</t>
        </is>
      </c>
      <c r="K209" s="18" t="inlineStr">
        <is>
          <t>مستلزمات إنتاج (مراكن/فلين/مفارش)</t>
        </is>
      </c>
      <c r="L209" s="18" t="inlineStr">
        <is>
          <t>⚠ نفس المورد ونفس التاريخ ونفس القيمة مكرر – يلزم التأكد</t>
        </is>
      </c>
    </row>
    <row r="210">
      <c r="A210" s="16" t="n">
        <v>209</v>
      </c>
      <c r="B210" s="95" t="n">
        <v>45965</v>
      </c>
      <c r="C210" s="16" t="inlineStr">
        <is>
          <t>الوقود</t>
        </is>
      </c>
      <c r="D210" s="16" t="inlineStr">
        <is>
          <t>RIYADH NURSERY</t>
        </is>
      </c>
      <c r="E210" s="16" t="n"/>
      <c r="F210" s="17" t="n">
        <v>60.87</v>
      </c>
      <c r="G210" s="16" t="n">
        <v>15</v>
      </c>
      <c r="H210" s="17" t="n">
        <v>70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وقود</t>
        </is>
      </c>
      <c r="L210" s="16" t="n"/>
    </row>
    <row r="211">
      <c r="A211" s="16" t="n">
        <v>210</v>
      </c>
      <c r="B211" s="95" t="n">
        <v>45966</v>
      </c>
      <c r="C211" s="16" t="inlineStr">
        <is>
          <t>شركة الجزيرة الحديثة الزراعية</t>
        </is>
      </c>
      <c r="D211" s="16" t="inlineStr">
        <is>
          <t>WHK-2364</t>
        </is>
      </c>
      <c r="E211" s="16" t="inlineStr">
        <is>
          <t>مرفق طلب التوريد</t>
        </is>
      </c>
      <c r="F211" s="17" t="n">
        <v>19312.5</v>
      </c>
      <c r="G211" s="16" t="n">
        <v>0</v>
      </c>
      <c r="H211" s="17" t="n">
        <v>19312.5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مشتريات زهور لعقد عرعر (WHK-2364)</t>
        </is>
      </c>
      <c r="L211" s="16" t="inlineStr">
        <is>
          <t>تكلفة زهور مشتراة لتوريد عقد عرعر لأبو خالد</t>
        </is>
      </c>
    </row>
    <row r="212">
      <c r="A212" s="16" t="n">
        <v>211</v>
      </c>
      <c r="B212" s="95" t="n">
        <v>45967</v>
      </c>
      <c r="C212" s="16" t="inlineStr">
        <is>
          <t>شركة ايراد المتحدة التجارية</t>
        </is>
      </c>
      <c r="D212" s="16" t="inlineStr">
        <is>
          <t>RIYADH NURSERY - PO1111</t>
        </is>
      </c>
      <c r="E212" s="16" t="inlineStr">
        <is>
          <t>اذن صرف رقم 11</t>
        </is>
      </c>
      <c r="F212" s="17" t="n">
        <v>3874</v>
      </c>
      <c r="G212" s="16" t="n">
        <v>15</v>
      </c>
      <c r="H212" s="17" t="n">
        <v>4455.1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مواد زراعية (بيتموس/بيرلايت/أسمدة/مبيدات)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اللوازم المكتبية</t>
        </is>
      </c>
      <c r="D213" s="16" t="inlineStr">
        <is>
          <t>RIYADH NURSERY</t>
        </is>
      </c>
      <c r="E213" s="16" t="n"/>
      <c r="F213" s="17" t="n">
        <v>38.22</v>
      </c>
      <c r="G213" s="16" t="n">
        <v>15</v>
      </c>
      <c r="H213" s="17" t="n">
        <v>43.95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مصروفات إدارية وأخرى</t>
        </is>
      </c>
      <c r="L213" s="16" t="n"/>
    </row>
    <row r="214">
      <c r="A214" s="16" t="n">
        <v>213</v>
      </c>
      <c r="B214" s="95" t="n">
        <v>45969</v>
      </c>
      <c r="C214" s="16" t="inlineStr">
        <is>
          <t>هاتف الموبايل</t>
        </is>
      </c>
      <c r="D214" s="16" t="inlineStr">
        <is>
          <t>RIYADH NURSERY</t>
        </is>
      </c>
      <c r="E214" s="16" t="n"/>
      <c r="F214" s="17" t="n">
        <v>100</v>
      </c>
      <c r="G214" s="16" t="n">
        <v>15</v>
      </c>
      <c r="H214" s="17" t="n">
        <v>115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خدمات (كهرباء/مياه/اتصالات)</t>
        </is>
      </c>
      <c r="L214" s="16" t="n"/>
    </row>
    <row r="215">
      <c r="A215" s="16" t="n">
        <v>214</v>
      </c>
      <c r="B215" s="95" t="n">
        <v>45969</v>
      </c>
      <c r="C215" s="16" t="inlineStr">
        <is>
          <t>شركة موفق للمقاولات المحدودة</t>
        </is>
      </c>
      <c r="D215" s="16" t="inlineStr">
        <is>
          <t>RIYADH NURSERY</t>
        </is>
      </c>
      <c r="E215" s="16" t="n"/>
      <c r="F215" s="17" t="n">
        <v>246</v>
      </c>
      <c r="G215" s="16" t="n">
        <v>15</v>
      </c>
      <c r="H215" s="17" t="n">
        <v>282.9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صيانة وإنشاءات المزرعة</t>
        </is>
      </c>
      <c r="L215" s="16" t="n"/>
    </row>
    <row r="216">
      <c r="A216" s="16" t="n">
        <v>215</v>
      </c>
      <c r="B216" s="95" t="n">
        <v>45969</v>
      </c>
      <c r="C216" s="16" t="inlineStr">
        <is>
          <t>مؤسسة المحترف الامثل للتجارة - سباكة</t>
        </is>
      </c>
      <c r="D216" s="16" t="inlineStr">
        <is>
          <t>RIYADH NURSERY</t>
        </is>
      </c>
      <c r="E216" s="16" t="n"/>
      <c r="F216" s="17" t="n">
        <v>528</v>
      </c>
      <c r="G216" s="16" t="n">
        <v>15</v>
      </c>
      <c r="H216" s="17" t="n">
        <v>607.2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صيانة وإنشاءات المزرعة</t>
        </is>
      </c>
      <c r="L216" s="16" t="n"/>
    </row>
    <row r="217">
      <c r="A217" s="16" t="n">
        <v>216</v>
      </c>
      <c r="B217" s="95" t="n">
        <v>45969</v>
      </c>
      <c r="C217" s="16" t="inlineStr">
        <is>
          <t>مصنع شركة سانح لى للبلاستيك</t>
        </is>
      </c>
      <c r="D217" s="16" t="inlineStr">
        <is>
          <t>RIYADH NURSERY - PO1110</t>
        </is>
      </c>
      <c r="E217" s="16" t="inlineStr">
        <is>
          <t>اذن صرف رقم 13</t>
        </is>
      </c>
      <c r="F217" s="17" t="n">
        <v>1965.6</v>
      </c>
      <c r="G217" s="16" t="n">
        <v>15</v>
      </c>
      <c r="H217" s="17" t="n">
        <v>2260.44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مستلزمات إنتاج (مراكن/فلين/مفارش)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الشركة المصرية الالمانية للانتاج الزراعي</t>
        </is>
      </c>
      <c r="D218" s="16" t="inlineStr">
        <is>
          <t>RIYADH NURSERY - PO1119</t>
        </is>
      </c>
      <c r="E218" s="16" t="inlineStr">
        <is>
          <t>مرفق وصل السداد</t>
        </is>
      </c>
      <c r="F218" s="17" t="n">
        <v>35112</v>
      </c>
      <c r="G218" s="16" t="n">
        <v>15</v>
      </c>
      <c r="H218" s="17" t="n">
        <v>40378.8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مشتريات نباتات وبذور</t>
        </is>
      </c>
      <c r="L218" s="16" t="n"/>
    </row>
    <row r="219">
      <c r="A219" s="16" t="n">
        <v>218</v>
      </c>
      <c r="B219" s="95" t="n">
        <v>45970</v>
      </c>
      <c r="C219" s="16" t="inlineStr">
        <is>
          <t>الشركة المصرية الالمانية للانتاج الزراعي</t>
        </is>
      </c>
      <c r="D219" s="16" t="inlineStr">
        <is>
          <t>RIYADH NURSERY - PO1120</t>
        </is>
      </c>
      <c r="E219" s="16" t="inlineStr">
        <is>
          <t>اذن صرف رقم 53</t>
        </is>
      </c>
      <c r="F219" s="17" t="n">
        <v>37442</v>
      </c>
      <c r="G219" s="16" t="n">
        <v>0</v>
      </c>
      <c r="H219" s="17" t="n">
        <v>37442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مشتريات نباتات وبذور</t>
        </is>
      </c>
      <c r="L219" s="16" t="n"/>
    </row>
    <row r="220">
      <c r="A220" s="16" t="n">
        <v>219</v>
      </c>
      <c r="B220" s="95" t="n">
        <v>45970</v>
      </c>
      <c r="C220" s="16" t="inlineStr">
        <is>
          <t>HETA NURSERYS</t>
        </is>
      </c>
      <c r="D220" s="16" t="inlineStr">
        <is>
          <t>RIYADH NURSERY - PO1118</t>
        </is>
      </c>
      <c r="E220" s="16" t="inlineStr">
        <is>
          <t>سداد بيد م - عادل</t>
        </is>
      </c>
      <c r="F220" s="17" t="n">
        <v>20586.96</v>
      </c>
      <c r="G220" s="16" t="n">
        <v>15</v>
      </c>
      <c r="H220" s="17" t="n">
        <v>23675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مشتريات نباتات وبذور</t>
        </is>
      </c>
      <c r="L220" s="16" t="n"/>
    </row>
    <row r="221">
      <c r="A221" s="16" t="n">
        <v>220</v>
      </c>
      <c r="B221" s="95" t="n">
        <v>45970</v>
      </c>
      <c r="C221" s="16" t="inlineStr">
        <is>
          <t>HETA NURSERYS</t>
        </is>
      </c>
      <c r="D221" s="16" t="inlineStr">
        <is>
          <t>RIYADH NURSERY - PO1117</t>
        </is>
      </c>
      <c r="E221" s="16" t="inlineStr">
        <is>
          <t>سداد بيد م - عادل</t>
        </is>
      </c>
      <c r="F221" s="17" t="n">
        <v>9704.35</v>
      </c>
      <c r="G221" s="16" t="n">
        <v>15</v>
      </c>
      <c r="H221" s="17" t="n">
        <v>11160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مشتريات نباتات وبذور</t>
        </is>
      </c>
      <c r="L221" s="16" t="n"/>
    </row>
    <row r="222">
      <c r="A222" s="16" t="n">
        <v>221</v>
      </c>
      <c r="B222" s="95" t="n">
        <v>45970</v>
      </c>
      <c r="C222" s="16" t="inlineStr">
        <is>
          <t>مصنع شركة سانح لى للبلاستيك</t>
        </is>
      </c>
      <c r="D222" s="16" t="inlineStr">
        <is>
          <t>RIYADH NURSERY - PO1114</t>
        </is>
      </c>
      <c r="E222" s="16" t="inlineStr">
        <is>
          <t>اذن صرف رقم 13</t>
        </is>
      </c>
      <c r="F222" s="17" t="n">
        <v>1965.6</v>
      </c>
      <c r="G222" s="16" t="n">
        <v>15</v>
      </c>
      <c r="H222" s="17" t="n">
        <v>2260.44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مستلزمات إنتاج (مراكن/فلين/مفارش)</t>
        </is>
      </c>
      <c r="L222" s="16" t="n"/>
    </row>
    <row r="223">
      <c r="A223" s="16" t="n">
        <v>222</v>
      </c>
      <c r="B223" s="95" t="n">
        <v>45972</v>
      </c>
      <c r="C223" s="16" t="inlineStr">
        <is>
          <t>مصنع شركة سانح لى للبلاستيك</t>
        </is>
      </c>
      <c r="D223" s="16" t="inlineStr">
        <is>
          <t>RIYADH NURSERY - PO1124</t>
        </is>
      </c>
      <c r="E223" s="16" t="inlineStr">
        <is>
          <t>اذن صرف رقم 15</t>
        </is>
      </c>
      <c r="F223" s="17" t="n">
        <v>1965.6</v>
      </c>
      <c r="G223" s="16" t="n">
        <v>15</v>
      </c>
      <c r="H223" s="17" t="n">
        <v>2260.44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مستلزمات إنتاج (مراكن/فلين/مفارش)</t>
        </is>
      </c>
      <c r="L223" s="16" t="n"/>
    </row>
    <row r="224">
      <c r="A224" s="16" t="n">
        <v>223</v>
      </c>
      <c r="B224" s="95" t="n">
        <v>45973</v>
      </c>
      <c r="C224" s="16" t="inlineStr">
        <is>
          <t>مصنع شركة سانح لى للبلاستيك</t>
        </is>
      </c>
      <c r="D224" s="16" t="inlineStr">
        <is>
          <t>RIYADH NURSERY - PO1042</t>
        </is>
      </c>
      <c r="E224" s="16" t="inlineStr">
        <is>
          <t>اذن صرف رقم 15</t>
        </is>
      </c>
      <c r="F224" s="17" t="n">
        <v>2486.4</v>
      </c>
      <c r="G224" s="16" t="n">
        <v>15</v>
      </c>
      <c r="H224" s="17" t="n">
        <v>2859.36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مستلزمات إنتاج (مراكن/فلين/مفارش)</t>
        </is>
      </c>
      <c r="L224" s="16" t="n"/>
    </row>
    <row r="225">
      <c r="A225" s="16" t="n">
        <v>224</v>
      </c>
      <c r="B225" s="95" t="n">
        <v>45973</v>
      </c>
      <c r="C225" s="16" t="inlineStr">
        <is>
          <t>محطة المجمع لخدمات السيارات</t>
        </is>
      </c>
      <c r="D225" s="16" t="inlineStr">
        <is>
          <t>RIYADH NURSERY</t>
        </is>
      </c>
      <c r="E225" s="16" t="n"/>
      <c r="F225" s="17" t="n">
        <v>104.35</v>
      </c>
      <c r="G225" s="16" t="n">
        <v>15</v>
      </c>
      <c r="H225" s="17" t="n">
        <v>120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صيانة سيارات ومعدات</t>
        </is>
      </c>
      <c r="L225" s="16" t="n"/>
    </row>
    <row r="226">
      <c r="A226" s="16" t="n">
        <v>225</v>
      </c>
      <c r="B226" s="95" t="n">
        <v>45973</v>
      </c>
      <c r="C226" s="16" t="inlineStr">
        <is>
          <t>شركة اليمنى للسيارات</t>
        </is>
      </c>
      <c r="D226" s="16" t="inlineStr">
        <is>
          <t>RIYADH NURSERY</t>
        </is>
      </c>
      <c r="E226" s="16" t="n"/>
      <c r="F226" s="17" t="n">
        <v>25.07</v>
      </c>
      <c r="G226" s="16" t="n">
        <v>15</v>
      </c>
      <c r="H226" s="17" t="n">
        <v>28.83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صيانة سيارات ومعدات</t>
        </is>
      </c>
      <c r="L226" s="16" t="n"/>
    </row>
    <row r="227">
      <c r="A227" s="16" t="n">
        <v>226</v>
      </c>
      <c r="B227" s="95" t="n">
        <v>45973</v>
      </c>
      <c r="C227" s="16" t="inlineStr">
        <is>
          <t>شركة اليمنى للسيارات</t>
        </is>
      </c>
      <c r="D227" s="16" t="inlineStr">
        <is>
          <t>RIYADH NURSERY</t>
        </is>
      </c>
      <c r="E227" s="16" t="n"/>
      <c r="F227" s="17" t="n">
        <v>308.6</v>
      </c>
      <c r="G227" s="16" t="n">
        <v>15</v>
      </c>
      <c r="H227" s="17" t="n">
        <v>354.89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صيانة سيارات ومعدات</t>
        </is>
      </c>
      <c r="L227" s="16" t="n"/>
    </row>
    <row r="228">
      <c r="A228" s="16" t="n">
        <v>227</v>
      </c>
      <c r="B228" s="95" t="n">
        <v>45974</v>
      </c>
      <c r="C228" s="16" t="inlineStr">
        <is>
          <t>رواتب</t>
        </is>
      </c>
      <c r="D228" s="16" t="inlineStr">
        <is>
          <t>RIYADH NURSERY</t>
        </is>
      </c>
      <c r="E228" s="16" t="inlineStr">
        <is>
          <t>اذن صرف رقم 14</t>
        </is>
      </c>
      <c r="F228" s="17" t="n">
        <v>32939.13</v>
      </c>
      <c r="G228" s="16" t="n">
        <v>15</v>
      </c>
      <c r="H228" s="17" t="n">
        <v>37880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رواتب وعمولات</t>
        </is>
      </c>
      <c r="L228" s="16" t="n"/>
    </row>
    <row r="229">
      <c r="A229" s="16" t="n">
        <v>228</v>
      </c>
      <c r="B229" s="95" t="n">
        <v>45977</v>
      </c>
      <c r="C229" s="16" t="inlineStr">
        <is>
          <t>العمولة</t>
        </is>
      </c>
      <c r="D229" s="16" t="inlineStr">
        <is>
          <t>RIYADH NURSERY</t>
        </is>
      </c>
      <c r="E229" s="16" t="inlineStr">
        <is>
          <t>اذن صرف رقم 16</t>
        </is>
      </c>
      <c r="F229" s="17" t="n">
        <v>1160.87</v>
      </c>
      <c r="G229" s="16" t="n">
        <v>15</v>
      </c>
      <c r="H229" s="17" t="n">
        <v>1335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رواتب وعمولات</t>
        </is>
      </c>
      <c r="L229" s="16" t="n"/>
    </row>
    <row r="230">
      <c r="A230" s="16" t="n">
        <v>229</v>
      </c>
      <c r="B230" s="95" t="n">
        <v>45978</v>
      </c>
      <c r="C230" s="16" t="inlineStr">
        <is>
          <t>شركة التاج المميزة التجارية</t>
        </is>
      </c>
      <c r="D230" s="16" t="inlineStr">
        <is>
          <t>RIYADH NURSERY - PO1178</t>
        </is>
      </c>
      <c r="E230" s="16" t="inlineStr">
        <is>
          <t>سداد بيد م - عادل</t>
        </is>
      </c>
      <c r="F230" s="17" t="n">
        <v>13000</v>
      </c>
      <c r="G230" s="16" t="n">
        <v>0</v>
      </c>
      <c r="H230" s="17" t="n">
        <v>13000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مواد زراعية (بيتموس/بيرلايت/أسمدة/مبيدات)</t>
        </is>
      </c>
      <c r="L230" s="16" t="n"/>
    </row>
    <row r="231">
      <c r="A231" s="16" t="n">
        <v>230</v>
      </c>
      <c r="B231" s="95" t="n">
        <v>45978</v>
      </c>
      <c r="C231" s="16" t="inlineStr">
        <is>
          <t>ينابع المئويه لتحلية المياه</t>
        </is>
      </c>
      <c r="D231" s="16" t="inlineStr">
        <is>
          <t>RIYADH NURSERY</t>
        </is>
      </c>
      <c r="E231" s="16" t="n"/>
      <c r="F231" s="17" t="n">
        <v>52.17</v>
      </c>
      <c r="G231" s="16" t="n">
        <v>15</v>
      </c>
      <c r="H231" s="17" t="n">
        <v>60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خدمات (كهرباء/مياه/اتصالات)</t>
        </is>
      </c>
      <c r="L231" s="16" t="n"/>
    </row>
    <row r="232">
      <c r="A232" s="16" t="n">
        <v>231</v>
      </c>
      <c r="B232" s="95" t="n">
        <v>45978</v>
      </c>
      <c r="C232" s="16" t="inlineStr">
        <is>
          <t>مصنع شركة سانح لى للبلاستيك</t>
        </is>
      </c>
      <c r="D232" s="16" t="inlineStr">
        <is>
          <t>RIYADH NURSERY - PO1177</t>
        </is>
      </c>
      <c r="E232" s="16" t="inlineStr">
        <is>
          <t>17اذن صرف رقم</t>
        </is>
      </c>
      <c r="F232" s="17" t="n">
        <v>1965.6</v>
      </c>
      <c r="G232" s="16" t="n">
        <v>15</v>
      </c>
      <c r="H232" s="17" t="n">
        <v>2260.44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مستلزمات إنتاج (مراكن/فلين/مفارش)</t>
        </is>
      </c>
      <c r="L232" s="16" t="n"/>
    </row>
    <row r="233">
      <c r="A233" s="16" t="n">
        <v>232</v>
      </c>
      <c r="B233" s="95" t="n">
        <v>45980</v>
      </c>
      <c r="C233" s="16" t="inlineStr">
        <is>
          <t>GULF PERITE COMPANY</t>
        </is>
      </c>
      <c r="D233" s="16" t="inlineStr">
        <is>
          <t>RIYADH NURSERY</t>
        </is>
      </c>
      <c r="E233" s="16" t="inlineStr">
        <is>
          <t>مرفق طلب التوريد</t>
        </is>
      </c>
      <c r="F233" s="17" t="n">
        <v>17446.96</v>
      </c>
      <c r="G233" s="16" t="n">
        <v>15</v>
      </c>
      <c r="H233" s="17" t="n">
        <v>20064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مواد زراعية (بيتموس/بيرلايت/أسمدة/مبيدات)</t>
        </is>
      </c>
      <c r="L233" s="16" t="n"/>
    </row>
    <row r="234">
      <c r="A234" s="16" t="n">
        <v>233</v>
      </c>
      <c r="B234" s="95" t="n">
        <v>45981</v>
      </c>
      <c r="C234" s="16" t="inlineStr">
        <is>
          <t>مصنع شركة سانح لى للبلاستيك</t>
        </is>
      </c>
      <c r="D234" s="16" t="inlineStr">
        <is>
          <t>RIYADH NURSERY - PO1197</t>
        </is>
      </c>
      <c r="E234" s="16" t="inlineStr">
        <is>
          <t>18سداد باذن صرف رقم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45981</v>
      </c>
      <c r="C235" s="16" t="inlineStr">
        <is>
          <t>اللوازم المكتبية</t>
        </is>
      </c>
      <c r="D235" s="16" t="inlineStr">
        <is>
          <t>RIYADH NURSERY</t>
        </is>
      </c>
      <c r="E235" s="16" t="inlineStr">
        <is>
          <t>19باذن صرف رقم</t>
        </is>
      </c>
      <c r="F235" s="17" t="n">
        <v>173.91</v>
      </c>
      <c r="G235" s="16" t="n">
        <v>15</v>
      </c>
      <c r="H235" s="17" t="n">
        <v>200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مصروفات إدارية وأخرى</t>
        </is>
      </c>
      <c r="L235" s="16" t="n"/>
    </row>
    <row r="236">
      <c r="A236" s="16" t="n">
        <v>235</v>
      </c>
      <c r="B236" s="95" t="n">
        <v>45981</v>
      </c>
      <c r="C236" s="16" t="inlineStr">
        <is>
          <t>مؤسسة المحترف الامثل للتجارة - سباكة</t>
        </is>
      </c>
      <c r="D236" s="16" t="inlineStr">
        <is>
          <t>RIYADH NURSERY</t>
        </is>
      </c>
      <c r="E236" s="16" t="n"/>
      <c r="F236" s="17" t="n">
        <v>45</v>
      </c>
      <c r="G236" s="16" t="n">
        <v>15</v>
      </c>
      <c r="H236" s="17" t="n">
        <v>51.75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صيانة وإنشاءات المزرعة</t>
        </is>
      </c>
      <c r="L236" s="16" t="n"/>
    </row>
    <row r="237">
      <c r="A237" s="16" t="n">
        <v>236</v>
      </c>
      <c r="B237" s="95" t="n">
        <v>45983</v>
      </c>
      <c r="C237" s="16" t="inlineStr">
        <is>
          <t>هاتف الموبايل</t>
        </is>
      </c>
      <c r="D237" s="16" t="inlineStr">
        <is>
          <t>RIYADH NURSERY</t>
        </is>
      </c>
      <c r="E237" s="16" t="inlineStr">
        <is>
          <t>اذن صرف رقم 21</t>
        </is>
      </c>
      <c r="F237" s="17" t="n">
        <v>100</v>
      </c>
      <c r="G237" s="16" t="n">
        <v>15</v>
      </c>
      <c r="H237" s="17" t="n">
        <v>115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خدمات (كهرباء/مياه/اتصالات)</t>
        </is>
      </c>
      <c r="L237" s="16" t="n"/>
    </row>
    <row r="238">
      <c r="A238" s="16" t="n">
        <v>237</v>
      </c>
      <c r="B238" s="95" t="n">
        <v>45983</v>
      </c>
      <c r="C238" s="16" t="inlineStr">
        <is>
          <t>مصنع شركة سانح لى للبلاستيك</t>
        </is>
      </c>
      <c r="D238" s="16" t="inlineStr">
        <is>
          <t>RIYADH NURSERY - PO1216</t>
        </is>
      </c>
      <c r="E238" s="16" t="inlineStr">
        <is>
          <t>اذن صرف رقم 20</t>
        </is>
      </c>
      <c r="F238" s="17" t="n">
        <v>1965.6</v>
      </c>
      <c r="G238" s="16" t="n">
        <v>15</v>
      </c>
      <c r="H238" s="17" t="n">
        <v>2260.44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مستلزمات إنتاج (مراكن/فلين/مفارش)</t>
        </is>
      </c>
      <c r="L238" s="16" t="n"/>
    </row>
    <row r="239">
      <c r="A239" s="16" t="n">
        <v>238</v>
      </c>
      <c r="B239" s="95" t="n">
        <v>45984</v>
      </c>
      <c r="C239" s="16" t="inlineStr">
        <is>
          <t>مصنع شركة سانح لى للبلاستيك</t>
        </is>
      </c>
      <c r="D239" s="16" t="inlineStr">
        <is>
          <t>RIYADH NURSERY - PO1217</t>
        </is>
      </c>
      <c r="E239" s="16" t="inlineStr">
        <is>
          <t>اذن صرف رقم 22</t>
        </is>
      </c>
      <c r="F239" s="17" t="n">
        <v>1965.6</v>
      </c>
      <c r="G239" s="16" t="n">
        <v>15</v>
      </c>
      <c r="H239" s="17" t="n">
        <v>2260.44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مستلزمات إنتاج (مراكن/فلين/مفارش)</t>
        </is>
      </c>
      <c r="L239" s="16" t="n"/>
    </row>
    <row r="240">
      <c r="A240" s="16" t="n">
        <v>239</v>
      </c>
      <c r="B240" s="95" t="n">
        <v>45984</v>
      </c>
      <c r="C240" s="16" t="inlineStr">
        <is>
          <t>عائشة لادوات السباكة والكهرباء</t>
        </is>
      </c>
      <c r="D240" s="16" t="inlineStr">
        <is>
          <t>RIYADH NURSERY</t>
        </is>
      </c>
      <c r="E240" s="16" t="n"/>
      <c r="F240" s="17" t="n">
        <v>100</v>
      </c>
      <c r="G240" s="16" t="n">
        <v>0</v>
      </c>
      <c r="H240" s="17" t="n">
        <v>100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خدمات (كهرباء/مياه/اتصالات)</t>
        </is>
      </c>
      <c r="L240" s="16" t="n"/>
    </row>
    <row r="241">
      <c r="A241" s="16" t="n">
        <v>240</v>
      </c>
      <c r="B241" s="95" t="n">
        <v>45984</v>
      </c>
      <c r="C241" s="16" t="inlineStr">
        <is>
          <t>مؤسسة محمد عبدالله لبيع الاجهزة المستعملة</t>
        </is>
      </c>
      <c r="D241" s="16" t="inlineStr">
        <is>
          <t>RIYADH NURSERY</t>
        </is>
      </c>
      <c r="E241" s="16" t="n"/>
      <c r="F241" s="17" t="n">
        <v>700</v>
      </c>
      <c r="G241" s="16" t="n">
        <v>0</v>
      </c>
      <c r="H241" s="17" t="n">
        <v>700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مصروفات إدارية وأخرى</t>
        </is>
      </c>
      <c r="L241" s="16" t="n"/>
    </row>
    <row r="242">
      <c r="A242" s="16" t="n">
        <v>241</v>
      </c>
      <c r="B242" s="95" t="n">
        <v>45984</v>
      </c>
      <c r="C242" s="16" t="inlineStr">
        <is>
          <t>GULF PERITE COMPANY</t>
        </is>
      </c>
      <c r="D242" s="16" t="inlineStr">
        <is>
          <t>RIYADH NURSERY - PO1189</t>
        </is>
      </c>
      <c r="E242" s="16" t="inlineStr">
        <is>
          <t>سداد من فرع تبوك</t>
        </is>
      </c>
      <c r="F242" s="17" t="n">
        <v>20064</v>
      </c>
      <c r="G242" s="16" t="n">
        <v>0</v>
      </c>
      <c r="H242" s="17" t="n">
        <v>20064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مواد زراعية (بيتموس/بيرلايت/أسمدة/مبيدات)</t>
        </is>
      </c>
      <c r="L242" s="16" t="n"/>
    </row>
    <row r="243">
      <c r="A243" s="16" t="n">
        <v>242</v>
      </c>
      <c r="B243" s="95" t="n">
        <v>45985</v>
      </c>
      <c r="C243" s="16" t="inlineStr">
        <is>
          <t>شركة التاج المميزة التجارية</t>
        </is>
      </c>
      <c r="D243" s="16" t="inlineStr">
        <is>
          <t>RIYADH NURSERY - PO1213</t>
        </is>
      </c>
      <c r="E243" s="16" t="inlineStr">
        <is>
          <t>23سداد باذن صرف رقم</t>
        </is>
      </c>
      <c r="F243" s="17" t="n">
        <v>7500</v>
      </c>
      <c r="G243" s="16" t="n">
        <v>0</v>
      </c>
      <c r="H243" s="17" t="n">
        <v>7500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مواد زراعية (بيتموس/بيرلايت/أسمدة/مبيدات)</t>
        </is>
      </c>
      <c r="L243" s="16" t="n"/>
    </row>
    <row r="244">
      <c r="A244" s="16" t="n">
        <v>243</v>
      </c>
      <c r="B244" s="95" t="n">
        <v>45985</v>
      </c>
      <c r="C244" s="16" t="inlineStr">
        <is>
          <t>مؤسسة بساتين الرياض</t>
        </is>
      </c>
      <c r="D244" s="16" t="inlineStr">
        <is>
          <t>RIYADH NURSERY - PO1221</t>
        </is>
      </c>
      <c r="E244" s="16" t="inlineStr">
        <is>
          <t>اذن صرف رقم 24</t>
        </is>
      </c>
      <c r="F244" s="17" t="n">
        <v>1040</v>
      </c>
      <c r="G244" s="16" t="n">
        <v>0</v>
      </c>
      <c r="H244" s="17" t="n">
        <v>1040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مشتريات نباتات وبذور</t>
        </is>
      </c>
      <c r="L244" s="16" t="n"/>
    </row>
    <row r="245">
      <c r="A245" s="16" t="n">
        <v>244</v>
      </c>
      <c r="B245" s="95" t="n">
        <v>45987</v>
      </c>
      <c r="C245" s="16" t="inlineStr">
        <is>
          <t>الوقود</t>
        </is>
      </c>
      <c r="D245" s="16" t="inlineStr">
        <is>
          <t>RIYADH NURSERY</t>
        </is>
      </c>
      <c r="E245" s="16" t="inlineStr">
        <is>
          <t>25باذن صرف رقم</t>
        </is>
      </c>
      <c r="F245" s="17" t="n">
        <v>152.17</v>
      </c>
      <c r="G245" s="16" t="n">
        <v>15</v>
      </c>
      <c r="H245" s="17" t="n">
        <v>175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وقود</t>
        </is>
      </c>
      <c r="L245" s="16" t="n"/>
    </row>
    <row r="246">
      <c r="A246" s="16" t="n">
        <v>245</v>
      </c>
      <c r="B246" s="95" t="n">
        <v>45987</v>
      </c>
      <c r="C246" s="16" t="inlineStr">
        <is>
          <t>هايبر ماركت لولو</t>
        </is>
      </c>
      <c r="D246" s="16" t="inlineStr">
        <is>
          <t>RIYADH NURSERY</t>
        </is>
      </c>
      <c r="E246" s="16" t="inlineStr">
        <is>
          <t>26باذن صرف رقم</t>
        </is>
      </c>
      <c r="F246" s="17" t="n">
        <v>197.39</v>
      </c>
      <c r="G246" s="16" t="n">
        <v>15</v>
      </c>
      <c r="H246" s="17" t="n">
        <v>227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مصروفات إدارية وأخرى</t>
        </is>
      </c>
      <c r="L246" s="16" t="n"/>
    </row>
    <row r="247">
      <c r="A247" s="16" t="n">
        <v>246</v>
      </c>
      <c r="B247" s="95" t="n">
        <v>45989</v>
      </c>
      <c r="C247" s="16" t="inlineStr">
        <is>
          <t>مؤسسة هيلاء عبيد الدوسرى</t>
        </is>
      </c>
      <c r="D247" s="16" t="inlineStr">
        <is>
          <t>RIYADH NURSERY</t>
        </is>
      </c>
      <c r="E247" s="16" t="inlineStr">
        <is>
          <t>مرفق فاتورة</t>
        </is>
      </c>
      <c r="F247" s="17" t="n">
        <v>247.83</v>
      </c>
      <c r="G247" s="16" t="n">
        <v>15</v>
      </c>
      <c r="H247" s="17" t="n">
        <v>285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مصروفات إدارية وأخرى</t>
        </is>
      </c>
      <c r="L247" s="16" t="n"/>
    </row>
    <row r="248">
      <c r="A248" s="16" t="n">
        <v>247</v>
      </c>
      <c r="B248" s="95" t="n">
        <v>45989</v>
      </c>
      <c r="C248" s="16" t="inlineStr">
        <is>
          <t>مؤسسة هيلاء عبيد الدوسرى</t>
        </is>
      </c>
      <c r="D248" s="16" t="inlineStr">
        <is>
          <t>RIYADH NURSERY</t>
        </is>
      </c>
      <c r="E248" s="16" t="inlineStr">
        <is>
          <t>مرفق فاتورة</t>
        </is>
      </c>
      <c r="F248" s="17" t="n">
        <v>265.22</v>
      </c>
      <c r="G248" s="16" t="n">
        <v>15</v>
      </c>
      <c r="H248" s="17" t="n">
        <v>305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مصروفات إدارية وأخرى</t>
        </is>
      </c>
      <c r="L248" s="16" t="n"/>
    </row>
    <row r="249">
      <c r="A249" s="16" t="n">
        <v>248</v>
      </c>
      <c r="B249" s="95" t="n">
        <v>45989</v>
      </c>
      <c r="C249" s="16" t="inlineStr">
        <is>
          <t>صيانة</t>
        </is>
      </c>
      <c r="D249" s="16" t="inlineStr">
        <is>
          <t>RIYADH NURSERY</t>
        </is>
      </c>
      <c r="E249" s="16" t="inlineStr">
        <is>
          <t>اذن صرف رقم 27</t>
        </is>
      </c>
      <c r="F249" s="17" t="n">
        <v>250</v>
      </c>
      <c r="G249" s="16" t="n">
        <v>0</v>
      </c>
      <c r="H249" s="17" t="n">
        <v>250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صيانة وإنشاءات المزرعة</t>
        </is>
      </c>
      <c r="L249" s="16" t="n"/>
    </row>
    <row r="250">
      <c r="A250" s="16" t="n">
        <v>249</v>
      </c>
      <c r="B250" s="95" t="n">
        <v>45989</v>
      </c>
      <c r="C250" s="16" t="inlineStr">
        <is>
          <t>الوقود</t>
        </is>
      </c>
      <c r="D250" s="16" t="inlineStr">
        <is>
          <t>RIYADH NURSERY</t>
        </is>
      </c>
      <c r="E250" s="16" t="inlineStr">
        <is>
          <t>مرفق فاتورة</t>
        </is>
      </c>
      <c r="F250" s="17" t="n">
        <v>147.83</v>
      </c>
      <c r="G250" s="16" t="n">
        <v>15</v>
      </c>
      <c r="H250" s="17" t="n">
        <v>170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وقود</t>
        </is>
      </c>
      <c r="L250" s="16" t="n"/>
    </row>
    <row r="251">
      <c r="A251" s="16" t="n">
        <v>250</v>
      </c>
      <c r="B251" s="95" t="n">
        <v>45990</v>
      </c>
      <c r="C251" s="16" t="inlineStr">
        <is>
          <t>مؤسسة رواد سلام للتجارة</t>
        </is>
      </c>
      <c r="D251" s="16" t="inlineStr">
        <is>
          <t>RIYADH NURSERY</t>
        </is>
      </c>
      <c r="E251" s="16" t="n"/>
      <c r="F251" s="17" t="n">
        <v>678.48</v>
      </c>
      <c r="G251" s="16" t="n">
        <v>15</v>
      </c>
      <c r="H251" s="17" t="n">
        <v>780.25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مواد زراعية (بيتموس/بيرلايت/أسمدة/مبيدات)</t>
        </is>
      </c>
      <c r="L251" s="16" t="n"/>
    </row>
    <row r="252">
      <c r="A252" s="16" t="n">
        <v>251</v>
      </c>
      <c r="B252" s="95" t="n">
        <v>45990</v>
      </c>
      <c r="C252" s="16" t="inlineStr">
        <is>
          <t>شركة مصنع الديكور والبولستيرين السعودي</t>
        </is>
      </c>
      <c r="D252" s="16" t="inlineStr">
        <is>
          <t>RIYADH NURSERY - PO1230</t>
        </is>
      </c>
      <c r="E252" s="16" t="inlineStr">
        <is>
          <t>28سداد باذن صرف رقم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45991</v>
      </c>
      <c r="C253" s="16" t="inlineStr">
        <is>
          <t>الشركة السعوديه للكهرباء</t>
        </is>
      </c>
      <c r="D253" s="16" t="inlineStr">
        <is>
          <t>RIYADH NURSERY</t>
        </is>
      </c>
      <c r="E253" s="16" t="inlineStr">
        <is>
          <t>اذن صرف رقم 29</t>
        </is>
      </c>
      <c r="F253" s="17" t="n">
        <v>4416.26</v>
      </c>
      <c r="G253" s="16" t="n">
        <v>15</v>
      </c>
      <c r="H253" s="17" t="n">
        <v>5078.7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45992</v>
      </c>
      <c r="C254" s="16" t="inlineStr">
        <is>
          <t>صيانة</t>
        </is>
      </c>
      <c r="D254" s="16" t="inlineStr">
        <is>
          <t>RIYADH NURSERY</t>
        </is>
      </c>
      <c r="E254" s="16" t="n"/>
      <c r="F254" s="17" t="n">
        <v>15</v>
      </c>
      <c r="G254" s="16" t="n">
        <v>0</v>
      </c>
      <c r="H254" s="17" t="n">
        <v>15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صيانة وإنشاءات المزرعة</t>
        </is>
      </c>
      <c r="L254" s="16" t="n"/>
    </row>
    <row r="255">
      <c r="A255" s="16" t="n">
        <v>254</v>
      </c>
      <c r="B255" s="95" t="n">
        <v>45992</v>
      </c>
      <c r="C255" s="16" t="inlineStr">
        <is>
          <t>شركة الرشيم الزراعية</t>
        </is>
      </c>
      <c r="D255" s="16" t="inlineStr">
        <is>
          <t>RIYADH NURSERY - PO1236</t>
        </is>
      </c>
      <c r="E255" s="16" t="n"/>
      <c r="F255" s="17" t="n">
        <v>1086.96</v>
      </c>
      <c r="G255" s="16" t="n">
        <v>15</v>
      </c>
      <c r="H255" s="17" t="n">
        <v>1250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مشتريات نباتات وبذور</t>
        </is>
      </c>
      <c r="L255" s="16" t="n"/>
    </row>
    <row r="256">
      <c r="A256" s="16" t="n">
        <v>255</v>
      </c>
      <c r="B256" s="95" t="n">
        <v>45993</v>
      </c>
      <c r="C256" s="16" t="inlineStr">
        <is>
          <t>شركة مصنع الديكور والبولستيرين السعودي</t>
        </is>
      </c>
      <c r="D256" s="16" t="inlineStr">
        <is>
          <t>RIYADH NURSERY - PO1233</t>
        </is>
      </c>
      <c r="E256" s="16" t="inlineStr">
        <is>
          <t>اذن صرف رقم 30</t>
        </is>
      </c>
      <c r="F256" s="17" t="n">
        <v>2100</v>
      </c>
      <c r="G256" s="16" t="n">
        <v>15</v>
      </c>
      <c r="H256" s="17" t="n">
        <v>2415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مستلزمات إنتاج (مراكن/فلين/مفارش)</t>
        </is>
      </c>
      <c r="L256" s="16" t="n"/>
    </row>
    <row r="257">
      <c r="A257" s="16" t="n">
        <v>256</v>
      </c>
      <c r="B257" s="95" t="n">
        <v>45993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31</t>
        </is>
      </c>
      <c r="F257" s="17" t="n">
        <v>80</v>
      </c>
      <c r="G257" s="16" t="n">
        <v>0</v>
      </c>
      <c r="H257" s="17" t="n">
        <v>80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45994</v>
      </c>
      <c r="C258" s="16" t="inlineStr">
        <is>
          <t>ينابع المئويه لتحلية المياه</t>
        </is>
      </c>
      <c r="D258" s="16" t="inlineStr">
        <is>
          <t>RIYADH NURSERY</t>
        </is>
      </c>
      <c r="E258" s="16" t="inlineStr">
        <is>
          <t>اذن صرف رقم 32</t>
        </is>
      </c>
      <c r="F258" s="17" t="n">
        <v>60</v>
      </c>
      <c r="G258" s="16" t="n">
        <v>0</v>
      </c>
      <c r="H258" s="17" t="n">
        <v>60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خدمات (كهرباء/مياه/اتصالات)</t>
        </is>
      </c>
      <c r="L258" s="16" t="n"/>
    </row>
    <row r="259">
      <c r="A259" s="16" t="n">
        <v>258</v>
      </c>
      <c r="B259" s="95" t="n">
        <v>45995</v>
      </c>
      <c r="C259" s="16" t="inlineStr">
        <is>
          <t>رواتب</t>
        </is>
      </c>
      <c r="D259" s="16" t="inlineStr">
        <is>
          <t>RIYADH NURSERY</t>
        </is>
      </c>
      <c r="E259" s="16" t="inlineStr">
        <is>
          <t>اذن صرف رقم 33</t>
        </is>
      </c>
      <c r="F259" s="17" t="n">
        <v>38365</v>
      </c>
      <c r="G259" s="16" t="n">
        <v>0</v>
      </c>
      <c r="H259" s="17" t="n">
        <v>38365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رواتب وعمولات</t>
        </is>
      </c>
      <c r="L259" s="16" t="n"/>
    </row>
    <row r="260">
      <c r="A260" s="16" t="n">
        <v>259</v>
      </c>
      <c r="B260" s="95" t="n">
        <v>45995</v>
      </c>
      <c r="C260" s="16" t="inlineStr">
        <is>
          <t>الوقود</t>
        </is>
      </c>
      <c r="D260" s="16" t="inlineStr">
        <is>
          <t>RIYADH NURSERY</t>
        </is>
      </c>
      <c r="E260" s="16" t="inlineStr">
        <is>
          <t>اذن صرف رقم 35</t>
        </is>
      </c>
      <c r="F260" s="17" t="n">
        <v>86.95999999999999</v>
      </c>
      <c r="G260" s="16" t="n">
        <v>15</v>
      </c>
      <c r="H260" s="17" t="n">
        <v>100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وقود</t>
        </is>
      </c>
      <c r="L260" s="16" t="n"/>
    </row>
    <row r="261">
      <c r="A261" s="16" t="n">
        <v>260</v>
      </c>
      <c r="B261" s="95" t="n">
        <v>45995</v>
      </c>
      <c r="C261" s="16" t="inlineStr">
        <is>
          <t>هاتف الموبايل</t>
        </is>
      </c>
      <c r="D261" s="16" t="inlineStr">
        <is>
          <t>RIYADH NURSERY</t>
        </is>
      </c>
      <c r="E261" s="16" t="inlineStr">
        <is>
          <t>اذن صرف رقم 34</t>
        </is>
      </c>
      <c r="F261" s="17" t="n">
        <v>115</v>
      </c>
      <c r="G261" s="16" t="n">
        <v>0</v>
      </c>
      <c r="H261" s="17" t="n">
        <v>115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خدمات (كهرباء/مياه/اتصالات)</t>
        </is>
      </c>
      <c r="L261" s="16" t="n"/>
    </row>
    <row r="262">
      <c r="A262" s="16" t="n">
        <v>261</v>
      </c>
      <c r="B262" s="95" t="n">
        <v>45997</v>
      </c>
      <c r="C262" s="16" t="inlineStr">
        <is>
          <t>HETA NURSERYS</t>
        </is>
      </c>
      <c r="D262" s="16" t="inlineStr">
        <is>
          <t>RIYADH NURSERY - PO1247</t>
        </is>
      </c>
      <c r="E262" s="16" t="inlineStr">
        <is>
          <t>اذن صرف رقم 36</t>
        </is>
      </c>
      <c r="F262" s="17" t="n">
        <v>6600</v>
      </c>
      <c r="G262" s="16" t="n">
        <v>0</v>
      </c>
      <c r="H262" s="17" t="n">
        <v>6600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مشتريات نباتات وبذور</t>
        </is>
      </c>
      <c r="L262" s="16" t="n"/>
    </row>
    <row r="263">
      <c r="A263" s="16" t="n">
        <v>262</v>
      </c>
      <c r="B263" s="95" t="n">
        <v>45999</v>
      </c>
      <c r="C263" s="16" t="inlineStr">
        <is>
          <t>موسسسة افاق الاليه لادوات الكهربيه</t>
        </is>
      </c>
      <c r="D263" s="16" t="inlineStr">
        <is>
          <t>RIYADH NURSERY</t>
        </is>
      </c>
      <c r="E263" s="16" t="n"/>
      <c r="F263" s="17" t="n">
        <v>274.78</v>
      </c>
      <c r="G263" s="16" t="n">
        <v>15</v>
      </c>
      <c r="H263" s="17" t="n">
        <v>316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46000</v>
      </c>
      <c r="C264" s="16" t="inlineStr">
        <is>
          <t>مبسط العجفة لمواد البناء</t>
        </is>
      </c>
      <c r="D264" s="16" t="inlineStr">
        <is>
          <t>RIYADH NURSERY</t>
        </is>
      </c>
      <c r="E264" s="16" t="n"/>
      <c r="F264" s="17" t="n">
        <v>410</v>
      </c>
      <c r="G264" s="16" t="n">
        <v>0</v>
      </c>
      <c r="H264" s="17" t="n">
        <v>410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46000</v>
      </c>
      <c r="C265" s="16" t="inlineStr">
        <is>
          <t>مركز الخرج سابقا للاواني المنزلية</t>
        </is>
      </c>
      <c r="D265" s="16" t="inlineStr">
        <is>
          <t>RIYADH NURSERY</t>
        </is>
      </c>
      <c r="E265" s="16" t="n"/>
      <c r="F265" s="17" t="n">
        <v>60</v>
      </c>
      <c r="G265" s="16" t="n">
        <v>0</v>
      </c>
      <c r="H265" s="17" t="n">
        <v>60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مصروفات إدارية وأخرى</t>
        </is>
      </c>
      <c r="L265" s="16" t="n"/>
    </row>
    <row r="266">
      <c r="A266" s="16" t="n">
        <v>265</v>
      </c>
      <c r="B266" s="95" t="n">
        <v>46001</v>
      </c>
      <c r="C266" s="16" t="inlineStr">
        <is>
          <t>شركة مصنع الديكور والبولستيرين السعودي</t>
        </is>
      </c>
      <c r="D266" s="16" t="inlineStr">
        <is>
          <t>RIYADH NURSERY - PO1274</t>
        </is>
      </c>
      <c r="E266" s="16" t="inlineStr">
        <is>
          <t>اذن صرف رقم 37</t>
        </is>
      </c>
      <c r="F266" s="17" t="n">
        <v>2100</v>
      </c>
      <c r="G266" s="16" t="n">
        <v>15</v>
      </c>
      <c r="H266" s="17" t="n">
        <v>2415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مستلزمات إنتاج (مراكن/فلين/مفارش)</t>
        </is>
      </c>
      <c r="L266" s="16" t="n"/>
    </row>
    <row r="267">
      <c r="A267" s="16" t="n">
        <v>266</v>
      </c>
      <c r="B267" s="95" t="n">
        <v>46002</v>
      </c>
      <c r="C267" s="16" t="inlineStr">
        <is>
          <t>مؤسسة المحترف الامثل للتجارة - سباكة</t>
        </is>
      </c>
      <c r="D267" s="16" t="inlineStr">
        <is>
          <t>RIYADH NURSERY</t>
        </is>
      </c>
      <c r="E267" s="16" t="n"/>
      <c r="F267" s="17" t="n">
        <v>85</v>
      </c>
      <c r="G267" s="16" t="n">
        <v>15</v>
      </c>
      <c r="H267" s="17" t="n">
        <v>97.75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صيانة وإنشاءات المزرعة</t>
        </is>
      </c>
      <c r="L267" s="16" t="n"/>
    </row>
    <row r="268">
      <c r="A268" s="16" t="n">
        <v>267</v>
      </c>
      <c r="B268" s="95" t="n">
        <v>46002</v>
      </c>
      <c r="C268" s="16" t="inlineStr">
        <is>
          <t>شركة جوهرة الطيف للتجلرة</t>
        </is>
      </c>
      <c r="D268" s="16" t="inlineStr">
        <is>
          <t>RIYADH NURSERY</t>
        </is>
      </c>
      <c r="E268" s="16" t="n"/>
      <c r="F268" s="17" t="n">
        <v>17.39</v>
      </c>
      <c r="G268" s="16" t="n">
        <v>15</v>
      </c>
      <c r="H268" s="17" t="n">
        <v>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صيانة وإنشاءات المزرعة</t>
        </is>
      </c>
      <c r="L268" s="16" t="n"/>
    </row>
    <row r="269">
      <c r="A269" s="16" t="n">
        <v>268</v>
      </c>
      <c r="B269" s="95" t="n">
        <v>46002</v>
      </c>
      <c r="C269" s="16" t="inlineStr">
        <is>
          <t>شركة مصنع الديكور والبولستيرين السعودي</t>
        </is>
      </c>
      <c r="D269" s="16" t="inlineStr">
        <is>
          <t>RIYADH NURSERY - PO1277</t>
        </is>
      </c>
      <c r="E269" s="16" t="inlineStr">
        <is>
          <t>اذن صرف رقم 38</t>
        </is>
      </c>
      <c r="F269" s="17" t="n">
        <v>2100</v>
      </c>
      <c r="G269" s="16" t="n">
        <v>15</v>
      </c>
      <c r="H269" s="17" t="n">
        <v>2415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مستلزمات إنتاج (مراكن/فلين/مفارش)</t>
        </is>
      </c>
      <c r="L269" s="16" t="n"/>
    </row>
    <row r="270">
      <c r="A270" s="16" t="n">
        <v>269</v>
      </c>
      <c r="B270" s="95" t="n">
        <v>46004</v>
      </c>
      <c r="C270" s="16" t="inlineStr">
        <is>
          <t>مؤسسة هيلاء عبيد الدوسرى</t>
        </is>
      </c>
      <c r="D270" s="16" t="inlineStr">
        <is>
          <t>RIYADH NURSERY</t>
        </is>
      </c>
      <c r="E270" s="16" t="n"/>
      <c r="F270" s="17" t="n">
        <v>308.7</v>
      </c>
      <c r="G270" s="16" t="n">
        <v>15</v>
      </c>
      <c r="H270" s="17" t="n">
        <v>355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مصروفات إدارية وأخرى</t>
        </is>
      </c>
      <c r="L270" s="16" t="n"/>
    </row>
    <row r="271">
      <c r="A271" s="16" t="n">
        <v>270</v>
      </c>
      <c r="B271" s="95" t="n">
        <v>46004</v>
      </c>
      <c r="C271" s="16" t="inlineStr">
        <is>
          <t>الوقود</t>
        </is>
      </c>
      <c r="D271" s="16" t="inlineStr">
        <is>
          <t>RIYADH NURSERY</t>
        </is>
      </c>
      <c r="E271" s="16" t="n"/>
      <c r="F271" s="17" t="n">
        <v>121.61</v>
      </c>
      <c r="G271" s="16" t="n">
        <v>15</v>
      </c>
      <c r="H271" s="17" t="n">
        <v>139.85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وقود</t>
        </is>
      </c>
      <c r="L271" s="16" t="n"/>
    </row>
    <row r="272">
      <c r="A272" s="16" t="n">
        <v>271</v>
      </c>
      <c r="B272" s="95" t="n">
        <v>46006</v>
      </c>
      <c r="C272" s="16" t="inlineStr">
        <is>
          <t>موسسة بيت الوسيط لتجاره</t>
        </is>
      </c>
      <c r="D272" s="16" t="inlineStr">
        <is>
          <t>RIYADH NURSERY</t>
        </is>
      </c>
      <c r="E272" s="16" t="n"/>
      <c r="F272" s="17" t="n">
        <v>452.17</v>
      </c>
      <c r="G272" s="16" t="n">
        <v>15</v>
      </c>
      <c r="H272" s="17" t="n">
        <v>520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مواد زراعية (بيتموس/بيرلايت/أسمدة/مبيدات)</t>
        </is>
      </c>
      <c r="L272" s="16" t="n"/>
    </row>
    <row r="273">
      <c r="A273" s="16" t="n">
        <v>272</v>
      </c>
      <c r="B273" s="95" t="n">
        <v>46006</v>
      </c>
      <c r="C273" s="16" t="inlineStr">
        <is>
          <t>مؤسسة تلال الربيع للمفارش</t>
        </is>
      </c>
      <c r="D273" s="16" t="inlineStr">
        <is>
          <t>RIYADH NURSERY</t>
        </is>
      </c>
      <c r="E273" s="16" t="n"/>
      <c r="F273" s="17" t="n">
        <v>75</v>
      </c>
      <c r="G273" s="16" t="n">
        <v>15</v>
      </c>
      <c r="H273" s="17" t="n">
        <v>86.25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مصروفات إدارية وأخرى</t>
        </is>
      </c>
      <c r="L273" s="16" t="n"/>
    </row>
    <row r="274">
      <c r="A274" s="16" t="n">
        <v>273</v>
      </c>
      <c r="B274" s="95" t="n">
        <v>46007</v>
      </c>
      <c r="C274" s="16" t="inlineStr">
        <is>
          <t>شركة التاج المميزة التجارية</t>
        </is>
      </c>
      <c r="D274" s="16" t="inlineStr">
        <is>
          <t>RIYADH NURSERY - PO1287</t>
        </is>
      </c>
      <c r="E274" s="16" t="inlineStr">
        <is>
          <t>اذن صرف رقم 39</t>
        </is>
      </c>
      <c r="F274" s="17" t="n">
        <v>14500</v>
      </c>
      <c r="G274" s="16" t="n">
        <v>0</v>
      </c>
      <c r="H274" s="17" t="n">
        <v>14500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مواد زراعية (بيتموس/بيرلايت/أسمدة/مبيدات)</t>
        </is>
      </c>
      <c r="L274" s="16" t="n"/>
    </row>
    <row r="275">
      <c r="A275" s="16" t="n">
        <v>274</v>
      </c>
      <c r="B275" s="95" t="n">
        <v>46007</v>
      </c>
      <c r="C275" s="16" t="inlineStr">
        <is>
          <t>شركة ايراد المتحدة التجارية</t>
        </is>
      </c>
      <c r="D275" s="16" t="inlineStr">
        <is>
          <t>RIYADH NURSERY - PO1286</t>
        </is>
      </c>
      <c r="E275" s="16" t="n"/>
      <c r="F275" s="17" t="n">
        <v>3152.43</v>
      </c>
      <c r="G275" s="16" t="n">
        <v>15</v>
      </c>
      <c r="H275" s="17" t="n">
        <v>3625.29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مواد زراعية (بيتموس/بيرلايت/أسمدة/مبيدات)</t>
        </is>
      </c>
      <c r="L275" s="16" t="n"/>
    </row>
    <row r="276">
      <c r="A276" s="16" t="n">
        <v>275</v>
      </c>
      <c r="B276" s="95" t="n">
        <v>46007</v>
      </c>
      <c r="C276" s="16" t="inlineStr">
        <is>
          <t>شركة مصنع الديكور والبولستيرين السعودي</t>
        </is>
      </c>
      <c r="D276" s="16" t="inlineStr">
        <is>
          <t>RIYADH NURSERY - PO1285</t>
        </is>
      </c>
      <c r="E276" s="16" t="inlineStr">
        <is>
          <t>اذن صرف رقم 40</t>
        </is>
      </c>
      <c r="F276" s="17" t="n">
        <v>7140</v>
      </c>
      <c r="G276" s="16" t="n">
        <v>15</v>
      </c>
      <c r="H276" s="17" t="n">
        <v>8211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مستلزمات إنتاج (مراكن/فلين/مفارش)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ورشة الرحالة لصيانة البردات</t>
        </is>
      </c>
      <c r="D277" s="16" t="inlineStr">
        <is>
          <t>RIYADH NURSERY</t>
        </is>
      </c>
      <c r="E277" s="16" t="inlineStr">
        <is>
          <t>اذن صرف رقم 47</t>
        </is>
      </c>
      <c r="F277" s="17" t="n">
        <v>400</v>
      </c>
      <c r="G277" s="16" t="n">
        <v>0</v>
      </c>
      <c r="H277" s="17" t="n">
        <v>400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صيانة سيارات ومعدات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ورشة الرحالة لصيانة البردات</t>
        </is>
      </c>
      <c r="D278" s="16" t="inlineStr">
        <is>
          <t>RIYADH NURSERY</t>
        </is>
      </c>
      <c r="E278" s="16" t="inlineStr">
        <is>
          <t>اذن صرف رقم 46</t>
        </is>
      </c>
      <c r="F278" s="17" t="n">
        <v>450</v>
      </c>
      <c r="G278" s="16" t="n">
        <v>0</v>
      </c>
      <c r="H278" s="17" t="n">
        <v>450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صيانة سيارات ومعدات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ورشة الرحالة لصيانة البردات</t>
        </is>
      </c>
      <c r="D279" s="16" t="inlineStr">
        <is>
          <t>RIYADH NURSERY</t>
        </is>
      </c>
      <c r="E279" s="16" t="inlineStr">
        <is>
          <t>اذن صرف رقم 45</t>
        </is>
      </c>
      <c r="F279" s="17" t="n">
        <v>13000</v>
      </c>
      <c r="G279" s="16" t="n">
        <v>0</v>
      </c>
      <c r="H279" s="17" t="n">
        <v>13000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صيانة سيارات ومعدات</t>
        </is>
      </c>
      <c r="L279" s="16" t="n"/>
    </row>
    <row r="280">
      <c r="A280" s="16" t="n">
        <v>279</v>
      </c>
      <c r="B280" s="95" t="n">
        <v>46008</v>
      </c>
      <c r="C280" s="16" t="inlineStr">
        <is>
          <t>ورشة الرحالة لصيانة البردات</t>
        </is>
      </c>
      <c r="D280" s="16" t="inlineStr">
        <is>
          <t>RIYADH NURSERY</t>
        </is>
      </c>
      <c r="E280" s="16" t="inlineStr">
        <is>
          <t>اذن صرف رقم 44</t>
        </is>
      </c>
      <c r="F280" s="17" t="n">
        <v>5000</v>
      </c>
      <c r="G280" s="16" t="n">
        <v>0</v>
      </c>
      <c r="H280" s="17" t="n">
        <v>5000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سيارات ومعدات</t>
        </is>
      </c>
      <c r="L280" s="16" t="n"/>
    </row>
    <row r="281">
      <c r="A281" s="16" t="n">
        <v>280</v>
      </c>
      <c r="B281" s="95" t="n">
        <v>46008</v>
      </c>
      <c r="C281" s="16" t="inlineStr">
        <is>
          <t>العمولة</t>
        </is>
      </c>
      <c r="D281" s="16" t="inlineStr">
        <is>
          <t>RIYADH NURSERY</t>
        </is>
      </c>
      <c r="E281" s="16" t="inlineStr">
        <is>
          <t>اذن صرف رقم 43</t>
        </is>
      </c>
      <c r="F281" s="17" t="n">
        <v>300</v>
      </c>
      <c r="G281" s="16" t="n">
        <v>0</v>
      </c>
      <c r="H281" s="17" t="n">
        <v>300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رواتب وعمولات</t>
        </is>
      </c>
      <c r="L281" s="16" t="n"/>
    </row>
    <row r="282">
      <c r="A282" s="16" t="n">
        <v>281</v>
      </c>
      <c r="B282" s="95" t="n">
        <v>46008</v>
      </c>
      <c r="C282" s="16" t="inlineStr">
        <is>
          <t>العمولة</t>
        </is>
      </c>
      <c r="D282" s="16" t="inlineStr">
        <is>
          <t>RIYADH NURSERY</t>
        </is>
      </c>
      <c r="E282" s="16" t="inlineStr">
        <is>
          <t>اذن صرف رقم 42</t>
        </is>
      </c>
      <c r="F282" s="17" t="n">
        <v>1400</v>
      </c>
      <c r="G282" s="16" t="n">
        <v>0</v>
      </c>
      <c r="H282" s="17" t="n">
        <v>1400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رواتب وعمولات</t>
        </is>
      </c>
      <c r="L282" s="16" t="n"/>
    </row>
    <row r="283">
      <c r="A283" s="16" t="n">
        <v>282</v>
      </c>
      <c r="B283" s="95" t="n">
        <v>46008</v>
      </c>
      <c r="C283" s="16" t="inlineStr">
        <is>
          <t>هاتف الموبايل</t>
        </is>
      </c>
      <c r="D283" s="16" t="inlineStr">
        <is>
          <t>RIYADH NURSERY</t>
        </is>
      </c>
      <c r="E283" s="16" t="inlineStr">
        <is>
          <t>اذن صرف رقم 41</t>
        </is>
      </c>
      <c r="F283" s="17" t="n">
        <v>100</v>
      </c>
      <c r="G283" s="16" t="n">
        <v>15</v>
      </c>
      <c r="H283" s="17" t="n">
        <v>115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خدمات (كهرباء/مياه/اتصالات)</t>
        </is>
      </c>
      <c r="L283" s="16" t="n"/>
    </row>
    <row r="284">
      <c r="A284" s="16" t="n">
        <v>283</v>
      </c>
      <c r="B284" s="95" t="n">
        <v>46011</v>
      </c>
      <c r="C284" s="16" t="inlineStr">
        <is>
          <t>مؤسسة المحترف الامثل للتجارة - سباكة</t>
        </is>
      </c>
      <c r="D284" s="16" t="inlineStr">
        <is>
          <t>RIYADH NURSERY</t>
        </is>
      </c>
      <c r="E284" s="16" t="n"/>
      <c r="F284" s="17" t="n">
        <v>265</v>
      </c>
      <c r="G284" s="16" t="n">
        <v>15</v>
      </c>
      <c r="H284" s="17" t="n">
        <v>304.75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صيانة وإنشاءات المزرعة</t>
        </is>
      </c>
      <c r="L284" s="16" t="n"/>
    </row>
    <row r="285">
      <c r="A285" s="16" t="n">
        <v>284</v>
      </c>
      <c r="B285" s="95" t="n">
        <v>46011</v>
      </c>
      <c r="C285" s="16" t="inlineStr">
        <is>
          <t>ينابع المئويه لتحلية المياه</t>
        </is>
      </c>
      <c r="D285" s="16" t="inlineStr">
        <is>
          <t>RIYADH NURSERY</t>
        </is>
      </c>
      <c r="E285" s="16" t="n"/>
      <c r="F285" s="17" t="n">
        <v>60</v>
      </c>
      <c r="G285" s="16" t="n">
        <v>0</v>
      </c>
      <c r="H285" s="17" t="n">
        <v>60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46011</v>
      </c>
      <c r="C286" s="16" t="inlineStr">
        <is>
          <t>شركة حمد  المنيع وشركاه لاجهزة الكهربائية - المنيع</t>
        </is>
      </c>
      <c r="D286" s="16" t="inlineStr">
        <is>
          <t>RIYADH NURSERY</t>
        </is>
      </c>
      <c r="E286" s="16" t="n"/>
      <c r="F286" s="17" t="n">
        <v>216.41</v>
      </c>
      <c r="G286" s="16" t="n">
        <v>15</v>
      </c>
      <c r="H286" s="17" t="n">
        <v>248.87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46012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n"/>
      <c r="F287" s="17" t="n">
        <v>110</v>
      </c>
      <c r="G287" s="16" t="n">
        <v>15</v>
      </c>
      <c r="H287" s="17" t="n">
        <v>126.5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46014</v>
      </c>
      <c r="C288" s="16" t="inlineStr">
        <is>
          <t>مؤسسة روابي المعرفة التجارية</t>
        </is>
      </c>
      <c r="D288" s="16" t="inlineStr">
        <is>
          <t>RIYADH NURSERY</t>
        </is>
      </c>
      <c r="E288" s="16" t="n"/>
      <c r="F288" s="17" t="n">
        <v>173.04</v>
      </c>
      <c r="G288" s="16" t="n">
        <v>15</v>
      </c>
      <c r="H288" s="17" t="n">
        <v>199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مصروفات إدارية وأخرى</t>
        </is>
      </c>
      <c r="L288" s="16" t="n"/>
    </row>
    <row r="289">
      <c r="A289" s="16" t="n">
        <v>288</v>
      </c>
      <c r="B289" s="95" t="n">
        <v>46014</v>
      </c>
      <c r="C289" s="16" t="inlineStr">
        <is>
          <t>شركة ضي العليا لتقنية المعلومات</t>
        </is>
      </c>
      <c r="D289" s="16" t="inlineStr">
        <is>
          <t>RIYADH NURSERY</t>
        </is>
      </c>
      <c r="E289" s="16" t="n"/>
      <c r="F289" s="17" t="n">
        <v>173.04</v>
      </c>
      <c r="G289" s="16" t="n">
        <v>15</v>
      </c>
      <c r="H289" s="17" t="n">
        <v>199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خدمات (كهرباء/مياه/اتصالات)</t>
        </is>
      </c>
      <c r="L289" s="16" t="n"/>
    </row>
    <row r="290">
      <c r="A290" s="34" t="n">
        <v>289</v>
      </c>
      <c r="B290" s="99" t="n">
        <v>46016</v>
      </c>
      <c r="C290" s="34" t="inlineStr">
        <is>
          <t>شركة الجزيرة الحديثة الزراعية</t>
        </is>
      </c>
      <c r="D290" s="34" t="inlineStr">
        <is>
          <t>WHK-2364</t>
        </is>
      </c>
      <c r="E290" s="34" t="inlineStr">
        <is>
          <t>مرفق طلب التوريد</t>
        </is>
      </c>
      <c r="F290" s="36" t="n">
        <v>21250</v>
      </c>
      <c r="G290" s="34" t="n">
        <v>0</v>
      </c>
      <c r="H290" s="36" t="n">
        <v>21250</v>
      </c>
      <c r="I290" s="34" t="inlineStr">
        <is>
          <t>لا</t>
        </is>
      </c>
      <c r="J290" s="34" t="inlineStr">
        <is>
          <t>مزرعة الرياض (عهدة/صندوق)</t>
        </is>
      </c>
      <c r="K290" s="34" t="inlineStr">
        <is>
          <t>مشتريات زهور لعقد عرعر (WHK-2364)</t>
        </is>
      </c>
      <c r="L290" s="34" t="inlineStr">
        <is>
          <t>⚠ غير مدفوع – مديونية قائمة | تكلفة زهور مشتراة لتوريد عقد عرعر لأبو خالد</t>
        </is>
      </c>
    </row>
    <row r="291">
      <c r="A291" s="18" t="n">
        <v>290</v>
      </c>
      <c r="B291" s="98" t="n">
        <v>46016</v>
      </c>
      <c r="C291" s="18" t="inlineStr">
        <is>
          <t>شركة الجزيرة الحديثة الزراعية</t>
        </is>
      </c>
      <c r="D291" s="18" t="inlineStr">
        <is>
          <t>WHK-2364</t>
        </is>
      </c>
      <c r="E291" s="18" t="inlineStr">
        <is>
          <t>مرفق طلب التوريد</t>
        </is>
      </c>
      <c r="F291" s="19" t="n">
        <v>20000</v>
      </c>
      <c r="G291" s="18" t="n">
        <v>0</v>
      </c>
      <c r="H291" s="19" t="n">
        <v>20000</v>
      </c>
      <c r="I291" s="18" t="inlineStr">
        <is>
          <t>نعم</t>
        </is>
      </c>
      <c r="J291" s="18" t="inlineStr">
        <is>
          <t>مزرعة الرياض (عهدة/صندوق)</t>
        </is>
      </c>
      <c r="K291" s="18" t="inlineStr">
        <is>
          <t>مشتريات زهور لعقد عرعر (WHK-2364)</t>
        </is>
      </c>
      <c r="L291" s="18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2">
      <c r="A292" s="18" t="n">
        <v>291</v>
      </c>
      <c r="B292" s="98" t="n">
        <v>46016</v>
      </c>
      <c r="C292" s="18" t="inlineStr">
        <is>
          <t>شركة الجزيرة الحديثة الزراعية</t>
        </is>
      </c>
      <c r="D292" s="18" t="inlineStr">
        <is>
          <t>WHK-2364</t>
        </is>
      </c>
      <c r="E292" s="18" t="inlineStr">
        <is>
          <t>مرفق طلب التوريد</t>
        </is>
      </c>
      <c r="F292" s="19" t="n">
        <v>20000</v>
      </c>
      <c r="G292" s="18" t="n">
        <v>0</v>
      </c>
      <c r="H292" s="19" t="n">
        <v>20000</v>
      </c>
      <c r="I292" s="18" t="inlineStr">
        <is>
          <t>نعم</t>
        </is>
      </c>
      <c r="J292" s="18" t="inlineStr">
        <is>
          <t>مزرعة الرياض (عهدة/صندوق)</t>
        </is>
      </c>
      <c r="K292" s="18" t="inlineStr">
        <is>
          <t>مشتريات زهور لعقد عرعر (WHK-2364)</t>
        </is>
      </c>
      <c r="L292" s="18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3">
      <c r="A293" s="16" t="n">
        <v>292</v>
      </c>
      <c r="B293" s="95" t="n">
        <v>46017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49</t>
        </is>
      </c>
      <c r="F293" s="17" t="n">
        <v>693</v>
      </c>
      <c r="G293" s="16" t="n">
        <v>0</v>
      </c>
      <c r="H293" s="17" t="n">
        <v>693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46017</v>
      </c>
      <c r="C294" s="16" t="inlineStr">
        <is>
          <t>مؤسسة المحترف الامثل للتجارة - سباكة</t>
        </is>
      </c>
      <c r="D294" s="16" t="inlineStr">
        <is>
          <t>RIYADH NURSERY</t>
        </is>
      </c>
      <c r="E294" s="16" t="inlineStr">
        <is>
          <t>اذن صرف 48</t>
        </is>
      </c>
      <c r="F294" s="17" t="n">
        <v>225</v>
      </c>
      <c r="G294" s="16" t="n">
        <v>15</v>
      </c>
      <c r="H294" s="17" t="n">
        <v>258.75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صيانة وإنشاءات المزرعة</t>
        </is>
      </c>
      <c r="L294" s="16" t="n"/>
    </row>
    <row r="295">
      <c r="A295" s="16" t="n">
        <v>294</v>
      </c>
      <c r="B295" s="95" t="n">
        <v>46018</v>
      </c>
      <c r="C295" s="16" t="inlineStr">
        <is>
          <t>مغلسة تركي مبلش رشيد الحربي</t>
        </is>
      </c>
      <c r="D295" s="16" t="inlineStr">
        <is>
          <t>RIYADH NURSERY</t>
        </is>
      </c>
      <c r="E295" s="16" t="inlineStr">
        <is>
          <t>اذن صرف رقم 50</t>
        </is>
      </c>
      <c r="F295" s="17" t="n">
        <v>60</v>
      </c>
      <c r="G295" s="16" t="n">
        <v>0</v>
      </c>
      <c r="H295" s="17" t="n">
        <v>60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سيارات ومعدات</t>
        </is>
      </c>
      <c r="L295" s="16" t="n"/>
    </row>
    <row r="296">
      <c r="A296" s="16" t="n">
        <v>295</v>
      </c>
      <c r="B296" s="95" t="n">
        <v>46019</v>
      </c>
      <c r="C296" s="16" t="inlineStr">
        <is>
          <t>موسسسة افاق الاليه لادوات الكهربيه</t>
        </is>
      </c>
      <c r="D296" s="16" t="inlineStr">
        <is>
          <t>RIYADH NURSERY</t>
        </is>
      </c>
      <c r="E296" s="16" t="inlineStr">
        <is>
          <t>اذن صرف رقم 51</t>
        </is>
      </c>
      <c r="F296" s="17" t="n">
        <v>684</v>
      </c>
      <c r="G296" s="16" t="n">
        <v>0</v>
      </c>
      <c r="H296" s="17" t="n">
        <v>684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صيانة وإنشاءات المزرعة</t>
        </is>
      </c>
      <c r="L296" s="16" t="n"/>
    </row>
    <row r="297">
      <c r="A297" s="16" t="n">
        <v>296</v>
      </c>
      <c r="B297" s="95" t="n">
        <v>46020</v>
      </c>
      <c r="C297" s="16" t="inlineStr">
        <is>
          <t>الشركة المصرية الالمانية للانتاج الزراعي</t>
        </is>
      </c>
      <c r="D297" s="16" t="inlineStr">
        <is>
          <t>RIYADH NURSERY - PO1278</t>
        </is>
      </c>
      <c r="E297" s="16" t="inlineStr">
        <is>
          <t>اذن صرف رقم 54</t>
        </is>
      </c>
      <c r="F297" s="17" t="n">
        <v>44662</v>
      </c>
      <c r="G297" s="16" t="n">
        <v>0</v>
      </c>
      <c r="H297" s="17" t="n">
        <v>44662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مشتريات نباتات وبذور</t>
        </is>
      </c>
      <c r="L297" s="16" t="n"/>
    </row>
    <row r="298">
      <c r="A298" s="16" t="n">
        <v>297</v>
      </c>
      <c r="B298" s="95" t="n">
        <v>46020</v>
      </c>
      <c r="C298" s="16" t="inlineStr">
        <is>
          <t>الشركة السعوديه للكهرباء</t>
        </is>
      </c>
      <c r="D298" s="16" t="inlineStr">
        <is>
          <t>RIYADH NURSERY - PO1323</t>
        </is>
      </c>
      <c r="E298" s="16" t="inlineStr">
        <is>
          <t>اذن صرف رقم 52</t>
        </is>
      </c>
      <c r="F298" s="17" t="n">
        <v>3248.64</v>
      </c>
      <c r="G298" s="16" t="n">
        <v>15</v>
      </c>
      <c r="H298" s="17" t="n">
        <v>3735.94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خدمات (كهرباء/مياه/اتصالات)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موسسسة افاق الاليه لادوات الكهربيه</t>
        </is>
      </c>
      <c r="D299" s="16" t="inlineStr">
        <is>
          <t>RIYADH NURSERY</t>
        </is>
      </c>
      <c r="E299" s="16" t="inlineStr">
        <is>
          <t>اذن صرف رقم 58</t>
        </is>
      </c>
      <c r="F299" s="17" t="n">
        <v>488</v>
      </c>
      <c r="G299" s="16" t="n">
        <v>0</v>
      </c>
      <c r="H299" s="17" t="n">
        <v>488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صيانة وإنشاءات المزرعة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موسسسة افاق الاليه لادوات الكهربيه</t>
        </is>
      </c>
      <c r="D300" s="16" t="inlineStr">
        <is>
          <t>RIYADH NURSERY</t>
        </is>
      </c>
      <c r="E300" s="16" t="inlineStr">
        <is>
          <t>اذن صرف رقم 57</t>
        </is>
      </c>
      <c r="F300" s="17" t="n">
        <v>647</v>
      </c>
      <c r="G300" s="16" t="n">
        <v>0</v>
      </c>
      <c r="H300" s="17" t="n">
        <v>647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صيانة وإنشاءات المزرعة</t>
        </is>
      </c>
      <c r="L300" s="16" t="n"/>
    </row>
    <row r="301">
      <c r="A301" s="16" t="n">
        <v>300</v>
      </c>
      <c r="B301" s="95" t="n">
        <v>46021</v>
      </c>
      <c r="C301" s="16" t="inlineStr">
        <is>
          <t>هاتف الموبايل</t>
        </is>
      </c>
      <c r="D301" s="16" t="inlineStr">
        <is>
          <t>RIYADH NURSERY</t>
        </is>
      </c>
      <c r="E301" s="16" t="inlineStr">
        <is>
          <t>اذن صرف رقم 56</t>
        </is>
      </c>
      <c r="F301" s="17" t="n">
        <v>104.35</v>
      </c>
      <c r="G301" s="16" t="n">
        <v>15</v>
      </c>
      <c r="H301" s="17" t="n">
        <v>120</v>
      </c>
      <c r="I301" s="16" t="inlineStr">
        <is>
          <t>نعم</t>
        </is>
      </c>
      <c r="J301" s="16" t="inlineStr">
        <is>
          <t>مزرعة الرياض (عهدة/صندوق)</t>
        </is>
      </c>
      <c r="K301" s="16" t="inlineStr">
        <is>
          <t>خدمات (كهرباء/مياه/اتصالات)</t>
        </is>
      </c>
      <c r="L301" s="16" t="n"/>
    </row>
    <row r="302">
      <c r="A302" s="16" t="n">
        <v>301</v>
      </c>
      <c r="B302" s="95" t="n">
        <v>46021</v>
      </c>
      <c r="C302" s="16" t="inlineStr">
        <is>
          <t>مصنعيات</t>
        </is>
      </c>
      <c r="D302" s="16" t="inlineStr">
        <is>
          <t>RIYADH NURSERY</t>
        </is>
      </c>
      <c r="E302" s="16" t="inlineStr">
        <is>
          <t>اذن صرف 61</t>
        </is>
      </c>
      <c r="F302" s="17" t="n">
        <v>1000</v>
      </c>
      <c r="G302" s="16" t="n">
        <v>0</v>
      </c>
      <c r="H302" s="17" t="n">
        <v>1000</v>
      </c>
      <c r="I302" s="16" t="inlineStr">
        <is>
          <t>نعم</t>
        </is>
      </c>
      <c r="J302" s="16" t="inlineStr">
        <is>
          <t>مزرعة الرياض (عهدة/صندوق)</t>
        </is>
      </c>
      <c r="K302" s="16" t="inlineStr">
        <is>
          <t>صيانة وإنشاءات المزرعة</t>
        </is>
      </c>
      <c r="L302" s="16" t="n"/>
    </row>
    <row r="303">
      <c r="A303" s="16" t="n">
        <v>302</v>
      </c>
      <c r="B303" s="95" t="n">
        <v>46021</v>
      </c>
      <c r="C303" s="16" t="inlineStr">
        <is>
          <t>مؤسسة هيلاء عبيد الدوسرى</t>
        </is>
      </c>
      <c r="D303" s="16" t="inlineStr">
        <is>
          <t>RIYADH NURSERY</t>
        </is>
      </c>
      <c r="E303" s="16" t="inlineStr">
        <is>
          <t>اذن صرف رقم 60</t>
        </is>
      </c>
      <c r="F303" s="17" t="n">
        <v>204.35</v>
      </c>
      <c r="G303" s="16" t="n">
        <v>15</v>
      </c>
      <c r="H303" s="17" t="n">
        <v>235</v>
      </c>
      <c r="I303" s="16" t="inlineStr">
        <is>
          <t>نعم</t>
        </is>
      </c>
      <c r="J303" s="16" t="inlineStr">
        <is>
          <t>مزرعة الرياض (عهدة/صندوق)</t>
        </is>
      </c>
      <c r="K303" s="16" t="inlineStr">
        <is>
          <t>مصروفات إدارية وأخرى</t>
        </is>
      </c>
      <c r="L303" s="16" t="n"/>
    </row>
    <row r="304">
      <c r="A304" s="16" t="n">
        <v>303</v>
      </c>
      <c r="B304" s="95" t="n">
        <v>46021</v>
      </c>
      <c r="C304" s="16" t="inlineStr">
        <is>
          <t>الوقود</t>
        </is>
      </c>
      <c r="D304" s="16" t="inlineStr">
        <is>
          <t>RIYADH NURSERY</t>
        </is>
      </c>
      <c r="E304" s="16" t="inlineStr">
        <is>
          <t>اذن صرف رقم 59</t>
        </is>
      </c>
      <c r="F304" s="17" t="n">
        <v>60.87</v>
      </c>
      <c r="G304" s="16" t="n">
        <v>15</v>
      </c>
      <c r="H304" s="17" t="n">
        <v>70</v>
      </c>
      <c r="I304" s="16" t="inlineStr">
        <is>
          <t>نعم</t>
        </is>
      </c>
      <c r="J304" s="16" t="inlineStr">
        <is>
          <t>مزرعة الرياض (عهدة/صندوق)</t>
        </is>
      </c>
      <c r="K304" s="16" t="inlineStr">
        <is>
          <t>وقود</t>
        </is>
      </c>
      <c r="L304" s="16" t="n"/>
    </row>
    <row r="305">
      <c r="A305" s="16" t="n">
        <v>304</v>
      </c>
      <c r="B305" s="95" t="n">
        <v>46021</v>
      </c>
      <c r="C305" s="16" t="inlineStr">
        <is>
          <t>فواز الخالدي - التخليص الجمركي</t>
        </is>
      </c>
      <c r="D305" s="16" t="inlineStr">
        <is>
          <t>RIYADH NURSERY - PO1329</t>
        </is>
      </c>
      <c r="E305" s="16" t="inlineStr">
        <is>
          <t>اذن صرف رقم 55</t>
        </is>
      </c>
      <c r="F305" s="17" t="n">
        <v>5189</v>
      </c>
      <c r="G305" s="16" t="n">
        <v>0</v>
      </c>
      <c r="H305" s="17" t="n">
        <v>5189</v>
      </c>
      <c r="I305" s="16" t="inlineStr">
        <is>
          <t>نعم</t>
        </is>
      </c>
      <c r="J305" s="16" t="inlineStr">
        <is>
          <t>مزرعة الرياض (عهدة/صندوق)</t>
        </is>
      </c>
      <c r="K305" s="16" t="inlineStr">
        <is>
          <t>تخليص جمركي</t>
        </is>
      </c>
      <c r="L305" s="16" t="n"/>
    </row>
    <row r="306">
      <c r="A306" s="16" t="n">
        <v>305</v>
      </c>
      <c r="B306" s="95" t="n">
        <v>46021</v>
      </c>
      <c r="C306" s="16" t="inlineStr">
        <is>
          <t>فواز الخالدي - التخليص الجمركي</t>
        </is>
      </c>
      <c r="D306" s="16" t="inlineStr">
        <is>
          <t>RIYADH NURSERY - PO1328</t>
        </is>
      </c>
      <c r="E306" s="16" t="inlineStr">
        <is>
          <t>اذن صرف رقم 54</t>
        </is>
      </c>
      <c r="F306" s="17" t="n">
        <v>2247.5</v>
      </c>
      <c r="G306" s="16" t="n">
        <v>0</v>
      </c>
      <c r="H306" s="17" t="n">
        <v>2247.5</v>
      </c>
      <c r="I306" s="16" t="inlineStr">
        <is>
          <t>نعم</t>
        </is>
      </c>
      <c r="J306" s="16" t="inlineStr">
        <is>
          <t>مزرعة الرياض (عهدة/صندوق)</t>
        </is>
      </c>
      <c r="K306" s="16" t="inlineStr">
        <is>
          <t>تخليص جمركي</t>
        </is>
      </c>
      <c r="L306" s="16" t="n"/>
    </row>
    <row r="307">
      <c r="A307" s="16" t="n">
        <v>306</v>
      </c>
      <c r="B307" s="95" t="n">
        <v>46021</v>
      </c>
      <c r="C307" s="16" t="inlineStr">
        <is>
          <t>فواز الخالدي - التخليص الجمركي</t>
        </is>
      </c>
      <c r="D307" s="16" t="inlineStr">
        <is>
          <t>RIYADH NURSERY - PO1326</t>
        </is>
      </c>
      <c r="E307" s="16" t="inlineStr">
        <is>
          <t>اذن صرف رقم 53</t>
        </is>
      </c>
      <c r="F307" s="17" t="n">
        <v>2592.5</v>
      </c>
      <c r="G307" s="16" t="n">
        <v>0</v>
      </c>
      <c r="H307" s="17" t="n">
        <v>2592.5</v>
      </c>
      <c r="I307" s="16" t="inlineStr">
        <is>
          <t>نعم</t>
        </is>
      </c>
      <c r="J307" s="16" t="inlineStr">
        <is>
          <t>مزرعة الرياض (عهدة/صندوق)</t>
        </is>
      </c>
      <c r="K307" s="16" t="inlineStr">
        <is>
          <t>تخليص جمركي</t>
        </is>
      </c>
      <c r="L307" s="16" t="n"/>
    </row>
    <row r="308">
      <c r="A308" s="9" t="n"/>
      <c r="B308" s="9" t="n"/>
      <c r="C308" s="9" t="inlineStr">
        <is>
          <t>الإجمالي</t>
        </is>
      </c>
      <c r="D308" s="9" t="n"/>
      <c r="E308" s="9" t="n"/>
      <c r="F308" s="10">
        <f>SUM(F2:F307)</f>
        <v/>
      </c>
      <c r="G308" s="9" t="n"/>
      <c r="H308" s="10">
        <f>SUM(H2:H307)</f>
        <v/>
      </c>
      <c r="I308" s="9" t="n"/>
      <c r="J308" s="9" t="n"/>
      <c r="K308" s="9" t="n"/>
      <c r="L308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9"/>
  <sheetViews>
    <sheetView rightToLeft="1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تفصيل'!H2:H307,'مصروفات 2025 - تفصيل'!K2:K307,A4)</f>
        <v/>
      </c>
      <c r="C4" s="16">
        <f>COUNTIFS('مصروفات 2025 - تفصيل'!K2:K307,A4)</f>
        <v/>
      </c>
      <c r="D4" s="17">
        <f>SUMIFS('مصروفات 2025 - تفصيل'!H2:H307,'مصروفات 2025 - تفصيل'!K2:K307,A4,'مصروفات 2025 - تفصيل'!J2:J307,"مزرعة تبوك*")</f>
        <v/>
      </c>
      <c r="E4" s="17">
        <f>SUMIFS('مصروفات 2025 - تفصيل'!H2:H307,'مصروفات 2025 - تفصيل'!K2:K307,A4,'مصروفات 2025 - تفصيل'!I2:I307,"لا")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تفصيل'!H2:H307,'مصروفات 2025 - تفصيل'!K2:K307,A5)</f>
        <v/>
      </c>
      <c r="C5" s="16">
        <f>COUNTIFS('مصروفات 2025 - تفصيل'!K2:K307,A5)</f>
        <v/>
      </c>
      <c r="D5" s="17">
        <f>SUMIFS('مصروفات 2025 - تفصيل'!H2:H307,'مصروفات 2025 - تفصيل'!K2:K307,A5,'مصروفات 2025 - تفصيل'!J2:J307,"مزرعة تبوك*")</f>
        <v/>
      </c>
      <c r="E5" s="17">
        <f>SUMIFS('مصروفات 2025 - تفصيل'!H2:H307,'مصروفات 2025 - تفصيل'!K2:K307,A5,'مصروفات 2025 - تفصيل'!I2:I307,"لا")</f>
        <v/>
      </c>
    </row>
    <row r="6">
      <c r="A6" s="16" t="inlineStr">
        <is>
          <t>مشتريات زهور لعقد عرعر (WHK-2364)</t>
        </is>
      </c>
      <c r="B6" s="17">
        <f>SUMIFS('مصروفات 2025 - تفصيل'!H2:H307,'مصروفات 2025 - تفصيل'!K2:K307,A6)</f>
        <v/>
      </c>
      <c r="C6" s="16">
        <f>COUNTIFS('مصروفات 2025 - تفصيل'!K2:K307,A6)</f>
        <v/>
      </c>
      <c r="D6" s="17">
        <f>SUMIFS('مصروفات 2025 - تفصيل'!H2:H307,'مصروفات 2025 - تفصيل'!K2:K307,A6,'مصروفات 2025 - تفصيل'!J2:J307,"مزرعة تبوك*")</f>
        <v/>
      </c>
      <c r="E6" s="17">
        <f>SUMIFS('مصروفات 2025 - تفصيل'!H2:H307,'مصروفات 2025 - تفصيل'!K2:K307,A6,'مصروفات 2025 - تفصيل'!I2:I307,"لا")</f>
        <v/>
      </c>
    </row>
    <row r="7">
      <c r="A7" s="16" t="inlineStr">
        <is>
          <t>رواتب وعمولات</t>
        </is>
      </c>
      <c r="B7" s="17">
        <f>SUMIFS('مصروفات 2025 - تفصيل'!H2:H307,'مصروفات 2025 - تفصيل'!K2:K307,A7)</f>
        <v/>
      </c>
      <c r="C7" s="16">
        <f>COUNTIFS('مصروفات 2025 - تفصيل'!K2:K307,A7)</f>
        <v/>
      </c>
      <c r="D7" s="17">
        <f>SUMIFS('مصروفات 2025 - تفصيل'!H2:H307,'مصروفات 2025 - تفصيل'!K2:K307,A7,'مصروفات 2025 - تفصيل'!J2:J307,"مزرعة تبوك*")</f>
        <v/>
      </c>
      <c r="E7" s="17">
        <f>SUMIFS('مصروفات 2025 - تفصيل'!H2:H307,'مصروفات 2025 - تفصيل'!K2:K307,A7,'مصروفات 2025 - تفصيل'!I2:I307,"لا")</f>
        <v/>
      </c>
    </row>
    <row r="8">
      <c r="A8" s="16" t="inlineStr">
        <is>
          <t>مستلزمات إنتاج (مراكن/فلين/مفارش)</t>
        </is>
      </c>
      <c r="B8" s="17">
        <f>SUMIFS('مصروفات 2025 - تفصيل'!H2:H307,'مصروفات 2025 - تفصيل'!K2:K307,A8)</f>
        <v/>
      </c>
      <c r="C8" s="16">
        <f>COUNTIFS('مصروفات 2025 - تفصيل'!K2:K307,A8)</f>
        <v/>
      </c>
      <c r="D8" s="17">
        <f>SUMIFS('مصروفات 2025 - تفصيل'!H2:H307,'مصروفات 2025 - تفصيل'!K2:K307,A8,'مصروفات 2025 - تفصيل'!J2:J307,"مزرعة تبوك*")</f>
        <v/>
      </c>
      <c r="E8" s="17">
        <f>SUMIFS('مصروفات 2025 - تفصيل'!H2:H307,'مصروفات 2025 - تفصيل'!K2:K307,A8,'مصروفات 2025 - تفصيل'!I2:I307,"لا")</f>
        <v/>
      </c>
    </row>
    <row r="9">
      <c r="A9" s="16" t="inlineStr">
        <is>
          <t>خدمات (كهرباء/مياه/اتصالات)</t>
        </is>
      </c>
      <c r="B9" s="17">
        <f>SUMIFS('مصروفات 2025 - تفصيل'!H2:H307,'مصروفات 2025 - تفصيل'!K2:K307,A9)</f>
        <v/>
      </c>
      <c r="C9" s="16">
        <f>COUNTIFS('مصروفات 2025 - تفصيل'!K2:K307,A9)</f>
        <v/>
      </c>
      <c r="D9" s="17">
        <f>SUMIFS('مصروفات 2025 - تفصيل'!H2:H307,'مصروفات 2025 - تفصيل'!K2:K307,A9,'مصروفات 2025 - تفصيل'!J2:J307,"مزرعة تبوك*")</f>
        <v/>
      </c>
      <c r="E9" s="17">
        <f>SUMIFS('مصروفات 2025 - تفصيل'!H2:H307,'مصروفات 2025 - تفصيل'!K2:K307,A9,'مصروفات 2025 - تفصيل'!I2:I307,"لا")</f>
        <v/>
      </c>
    </row>
    <row r="10">
      <c r="A10" s="16" t="inlineStr">
        <is>
          <t>مصروفات إدارية وأخرى</t>
        </is>
      </c>
      <c r="B10" s="17">
        <f>SUMIFS('مصروفات 2025 - تفصيل'!H2:H307,'مصروفات 2025 - تفصيل'!K2:K307,A10)</f>
        <v/>
      </c>
      <c r="C10" s="16">
        <f>COUNTIFS('مصروفات 2025 - تفصيل'!K2:K307,A10)</f>
        <v/>
      </c>
      <c r="D10" s="17">
        <f>SUMIFS('مصروفات 2025 - تفصيل'!H2:H307,'مصروفات 2025 - تفصيل'!K2:K307,A10,'مصروفات 2025 - تفصيل'!J2:J307,"مزرعة تبوك*")</f>
        <v/>
      </c>
      <c r="E10" s="17">
        <f>SUMIFS('مصروفات 2025 - تفصيل'!H2:H307,'مصروفات 2025 - تفصيل'!K2:K307,A10,'مصروفات 2025 - تفصيل'!I2:I307,"لا")</f>
        <v/>
      </c>
    </row>
    <row r="11">
      <c r="A11" s="16" t="inlineStr">
        <is>
          <t>صيانة سيارات ومعدات</t>
        </is>
      </c>
      <c r="B11" s="17">
        <f>SUMIFS('مصروفات 2025 - تفصيل'!H2:H307,'مصروفات 2025 - تفصيل'!K2:K307,A11)</f>
        <v/>
      </c>
      <c r="C11" s="16">
        <f>COUNTIFS('مصروفات 2025 - تفصيل'!K2:K307,A11)</f>
        <v/>
      </c>
      <c r="D11" s="17">
        <f>SUMIFS('مصروفات 2025 - تفصيل'!H2:H307,'مصروفات 2025 - تفصيل'!K2:K307,A11,'مصروفات 2025 - تفصيل'!J2:J307,"مزرعة تبوك*")</f>
        <v/>
      </c>
      <c r="E11" s="17">
        <f>SUMIFS('مصروفات 2025 - تفصيل'!H2:H307,'مصروفات 2025 - تفصيل'!K2:K307,A11,'مصروفات 2025 - تفصيل'!I2:I307,"لا")</f>
        <v/>
      </c>
    </row>
    <row r="12">
      <c r="A12" s="16" t="inlineStr">
        <is>
          <t>صيانة وإنشاءات المزرعة</t>
        </is>
      </c>
      <c r="B12" s="17">
        <f>SUMIFS('مصروفات 2025 - تفصيل'!H2:H307,'مصروفات 2025 - تفصيل'!K2:K307,A12)</f>
        <v/>
      </c>
      <c r="C12" s="16">
        <f>COUNTIFS('مصروفات 2025 - تفصيل'!K2:K307,A12)</f>
        <v/>
      </c>
      <c r="D12" s="17">
        <f>SUMIFS('مصروفات 2025 - تفصيل'!H2:H307,'مصروفات 2025 - تفصيل'!K2:K307,A12,'مصروفات 2025 - تفصيل'!J2:J307,"مزرعة تبوك*")</f>
        <v/>
      </c>
      <c r="E12" s="17">
        <f>SUMIFS('مصروفات 2025 - تفصيل'!H2:H307,'مصروفات 2025 - تفصيل'!K2:K307,A12,'مصروفات 2025 - تفصيل'!I2:I307,"لا")</f>
        <v/>
      </c>
    </row>
    <row r="13">
      <c r="A13" s="16" t="inlineStr">
        <is>
          <t>وقود</t>
        </is>
      </c>
      <c r="B13" s="17">
        <f>SUMIFS('مصروفات 2025 - تفصيل'!H2:H307,'مصروفات 2025 - تفصيل'!K2:K307,A13)</f>
        <v/>
      </c>
      <c r="C13" s="16">
        <f>COUNTIFS('مصروفات 2025 - تفصيل'!K2:K307,A13)</f>
        <v/>
      </c>
      <c r="D13" s="17">
        <f>SUMIFS('مصروفات 2025 - تفصيل'!H2:H307,'مصروفات 2025 - تفصيل'!K2:K307,A13,'مصروفات 2025 - تفصيل'!J2:J307,"مزرعة تبوك*")</f>
        <v/>
      </c>
      <c r="E13" s="17">
        <f>SUMIFS('مصروفات 2025 - تفصيل'!H2:H307,'مصروفات 2025 - تفصيل'!K2:K307,A13,'مصروفات 2025 - تفصيل'!I2:I307,"لا")</f>
        <v/>
      </c>
    </row>
    <row r="14">
      <c r="A14" s="16" t="inlineStr">
        <is>
          <t>تخليص جمركي</t>
        </is>
      </c>
      <c r="B14" s="17">
        <f>SUMIFS('مصروفات 2025 - تفصيل'!H2:H307,'مصروفات 2025 - تفصيل'!K2:K307,A14)</f>
        <v/>
      </c>
      <c r="C14" s="16">
        <f>COUNTIFS('مصروفات 2025 - تفصيل'!K2:K307,A14)</f>
        <v/>
      </c>
      <c r="D14" s="17">
        <f>SUMIFS('مصروفات 2025 - تفصيل'!H2:H307,'مصروفات 2025 - تفصيل'!K2:K307,A14,'مصروفات 2025 - تفصيل'!J2:J307,"مزرعة تبوك*")</f>
        <v/>
      </c>
      <c r="E14" s="17">
        <f>SUMIFS('مصروفات 2025 - تفصيل'!H2:H307,'مصروفات 2025 - تفصيل'!K2:K307,A14,'مصروفات 2025 - تفصيل'!I2:I307,"لا")</f>
        <v/>
      </c>
    </row>
    <row r="15">
      <c r="A15" s="9" t="inlineStr">
        <is>
          <t>الإجمالي</t>
        </is>
      </c>
      <c r="B15" s="10">
        <f>SUM(B4:B14)</f>
        <v/>
      </c>
      <c r="C15" s="9">
        <f>SUM(C4:C14)</f>
        <v/>
      </c>
      <c r="D15" s="10">
        <f>SUM(D4:D14)</f>
        <v/>
      </c>
      <c r="E15" s="10">
        <f>SUM(E4:E14)</f>
        <v/>
      </c>
    </row>
    <row r="17">
      <c r="A17" s="59" t="inlineStr">
        <is>
          <t>حسب الشهر</t>
        </is>
      </c>
    </row>
    <row r="18">
      <c r="A18" s="22" t="inlineStr">
        <is>
          <t>الشهر</t>
        </is>
      </c>
      <c r="B18" s="22" t="inlineStr">
        <is>
          <t>الإجمالي</t>
        </is>
      </c>
      <c r="C18" s="22" t="inlineStr">
        <is>
          <t>عدد الحركات</t>
        </is>
      </c>
      <c r="D18" s="22" t="n"/>
      <c r="E18" s="22" t="n"/>
    </row>
    <row r="19">
      <c r="A19" s="16" t="inlineStr">
        <is>
          <t>06-2025</t>
        </is>
      </c>
      <c r="B19" s="17">
        <f>SUMIFS('مصروفات 2025 - تفصيل'!H2:H307,'مصروفات 2025 - تفصيل'!B2:B307,"&gt;="&amp;DATE(2025,6,1),'مصروفات 2025 - تفصيل'!B2:B307,"&lt;"&amp;DATE(2025,7,1))</f>
        <v/>
      </c>
      <c r="C19" s="16">
        <f>COUNTIFS('مصروفات 2025 - تفصيل'!B2:B307,"&gt;="&amp;DATE(2025,6,1),'مصروفات 2025 - تفصيل'!B2:B307,"&lt;"&amp;DATE(2025,7,1))</f>
        <v/>
      </c>
      <c r="D19" s="16" t="n"/>
      <c r="E19" s="16" t="n"/>
    </row>
    <row r="20">
      <c r="A20" s="16" t="inlineStr">
        <is>
          <t>07-2025</t>
        </is>
      </c>
      <c r="B20" s="17">
        <f>SUMIFS('مصروفات 2025 - تفصيل'!H2:H307,'مصروفات 2025 - تفصيل'!B2:B307,"&gt;="&amp;DATE(2025,7,1),'مصروفات 2025 - تفصيل'!B2:B307,"&lt;"&amp;DATE(2025,8,1))</f>
        <v/>
      </c>
      <c r="C20" s="16">
        <f>COUNTIFS('مصروفات 2025 - تفصيل'!B2:B307,"&gt;="&amp;DATE(2025,7,1),'مصروفات 2025 - تفصيل'!B2:B307,"&lt;"&amp;DATE(2025,8,1))</f>
        <v/>
      </c>
      <c r="D20" s="16" t="n"/>
      <c r="E20" s="16" t="n"/>
    </row>
    <row r="21">
      <c r="A21" s="16" t="inlineStr">
        <is>
          <t>08-2025</t>
        </is>
      </c>
      <c r="B21" s="17">
        <f>SUMIFS('مصروفات 2025 - تفصيل'!H2:H307,'مصروفات 2025 - تفصيل'!B2:B307,"&gt;="&amp;DATE(2025,8,1),'مصروفات 2025 - تفصيل'!B2:B307,"&lt;"&amp;DATE(2025,9,1))</f>
        <v/>
      </c>
      <c r="C21" s="16">
        <f>COUNTIFS('مصروفات 2025 - تفصيل'!B2:B307,"&gt;="&amp;DATE(2025,8,1),'مصروفات 2025 - تفصيل'!B2:B307,"&lt;"&amp;DATE(2025,9,1))</f>
        <v/>
      </c>
      <c r="D21" s="16" t="n"/>
      <c r="E21" s="16" t="n"/>
    </row>
    <row r="22">
      <c r="A22" s="16" t="inlineStr">
        <is>
          <t>09-2025</t>
        </is>
      </c>
      <c r="B22" s="17">
        <f>SUMIFS('مصروفات 2025 - تفصيل'!H2:H307,'مصروفات 2025 - تفصيل'!B2:B307,"&gt;="&amp;DATE(2025,9,1),'مصروفات 2025 - تفصيل'!B2:B307,"&lt;"&amp;DATE(2025,10,1))</f>
        <v/>
      </c>
      <c r="C22" s="16">
        <f>COUNTIFS('مصروفات 2025 - تفصيل'!B2:B307,"&gt;="&amp;DATE(2025,9,1),'مصروفات 2025 - تفصيل'!B2:B307,"&lt;"&amp;DATE(2025,10,1))</f>
        <v/>
      </c>
      <c r="D22" s="16" t="n"/>
      <c r="E22" s="16" t="n"/>
    </row>
    <row r="23">
      <c r="A23" s="16" t="inlineStr">
        <is>
          <t>10-2025</t>
        </is>
      </c>
      <c r="B23" s="17">
        <f>SUMIFS('مصروفات 2025 - تفصيل'!H2:H307,'مصروفات 2025 - تفصيل'!B2:B307,"&gt;="&amp;DATE(2025,10,1),'مصروفات 2025 - تفصيل'!B2:B307,"&lt;"&amp;DATE(2025,11,1))</f>
        <v/>
      </c>
      <c r="C23" s="16">
        <f>COUNTIFS('مصروفات 2025 - تفصيل'!B2:B307,"&gt;="&amp;DATE(2025,10,1),'مصروفات 2025 - تفصيل'!B2:B307,"&lt;"&amp;DATE(2025,11,1))</f>
        <v/>
      </c>
      <c r="D23" s="16" t="n"/>
      <c r="E23" s="16" t="n"/>
    </row>
    <row r="24">
      <c r="A24" s="16" t="inlineStr">
        <is>
          <t>11-2025</t>
        </is>
      </c>
      <c r="B24" s="17">
        <f>SUMIFS('مصروفات 2025 - تفصيل'!H2:H307,'مصروفات 2025 - تفصيل'!B2:B307,"&gt;="&amp;DATE(2025,11,1),'مصروفات 2025 - تفصيل'!B2:B307,"&lt;"&amp;DATE(2025,12,1))</f>
        <v/>
      </c>
      <c r="C24" s="16">
        <f>COUNTIFS('مصروفات 2025 - تفصيل'!B2:B307,"&gt;="&amp;DATE(2025,11,1),'مصروفات 2025 - تفصيل'!B2:B307,"&lt;"&amp;DATE(2025,12,1))</f>
        <v/>
      </c>
      <c r="D24" s="16" t="n"/>
      <c r="E24" s="16" t="n"/>
    </row>
    <row r="25">
      <c r="A25" s="16" t="inlineStr">
        <is>
          <t>12-2025</t>
        </is>
      </c>
      <c r="B25" s="17">
        <f>SUMIFS('مصروفات 2025 - تفصيل'!H2:H307,'مصروفات 2025 - تفصيل'!B2:B307,"&gt;="&amp;DATE(2025,12,1),'مصروفات 2025 - تفصيل'!B2:B307,"&lt;"&amp;DATE(2026,1,1))</f>
        <v/>
      </c>
      <c r="C25" s="16">
        <f>COUNTIFS('مصروفات 2025 - تفصيل'!B2:B307,"&gt;="&amp;DATE(2025,12,1),'مصروفات 2025 - تفصيل'!B2:B307,"&lt;"&amp;DATE(2026,1,1))</f>
        <v/>
      </c>
      <c r="D25" s="16" t="n"/>
      <c r="E25" s="16" t="n"/>
    </row>
    <row r="26">
      <c r="A26" s="9" t="inlineStr">
        <is>
          <t>الإجمالي</t>
        </is>
      </c>
      <c r="B26" s="10">
        <f>SUM(B19:B25)</f>
        <v/>
      </c>
      <c r="C26" s="9">
        <f>SUM(C19:C25)</f>
        <v/>
      </c>
      <c r="D26" s="9" t="n"/>
      <c r="E26" s="9" t="n"/>
    </row>
    <row r="28">
      <c r="A28" s="59" t="inlineStr">
        <is>
          <t>مبالغ دفعتها مزرعة تبوك عن مزرعة الرياض في 2025 (مديونية على مزرعة الرياض)</t>
        </is>
      </c>
    </row>
    <row r="29">
      <c r="A29" s="22" t="inlineStr">
        <is>
          <t>المورد</t>
        </is>
      </c>
      <c r="B29" s="22" t="inlineStr">
        <is>
          <t>التاريخ</t>
        </is>
      </c>
      <c r="C29" s="22" t="inlineStr">
        <is>
          <t>أمر الشراء</t>
        </is>
      </c>
      <c r="D29" s="22" t="inlineStr">
        <is>
          <t>المبلغ</t>
        </is>
      </c>
      <c r="E29" s="22" t="n"/>
    </row>
    <row r="30">
      <c r="A30" s="16" t="inlineStr">
        <is>
          <t>شركة المدارات السعودية للتجارة والاستيراد</t>
        </is>
      </c>
      <c r="B30" s="95" t="n">
        <v>45880</v>
      </c>
      <c r="C30" s="16" t="inlineStr">
        <is>
          <t>RIYADH NURSERY-PO599</t>
        </is>
      </c>
      <c r="D30" s="17" t="n">
        <v>4600</v>
      </c>
      <c r="E30" s="16" t="n"/>
    </row>
    <row r="31">
      <c r="A31" s="16" t="inlineStr">
        <is>
          <t>Arabian Vermiculite Industries (AVI)</t>
        </is>
      </c>
      <c r="B31" s="95" t="n">
        <v>45887</v>
      </c>
      <c r="C31" s="16" t="inlineStr">
        <is>
          <t>RIYADH NURSERY</t>
        </is>
      </c>
      <c r="D31" s="17" t="n">
        <v>17043</v>
      </c>
      <c r="E31" s="16" t="n"/>
    </row>
    <row r="32">
      <c r="A32" s="16" t="inlineStr">
        <is>
          <t>شركة التاج المميزة التجارية</t>
        </is>
      </c>
      <c r="B32" s="95" t="n">
        <v>45887</v>
      </c>
      <c r="C32" s="16" t="inlineStr">
        <is>
          <t>RIYADH NURSERY-PO#627</t>
        </is>
      </c>
      <c r="D32" s="17" t="n">
        <v>27025</v>
      </c>
      <c r="E32" s="16" t="n"/>
    </row>
    <row r="33">
      <c r="A33" s="16" t="inlineStr">
        <is>
          <t>شركة التكامل</t>
        </is>
      </c>
      <c r="B33" s="95" t="n">
        <v>45901</v>
      </c>
      <c r="C33" s="16" t="inlineStr">
        <is>
          <t>RIYADH NURSERYpo-747</t>
        </is>
      </c>
      <c r="D33" s="17" t="n">
        <v>22356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NURSERY-PO749</t>
        </is>
      </c>
      <c r="D34" s="17" t="n">
        <v>2260.44</v>
      </c>
      <c r="E34" s="16" t="n"/>
    </row>
    <row r="35">
      <c r="A35" s="16" t="inlineStr">
        <is>
          <t>شركة سائح لى للبلاستيك المحدوده</t>
        </is>
      </c>
      <c r="B35" s="95" t="n">
        <v>45913</v>
      </c>
      <c r="C35" s="16" t="inlineStr">
        <is>
          <t>RIYADH NURSERY-PO-736</t>
        </is>
      </c>
      <c r="D35" s="17" t="n">
        <v>2260.44</v>
      </c>
      <c r="E35" s="16" t="n"/>
    </row>
    <row r="36">
      <c r="A36" s="16" t="inlineStr">
        <is>
          <t>شركة التاج المميزة التجارية</t>
        </is>
      </c>
      <c r="B36" s="95" t="n">
        <v>45920</v>
      </c>
      <c r="C36" s="16" t="inlineStr">
        <is>
          <t>RIYADH NURSERY PO-743</t>
        </is>
      </c>
      <c r="D36" s="17" t="n">
        <v>28750</v>
      </c>
      <c r="E36" s="16" t="n"/>
    </row>
    <row r="37">
      <c r="A37" s="16" t="inlineStr">
        <is>
          <t>شركة المدارات السعودية للتجارة والاستيراد</t>
        </is>
      </c>
      <c r="B37" s="95" t="n">
        <v>45921</v>
      </c>
      <c r="C37" s="16" t="inlineStr">
        <is>
          <t>RIYADH NURSERY-PO785</t>
        </is>
      </c>
      <c r="D37" s="17" t="n">
        <v>9200</v>
      </c>
      <c r="E37" s="16" t="n"/>
    </row>
    <row r="38">
      <c r="A38" s="16" t="inlineStr">
        <is>
          <t>شركة سائح لى للبلاستيك المحدوده</t>
        </is>
      </c>
      <c r="B38" s="95" t="n">
        <v>45926</v>
      </c>
      <c r="C38" s="16" t="inlineStr">
        <is>
          <t>RIYADH NURSERY</t>
        </is>
      </c>
      <c r="D38" s="17" t="n">
        <v>4520.88</v>
      </c>
      <c r="E38" s="16" t="n"/>
    </row>
    <row r="39">
      <c r="A39" s="16" t="inlineStr">
        <is>
          <t>شركة الياسين الزراعية</t>
        </is>
      </c>
      <c r="B39" s="95" t="n">
        <v>45930</v>
      </c>
      <c r="C39" s="16" t="inlineStr">
        <is>
          <t>RIYADH NURSERY</t>
        </is>
      </c>
      <c r="D39" s="17" t="n">
        <v>58063.5</v>
      </c>
      <c r="E39" s="16" t="n"/>
    </row>
    <row r="40">
      <c r="A40" s="16" t="inlineStr">
        <is>
          <t>شركة المدارات السعودية للتجارة والاستيراد</t>
        </is>
      </c>
      <c r="B40" s="95" t="n">
        <v>45953</v>
      </c>
      <c r="C40" s="16" t="inlineStr">
        <is>
          <t>RIYADH NURSERY - PO1040</t>
        </is>
      </c>
      <c r="D40" s="17" t="n">
        <v>50600</v>
      </c>
      <c r="E40" s="16" t="n"/>
    </row>
    <row r="41">
      <c r="A41" s="9" t="inlineStr">
        <is>
          <t>الإجمالي</t>
        </is>
      </c>
      <c r="B41" s="9" t="n"/>
      <c r="C41" s="9" t="n"/>
      <c r="D41" s="10">
        <f>SUM(D30:D40)</f>
        <v/>
      </c>
      <c r="E41" s="9" t="n"/>
    </row>
    <row r="42" ht="45" customHeight="1">
      <c r="A42" s="65" t="n"/>
    </row>
    <row r="43" ht="45" customHeight="1">
      <c r="A43" s="66" t="inlineStr">
        <is>
          <t>ملاحظات المراجعة:</t>
        </is>
      </c>
    </row>
    <row r="44" ht="45" customHeight="1">
      <c r="A44" s="65" t="inlineStr">
        <is>
          <t>1) ملفا 2025 متطابقان: الملف الثاني فيه كل حركات الأول + 6 حركات مشتريات من شركة الجزيرة الحديثة الزراعية لعقد عرعر WHK-2364. إجمالي مشتريات الجزيرة لعقد عرعر 7 حركات = 198,102.50 (منها 21,250 غير مدفوع). كل الحركات صحيحة ضريبياً.</t>
        </is>
      </c>
    </row>
    <row r="45" ht="45" customHeight="1">
      <c r="A45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6" ht="45" customHeight="1">
      <c r="A46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7" ht="45" customHeight="1">
      <c r="A47" s="65" t="inlineStr">
        <is>
          <t>4) ⚠ مديونية قائمة من 2025: شركة الجزيرة الحديثة 21,250 (عقد عرعر) غير مدفوعة.</t>
        </is>
      </c>
    </row>
    <row r="48" ht="45" customHeight="1">
      <c r="A48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 والجزيرة 20,000 مرتين في 25-12-2025.</t>
        </is>
      </c>
    </row>
    <row r="49" ht="45" customHeight="1">
      <c r="A49" s="65" t="inlineStr">
        <is>
          <t>6) فاتورة كهرباء شهر 6 (6,003.31) تاريخها قبل 1-7-2025 – بالرمادي.</t>
        </is>
      </c>
    </row>
  </sheetData>
  <mergeCells count="9">
    <mergeCell ref="A48:E48"/>
    <mergeCell ref="A43:E43"/>
    <mergeCell ref="A42:E42"/>
    <mergeCell ref="A49:E49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4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4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2026-09-28T09:41:26Z</dcterms:modified>
</cp:coreProperties>
</file>