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يزان الخزنة" sheetId="32" state="visible" r:id="rId32"/>
    <sheet name="مصروفات الخزنة (كشف الحساب)" sheetId="33" state="visible" r:id="rId33"/>
    <sheet name="خزنة الرياض 6-7 2026" sheetId="34" state="visible" r:id="rId34"/>
    <sheet name="صرف بدون بيان" sheetId="35" state="visible" r:id="rId35"/>
    <sheet name="أرصدة العملاء والموردين" sheetId="36" state="visible" r:id="rId36"/>
    <sheet name="مصروفات 2025 - تفصيل" sheetId="37" state="visible" r:id="rId37"/>
    <sheet name="مصروفات 2025 - ملخص" sheetId="38" state="visible" r:id="rId38"/>
    <sheet name="مواد - الملخص" sheetId="39" state="visible" r:id="rId39"/>
    <sheet name="مواد - سجل العقود" sheetId="40" state="visible" r:id="rId40"/>
    <sheet name="مواد - تفصيل البنود" sheetId="41" state="visible" r:id="rId41"/>
    <sheet name="مواد - الكميات حسب الصنف" sheetId="42" state="visible" r:id="rId42"/>
    <sheet name="مسحوبات - ملخص المراجعة" sheetId="43" state="visible" r:id="rId43"/>
    <sheet name="مسحوبات تبوك قبل الفترة" sheetId="44" state="visible" r:id="rId44"/>
    <sheet name="مصاريف إدارية وديزل تبوك" sheetId="45" state="visible" r:id="rId45"/>
    <sheet name="مسحوبات الرياض من تبوك" sheetId="46" state="visible" r:id="rId46"/>
    <sheet name="مسحوبات تبوك من الرياض" sheetId="47" state="visible" r:id="rId47"/>
    <sheet name="سندات غير مدرجة بالمحاسب" sheetId="48" state="visible" r:id="rId48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2" hidden="1">'مصروفات الخزنة (كشف الحساب)'!$A$1:$I$198</definedName>
    <definedName name="_xlnm._FilterDatabase" localSheetId="36" hidden="1">'مصروفات 2025 - تفصيل'!$A$1:$L$307</definedName>
    <definedName name="_xlnm._FilterDatabase" localSheetId="3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Relationship Type="http://schemas.openxmlformats.org/officeDocument/2006/relationships/hyperlink" Target="#'&#1605;&#1610;&#1586;&#1575;&#1606; &#1575;&#1604;&#1582;&#1586;&#1606;&#1577;'!A1" TargetMode="External" Id="rId47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9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(المصروف من الرياض + المحوّل من تبوك × 0.50)</t>
        </is>
      </c>
    </row>
    <row r="49">
      <c r="A49" s="16" t="n">
        <v>47</v>
      </c>
      <c r="B49" s="16" t="inlineStr">
        <is>
          <t>المصروفات</t>
        </is>
      </c>
      <c r="C49" s="90" t="inlineStr">
        <is>
          <t>ميزان الخزنة</t>
        </is>
      </c>
      <c r="D49" s="16" t="inlineStr">
        <is>
          <t>ميزان الخزنة القديمة قبل وبعد حذف الجزيرة ومطابقته مع رصيد النظام الجديد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3"/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خالد'!C13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خالد'!C18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خالد'!C25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7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عقد عرعر = الكميات المصروفة من الرياض (205,750) + المحوّلة من تبوك (69,625) × 0.50. تم حذف زهور الجزيرة بالكامل من كشف الخزنة (فاتورة 215,847.50 وإيداع 196,225 + فلين 3,128 وصرف مقابل)، وبذلك أُضيف ربح مسحوبات الجزيرة (16,494.50) بالكامل لأبو خالد – رصيده بكشف الخزنة أصبح 177,483.06 له بدل 160,988.56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خالد'!E49-'مطابقة كميات عقد عرعر'!E11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123" t="n">
        <v>2</v>
      </c>
      <c r="B12" s="123" t="inlineStr">
        <is>
          <t>منصرف لأبو خالد بتعليمات أبو مازن (9-3-2026)</t>
        </is>
      </c>
      <c r="C12" s="131" t="n">
        <v>100000</v>
      </c>
      <c r="D12" s="123" t="inlineStr">
        <is>
          <t>كشف الخزنة – مصروف 131</t>
        </is>
      </c>
      <c r="E12" s="123" t="inlineStr">
        <is>
          <t>✓ مؤكد أن أبو خالد استلمه</t>
        </is>
      </c>
    </row>
    <row r="13">
      <c r="A13" s="9" t="n"/>
      <c r="B13" s="9" t="inlineStr">
        <is>
          <t>الإجمالي</t>
        </is>
      </c>
      <c r="C13" s="10">
        <f>SUM(C11:C12)</f>
        <v/>
      </c>
      <c r="D13" s="9" t="n"/>
      <c r="E13" s="9" t="n"/>
    </row>
    <row r="14"/>
    <row r="15">
      <c r="A15" s="7" t="inlineStr">
        <is>
          <t>ثالثاً: سدادات أبو خالد لمسحوباته (مسجلة لحسابه في كشف الخزنة)</t>
        </is>
      </c>
    </row>
    <row r="16">
      <c r="A16" s="8" t="inlineStr">
        <is>
          <t>م</t>
        </is>
      </c>
      <c r="B16" s="8" t="inlineStr">
        <is>
          <t>البند</t>
        </is>
      </c>
      <c r="C16" s="8" t="inlineStr">
        <is>
          <t>المبلغ</t>
        </is>
      </c>
      <c r="D16" s="8" t="inlineStr">
        <is>
          <t>المصدر</t>
        </is>
      </c>
      <c r="E16" s="8" t="inlineStr">
        <is>
          <t>ملاحظة</t>
        </is>
      </c>
    </row>
    <row r="17">
      <c r="A17" s="3" t="n">
        <v>1</v>
      </c>
      <c r="B17" s="3" t="inlineStr">
        <is>
          <t>توريدات نقدية وسدادات مسجلة لحسابه بكشف الخزنة (بعد حذف إيداعات الجزيرة)</t>
        </is>
      </c>
      <c r="C17" s="4">
        <f>763323.81-196225-3128</f>
        <v/>
      </c>
      <c r="D17" s="3" t="inlineStr">
        <is>
          <t>كشف الحساب – عميل 5000</t>
        </is>
      </c>
      <c r="E17" s="3" t="inlineStr">
        <is>
          <t>الأصل 763,323.81 − زهور الجزيرة 196,225 − فلين مستعمل من الجزيرة 3,128 (خاصة بعقد بساتين الرياض – محذوفة)</t>
        </is>
      </c>
    </row>
    <row r="18">
      <c r="A18" s="9" t="n"/>
      <c r="B18" s="9" t="inlineStr">
        <is>
          <t>الإجمالي</t>
        </is>
      </c>
      <c r="C18" s="10">
        <f>SUM(C17:C17)</f>
        <v/>
      </c>
      <c r="D18" s="9" t="n"/>
      <c r="E18" s="9" t="n"/>
    </row>
    <row r="19"/>
    <row r="20">
      <c r="A20" s="7" t="inlineStr">
        <is>
          <t>رابعاً: دعم أبو خالد لمزرعة الرياض (حق له)</t>
        </is>
      </c>
    </row>
    <row r="21">
      <c r="A21" s="8" t="inlineStr">
        <is>
          <t>م</t>
        </is>
      </c>
      <c r="B21" s="8" t="inlineStr">
        <is>
          <t>البند</t>
        </is>
      </c>
      <c r="C21" s="8" t="inlineStr">
        <is>
          <t>المبلغ</t>
        </is>
      </c>
      <c r="D21" s="8" t="inlineStr">
        <is>
          <t>المصدر</t>
        </is>
      </c>
      <c r="E21" s="8" t="inlineStr">
        <is>
          <t>ملاحظة</t>
        </is>
      </c>
    </row>
    <row r="22">
      <c r="A22" s="3" t="n">
        <v>1</v>
      </c>
      <c r="B22" s="3" t="inlineStr">
        <is>
          <t>مساهمة أبو خالد في مصروفات التأسيس</t>
        </is>
      </c>
      <c r="C22" s="4" t="n">
        <v>189235</v>
      </c>
      <c r="D22" s="3" t="inlineStr">
        <is>
          <t>بيان صاحب الحساب</t>
        </is>
      </c>
      <c r="E22" s="3" t="inlineStr">
        <is>
          <t>مساهمة أبو خالد في التأسيس – تُضاف لمصروفات التأسيس (الإجمالي 1,278,970.80)</t>
        </is>
      </c>
    </row>
    <row r="23">
      <c r="A23" s="3" t="n">
        <v>2</v>
      </c>
      <c r="B23" s="3" t="inlineStr">
        <is>
          <t>أوامر شراء بساتين الرياض غير مسددة – PO-1023</t>
        </is>
      </c>
      <c r="C23" s="4" t="n">
        <v>33950</v>
      </c>
      <c r="D23" s="3" t="inlineStr">
        <is>
          <t>ملف أوامر الشراء 2026</t>
        </is>
      </c>
      <c r="E23" s="3" t="n"/>
    </row>
    <row r="24">
      <c r="A24" s="3" t="n">
        <v>3</v>
      </c>
      <c r="B24" s="3" t="inlineStr">
        <is>
          <t>أوامر شراء بساتين الرياض – PO-0777 (المتبقي بعد سداد 11,000)</t>
        </is>
      </c>
      <c r="C24" s="4" t="n">
        <v>55420</v>
      </c>
      <c r="D24" s="3" t="inlineStr">
        <is>
          <t>ملف أوامر الشراء 2026</t>
        </is>
      </c>
      <c r="E24" s="3" t="inlineStr">
        <is>
          <t>قيمة الأمر 66,420 − مسدد 11,000 (سند الخزنة DIS-Riyadh-0012 بتاريخ 1-7-2026) = 55,420</t>
        </is>
      </c>
    </row>
    <row r="25" ht="32" customHeight="1">
      <c r="A25" s="9" t="n"/>
      <c r="B25" s="9" t="inlineStr">
        <is>
          <t>الإجمالي</t>
        </is>
      </c>
      <c r="C25" s="10">
        <f>SUM(C22:C24)</f>
        <v/>
      </c>
      <c r="D25" s="9" t="n"/>
      <c r="E25" s="9" t="n"/>
    </row>
    <row r="26"/>
    <row r="27">
      <c r="B27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7:E27"/>
    <mergeCell ref="A20:E20"/>
    <mergeCell ref="A15:E15"/>
    <mergeCell ref="A1:E1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2"/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9"/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2"/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0"/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2"/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✓ مؤكد – استُلم لحسابه الشخصي</t>
        </is>
      </c>
    </row>
    <row r="14">
      <c r="A14" s="3" t="n">
        <v>2</v>
      </c>
      <c r="B14" s="3" t="inlineStr">
        <is>
          <t>(منقول لحساب أبو خالد) منصرف 100,000 بتاريخ 9-3-2026</t>
        </is>
      </c>
      <c r="C14" s="4" t="n">
        <v>0</v>
      </c>
      <c r="D14" s="3" t="inlineStr">
        <is>
          <t>كشف الخزنة – مصروف 131</t>
        </is>
      </c>
      <c r="E14" s="3" t="inlineStr">
        <is>
          <t>تأكد أن أبو خالد هو من استلمه</t>
        </is>
      </c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inlineStr">
        <is>
          <t>✓ مؤكد – استُلم لحسابه الشخصي</t>
        </is>
      </c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2"/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0"/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3"/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3"/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0"/>
    <row r="31"/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6"/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3"/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7"/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6"/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2"/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2"/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0"/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2"/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5"/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6"/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3"/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2"/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3"/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3"/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7"/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3"/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6"/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2026-09-28T13:25:41Z</dcterms:modified>
</cp:coreProperties>
</file>