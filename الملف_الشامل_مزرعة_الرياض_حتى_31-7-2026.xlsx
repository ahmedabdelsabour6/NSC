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يزان الخزنة" sheetId="32" state="visible" r:id="rId32"/>
    <sheet name="مصروفات الخزنة (كشف الحساب)" sheetId="33" state="visible" r:id="rId33"/>
    <sheet name="خزنة الرياض 6-7 2026" sheetId="34" state="visible" r:id="rId34"/>
    <sheet name="صرف بدون بيان" sheetId="35" state="visible" r:id="rId35"/>
    <sheet name="أرصدة العملاء والموردين" sheetId="36" state="visible" r:id="rId36"/>
    <sheet name="مصروفات 2025 - تفصيل" sheetId="37" state="visible" r:id="rId37"/>
    <sheet name="مصروفات 2025 - ملخص" sheetId="38" state="visible" r:id="rId38"/>
    <sheet name="مواد - الملخص" sheetId="39" state="visible" r:id="rId39"/>
    <sheet name="مواد - سجل العقود" sheetId="40" state="visible" r:id="rId40"/>
    <sheet name="مواد - تفصيل البنود" sheetId="41" state="visible" r:id="rId41"/>
    <sheet name="مواد - الكميات حسب الصنف" sheetId="42" state="visible" r:id="rId42"/>
    <sheet name="مسحوبات - ملخص المراجعة" sheetId="43" state="visible" r:id="rId43"/>
    <sheet name="مسحوبات تبوك قبل الفترة" sheetId="44" state="visible" r:id="rId44"/>
    <sheet name="مصاريف إدارية وديزل تبوك" sheetId="45" state="visible" r:id="rId45"/>
    <sheet name="مسحوبات الرياض من تبوك" sheetId="46" state="visible" r:id="rId46"/>
    <sheet name="مسحوبات تبوك من الرياض" sheetId="47" state="visible" r:id="rId47"/>
    <sheet name="سندات غير مدرجة بالمحاسب" sheetId="48" state="visible" r:id="rId48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2" hidden="1">'مصروفات الخزنة (كشف الحساب)'!$A$1:$I$198</definedName>
    <definedName name="_xlnm._FilterDatabase" localSheetId="36" hidden="1">'مصروفات 2025 - تفصيل'!$A$1:$L$307</definedName>
    <definedName name="_xlnm._FilterDatabase" localSheetId="39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4" fontId="0" fillId="0" borderId="1" applyAlignment="1" pivotButton="0" quotePrefix="0" xfId="0">
      <alignment wrapText="1"/>
    </xf>
    <xf numFmtId="0" fontId="3" fillId="6" borderId="1" pivotButton="0" quotePrefix="0" xfId="0"/>
    <xf numFmtId="4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Relationship Type="http://schemas.openxmlformats.org/officeDocument/2006/relationships/hyperlink" Target="#'&#1605;&#1610;&#1586;&#1575;&#1606; &#1575;&#1604;&#1582;&#1586;&#1606;&#1577;'!A1" TargetMode="External" Id="rId47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9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(المصروف من الرياض + المحوّل من تبوك × 0.50)</t>
        </is>
      </c>
    </row>
    <row r="49">
      <c r="A49" s="16" t="n">
        <v>47</v>
      </c>
      <c r="B49" s="16" t="inlineStr">
        <is>
          <t>المصروفات</t>
        </is>
      </c>
      <c r="C49" s="90" t="inlineStr">
        <is>
          <t>ميزان الخزنة</t>
        </is>
      </c>
      <c r="D49" s="16" t="inlineStr">
        <is>
          <t>ميزان الخزنة القديمة قبل وبعد حذف الجزيرة ومطابقته مع رصيد النظام الجديد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>
        <is>
          <t>✓ مطابق: رصيد الخزنة القديمة 41,269.50 (فرق 0.50)</t>
        </is>
      </c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– الكميات المصروفة من الرياض والمحوّلة من تبوك × 0.50</t>
        </is>
      </c>
      <c r="C5" s="4">
        <f>'مطابقة كميات عقد عرعر'!E11</f>
        <v/>
      </c>
      <c r="D5" s="3" t="inlineStr">
        <is>
          <t>صفحة مطابقة كميات عقد عرعر</t>
        </is>
      </c>
      <c r="E5" s="3" t="inlineStr">
        <is>
          <t>275,375 حبة × 0.50 (بدل قيمة العقد 440,000)</t>
        </is>
      </c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خالد'!E49-'مطابقة كميات عقد عرعر'!E11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بكشف الخزنة (بعد حذف إيداعات الجزيرة)</t>
        </is>
      </c>
      <c r="C16" s="4">
        <f>763323.81-196225-3128</f>
        <v/>
      </c>
      <c r="D16" s="3" t="inlineStr">
        <is>
          <t>كشف الحساب – عميل 5000</t>
        </is>
      </c>
      <c r="E16" s="3" t="inlineStr">
        <is>
          <t>الأصل 763,323.81 − زهور الجزيرة 196,225 − فلين مستعمل من الجزيرة 3,128 (خاصة بعقد بساتين الرياض – محذوفة)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مساهمة أبو خالد في التأسيس – تُضاف لمصروفات التأسيس (الإجمالي 1,278,970.80)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3" t="n">
        <v>3</v>
      </c>
      <c r="B23" s="3" t="inlineStr">
        <is>
          <t>أوامر شراء بساتين الرياض – PO-0777 (المتبقي بعد سداد 11,000)</t>
        </is>
      </c>
      <c r="C23" s="4" t="n">
        <v>55420</v>
      </c>
      <c r="D23" s="3" t="inlineStr">
        <is>
          <t>ملف أوامر الشراء 2026</t>
        </is>
      </c>
      <c r="E23" s="3" t="inlineStr">
        <is>
          <t>قيمة الأمر 66,420 − مسدد 11,000 (سند الخزنة DIS-Riyadh-0012 بتاريخ 1-7-2026) = 55,420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>
        <f> مديونية أبو خالد عن عقد عرعر</f>
        <v/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وإيداعاتها خاصة بعقد بساتين الرياض ومسددة بالكامل – تم حذفها من كل الحسابات (مصروفات 2025، كشف الخزنة، سدادات أبو خالد، أرصدة الموردين).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4" t="inlineStr">
        <is>
          <t>ميزان خزنة مزرعة الرياض (الكشف القديم 1-11-2025 إلى 3-6-2026) قبل وبعد حذف عمليات الجزيرة</t>
        </is>
      </c>
    </row>
    <row r="3">
      <c r="A3" s="15" t="inlineStr">
        <is>
          <t>البند</t>
        </is>
      </c>
      <c r="B3" s="15" t="inlineStr">
        <is>
          <t>قبل الحذف</t>
        </is>
      </c>
      <c r="C3" s="15" t="inlineStr">
        <is>
          <t>عمليات الجزيرة المحذوفة</t>
        </is>
      </c>
      <c r="D3" s="15" t="inlineStr">
        <is>
          <t>بعد الحذف</t>
        </is>
      </c>
      <c r="E3" s="15" t="inlineStr">
        <is>
          <t>ملاحظة</t>
        </is>
      </c>
    </row>
    <row r="4">
      <c r="A4" s="123" t="inlineStr">
        <is>
          <t>المقبوضات: توريدات عصمت (5001)</t>
        </is>
      </c>
      <c r="B4" s="131" t="n">
        <v>491714.93</v>
      </c>
      <c r="C4" s="131" t="n">
        <v>0</v>
      </c>
      <c r="D4" s="131">
        <f>B4+C4</f>
        <v/>
      </c>
      <c r="E4" s="123" t="inlineStr"/>
    </row>
    <row r="5">
      <c r="A5" s="123" t="inlineStr">
        <is>
          <t>المقبوضات: توريدات عماد (5002)</t>
        </is>
      </c>
      <c r="B5" s="131" t="n">
        <v>228618</v>
      </c>
      <c r="C5" s="131" t="n">
        <v>0</v>
      </c>
      <c r="D5" s="131">
        <f>B5+C5</f>
        <v/>
      </c>
      <c r="E5" s="123" t="inlineStr"/>
    </row>
    <row r="6">
      <c r="A6" s="123" t="inlineStr">
        <is>
          <t>المقبوضات: توريدات وسدادات أبو خالد (5000)</t>
        </is>
      </c>
      <c r="B6" s="131" t="n">
        <v>763323.8100000001</v>
      </c>
      <c r="C6" s="131" t="n">
        <v>-199353</v>
      </c>
      <c r="D6" s="131">
        <f>B6+C6</f>
        <v/>
      </c>
      <c r="E6" s="123" t="inlineStr">
        <is>
          <t>حُذف: زهور الجزيرة 196,225 + فلين الجزيرة 3,128 (وارد من أبو خالد)</t>
        </is>
      </c>
    </row>
    <row r="7">
      <c r="A7" s="123" t="inlineStr">
        <is>
          <t>المدفوعات: مصروفات الخزنة</t>
        </is>
      </c>
      <c r="B7" s="131" t="n">
        <v>-1440387.24</v>
      </c>
      <c r="C7" s="131" t="n">
        <v>199353</v>
      </c>
      <c r="D7" s="131">
        <f>B7+C7</f>
        <v/>
      </c>
      <c r="E7" s="123" t="inlineStr">
        <is>
          <t>حُذف: نفس المبلغين كمصروف (صرف للجزيرة)</t>
        </is>
      </c>
    </row>
    <row r="8">
      <c r="A8" s="123" t="inlineStr">
        <is>
          <t>المدفوعات: مبلغ مسدد نقداً لأبو خالد (18-5-2026)</t>
        </is>
      </c>
      <c r="B8" s="131" t="n">
        <v>-2000</v>
      </c>
      <c r="C8" s="131" t="n">
        <v>0</v>
      </c>
      <c r="D8" s="131">
        <f>B8+C8</f>
        <v/>
      </c>
      <c r="E8" s="123" t="inlineStr"/>
    </row>
    <row r="9">
      <c r="A9" s="9" t="inlineStr">
        <is>
          <t>رصيد الخزنة في 3-6-2026</t>
        </is>
      </c>
      <c r="B9" s="10">
        <f>SUM(B4:B8)</f>
        <v/>
      </c>
      <c r="C9" s="10">
        <f>SUM(C4:C8)</f>
        <v/>
      </c>
      <c r="D9" s="10">
        <f>SUM(D4:D8)</f>
        <v/>
      </c>
      <c r="E9" s="9" t="inlineStr">
        <is>
          <t>✓ الرصيد لم يتغير – العمليتان متقابلتان</t>
        </is>
      </c>
    </row>
    <row r="10">
      <c r="A10" s="16" t="inlineStr">
        <is>
          <t>الرصيد الافتتاحي لخزنة النظام الجديد (تقرير REP-568910)</t>
        </is>
      </c>
      <c r="B10" s="17" t="n">
        <v>41269</v>
      </c>
      <c r="C10" s="16" t="n"/>
      <c r="D10" s="17" t="n">
        <v>41269</v>
      </c>
      <c r="E10" s="16" t="inlineStr"/>
    </row>
    <row r="11">
      <c r="A11" s="132" t="inlineStr">
        <is>
          <t>الفرق</t>
        </is>
      </c>
      <c r="B11" s="133">
        <f>B9-B10</f>
        <v/>
      </c>
      <c r="C11" s="132" t="n"/>
      <c r="D11" s="133">
        <f>D9-D10</f>
        <v/>
      </c>
      <c r="E11" s="132" t="inlineStr">
        <is>
          <t>فرق 0.50 ريال فقط (كسور)</t>
        </is>
      </c>
    </row>
    <row r="13" ht="40" customHeight="1">
      <c r="A13" s="13" t="inlineStr">
        <is>
          <t>النتيجة: رصيد الخزنة القديمة في 3-6-2026 = 41,269.50 ويطابق الرصيد الافتتاحي للنظام الجديد 41,269.00 (فرق 0.50). حذف عمليات الجزيرة (وارد 199,353 من أبو خالد ومصروف 199,353 للجزيرة) لا يغيّر الرصيد.</t>
        </is>
      </c>
    </row>
  </sheetData>
  <mergeCells count="2">
    <mergeCell ref="A1:E1"/>
    <mergeCell ref="A13:E1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n"/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n"/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8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2026-09-28T12:57:02Z</dcterms:modified>
</cp:coreProperties>
</file>