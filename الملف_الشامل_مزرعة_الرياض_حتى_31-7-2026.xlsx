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(المصروف من الرياض + المحوّل من تبوك × 0.50)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3"/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0"/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19"/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6"/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0"/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7"/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3"/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275,375 حبة × 0.50 (بدل قيمة العقد 440,000)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خالد'!E49-'مطابقة كميات عقد عرعر'!E11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3"/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بكشف الخزنة (بعد حذف إيداعات الجزيرة)</t>
        </is>
      </c>
      <c r="C16" s="4">
        <f>763323.81-196225-3128</f>
        <v/>
      </c>
      <c r="D16" s="3" t="inlineStr">
        <is>
          <t>كشف الحساب – عميل 5000</t>
        </is>
      </c>
      <c r="E16" s="3" t="inlineStr">
        <is>
          <t>الأصل 763,323.81 − زهور الجزيرة 196,225 − فلين مستعمل من الجزيرة 3,128 (خاصة بعقد بساتين الرياض – محذوفة)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8"/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3" t="n">
        <v>3</v>
      </c>
      <c r="B23" s="3" t="inlineStr">
        <is>
          <t>أوامر شراء بساتين الرياض – PO-0777 (المتبقي بعد سداد 11,000)</t>
        </is>
      </c>
      <c r="C23" s="4" t="n">
        <v>55420</v>
      </c>
      <c r="D23" s="3" t="inlineStr">
        <is>
          <t>ملف أوامر الشراء 2026</t>
        </is>
      </c>
      <c r="E23" s="3" t="inlineStr">
        <is>
          <t>قيمة الأمر 66,420 − مسدد 11,000 (سند الخزنة DIS-Riyadh-0012 بتاريخ 1-7-2026) = 55,420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5"/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2"/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9"/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2"/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0"/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2"/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>
        <f> مديونية أبو خالد عن عقد عرعر</f>
        <v/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وإيداعاتها خاصة بعقد بساتين الرياض ومسددة بالكامل – تم حذفها من كل الحسابات (مصروفات 2025، كشف الخزنة، سدادات أبو خالد، أرصدة الموردين).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2"/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0"/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7"/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2"/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0"/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3"/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3"/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  <row r="133"/>
    <row r="134"/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2"/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6"/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0"/>
    <row r="31"/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6"/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3"/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7"/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6"/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n"/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0"/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2"/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1"/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6"/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2"/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5"/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6"/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n"/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3"/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2"/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3"/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2"/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3"/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7"/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3"/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6"/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2026-09-28T12:50:22Z</dcterms:modified>
</cp:coreProperties>
</file>