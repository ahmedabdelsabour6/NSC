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هرس" sheetId="1" state="visible" r:id="rId1"/>
    <sheet name="الملخص العام" sheetId="2" state="visible" r:id="rId2"/>
    <sheet name="الأسئلة المطلوبة" sheetId="3" state="visible" r:id="rId3"/>
    <sheet name="ملخص الشركاء" sheetId="4" state="visible" r:id="rId4"/>
    <sheet name="حساب أبو خالد" sheetId="5" state="visible" r:id="rId5"/>
    <sheet name="مطابقة حساب أبو خالد" sheetId="6" state="visible" r:id="rId6"/>
    <sheet name="مطابقة كميات عقد عرعر" sheetId="7" state="visible" r:id="rId7"/>
    <sheet name="حساب أبو مازن" sheetId="8" state="visible" r:id="rId8"/>
    <sheet name="إيرادات قبل الفترة" sheetId="9" state="visible" r:id="rId9"/>
    <sheet name="تحقق سند أبو خالد" sheetId="10" state="visible" r:id="rId10"/>
    <sheet name="مبيعات - الملخص" sheetId="11" state="visible" r:id="rId11"/>
    <sheet name="الحركة المدمجة" sheetId="12" state="visible" r:id="rId12"/>
    <sheet name="مبيعات - شهري" sheetId="13" state="visible" r:id="rId13"/>
    <sheet name="مبيعات قبل 30.7.2025" sheetId="14" state="visible" r:id="rId14"/>
    <sheet name="مبيعات عصمت" sheetId="15" state="visible" r:id="rId15"/>
    <sheet name="مبيعات عماد" sheetId="16" state="visible" r:id="rId16"/>
    <sheet name="مبيعات أبو خالد" sheetId="17" state="visible" r:id="rId17"/>
    <sheet name="أبو خالد - تفصيل البنود" sheetId="18" state="visible" r:id="rId18"/>
    <sheet name="الفواتير المبدئية" sheetId="19" state="visible" r:id="rId19"/>
    <sheet name="فواتير - حسب المندوب" sheetId="20" state="visible" r:id="rId20"/>
    <sheet name="فواتير - شهري" sheetId="21" state="visible" r:id="rId21"/>
    <sheet name="مطابقة العقود" sheetId="22" state="visible" r:id="rId22"/>
    <sheet name="فواتير عقودها غير مسجلة" sheetId="23" state="visible" r:id="rId23"/>
    <sheet name="الفواتير مقابل الكشف" sheetId="24" state="visible" r:id="rId24"/>
    <sheet name="قيود كشف بدون فاتورة" sheetId="25" state="visible" r:id="rId25"/>
    <sheet name="مصروفات - الملخص" sheetId="26" state="visible" r:id="rId26"/>
    <sheet name="مصروفات التأسيس" sheetId="27" state="visible" r:id="rId27"/>
    <sheet name="مصروفات قبل 30.7.2025" sheetId="28" state="visible" r:id="rId28"/>
    <sheet name="أوامر الشراء 2026" sheetId="29" state="visible" r:id="rId29"/>
    <sheet name="العهد - التفصيل" sheetId="30" state="visible" r:id="rId30"/>
    <sheet name="العهد - الملخص" sheetId="31" state="visible" r:id="rId31"/>
    <sheet name="ميزان الخزنة" sheetId="32" state="visible" r:id="rId32"/>
    <sheet name="مصروفات الخزنة (كشف الحساب)" sheetId="33" state="visible" r:id="rId33"/>
    <sheet name="خزنة الرياض 6-7 2026" sheetId="34" state="visible" r:id="rId34"/>
    <sheet name="صرف بدون بيان" sheetId="35" state="visible" r:id="rId35"/>
    <sheet name="أرصدة العملاء والموردين" sheetId="36" state="visible" r:id="rId36"/>
    <sheet name="مصروفات 2025 - تفصيل" sheetId="37" state="visible" r:id="rId37"/>
    <sheet name="مصروفات 2025 - ملخص" sheetId="38" state="visible" r:id="rId38"/>
    <sheet name="مواد - الملخص" sheetId="39" state="visible" r:id="rId39"/>
    <sheet name="مواد - سجل العقود" sheetId="40" state="visible" r:id="rId40"/>
    <sheet name="مواد - تفصيل البنود" sheetId="41" state="visible" r:id="rId41"/>
    <sheet name="مواد - الكميات حسب الصنف" sheetId="42" state="visible" r:id="rId42"/>
    <sheet name="مسحوبات - ملخص المراجعة" sheetId="43" state="visible" r:id="rId43"/>
    <sheet name="مسحوبات تبوك قبل الفترة" sheetId="44" state="visible" r:id="rId44"/>
    <sheet name="مصاريف إدارية وديزل تبوك" sheetId="45" state="visible" r:id="rId45"/>
    <sheet name="مسحوبات الرياض من تبوك" sheetId="46" state="visible" r:id="rId46"/>
    <sheet name="مسحوبات تبوك من الرياض" sheetId="47" state="visible" r:id="rId47"/>
    <sheet name="سندات غير مدرجة بالمحاسب" sheetId="48" state="visible" r:id="rId48"/>
  </sheets>
  <definedNames>
    <definedName name="_xlnm._FilterDatabase" localSheetId="11" hidden="1">'الحركة المدمجة'!$A$1:$J$360</definedName>
    <definedName name="_xlnm._FilterDatabase" localSheetId="14" hidden="1">'مبيعات عصمت'!$A$1:$I$255</definedName>
    <definedName name="_xlnm._FilterDatabase" localSheetId="15" hidden="1">'مبيعات عماد'!$A$1:$I$59</definedName>
    <definedName name="_xlnm._FilterDatabase" localSheetId="16" hidden="1">'مبيعات أبو خالد'!$A$1:$I$48</definedName>
    <definedName name="_xlnm._FilterDatabase" localSheetId="18" hidden="1">'الفواتير المبدئية'!$A$2:$H$241</definedName>
    <definedName name="_xlnm._FilterDatabase" localSheetId="21" hidden="1">'مطابقة العقود'!$A$1:$I$251</definedName>
    <definedName name="_xlnm._FilterDatabase" localSheetId="28" hidden="1">'أوامر الشراء 2026'!$A$1:$L$32</definedName>
    <definedName name="_xlnm._FilterDatabase" localSheetId="29" hidden="1">'العهد - التفصيل'!$A$1:$I$179</definedName>
    <definedName name="_xlnm._FilterDatabase" localSheetId="32" hidden="1">'مصروفات الخزنة (كشف الحساب)'!$A$1:$I$198</definedName>
    <definedName name="_xlnm._FilterDatabase" localSheetId="36" hidden="1">'مصروفات 2025 - تفصيل'!$A$1:$L$307</definedName>
    <definedName name="_xlnm._FilterDatabase" localSheetId="39" hidden="1">'مواد - سجل العقود'!$A$1:$K$339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"/>
    <numFmt numFmtId="166" formatCode="#,##0.##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FFFF"/>
      <sz val="12"/>
    </font>
    <font>
      <b val="1"/>
      <sz val="13"/>
    </font>
    <font>
      <b val="1"/>
      <color rgb="00FFFFFF"/>
      <sz val="16"/>
    </font>
    <font>
      <b val="1"/>
      <color rgb="00FFFFFF"/>
      <sz val="14"/>
    </font>
    <font>
      <color rgb="000563C1"/>
      <u val="single"/>
    </font>
    <font>
      <i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2F5597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4" fillId="2" borderId="0" pivotButton="0" quotePrefix="0" xfId="0"/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pivotButton="0" quotePrefix="0" xfId="0"/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3" fillId="3" borderId="0" pivotButton="0" quotePrefix="0" xfId="0"/>
    <xf numFmtId="4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0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0" fillId="8" borderId="1" pivotButton="0" quotePrefix="0" xfId="0"/>
    <xf numFmtId="164" fontId="0" fillId="8" borderId="1" pivotButton="0" quotePrefix="0" xfId="0"/>
    <xf numFmtId="4" fontId="0" fillId="8" borderId="1" pivotButton="0" quotePrefix="0" xfId="0"/>
    <xf numFmtId="164" fontId="0" fillId="5" borderId="1" pivotButton="0" quotePrefix="0" xfId="0"/>
    <xf numFmtId="0" fontId="0" fillId="9" borderId="1" pivotButton="0" quotePrefix="0" xfId="0"/>
    <xf numFmtId="164" fontId="0" fillId="9" borderId="1" pivotButton="0" quotePrefix="0" xfId="0"/>
    <xf numFmtId="4" fontId="0" fillId="9" borderId="1" pivotButton="0" quotePrefix="0" xfId="0"/>
    <xf numFmtId="164" fontId="0" fillId="7" borderId="1" pivotButton="0" quotePrefix="0" xfId="0"/>
    <xf numFmtId="3" fontId="0" fillId="7" borderId="1" pivotButton="0" quotePrefix="0" xfId="0"/>
    <xf numFmtId="164" fontId="3" fillId="3" borderId="1" pivotButton="0" quotePrefix="0" xfId="0"/>
    <xf numFmtId="3" fontId="3" fillId="3" borderId="1" pivotButton="0" quotePrefix="0" xfId="0"/>
    <xf numFmtId="3" fontId="0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3" fontId="3" fillId="4" borderId="1" pivotButton="0" quotePrefix="0" xfId="0"/>
    <xf numFmtId="4" fontId="3" fillId="4" borderId="1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 wrapText="1"/>
    </xf>
    <xf numFmtId="0" fontId="2" fillId="2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4" fontId="0" fillId="8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4" fontId="0" fillId="9" borderId="1" applyAlignment="1" pivotButton="0" quotePrefix="0" xfId="0">
      <alignment vertical="top" wrapText="1"/>
    </xf>
    <xf numFmtId="0" fontId="0" fillId="10" borderId="1" pivotButton="0" quotePrefix="0" xfId="0"/>
    <xf numFmtId="164" fontId="0" fillId="10" borderId="1" pivotButton="0" quotePrefix="0" xfId="0"/>
    <xf numFmtId="4" fontId="0" fillId="10" borderId="1" pivotButton="0" quotePrefix="0" xfId="0"/>
    <xf numFmtId="166" fontId="0" fillId="0" borderId="1" pivotButton="0" quotePrefix="0" xfId="0"/>
    <xf numFmtId="1" fontId="0" fillId="0" borderId="1" applyAlignment="1" pivotButton="0" quotePrefix="0" xfId="0">
      <alignment vertical="top" wrapText="1"/>
    </xf>
    <xf numFmtId="1" fontId="0" fillId="0" borderId="0" pivotButton="0" quotePrefix="0" xfId="0"/>
    <xf numFmtId="3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3" fontId="0" fillId="6" borderId="1" pivotButton="0" quotePrefix="0" xfId="0"/>
    <xf numFmtId="0" fontId="6" fillId="2" borderId="0" pivotButton="0" quotePrefix="0" xfId="0"/>
    <xf numFmtId="0" fontId="2" fillId="11" borderId="1" pivotButton="0" quotePrefix="0" xfId="0"/>
    <xf numFmtId="0" fontId="8" fillId="0" borderId="1" pivotButton="0" quotePrefix="0" xfId="0"/>
    <xf numFmtId="0" fontId="6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11" borderId="0" pivotButton="0" quotePrefix="0" xfId="0"/>
    <xf numFmtId="0" fontId="7" fillId="12" borderId="0" pivotButton="0" quotePrefix="0" xfId="0"/>
    <xf numFmtId="164" fontId="0" fillId="0" borderId="1" pivotButton="0" quotePrefix="0" xfId="0"/>
    <xf numFmtId="164" fontId="0" fillId="6" borderId="1" pivotButton="0" quotePrefix="0" xfId="0"/>
    <xf numFmtId="164" fontId="0" fillId="8" borderId="1" pivotButton="0" quotePrefix="0" xfId="0"/>
    <xf numFmtId="164" fontId="0" fillId="5" borderId="1" pivotButton="0" quotePrefix="0" xfId="0"/>
    <xf numFmtId="164" fontId="0" fillId="9" borderId="1" pivotButton="0" quotePrefix="0" xfId="0"/>
    <xf numFmtId="164" fontId="0" fillId="7" borderId="1" pivotButton="0" quotePrefix="0" xfId="0"/>
    <xf numFmtId="164" fontId="3" fillId="3" borderId="1" pivotButton="0" quotePrefix="0" xfId="0"/>
    <xf numFmtId="164" fontId="3" fillId="4" borderId="1" pivotButton="0" quotePrefix="0" xfId="0"/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164" fontId="0" fillId="10" borderId="1" pivotButton="0" quotePrefix="0" xfId="0"/>
    <xf numFmtId="0" fontId="0" fillId="10" borderId="1" applyAlignment="1" pivotButton="0" quotePrefix="0" xfId="0">
      <alignment vertical="top" wrapText="1"/>
    </xf>
    <xf numFmtId="164" fontId="0" fillId="10" borderId="1" applyAlignment="1" pivotButton="0" quotePrefix="0" xfId="0">
      <alignment vertical="top" wrapText="1"/>
    </xf>
    <xf numFmtId="4" fontId="0" fillId="10" borderId="1" applyAlignment="1" pivotButton="0" quotePrefix="0" xfId="0">
      <alignment vertical="top" wrapText="1"/>
    </xf>
    <xf numFmtId="166" fontId="0" fillId="0" borderId="1" pivotButton="0" quotePrefix="0" xfId="0"/>
    <xf numFmtId="3" fontId="0" fillId="5" borderId="1" applyAlignment="1" pivotButton="0" quotePrefix="0" xfId="0">
      <alignment vertical="top" wrapText="1"/>
    </xf>
    <xf numFmtId="0" fontId="3" fillId="9" borderId="1" pivotButton="0" quotePrefix="0" xfId="0"/>
    <xf numFmtId="3" fontId="3" fillId="9" borderId="1" pivotButton="0" quotePrefix="0" xfId="0"/>
    <xf numFmtId="4" fontId="3" fillId="9" borderId="1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3" fontId="0" fillId="0" borderId="0" pivotButton="0" quotePrefix="0" xfId="0"/>
    <xf numFmtId="0" fontId="9" fillId="0" borderId="0" pivotButton="0" quotePrefix="0" xfId="0"/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wrapText="1"/>
    </xf>
    <xf numFmtId="0" fontId="3" fillId="6" borderId="1" pivotButton="0" quotePrefix="0" xfId="0"/>
    <xf numFmtId="4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75;&#1604;&#1605;&#1604;&#1582;&#1589; &#1575;&#1604;&#1593;&#1575;&#1605;'!A1" TargetMode="External" Id="rId1" /><Relationship Type="http://schemas.openxmlformats.org/officeDocument/2006/relationships/hyperlink" Target="#'&#1575;&#1604;&#1571;&#1587;&#1574;&#1604;&#1577; &#1575;&#1604;&#1605;&#1591;&#1604;&#1608;&#1576;&#1577;'!A1" TargetMode="External" Id="rId2" /><Relationship Type="http://schemas.openxmlformats.org/officeDocument/2006/relationships/hyperlink" Target="#'&#1605;&#1604;&#1582;&#1589; &#1575;&#1604;&#1588;&#1585;&#1603;&#1575;&#1569;'!A1" TargetMode="External" Id="rId3" /><Relationship Type="http://schemas.openxmlformats.org/officeDocument/2006/relationships/hyperlink" Target="#'&#1581;&#1587;&#1575;&#1576; &#1571;&#1576;&#1608; &#1582;&#1575;&#1604;&#1583;'!A1" TargetMode="External" Id="rId4" /><Relationship Type="http://schemas.openxmlformats.org/officeDocument/2006/relationships/hyperlink" Target="#'&#1581;&#1587;&#1575;&#1576; &#1571;&#1576;&#1608; &#1605;&#1575;&#1586;&#1606;'!A1" TargetMode="External" Id="rId5" /><Relationship Type="http://schemas.openxmlformats.org/officeDocument/2006/relationships/hyperlink" Target="#'&#1573;&#1610;&#1585;&#1575;&#1583;&#1575;&#1578; &#1602;&#1576;&#1604; &#1575;&#1604;&#1601;&#1578;&#1585;&#1577;'!A1" TargetMode="External" Id="rId6" /><Relationship Type="http://schemas.openxmlformats.org/officeDocument/2006/relationships/hyperlink" Target="#'&#1578;&#1581;&#1602;&#1602; &#1587;&#1606;&#1583; &#1571;&#1576;&#1608; &#1582;&#1575;&#1604;&#1583;'!A1" TargetMode="External" Id="rId7" /><Relationship Type="http://schemas.openxmlformats.org/officeDocument/2006/relationships/hyperlink" Target="#'&#1605;&#1576;&#1610;&#1593;&#1575;&#1578; - &#1575;&#1604;&#1605;&#1604;&#1582;&#1589;'!A1" TargetMode="External" Id="rId8" /><Relationship Type="http://schemas.openxmlformats.org/officeDocument/2006/relationships/hyperlink" Target="#'&#1575;&#1604;&#1581;&#1585;&#1603;&#1577; &#1575;&#1604;&#1605;&#1583;&#1605;&#1580;&#1577;'!A1" TargetMode="External" Id="rId9" /><Relationship Type="http://schemas.openxmlformats.org/officeDocument/2006/relationships/hyperlink" Target="#'&#1605;&#1576;&#1610;&#1593;&#1575;&#1578; - &#1588;&#1607;&#1585;&#1610;'!A1" TargetMode="External" Id="rId10" /><Relationship Type="http://schemas.openxmlformats.org/officeDocument/2006/relationships/hyperlink" Target="#'&#1605;&#1576;&#1610;&#1593;&#1575;&#1578; &#1602;&#1576;&#1604; 30.7.2025'!A1" TargetMode="External" Id="rId11" /><Relationship Type="http://schemas.openxmlformats.org/officeDocument/2006/relationships/hyperlink" Target="#'&#1605;&#1576;&#1610;&#1593;&#1575;&#1578; &#1593;&#1589;&#1605;&#1578;'!A1" TargetMode="External" Id="rId12" /><Relationship Type="http://schemas.openxmlformats.org/officeDocument/2006/relationships/hyperlink" Target="#'&#1605;&#1576;&#1610;&#1593;&#1575;&#1578; &#1593;&#1605;&#1575;&#1583;'!A1" TargetMode="External" Id="rId13" /><Relationship Type="http://schemas.openxmlformats.org/officeDocument/2006/relationships/hyperlink" Target="#'&#1605;&#1576;&#1610;&#1593;&#1575;&#1578; &#1571;&#1576;&#1608; &#1582;&#1575;&#1604;&#1583;'!A1" TargetMode="External" Id="rId14" /><Relationship Type="http://schemas.openxmlformats.org/officeDocument/2006/relationships/hyperlink" Target="#'&#1571;&#1576;&#1608; &#1582;&#1575;&#1604;&#1583; - &#1578;&#1601;&#1589;&#1610;&#1604; &#1575;&#1604;&#1576;&#1606;&#1608;&#1583;'!A1" TargetMode="External" Id="rId15" /><Relationship Type="http://schemas.openxmlformats.org/officeDocument/2006/relationships/hyperlink" Target="#'&#1575;&#1604;&#1601;&#1608;&#1575;&#1578;&#1610;&#1585; &#1575;&#1604;&#1605;&#1576;&#1583;&#1574;&#1610;&#1577;'!A1" TargetMode="External" Id="rId16" /><Relationship Type="http://schemas.openxmlformats.org/officeDocument/2006/relationships/hyperlink" Target="#'&#1601;&#1608;&#1575;&#1578;&#1610;&#1585; - &#1581;&#1587;&#1576; &#1575;&#1604;&#1605;&#1606;&#1583;&#1608;&#1576;'!A1" TargetMode="External" Id="rId17" /><Relationship Type="http://schemas.openxmlformats.org/officeDocument/2006/relationships/hyperlink" Target="#'&#1601;&#1608;&#1575;&#1578;&#1610;&#1585; - &#1588;&#1607;&#1585;&#1610;'!A1" TargetMode="External" Id="rId18" /><Relationship Type="http://schemas.openxmlformats.org/officeDocument/2006/relationships/hyperlink" Target="#'&#1605;&#1591;&#1575;&#1576;&#1602;&#1577; &#1575;&#1604;&#1593;&#1602;&#1608;&#1583;'!A1" TargetMode="External" Id="rId19" /><Relationship Type="http://schemas.openxmlformats.org/officeDocument/2006/relationships/hyperlink" Target="#'&#1601;&#1608;&#1575;&#1578;&#1610;&#1585; &#1593;&#1602;&#1608;&#1583;&#1607;&#1575; &#1594;&#1610;&#1585; &#1605;&#1587;&#1580;&#1604;&#1577;'!A1" TargetMode="External" Id="rId20" /><Relationship Type="http://schemas.openxmlformats.org/officeDocument/2006/relationships/hyperlink" Target="#'&#1575;&#1604;&#1601;&#1608;&#1575;&#1578;&#1610;&#1585; &#1605;&#1602;&#1575;&#1576;&#1604; &#1575;&#1604;&#1603;&#1588;&#1601;'!A1" TargetMode="External" Id="rId21" /><Relationship Type="http://schemas.openxmlformats.org/officeDocument/2006/relationships/hyperlink" Target="#'&#1602;&#1610;&#1608;&#1583; &#1603;&#1588;&#1601; &#1576;&#1583;&#1608;&#1606; &#1601;&#1575;&#1578;&#1608;&#1585;&#1577;'!A1" TargetMode="External" Id="rId22" /><Relationship Type="http://schemas.openxmlformats.org/officeDocument/2006/relationships/hyperlink" Target="#'&#1605;&#1589;&#1585;&#1608;&#1601;&#1575;&#1578; - &#1575;&#1604;&#1605;&#1604;&#1582;&#1589;'!A1" TargetMode="External" Id="rId23" /><Relationship Type="http://schemas.openxmlformats.org/officeDocument/2006/relationships/hyperlink" Target="#'&#1605;&#1589;&#1585;&#1608;&#1601;&#1575;&#1578; &#1575;&#1604;&#1578;&#1571;&#1587;&#1610;&#1587;'!A1" TargetMode="External" Id="rId24" /><Relationship Type="http://schemas.openxmlformats.org/officeDocument/2006/relationships/hyperlink" Target="#'&#1605;&#1589;&#1585;&#1608;&#1601;&#1575;&#1578; &#1602;&#1576;&#1604; 30.7.2025'!A1" TargetMode="External" Id="rId25" /><Relationship Type="http://schemas.openxmlformats.org/officeDocument/2006/relationships/hyperlink" Target="#'&#1571;&#1608;&#1575;&#1605;&#1585; &#1575;&#1604;&#1588;&#1585;&#1575;&#1569; 2026'!A1" TargetMode="External" Id="rId26" /><Relationship Type="http://schemas.openxmlformats.org/officeDocument/2006/relationships/hyperlink" Target="#'&#1575;&#1604;&#1593;&#1607;&#1583; - &#1575;&#1604;&#1578;&#1601;&#1589;&#1610;&#1604;'!A1" TargetMode="External" Id="rId27" /><Relationship Type="http://schemas.openxmlformats.org/officeDocument/2006/relationships/hyperlink" Target="#'&#1575;&#1604;&#1593;&#1607;&#1583; - &#1575;&#1604;&#1605;&#1604;&#1582;&#1589;'!A1" TargetMode="External" Id="rId28" /><Relationship Type="http://schemas.openxmlformats.org/officeDocument/2006/relationships/hyperlink" Target="#'&#1605;&#1589;&#1585;&#1608;&#1601;&#1575;&#1578; &#1575;&#1604;&#1582;&#1586;&#1606;&#1577; (&#1603;&#1588;&#1601; &#1575;&#1604;&#1581;&#1587;&#1575;&#1576;)'!A1" TargetMode="External" Id="rId29" /><Relationship Type="http://schemas.openxmlformats.org/officeDocument/2006/relationships/hyperlink" Target="#'&#1582;&#1586;&#1606;&#1577; &#1575;&#1604;&#1585;&#1610;&#1575;&#1590; 6-7 2026'!A1" TargetMode="External" Id="rId30" /><Relationship Type="http://schemas.openxmlformats.org/officeDocument/2006/relationships/hyperlink" Target="#'&#1571;&#1585;&#1589;&#1583;&#1577; &#1575;&#1604;&#1593;&#1605;&#1604;&#1575;&#1569; &#1608;&#1575;&#1604;&#1605;&#1608;&#1585;&#1583;&#1610;&#1606;'!A1" TargetMode="External" Id="rId31" /><Relationship Type="http://schemas.openxmlformats.org/officeDocument/2006/relationships/hyperlink" Target="#'&#1605;&#1589;&#1585;&#1608;&#1601;&#1575;&#1578; 2025 - &#1578;&#1601;&#1589;&#1610;&#1604;'!A1" TargetMode="External" Id="rId32" /><Relationship Type="http://schemas.openxmlformats.org/officeDocument/2006/relationships/hyperlink" Target="#'&#1605;&#1589;&#1585;&#1608;&#1601;&#1575;&#1578; 2025 - &#1605;&#1604;&#1582;&#1589;'!A1" TargetMode="External" Id="rId33" /><Relationship Type="http://schemas.openxmlformats.org/officeDocument/2006/relationships/hyperlink" Target="#'&#1605;&#1608;&#1575;&#1583; - &#1575;&#1604;&#1605;&#1604;&#1582;&#1589;'!A1" TargetMode="External" Id="rId34" /><Relationship Type="http://schemas.openxmlformats.org/officeDocument/2006/relationships/hyperlink" Target="#'&#1605;&#1608;&#1575;&#1583; - &#1587;&#1580;&#1604; &#1575;&#1604;&#1593;&#1602;&#1608;&#1583;'!A1" TargetMode="External" Id="rId35" /><Relationship Type="http://schemas.openxmlformats.org/officeDocument/2006/relationships/hyperlink" Target="#'&#1605;&#1608;&#1575;&#1583; - &#1578;&#1601;&#1589;&#1610;&#1604; &#1575;&#1604;&#1576;&#1606;&#1608;&#1583;'!A1" TargetMode="External" Id="rId36" /><Relationship Type="http://schemas.openxmlformats.org/officeDocument/2006/relationships/hyperlink" Target="#'&#1605;&#1608;&#1575;&#1583; - &#1575;&#1604;&#1603;&#1605;&#1610;&#1575;&#1578; &#1581;&#1587;&#1576; &#1575;&#1604;&#1589;&#1606;&#1601;'!A1" TargetMode="External" Id="rId37" /><Relationship Type="http://schemas.openxmlformats.org/officeDocument/2006/relationships/hyperlink" Target="#'&#1605;&#1587;&#1581;&#1608;&#1576;&#1575;&#1578; - &#1605;&#1604;&#1582;&#1589; &#1575;&#1604;&#1605;&#1585;&#1575;&#1580;&#1593;&#1577;'!A1" TargetMode="External" Id="rId38" /><Relationship Type="http://schemas.openxmlformats.org/officeDocument/2006/relationships/hyperlink" Target="#'&#1605;&#1587;&#1581;&#1608;&#1576;&#1575;&#1578; &#1578;&#1576;&#1608;&#1603; &#1602;&#1576;&#1604; &#1575;&#1604;&#1601;&#1578;&#1585;&#1577;'!A1" TargetMode="External" Id="rId39" /><Relationship Type="http://schemas.openxmlformats.org/officeDocument/2006/relationships/hyperlink" Target="#'&#1605;&#1589;&#1575;&#1585;&#1610;&#1601; &#1573;&#1583;&#1575;&#1585;&#1610;&#1577; &#1608;&#1583;&#1610;&#1586;&#1604; &#1578;&#1576;&#1608;&#1603;'!A1" TargetMode="External" Id="rId40" /><Relationship Type="http://schemas.openxmlformats.org/officeDocument/2006/relationships/hyperlink" Target="#'&#1605;&#1587;&#1581;&#1608;&#1576;&#1575;&#1578; &#1575;&#1604;&#1585;&#1610;&#1575;&#1590; &#1605;&#1606; &#1578;&#1576;&#1608;&#1603;'!A1" TargetMode="External" Id="rId41" /><Relationship Type="http://schemas.openxmlformats.org/officeDocument/2006/relationships/hyperlink" Target="#'&#1605;&#1587;&#1581;&#1608;&#1576;&#1575;&#1578; &#1578;&#1576;&#1608;&#1603; &#1605;&#1606; &#1575;&#1604;&#1585;&#1610;&#1575;&#1590;'!A1" TargetMode="External" Id="rId42" /><Relationship Type="http://schemas.openxmlformats.org/officeDocument/2006/relationships/hyperlink" Target="#'&#1587;&#1606;&#1583;&#1575;&#1578; &#1594;&#1610;&#1585; &#1605;&#1583;&#1585;&#1580;&#1577; &#1576;&#1575;&#1604;&#1605;&#1581;&#1575;&#1587;&#1576;'!A1" TargetMode="External" Id="rId43" /><Relationship Type="http://schemas.openxmlformats.org/officeDocument/2006/relationships/hyperlink" Target="#'&#1605;&#1591;&#1575;&#1576;&#1602;&#1577; &#1581;&#1587;&#1575;&#1576; &#1571;&#1576;&#1608; &#1582;&#1575;&#1604;&#1583;'!A1" TargetMode="External" Id="rId44" /><Relationship Type="http://schemas.openxmlformats.org/officeDocument/2006/relationships/hyperlink" Target="#'&#1589;&#1585;&#1601; &#1576;&#1583;&#1608;&#1606; &#1576;&#1610;&#1575;&#1606;'!A1" TargetMode="External" Id="rId45" /><Relationship Type="http://schemas.openxmlformats.org/officeDocument/2006/relationships/hyperlink" Target="#'&#1605;&#1591;&#1575;&#1576;&#1602;&#1577; &#1603;&#1605;&#1610;&#1575;&#1578; &#1593;&#1602;&#1583; &#1593;&#1585;&#1593;&#1585;'!A1" TargetMode="External" Id="rId46" /><Relationship Type="http://schemas.openxmlformats.org/officeDocument/2006/relationships/hyperlink" Target="#'&#1605;&#1610;&#1586;&#1575;&#1606; &#1575;&#1604;&#1582;&#1586;&#1606;&#1577;'!A1" TargetMode="External" Id="rId47" 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D49"/>
  <sheetViews>
    <sheetView rightToLeft="1" zoomScale="10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70" customWidth="1" min="4" max="4"/>
  </cols>
  <sheetData>
    <row r="1" ht="30" customHeight="1">
      <c r="A1" s="88" t="inlineStr">
        <is>
          <t>ملف المراجعة الشامل – مزرعة الرياض (من التأسيس حتى 31-7-2026)</t>
        </is>
      </c>
    </row>
    <row r="2">
      <c r="A2" s="89" t="inlineStr">
        <is>
          <t>م</t>
        </is>
      </c>
      <c r="B2" s="89" t="inlineStr">
        <is>
          <t>القسم</t>
        </is>
      </c>
      <c r="C2" s="89" t="inlineStr">
        <is>
          <t>الصفحة (اضغط للانتقال)</t>
        </is>
      </c>
      <c r="D2" s="89" t="inlineStr">
        <is>
          <t>المحتوى</t>
        </is>
      </c>
    </row>
    <row r="3">
      <c r="A3" s="16" t="n">
        <v>1</v>
      </c>
      <c r="B3" s="16" t="inlineStr">
        <is>
          <t>عام</t>
        </is>
      </c>
      <c r="C3" s="90" t="inlineStr">
        <is>
          <t>الملخص العام</t>
        </is>
      </c>
      <c r="D3" s="16" t="inlineStr">
        <is>
          <t>الأرقام الرئيسية لكل الأقسام في صفحة واحدة</t>
        </is>
      </c>
    </row>
    <row r="4">
      <c r="A4" s="16" t="n">
        <v>2</v>
      </c>
      <c r="B4" s="16" t="inlineStr">
        <is>
          <t>عام</t>
        </is>
      </c>
      <c r="C4" s="90" t="inlineStr">
        <is>
          <t>الأسئلة المطلوبة</t>
        </is>
      </c>
      <c r="D4" s="16" t="inlineStr">
        <is>
          <t>كل الأسئلة المفتوحة مع المبلغ المتأثر وخانة للإجابة</t>
        </is>
      </c>
    </row>
    <row r="5">
      <c r="A5" s="16" t="n">
        <v>3</v>
      </c>
      <c r="B5" s="16" t="inlineStr">
        <is>
          <t>حساب الشريكين</t>
        </is>
      </c>
      <c r="C5" s="90" t="inlineStr">
        <is>
          <t>ملخص الشركاء</t>
        </is>
      </c>
      <c r="D5" s="16" t="inlineStr">
        <is>
          <t>مسحوبات ودعم وسدادات كل شريك والصافي</t>
        </is>
      </c>
    </row>
    <row r="6">
      <c r="A6" s="16" t="n">
        <v>4</v>
      </c>
      <c r="B6" s="16" t="inlineStr">
        <is>
          <t>حساب الشريكين</t>
        </is>
      </c>
      <c r="C6" s="90" t="inlineStr">
        <is>
          <t>حساب أبو خالد</t>
        </is>
      </c>
      <c r="D6" s="16" t="inlineStr">
        <is>
          <t>تفصيل حساب أبو خالد / بساتين الرياض</t>
        </is>
      </c>
    </row>
    <row r="7">
      <c r="A7" s="16" t="n">
        <v>5</v>
      </c>
      <c r="B7" s="16" t="inlineStr">
        <is>
          <t>حساب الشريكين</t>
        </is>
      </c>
      <c r="C7" s="90" t="inlineStr">
        <is>
          <t>حساب أبو مازن</t>
        </is>
      </c>
      <c r="D7" s="16" t="inlineStr">
        <is>
          <t>تفصيل حساب أبو مازن / نسما الشرق</t>
        </is>
      </c>
    </row>
    <row r="8">
      <c r="A8" s="16" t="n">
        <v>6</v>
      </c>
      <c r="B8" s="16" t="inlineStr">
        <is>
          <t>حساب الشريكين</t>
        </is>
      </c>
      <c r="C8" s="90" t="inlineStr">
        <is>
          <t>إيرادات قبل الفترة</t>
        </is>
      </c>
      <c r="D8" s="16" t="inlineStr">
        <is>
          <t>تسوية إيرادات 610,688 قبل 30-7-2025</t>
        </is>
      </c>
    </row>
    <row r="9">
      <c r="A9" s="16" t="n">
        <v>7</v>
      </c>
      <c r="B9" s="16" t="inlineStr">
        <is>
          <t>حساب الشريكين</t>
        </is>
      </c>
      <c r="C9" s="90" t="inlineStr">
        <is>
          <t>تحقق سند أبو خالد</t>
        </is>
      </c>
      <c r="D9" s="16" t="inlineStr">
        <is>
          <t>مطابقة سند مسحوبات بساتين 24.2–3.6.2026 مع الفواتير</t>
        </is>
      </c>
    </row>
    <row r="10">
      <c r="A10" s="16" t="n">
        <v>8</v>
      </c>
      <c r="B10" s="16" t="inlineStr">
        <is>
          <t>المبيعات</t>
        </is>
      </c>
      <c r="C10" s="90" t="inlineStr">
        <is>
          <t>مبيعات - الملخص</t>
        </is>
      </c>
      <c r="D10" s="16" t="inlineStr">
        <is>
          <t>إجمالي مبيعات كل مندوب + ما قبل الفترة</t>
        </is>
      </c>
    </row>
    <row r="11">
      <c r="A11" s="16" t="n">
        <v>9</v>
      </c>
      <c r="B11" s="16" t="inlineStr">
        <is>
          <t>المبيعات</t>
        </is>
      </c>
      <c r="C11" s="90" t="inlineStr">
        <is>
          <t>الحركة المدمجة</t>
        </is>
      </c>
      <c r="D11" s="16" t="inlineStr">
        <is>
          <t>كل حركات البيع (جملة + سيارات) مرتبة بالتاريخ</t>
        </is>
      </c>
    </row>
    <row r="12">
      <c r="A12" s="16" t="n">
        <v>10</v>
      </c>
      <c r="B12" s="16" t="inlineStr">
        <is>
          <t>المبيعات</t>
        </is>
      </c>
      <c r="C12" s="90" t="inlineStr">
        <is>
          <t>مبيعات - شهري</t>
        </is>
      </c>
      <c r="D12" s="16" t="inlineStr">
        <is>
          <t>المبيعات الشهرية لكل مندوب من 10-2024</t>
        </is>
      </c>
    </row>
    <row r="13">
      <c r="A13" s="16" t="n">
        <v>11</v>
      </c>
      <c r="B13" s="16" t="inlineStr">
        <is>
          <t>المبيعات</t>
        </is>
      </c>
      <c r="C13" s="90" t="inlineStr">
        <is>
          <t>مبيعات قبل 30.7.2025</t>
        </is>
      </c>
      <c r="D13" s="16" t="inlineStr">
        <is>
          <t>مبيعات 10-2024 إلى 6-2025 شهرياً</t>
        </is>
      </c>
    </row>
    <row r="14">
      <c r="A14" s="16" t="n">
        <v>12</v>
      </c>
      <c r="B14" s="16" t="inlineStr">
        <is>
          <t>المبيعات</t>
        </is>
      </c>
      <c r="C14" s="90" t="inlineStr">
        <is>
          <t>مبيعات عصمت</t>
        </is>
      </c>
      <c r="D14" s="16" t="inlineStr">
        <is>
          <t>كل عقود عصمت + فواتير سيارة 1219</t>
        </is>
      </c>
    </row>
    <row r="15">
      <c r="A15" s="16" t="n">
        <v>13</v>
      </c>
      <c r="B15" s="16" t="inlineStr">
        <is>
          <t>المبيعات</t>
        </is>
      </c>
      <c r="C15" s="90" t="inlineStr">
        <is>
          <t>مبيعات عماد</t>
        </is>
      </c>
      <c r="D15" s="16" t="inlineStr">
        <is>
          <t>كل عقود عماد + فواتير سيارة 3010</t>
        </is>
      </c>
    </row>
    <row r="16">
      <c r="A16" s="16" t="n">
        <v>14</v>
      </c>
      <c r="B16" s="16" t="inlineStr">
        <is>
          <t>المبيعات</t>
        </is>
      </c>
      <c r="C16" s="90" t="inlineStr">
        <is>
          <t>مبيعات أبو خالد</t>
        </is>
      </c>
      <c r="D16" s="16" t="inlineStr">
        <is>
          <t>كل عقود أبو خالد WHK</t>
        </is>
      </c>
    </row>
    <row r="17">
      <c r="A17" s="16" t="n">
        <v>15</v>
      </c>
      <c r="B17" s="16" t="inlineStr">
        <is>
          <t>المبيعات</t>
        </is>
      </c>
      <c r="C17" s="90" t="inlineStr">
        <is>
          <t>أبو خالد - تفصيل البنود</t>
        </is>
      </c>
      <c r="D17" s="16" t="inlineStr">
        <is>
          <t>بنود كل عقد لأبو خالد (الصنف والكمية والسعر)</t>
        </is>
      </c>
    </row>
    <row r="18">
      <c r="A18" s="16" t="n">
        <v>16</v>
      </c>
      <c r="B18" s="16" t="inlineStr">
        <is>
          <t>الفواتير والمطابقات</t>
        </is>
      </c>
      <c r="C18" s="90" t="inlineStr">
        <is>
          <t>الفواتير المبدئية</t>
        </is>
      </c>
      <c r="D18" s="16" t="inlineStr">
        <is>
          <t>239 فاتورة مبدئية (25–263)</t>
        </is>
      </c>
    </row>
    <row r="19">
      <c r="A19" s="16" t="n">
        <v>17</v>
      </c>
      <c r="B19" s="16" t="inlineStr">
        <is>
          <t>الفواتير والمطابقات</t>
        </is>
      </c>
      <c r="C19" s="90" t="inlineStr">
        <is>
          <t>فواتير - حسب المندوب</t>
        </is>
      </c>
      <c r="D19" s="16" t="inlineStr">
        <is>
          <t>ملخص الفواتير حسب المندوب</t>
        </is>
      </c>
    </row>
    <row r="20">
      <c r="A20" s="16" t="n">
        <v>18</v>
      </c>
      <c r="B20" s="16" t="inlineStr">
        <is>
          <t>الفواتير والمطابقات</t>
        </is>
      </c>
      <c r="C20" s="90" t="inlineStr">
        <is>
          <t>فواتير - شهري</t>
        </is>
      </c>
      <c r="D20" s="16" t="inlineStr">
        <is>
          <t>ملخص الفواتير شهرياً</t>
        </is>
      </c>
    </row>
    <row r="21">
      <c r="A21" s="16" t="n">
        <v>19</v>
      </c>
      <c r="B21" s="16" t="inlineStr">
        <is>
          <t>الفواتير والمطابقات</t>
        </is>
      </c>
      <c r="C21" s="90" t="inlineStr">
        <is>
          <t>مطابقة العقود</t>
        </is>
      </c>
      <c r="D21" s="16" t="inlineStr">
        <is>
          <t>سجل العقود مقابل الفواتير المبدئية</t>
        </is>
      </c>
    </row>
    <row r="22">
      <c r="A22" s="16" t="n">
        <v>20</v>
      </c>
      <c r="B22" s="16" t="inlineStr">
        <is>
          <t>الفواتير والمطابقات</t>
        </is>
      </c>
      <c r="C22" s="90" t="inlineStr">
        <is>
          <t>فواتير عقودها غير مسجلة</t>
        </is>
      </c>
      <c r="D22" s="16" t="inlineStr">
        <is>
          <t>فواتير عقودها غير موجودة بسجل العقود</t>
        </is>
      </c>
    </row>
    <row r="23">
      <c r="A23" s="16" t="n">
        <v>21</v>
      </c>
      <c r="B23" s="16" t="inlineStr">
        <is>
          <t>الفواتير والمطابقات</t>
        </is>
      </c>
      <c r="C23" s="90" t="inlineStr">
        <is>
          <t>الفواتير مقابل الكشف</t>
        </is>
      </c>
      <c r="D23" s="16" t="inlineStr">
        <is>
          <t>الفواتير المبدئية مقابل كشف الخزنة</t>
        </is>
      </c>
    </row>
    <row r="24">
      <c r="A24" s="16" t="n">
        <v>22</v>
      </c>
      <c r="B24" s="16" t="inlineStr">
        <is>
          <t>الفواتير والمطابقات</t>
        </is>
      </c>
      <c r="C24" s="90" t="inlineStr">
        <is>
          <t>قيود كشف بدون فاتورة</t>
        </is>
      </c>
      <c r="D24" s="16" t="inlineStr">
        <is>
          <t>قيود مبيعات بالكشف بدون فاتورة</t>
        </is>
      </c>
    </row>
    <row r="25">
      <c r="A25" s="16" t="n">
        <v>23</v>
      </c>
      <c r="B25" s="16" t="inlineStr">
        <is>
          <t>المصروفات</t>
        </is>
      </c>
      <c r="C25" s="90" t="inlineStr">
        <is>
          <t>مصروفات - الملخص</t>
        </is>
      </c>
      <c r="D25" s="16" t="inlineStr">
        <is>
          <t>ملخص كل المصروفات</t>
        </is>
      </c>
    </row>
    <row r="26">
      <c r="A26" s="16" t="n">
        <v>24</v>
      </c>
      <c r="B26" s="16" t="inlineStr">
        <is>
          <t>المصروفات</t>
        </is>
      </c>
      <c r="C26" s="90" t="inlineStr">
        <is>
          <t>مصروفات التأسيس</t>
        </is>
      </c>
      <c r="D26" s="16" t="inlineStr">
        <is>
          <t>24 بند تأسيس (1,089,735.80)</t>
        </is>
      </c>
    </row>
    <row r="27">
      <c r="A27" s="16" t="n">
        <v>25</v>
      </c>
      <c r="B27" s="16" t="inlineStr">
        <is>
          <t>المصروفات</t>
        </is>
      </c>
      <c r="C27" s="90" t="inlineStr">
        <is>
          <t>مصروفات قبل 30.7.2025</t>
        </is>
      </c>
      <c r="D27" s="16" t="inlineStr">
        <is>
          <t>مصروفات تشغيل 2024 + مصروفات م/ عادل من المبيعات</t>
        </is>
      </c>
    </row>
    <row r="28">
      <c r="A28" s="16" t="n">
        <v>26</v>
      </c>
      <c r="B28" s="16" t="inlineStr">
        <is>
          <t>المصروفات</t>
        </is>
      </c>
      <c r="C28" s="90" t="inlineStr">
        <is>
          <t>أوامر الشراء 2026</t>
        </is>
      </c>
      <c r="D28" s="16" t="inlineStr">
        <is>
          <t>31 أمر شراء وحالة الدفع والمديونية</t>
        </is>
      </c>
    </row>
    <row r="29">
      <c r="A29" s="16" t="n">
        <v>27</v>
      </c>
      <c r="B29" s="16" t="inlineStr">
        <is>
          <t>المصروفات</t>
        </is>
      </c>
      <c r="C29" s="90" t="inlineStr">
        <is>
          <t>العهد - التفصيل</t>
        </is>
      </c>
      <c r="D29" s="16" t="inlineStr">
        <is>
          <t>178 مصروف من العهد النقدية</t>
        </is>
      </c>
    </row>
    <row r="30">
      <c r="A30" s="16" t="n">
        <v>28</v>
      </c>
      <c r="B30" s="16" t="inlineStr">
        <is>
          <t>المصروفات</t>
        </is>
      </c>
      <c r="C30" s="90" t="inlineStr">
        <is>
          <t>العهد - الملخص</t>
        </is>
      </c>
      <c r="D30" s="16" t="inlineStr">
        <is>
          <t>العهد حسب صاحبها والبند والسيارة</t>
        </is>
      </c>
    </row>
    <row r="31">
      <c r="A31" s="16" t="n">
        <v>29</v>
      </c>
      <c r="B31" s="16" t="inlineStr">
        <is>
          <t>المصروفات</t>
        </is>
      </c>
      <c r="C31" s="90" t="inlineStr">
        <is>
          <t>مصروفات الخزنة (كشف الحساب)</t>
        </is>
      </c>
      <c r="D31" s="16" t="inlineStr">
        <is>
          <t>197 مصروف من كشف الخزنة مع كشف التداخل</t>
        </is>
      </c>
    </row>
    <row r="32">
      <c r="A32" s="16" t="n">
        <v>30</v>
      </c>
      <c r="B32" s="16" t="inlineStr">
        <is>
          <t>المصروفات</t>
        </is>
      </c>
      <c r="C32" s="90" t="inlineStr">
        <is>
          <t>خزنة الرياض 6-7 2026</t>
        </is>
      </c>
      <c r="D32" s="16" t="inlineStr">
        <is>
          <t>مقبوضات ومدفوعات خزنة النظام الجديد يونيو–يوليو 2026</t>
        </is>
      </c>
    </row>
    <row r="33">
      <c r="A33" s="16" t="n">
        <v>31</v>
      </c>
      <c r="B33" s="16" t="inlineStr">
        <is>
          <t>المصروفات</t>
        </is>
      </c>
      <c r="C33" s="90" t="inlineStr">
        <is>
          <t>أرصدة العملاء والموردين</t>
        </is>
      </c>
      <c r="D33" s="16" t="inlineStr">
        <is>
          <t>المبالغ الآجلة لدى العملاء والمستحق للموردين</t>
        </is>
      </c>
    </row>
    <row r="34">
      <c r="A34" s="16" t="n">
        <v>32</v>
      </c>
      <c r="B34" s="16" t="inlineStr">
        <is>
          <t>المصروفات</t>
        </is>
      </c>
      <c r="C34" s="90" t="inlineStr">
        <is>
          <t>مصروفات 2025 - تفصيل</t>
        </is>
      </c>
      <c r="D34" s="16" t="inlineStr">
        <is>
          <t>306 مصروف (7–12-2025)</t>
        </is>
      </c>
    </row>
    <row r="35">
      <c r="A35" s="16" t="n">
        <v>33</v>
      </c>
      <c r="B35" s="16" t="inlineStr">
        <is>
          <t>المصروفات</t>
        </is>
      </c>
      <c r="C35" s="90" t="inlineStr">
        <is>
          <t>مصروفات 2025 - ملخص</t>
        </is>
      </c>
      <c r="D35" s="16" t="inlineStr">
        <is>
          <t>مصروفات 2025 حسب التصنيف والشهر + المدفوع من تبوك</t>
        </is>
      </c>
    </row>
    <row r="36">
      <c r="A36" s="16" t="n">
        <v>34</v>
      </c>
      <c r="B36" s="16" t="inlineStr">
        <is>
          <t>حركات المواد</t>
        </is>
      </c>
      <c r="C36" s="90" t="inlineStr">
        <is>
          <t>مواد - الملخص</t>
        </is>
      </c>
      <c r="D36" s="16" t="inlineStr">
        <is>
          <t>ملخص TNR/RNT/RNP/RNO/RNL من 3 مصادر</t>
        </is>
      </c>
    </row>
    <row r="37">
      <c r="A37" s="16" t="n">
        <v>35</v>
      </c>
      <c r="B37" s="16" t="inlineStr">
        <is>
          <t>حركات المواد</t>
        </is>
      </c>
      <c r="C37" s="90" t="inlineStr">
        <is>
          <t>مواد - سجل العقود</t>
        </is>
      </c>
      <c r="D37" s="16" t="inlineStr">
        <is>
          <t>كل سندات حركة المواد</t>
        </is>
      </c>
    </row>
    <row r="38">
      <c r="A38" s="16" t="n">
        <v>36</v>
      </c>
      <c r="B38" s="16" t="inlineStr">
        <is>
          <t>حركات المواد</t>
        </is>
      </c>
      <c r="C38" s="90" t="inlineStr">
        <is>
          <t>مواد - تفصيل البنود</t>
        </is>
      </c>
      <c r="D38" s="16" t="inlineStr">
        <is>
          <t>بنود كل سند (الصنف والكمية والسعر)</t>
        </is>
      </c>
    </row>
    <row r="39">
      <c r="A39" s="16" t="n">
        <v>37</v>
      </c>
      <c r="B39" s="16" t="inlineStr">
        <is>
          <t>حركات المواد</t>
        </is>
      </c>
      <c r="C39" s="90" t="inlineStr">
        <is>
          <t>مواد - الكميات حسب الصنف</t>
        </is>
      </c>
      <c r="D39" s="16" t="inlineStr">
        <is>
          <t>إجمالي الكميات لكل صنف</t>
        </is>
      </c>
    </row>
    <row r="40">
      <c r="A40" s="16" t="n">
        <v>38</v>
      </c>
      <c r="B40" s="16" t="inlineStr">
        <is>
          <t>المسحوبات بين المزرعتين</t>
        </is>
      </c>
      <c r="C40" s="90" t="inlineStr">
        <is>
          <t>مسحوبات - ملخص المراجعة</t>
        </is>
      </c>
      <c r="D40" s="16" t="inlineStr">
        <is>
          <t>مراجعة شيتات المحاسب للمسحوبات</t>
        </is>
      </c>
    </row>
    <row r="41">
      <c r="A41" s="16" t="n">
        <v>39</v>
      </c>
      <c r="B41" s="16" t="inlineStr">
        <is>
          <t>المسحوبات بين المزرعتين</t>
        </is>
      </c>
      <c r="C41" s="90" t="inlineStr">
        <is>
          <t>مسحوبات تبوك قبل الفترة</t>
        </is>
      </c>
      <c r="D41" s="16" t="inlineStr">
        <is>
          <t>أوامر شراء قبل الفترة (بدون أسعار)</t>
        </is>
      </c>
    </row>
    <row r="42">
      <c r="A42" s="16" t="n">
        <v>40</v>
      </c>
      <c r="B42" s="16" t="inlineStr">
        <is>
          <t>المسحوبات بين المزرعتين</t>
        </is>
      </c>
      <c r="C42" s="90" t="inlineStr">
        <is>
          <t>مصاريف إدارية وديزل تبوك</t>
        </is>
      </c>
      <c r="D42" s="16" t="inlineStr">
        <is>
          <t>مصاريف إدارية 2025/2026 + ديزل + نقل بالكيلومتر</t>
        </is>
      </c>
    </row>
    <row r="43">
      <c r="A43" s="16" t="n">
        <v>41</v>
      </c>
      <c r="B43" s="16" t="inlineStr">
        <is>
          <t>المسحوبات بين المزرعتين</t>
        </is>
      </c>
      <c r="C43" s="90" t="inlineStr">
        <is>
          <t>مسحوبات الرياض من تبوك</t>
        </is>
      </c>
      <c r="D43" s="16" t="inlineStr">
        <is>
          <t>مراجعة شيت المحاسب سطراً بسطر</t>
        </is>
      </c>
    </row>
    <row r="44">
      <c r="A44" s="16" t="n">
        <v>42</v>
      </c>
      <c r="B44" s="16" t="inlineStr">
        <is>
          <t>المسحوبات بين المزرعتين</t>
        </is>
      </c>
      <c r="C44" s="90" t="inlineStr">
        <is>
          <t>مسحوبات تبوك من الرياض</t>
        </is>
      </c>
      <c r="D44" s="16" t="inlineStr">
        <is>
          <t>مراجعة شيت المحاسب سطراً بسطر</t>
        </is>
      </c>
    </row>
    <row r="45">
      <c r="A45" s="16" t="n">
        <v>43</v>
      </c>
      <c r="B45" s="16" t="inlineStr">
        <is>
          <t>المسحوبات بين المزرعتين</t>
        </is>
      </c>
      <c r="C45" s="90" t="inlineStr">
        <is>
          <t>سندات غير مدرجة بالمحاسب</t>
        </is>
      </c>
      <c r="D45" s="16" t="inlineStr">
        <is>
          <t>سندات بالنظام لم يدرجها المحاسب</t>
        </is>
      </c>
    </row>
    <row r="46">
      <c r="A46" s="16" t="n">
        <v>44</v>
      </c>
      <c r="B46" s="16" t="inlineStr">
        <is>
          <t>حساب الشريكين</t>
        </is>
      </c>
      <c r="C46" s="90" t="inlineStr">
        <is>
          <t>مطابقة حساب أبو خالد</t>
        </is>
      </c>
      <c r="D46" s="16" t="inlineStr">
        <is>
          <t>مقارنة مسحوبات أبو خالد بين قائمة العقود وكشف الخزنة – مع خيارات الاعتماد</t>
        </is>
      </c>
    </row>
    <row r="47">
      <c r="A47" s="16" t="n">
        <v>45</v>
      </c>
      <c r="B47" s="16" t="inlineStr">
        <is>
          <t>المصروفات</t>
        </is>
      </c>
      <c r="C47" s="90" t="inlineStr">
        <is>
          <t>صرف بدون بيان</t>
        </is>
      </c>
      <c r="D47" s="16" t="inlineStr">
        <is>
          <t>سندات صرف بدون بيان: رقمها وتاريخها ومكانها</t>
        </is>
      </c>
    </row>
    <row r="48">
      <c r="A48" s="16" t="n">
        <v>46</v>
      </c>
      <c r="B48" s="16" t="inlineStr">
        <is>
          <t>حساب الشريكين</t>
        </is>
      </c>
      <c r="C48" s="90" t="inlineStr">
        <is>
          <t>مطابقة كميات عقد عرعر</t>
        </is>
      </c>
      <c r="D48" s="16" t="inlineStr">
        <is>
          <t>مطابقة كميات عقد عرعر (المصروف من الرياض + المحوّل من تبوك × 0.50)</t>
        </is>
      </c>
    </row>
    <row r="49">
      <c r="A49" s="16" t="n">
        <v>47</v>
      </c>
      <c r="B49" s="16" t="inlineStr">
        <is>
          <t>المصروفات</t>
        </is>
      </c>
      <c r="C49" s="90" t="inlineStr">
        <is>
          <t>ميزان الخزنة</t>
        </is>
      </c>
      <c r="D49" s="16" t="inlineStr">
        <is>
          <t>ميزان الخزنة القديمة قبل وبعد حذف الجزيرة ومطابقته مع رصيد النظام الجديد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D38"/>
  <sheetViews>
    <sheetView rightToLeft="1" zoomScale="100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22" customWidth="1" min="3" max="3"/>
    <col width="50" customWidth="1" min="4" max="4"/>
  </cols>
  <sheetData>
    <row r="1" ht="30" customHeight="1">
      <c r="A1" s="91" t="inlineStr">
        <is>
          <t>مزرعة الرياض – الملخص العام من التأسيس (2024) حتى 31-7-2026</t>
        </is>
      </c>
    </row>
    <row r="2">
      <c r="A2" s="92" t="inlineStr">
        <is>
          <t>الشركاء: م/ عادل أبو خالد (مؤسسة بساتين الرياض) – أبو مازن (شركة نسما الشرق / مزرعة تبوك)</t>
        </is>
      </c>
    </row>
    <row r="3"/>
    <row r="4">
      <c r="A4" s="93" t="inlineStr">
        <is>
          <t>أولاً: المبيعات</t>
        </is>
      </c>
    </row>
    <row r="5">
      <c r="A5" s="3" t="inlineStr">
        <is>
          <t>مبيعات قبل 30-7-2025 (1-10-2024 إلى 30-6-2025)</t>
        </is>
      </c>
      <c r="B5" s="4">
        <f>'مبيعات قبل 30.7.2025'!C12</f>
        <v/>
      </c>
      <c r="C5" s="4" t="n"/>
      <c r="D5" s="3" t="inlineStr">
        <is>
          <t>إجمالي شهري غير موزع على المناديب</t>
        </is>
      </c>
    </row>
    <row r="6">
      <c r="A6" s="3" t="inlineStr">
        <is>
          <t>مبيعات عصمت الله خان (جملة WHT + سيارة 1219)</t>
        </is>
      </c>
      <c r="B6" s="4">
        <f>'مبيعات - الملخص'!D5</f>
        <v/>
      </c>
      <c r="C6" s="4" t="n"/>
      <c r="D6" s="3" t="inlineStr"/>
    </row>
    <row r="7">
      <c r="A7" s="3" t="inlineStr">
        <is>
          <t>مبيعات عماد حمدي (جملة WHE + سيارة 3010)</t>
        </is>
      </c>
      <c r="B7" s="4">
        <f>'مبيعات - الملخص'!D6</f>
        <v/>
      </c>
      <c r="C7" s="4" t="n"/>
      <c r="D7" s="3" t="inlineStr"/>
    </row>
    <row r="8">
      <c r="A8" s="3" t="inlineStr">
        <is>
          <t>مبيعات م/ عادل أبو خالد (عقود WHK شاملة عرعر 440,000)</t>
        </is>
      </c>
      <c r="B8" s="4">
        <f>'مبيعات - الملخص'!D7</f>
        <v/>
      </c>
      <c r="C8" s="4" t="n"/>
      <c r="D8" s="3" t="inlineStr"/>
    </row>
    <row r="9">
      <c r="A9" s="5" t="inlineStr">
        <is>
          <t>إجمالي المبيعات من 1-10-2024 إلى 31-7-2026</t>
        </is>
      </c>
      <c r="B9" s="6">
        <f>SUM(B5:B8)</f>
        <v/>
      </c>
      <c r="C9" s="6" t="n"/>
      <c r="D9" s="5" t="inlineStr"/>
    </row>
    <row r="10"/>
    <row r="11">
      <c r="A11" s="93" t="inlineStr">
        <is>
          <t>ثانياً: المصروفات</t>
        </is>
      </c>
    </row>
    <row r="12">
      <c r="A12" s="3" t="inlineStr">
        <is>
          <t>مصروفات التأسيس الفعلية (أبو مازن 1,089,735.80 + أبو خالد 189,235)</t>
        </is>
      </c>
      <c r="B12" s="4">
        <f>'مصروفات التأسيس'!E29</f>
        <v/>
      </c>
      <c r="C12" s="4" t="n"/>
      <c r="D12" s="3" t="inlineStr"/>
    </row>
    <row r="13">
      <c r="A13" s="3" t="inlineStr">
        <is>
          <t>مصروفات تشغيل 2-2024 إلى 12-2024</t>
        </is>
      </c>
      <c r="B13" s="4">
        <f>'مصروفات قبل 30.7.2025'!E28</f>
        <v/>
      </c>
      <c r="C13" s="4" t="n"/>
      <c r="D13" s="3" t="inlineStr">
        <is>
          <t>من إيرادات المزرعة</t>
        </is>
      </c>
    </row>
    <row r="14">
      <c r="A14" s="3" t="inlineStr">
        <is>
          <t>مصروفات تشغيل دفعها م/ عادل من المبيعات (10-2024 إلى 6-2025)</t>
        </is>
      </c>
      <c r="B14" s="4">
        <f>'مصروفات قبل 30.7.2025'!E42</f>
        <v/>
      </c>
      <c r="C14" s="4" t="n"/>
      <c r="D14" s="3" t="inlineStr">
        <is>
          <t>من إيرادات المزرعة</t>
        </is>
      </c>
    </row>
    <row r="15">
      <c r="A15" s="3" t="inlineStr">
        <is>
          <t>مصروفات 2025 (7-2025 إلى 12-2025)</t>
        </is>
      </c>
      <c r="B15" s="4">
        <f>'مصروفات 2025 - تفصيل'!H301</f>
        <v/>
      </c>
      <c r="C15" s="4" t="n"/>
      <c r="D15" s="3" t="inlineStr">
        <is>
          <t>شاملة مشتريات عقد عرعر</t>
        </is>
      </c>
    </row>
    <row r="16">
      <c r="A16" s="3" t="inlineStr">
        <is>
          <t>أوامر شراء 2026 بعد استبعاد سداد 2025 + تسويات العهد</t>
        </is>
      </c>
      <c r="B16" s="4">
        <f>'مصروفات - الملخص'!C15</f>
        <v/>
      </c>
      <c r="C16" s="4" t="n"/>
      <c r="D16" s="3" t="inlineStr"/>
    </row>
    <row r="17">
      <c r="A17" s="3" t="inlineStr">
        <is>
          <t>مصروفات الخزنة (كشف الحساب) (كشف الحساب)</t>
        </is>
      </c>
      <c r="B17" s="4">
        <f>'مصروفات الخزنة (كشف الحساب)'!F197</f>
        <v/>
      </c>
      <c r="C17" s="4" t="n"/>
      <c r="D17" s="3" t="inlineStr">
        <is>
          <t>⚠ متداخلة جزئياً مع أوامر الشراء والعهد ومصروفات 2025 – راجع عمود الارتباط</t>
        </is>
      </c>
    </row>
    <row r="18">
      <c r="A18" s="3" t="inlineStr">
        <is>
          <t>المصاريف الإدارية والديزل المدفوعة من نسما</t>
        </is>
      </c>
      <c r="B18" s="4">
        <f>'مصاريف إدارية وديزل تبوك'!F48</f>
        <v/>
      </c>
      <c r="C18" s="4" t="n"/>
      <c r="D18" s="3" t="inlineStr"/>
    </row>
    <row r="19"/>
    <row r="20">
      <c r="A20" s="93" t="inlineStr">
        <is>
          <t>ثالثاً: حركات المواد (30-7-2025 إلى 31-7-2026)</t>
        </is>
      </c>
    </row>
    <row r="21">
      <c r="A21" s="3" t="inlineStr">
        <is>
          <t>TNR ترحيل من تبوك إلى الرياض</t>
        </is>
      </c>
      <c r="B21" s="4">
        <f>'مواد - الملخص'!J5</f>
        <v/>
      </c>
      <c r="C21" s="4" t="n"/>
      <c r="D21" s="3" t="inlineStr"/>
    </row>
    <row r="22">
      <c r="A22" s="3" t="inlineStr">
        <is>
          <t>RNT ترحيل من الرياض إلى تبوك</t>
        </is>
      </c>
      <c r="B22" s="4">
        <f>'مواد - الملخص'!J6</f>
        <v/>
      </c>
      <c r="C22" s="4" t="n"/>
      <c r="D22" s="3" t="inlineStr"/>
    </row>
    <row r="23">
      <c r="A23" s="3" t="inlineStr">
        <is>
          <t>RNP ترحيل لقسم المشاريع تبوك</t>
        </is>
      </c>
      <c r="B23" s="4">
        <f>'مواد - الملخص'!J7</f>
        <v/>
      </c>
      <c r="C23" s="4" t="n"/>
      <c r="D23" s="3" t="inlineStr"/>
    </row>
    <row r="24">
      <c r="A24" s="3" t="inlineStr">
        <is>
          <t>RNO صرف للإنتاج</t>
        </is>
      </c>
      <c r="B24" s="4">
        <f>'مواد - الملخص'!J8</f>
        <v/>
      </c>
      <c r="C24" s="4" t="n"/>
      <c r="D24" s="3" t="inlineStr"/>
    </row>
    <row r="25">
      <c r="A25" s="3" t="inlineStr">
        <is>
          <t>RNL هالك ومفقود</t>
        </is>
      </c>
      <c r="B25" s="4">
        <f>'مواد - الملخص'!J9</f>
        <v/>
      </c>
      <c r="C25" s="4" t="n"/>
      <c r="D25" s="3" t="inlineStr"/>
    </row>
    <row r="26"/>
    <row r="27">
      <c r="A27" s="93" t="inlineStr">
        <is>
          <t>خامساً: الآجل</t>
        </is>
      </c>
    </row>
    <row r="28">
      <c r="A28" s="3" t="inlineStr">
        <is>
          <t>المبالغ الآجلة لدى عملاء السيارات (31-7-2026)</t>
        </is>
      </c>
      <c r="B28" s="4">
        <f>'أرصدة العملاء والموردين'!F29</f>
        <v/>
      </c>
      <c r="C28" s="4" t="n"/>
      <c r="D28" s="3" t="inlineStr">
        <is>
          <t>راجع صفحة أرصدة العملاء والموردين</t>
        </is>
      </c>
    </row>
    <row r="29">
      <c r="A29" s="3" t="inlineStr">
        <is>
          <t>المستحق للموردين (حد أقصى)</t>
        </is>
      </c>
      <c r="B29" s="4">
        <f>'أرصدة العملاء والموردين'!F41</f>
        <v/>
      </c>
      <c r="C29" s="4" t="n"/>
      <c r="D29" s="3" t="inlineStr">
        <is>
          <t>PO-1023 33,950 + باقي PO-0777 55,420</t>
        </is>
      </c>
    </row>
    <row r="30"/>
    <row r="31">
      <c r="A31" s="93" t="inlineStr">
        <is>
          <t>رابعاً: حساب الشريكين</t>
        </is>
      </c>
    </row>
    <row r="32">
      <c r="A32" s="3" t="inlineStr">
        <is>
          <t>البند</t>
        </is>
      </c>
      <c r="B32" s="4" t="inlineStr">
        <is>
          <t>أبو خالد – بساتين الرياض</t>
        </is>
      </c>
      <c r="C32" s="4" t="inlineStr">
        <is>
          <t>أبو مازن – نسما الشرق</t>
        </is>
      </c>
      <c r="D32" s="3" t="inlineStr"/>
    </row>
    <row r="33">
      <c r="A33" s="5" t="inlineStr">
        <is>
          <t>إجمالي المسحوبات (عليه)</t>
        </is>
      </c>
      <c r="B33" s="6">
        <f>'ملخص الشركاء'!B7</f>
        <v/>
      </c>
      <c r="C33" s="6">
        <f>'ملخص الشركاء'!C7</f>
        <v/>
      </c>
      <c r="D33" s="5" t="inlineStr"/>
    </row>
    <row r="34">
      <c r="A34" s="3" t="inlineStr">
        <is>
          <t>سدادات مسجلة بكشف الخزنة</t>
        </is>
      </c>
      <c r="B34" s="4">
        <f>'ملخص الشركاء'!B8</f>
        <v/>
      </c>
      <c r="C34" s="4">
        <f>'ملخص الشركاء'!C8</f>
        <v/>
      </c>
      <c r="D34" s="3" t="inlineStr"/>
    </row>
    <row r="35">
      <c r="A35" s="3" t="inlineStr">
        <is>
          <t>الدعم المقدم للمزرعة</t>
        </is>
      </c>
      <c r="B35" s="4">
        <f>'ملخص الشركاء'!B9</f>
        <v/>
      </c>
      <c r="C35" s="4">
        <f>'ملخص الشركاء'!C9</f>
        <v/>
      </c>
      <c r="D35" s="3" t="inlineStr"/>
    </row>
    <row r="36">
      <c r="A36" s="5" t="inlineStr">
        <is>
          <t>الصافي (موجب = عليه للمزرعة / سالب = مستحق له)</t>
        </is>
      </c>
      <c r="B36" s="6">
        <f>'ملخص الشركاء'!B11</f>
        <v/>
      </c>
      <c r="C36" s="6">
        <f>'ملخص الشركاء'!C11</f>
        <v/>
      </c>
      <c r="D36" s="5" t="inlineStr">
        <is>
          <t>⚠ نهائي بعد الإجابة على الأسئلة المفتوحة</t>
        </is>
      </c>
    </row>
    <row r="37"/>
    <row r="38">
      <c r="A38" t="inlineStr">
        <is>
          <t>تنبيه: الأرقام تتحدّث تلقائياً من صفحات التفصيل. البنود التي تحتاج تأكيد مذكورة في صفحة "الأسئلة المطلوبة".</t>
        </is>
      </c>
    </row>
  </sheetData>
  <mergeCells count="8">
    <mergeCell ref="A1:D1"/>
    <mergeCell ref="A27:D27"/>
    <mergeCell ref="A31:D31"/>
    <mergeCell ref="A4:D4"/>
    <mergeCell ref="A20:D20"/>
    <mergeCell ref="A38:D38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48"/>
  <sheetViews>
    <sheetView rightToLeft="1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95" customWidth="1" min="3" max="3"/>
    <col width="18" customWidth="1" min="4" max="4"/>
    <col width="40" customWidth="1" min="5" max="5"/>
  </cols>
  <sheetData>
    <row r="1">
      <c r="A1" s="94" t="inlineStr">
        <is>
          <t>الأسئلة المطلوب الإجابة عليها لاعتماد الحسابات بنسبة 100%</t>
        </is>
      </c>
    </row>
    <row r="2">
      <c r="A2" s="2" t="inlineStr">
        <is>
          <t>م</t>
        </is>
      </c>
      <c r="B2" s="2" t="inlineStr">
        <is>
          <t>القسم</t>
        </is>
      </c>
      <c r="C2" s="2" t="inlineStr">
        <is>
          <t>السؤال</t>
        </is>
      </c>
      <c r="D2" s="2" t="inlineStr">
        <is>
          <t>المبلغ المتأثر</t>
        </is>
      </c>
      <c r="E2" s="2" t="inlineStr">
        <is>
          <t>الإجابة</t>
        </is>
      </c>
    </row>
    <row r="3">
      <c r="A3" s="3" t="n">
        <v>1</v>
      </c>
      <c r="B3" s="3" t="inlineStr">
        <is>
          <t>المبيعات</t>
        </is>
      </c>
      <c r="C3" s="3" t="inlineStr">
        <is>
          <t>لا توجد مبيعات من 1-7-2025 إلى 29-7-2025 (شيت ما قبل الفترة ينتهي 30-6-2025). هل توجد مبيعات لهذه الفترة؟</t>
        </is>
      </c>
      <c r="D3" s="4" t="inlineStr">
        <is>
          <t>غير معروف</t>
        </is>
      </c>
      <c r="E3" s="11" t="inlineStr"/>
    </row>
    <row r="4">
      <c r="A4" s="3" t="n">
        <v>2</v>
      </c>
      <c r="B4" s="3" t="inlineStr">
        <is>
          <t>المبيعات</t>
        </is>
      </c>
      <c r="C4" s="3" t="inlineStr">
        <is>
          <t>الفواتير المبدئية من 1 إلى 24 (قبل 27-10-2025) لم تُرسل. هل تتوفر لمطابقة عقود أغسطس–أكتوبر 2025؟</t>
        </is>
      </c>
      <c r="D4" s="4" t="inlineStr">
        <is>
          <t>—</t>
        </is>
      </c>
      <c r="E4" s="11" t="inlineStr"/>
    </row>
    <row r="5">
      <c r="A5" s="3" t="n">
        <v>3</v>
      </c>
      <c r="B5" s="3" t="inlineStr">
        <is>
          <t>المبيعات</t>
        </is>
      </c>
      <c r="C5" s="3" t="inlineStr">
        <is>
          <t>الفاتورتان 57 و 58 بنفس العقد WHT-2953 ونفس القيمة – هل إحداهما مكررة؟ (الكشف سجلها مرة واحدة)</t>
        </is>
      </c>
      <c r="D5" s="4" t="n">
        <v>12742.5</v>
      </c>
      <c r="E5" s="11" t="inlineStr"/>
    </row>
    <row r="6">
      <c r="A6" s="3" t="n">
        <v>4</v>
      </c>
      <c r="B6" s="3" t="inlineStr">
        <is>
          <t>المبيعات</t>
        </is>
      </c>
      <c r="C6" s="3" t="inlineStr">
        <is>
          <t>العقدان WHT-2756 و WHT-2758 موجودان بسجل العقود فقط (بدون فاتورة ولا قيد بالكشف) – هل هما مبيعات فعلية؟</t>
        </is>
      </c>
      <c r="D6" s="4" t="n">
        <v>16810</v>
      </c>
      <c r="E6" s="11" t="inlineStr"/>
    </row>
    <row r="7">
      <c r="A7" s="3" t="n">
        <v>5</v>
      </c>
      <c r="B7" s="3" t="inlineStr">
        <is>
          <t>المبيعات</t>
        </is>
      </c>
      <c r="C7" s="3" t="inlineStr">
        <is>
          <t>الفاتورة 156: القيمة 5,448.75 وبالكشف 5,447.75 – أيهما الصحيح؟</t>
        </is>
      </c>
      <c r="D7" s="4" t="n">
        <v>1</v>
      </c>
      <c r="E7" s="11" t="inlineStr"/>
    </row>
    <row r="8">
      <c r="A8" s="3" t="n">
        <v>6</v>
      </c>
      <c r="B8" s="3" t="inlineStr">
        <is>
          <t>المبيعات</t>
        </is>
      </c>
      <c r="C8" s="3" t="inlineStr">
        <is>
          <t>مبيعات ما قبل الفترة 610,688: هل هي لكل المناديب معاً؟ وهل يلزم توزيعها على المناديب؟</t>
        </is>
      </c>
      <c r="D8" s="4" t="inlineStr">
        <is>
          <t>610,688</t>
        </is>
      </c>
      <c r="E8" s="11" t="inlineStr"/>
    </row>
    <row r="9">
      <c r="A9" s="3" t="n">
        <v>7</v>
      </c>
      <c r="B9" s="3" t="inlineStr">
        <is>
          <t>المبيعات</t>
        </is>
      </c>
      <c r="C9" s="3" t="inlineStr">
        <is>
          <t>كشف الخزنة يُظهر رصيد عصمت 63,832.57 وعماد 6,832.75 (مبيعات أكثر من السداد) – هل هي مديونيات قائمة على المناديب؟</t>
        </is>
      </c>
      <c r="D9" s="4" t="n">
        <v>70665.32000000001</v>
      </c>
      <c r="E9" s="11" t="inlineStr"/>
    </row>
    <row r="10">
      <c r="A10" s="3" t="n">
        <v>8</v>
      </c>
      <c r="B10" s="3" t="inlineStr">
        <is>
          <t>المبيعات</t>
        </is>
      </c>
      <c r="C10" s="3" t="inlineStr">
        <is>
          <t>بند "تصفية مديونية أبو خالد حتى 31-10" 62,937 بكشف الخزنة – ما العقود التي يغطيها؟ (عقود WHK قبل نوفمبر بشيت المحاسب مجموعها أكبر)</t>
        </is>
      </c>
      <c r="D10" s="4" t="n">
        <v>62937</v>
      </c>
      <c r="E10" s="11" t="inlineStr"/>
    </row>
    <row r="11">
      <c r="A11" s="3" t="n">
        <v>9</v>
      </c>
      <c r="B11" s="3" t="inlineStr">
        <is>
          <t>المواد</t>
        </is>
      </c>
      <c r="C11" s="3" t="inlineStr">
        <is>
          <t>لا توجد حركات مواد من 3-6-2026 إلى 12-6-2026 – هل توجد سندات لهذه الفترة؟</t>
        </is>
      </c>
      <c r="D11" s="4" t="inlineStr">
        <is>
          <t>—</t>
        </is>
      </c>
      <c r="E11" s="11" t="inlineStr"/>
    </row>
    <row r="12">
      <c r="A12" s="3" t="n">
        <v>10</v>
      </c>
      <c r="B12" s="3" t="inlineStr">
        <is>
          <t>المواد</t>
        </is>
      </c>
      <c r="C12" s="3" t="inlineStr">
        <is>
          <t>لا يوجد أي ترحيل من تبوك للرياض (TNR) من فبراير إلى يونيو 2026 – هل يوجد سجل الوارد؟ وما هو PO-213 (بيتونيا 6,000 في 5-4-2026)؟</t>
        </is>
      </c>
      <c r="D12" s="4" t="n">
        <v>3000</v>
      </c>
      <c r="E12" s="11" t="inlineStr"/>
    </row>
    <row r="13">
      <c r="A13" s="3" t="n">
        <v>11</v>
      </c>
      <c r="B13" s="3" t="inlineStr">
        <is>
          <t>المواد</t>
        </is>
      </c>
      <c r="C13" s="3" t="inlineStr">
        <is>
          <t>بند "فرق PO الشجيرات" بشيت المحاسب (7 أسطر بدون تاريخ ولا سند) – ما مستنده؟</t>
        </is>
      </c>
      <c r="D13" s="4" t="n">
        <v>2045</v>
      </c>
      <c r="E13" s="11" t="inlineStr"/>
    </row>
    <row r="14">
      <c r="A14" s="3" t="n">
        <v>12</v>
      </c>
      <c r="B14" s="3" t="inlineStr">
        <is>
          <t>المواد</t>
        </is>
      </c>
      <c r="C14" s="3" t="inlineStr">
        <is>
          <t>السند RN-RAW-OUT#186-REV1: صرف أشجار 78,463.50 للإنتاج بغرض تبديل المراكن – هل أُعيدت الأشجار للمخزون؟</t>
        </is>
      </c>
      <c r="D14" s="4" t="n">
        <v>78463.5</v>
      </c>
      <c r="E14" s="11" t="inlineStr"/>
    </row>
    <row r="15">
      <c r="A15" s="3" t="n">
        <v>13</v>
      </c>
      <c r="B15" s="3" t="inlineStr">
        <is>
          <t>المواد</t>
        </is>
      </c>
      <c r="C15" s="3" t="inlineStr">
        <is>
          <t>الطلب 58991: فينكا 26,000 أُرسلت مع عماد (15,500) وعصمت (10,500) – هل هي ضمن مبيعاتهما؟</t>
        </is>
      </c>
      <c r="D15" s="4" t="n">
        <v>14300</v>
      </c>
      <c r="E15" s="11" t="inlineStr"/>
    </row>
    <row r="16">
      <c r="A16" s="3" t="n">
        <v>14</v>
      </c>
      <c r="B16" s="3" t="inlineStr">
        <is>
          <t>المواد</t>
        </is>
      </c>
      <c r="C16" s="3" t="inlineStr">
        <is>
          <t>سيسبانيا OD373: خرج 250 لتبوك (11-7) ورجع 250 ثم خرج 240 (14-7) – هل التحويل الأول أُلغي؟</t>
        </is>
      </c>
      <c r="D16" s="4" t="n">
        <v>6375</v>
      </c>
      <c r="E16" s="11" t="inlineStr"/>
    </row>
    <row r="17">
      <c r="A17" s="3" t="n">
        <v>15</v>
      </c>
      <c r="B17" s="3" t="inlineStr">
        <is>
          <t>المواد</t>
        </is>
      </c>
      <c r="C17" s="3" t="inlineStr">
        <is>
          <t>TNR-3441 / إذن صرف 319: الاكاليفا 60 أم 6؟</t>
        </is>
      </c>
      <c r="D17" s="4" t="n">
        <v>135</v>
      </c>
      <c r="E17" s="11" t="inlineStr"/>
    </row>
    <row r="18">
      <c r="A18" s="3" t="n">
        <v>16</v>
      </c>
      <c r="B18" s="3" t="inlineStr">
        <is>
          <t>المواد</t>
        </is>
      </c>
      <c r="C18" s="3" t="inlineStr">
        <is>
          <t>العقد RNO-3832: مجموع البنود 5,274.48 وإجمالي العقد 5,550.48 – ما سبب الفرق؟</t>
        </is>
      </c>
      <c r="D18" s="4" t="n">
        <v>276</v>
      </c>
      <c r="E18" s="11" t="inlineStr"/>
    </row>
    <row r="19">
      <c r="A19" s="3" t="n">
        <v>17</v>
      </c>
      <c r="B19" s="3" t="inlineStr">
        <is>
          <t>المواد</t>
        </is>
      </c>
      <c r="C19" s="3" t="inlineStr">
        <is>
          <t>السند ISV-0061 (مرتجع جزئي) – ما الكمية المرتجعة؟ والسند ISV-0075 (2,750 – رائد الخير) – ما أصنافه؟</t>
        </is>
      </c>
      <c r="D19" s="4" t="inlineStr">
        <is>
          <t>—</t>
        </is>
      </c>
      <c r="E19" s="11" t="inlineStr"/>
    </row>
    <row r="20">
      <c r="A20" s="3" t="n">
        <v>18</v>
      </c>
      <c r="B20" s="3" t="inlineStr">
        <is>
          <t>المواد</t>
        </is>
      </c>
      <c r="C20" s="3" t="inlineStr">
        <is>
          <t>رقم العقد RNP-1787 مستخدم لحركتين (25-7-2025: 18,975 و 4-8-2025: 20,872.50 جهة WHOLESALE RIYADH) – أيهما صحيح؟</t>
        </is>
      </c>
      <c r="D20" s="4" t="n">
        <v>20872.5</v>
      </c>
      <c r="E20" s="11" t="inlineStr"/>
    </row>
    <row r="21">
      <c r="A21" s="3" t="n">
        <v>19</v>
      </c>
      <c r="B21" s="3" t="inlineStr">
        <is>
          <t>التسعير</t>
        </is>
      </c>
      <c r="C21" s="3" t="inlineStr">
        <is>
          <t>مسحوبات نسما من الرياض: هل تُحسب بأسعار النظام أم بأسعار التحويل الخاصة بالمحاسب؟ (بيتونيا 0.50 مقابل 0.55 ...)</t>
        </is>
      </c>
      <c r="D21" s="4" t="inlineStr">
        <is>
          <t>يؤثر على كامل RNT/RNP</t>
        </is>
      </c>
      <c r="E21" s="11" t="inlineStr"/>
    </row>
    <row r="22">
      <c r="A22" s="3" t="n">
        <v>20</v>
      </c>
      <c r="B22" s="3" t="inlineStr">
        <is>
          <t>التسعير</t>
        </is>
      </c>
      <c r="C22" s="3" t="inlineStr">
        <is>
          <t>الأساس الضريبي: النظام القديم شامل 15% والنظام الجديد وسجل الصرف بدون ضريبة – أي أساس يُعتمد لحساب الشريكين؟</t>
        </is>
      </c>
      <c r="D22" s="4" t="inlineStr">
        <is>
          <t>—</t>
        </is>
      </c>
      <c r="E22" s="11" t="inlineStr"/>
    </row>
    <row r="23">
      <c r="A23" s="3" t="n">
        <v>21</v>
      </c>
      <c r="B23" s="3" t="inlineStr">
        <is>
          <t>التسعير</t>
        </is>
      </c>
      <c r="C23" s="3" t="inlineStr">
        <is>
          <t>أسعار أوامر ما قبل الفترة P00480–P00523 (102,875 حبة) – ما سعر الحبة المعتمد؟</t>
        </is>
      </c>
      <c r="D23" s="4" t="inlineStr">
        <is>
          <t>غير مسعّر</t>
        </is>
      </c>
      <c r="E23" s="11" t="inlineStr"/>
    </row>
    <row r="24">
      <c r="A24" s="3" t="n">
        <v>22</v>
      </c>
      <c r="B24" s="3" t="inlineStr">
        <is>
          <t>التسعير</t>
        </is>
      </c>
      <c r="C24" s="3" t="inlineStr">
        <is>
          <t>تكاليف النقل والبراد لأوامر ما قبل الفترة (13,100 دفعتها نسما) – هل تُحتسب دعماً من نسما أم على مزرعة الرياض؟</t>
        </is>
      </c>
      <c r="D24" s="4" t="n">
        <v>13100</v>
      </c>
      <c r="E24" s="11" t="inlineStr"/>
    </row>
    <row r="25">
      <c r="A25" s="3" t="n">
        <v>23</v>
      </c>
      <c r="B25" s="3" t="inlineStr">
        <is>
          <t>التسعير</t>
        </is>
      </c>
      <c r="C25" s="3" t="inlineStr">
        <is>
          <t>مرجع الطلب NS-1466 مستخدم لأمرين P00481 (18,000 حبة) و P00522 (15,000) – هل هما شحنتان مختلفتان؟</t>
        </is>
      </c>
      <c r="D25" s="4" t="inlineStr">
        <is>
          <t>—</t>
        </is>
      </c>
      <c r="E25" s="11" t="inlineStr"/>
    </row>
    <row r="26">
      <c r="A26" s="3" t="n">
        <v>24</v>
      </c>
      <c r="B26" s="3" t="inlineStr">
        <is>
          <t>المصروفات</t>
        </is>
      </c>
      <c r="C26" s="3" t="inlineStr">
        <is>
          <t>PO-0777 (بساتين الرياض 66,420) مدفوع جزئياً – كم المبلغ المسدد؟</t>
        </is>
      </c>
      <c r="D26" s="4" t="n">
        <v>66420</v>
      </c>
      <c r="E26" s="11" t="inlineStr">
        <is>
          <t>مسدد 11,000 (DIS-Riyadh-0012 – 1-7-2026) والمتبقي 55,420</t>
        </is>
      </c>
    </row>
    <row r="27">
      <c r="A27" s="3" t="n">
        <v>25</v>
      </c>
      <c r="B27" s="3" t="inlineStr">
        <is>
          <t>المصروفات</t>
        </is>
      </c>
      <c r="C27" s="3" t="inlineStr">
        <is>
          <t>المدارات: PO-267 و PO-309 بنفس القيمة 53,475 – هل هما توريدان مختلفان؟</t>
        </is>
      </c>
      <c r="D27" s="4" t="n">
        <v>53475</v>
      </c>
      <c r="E27" s="11" t="inlineStr"/>
    </row>
    <row r="28">
      <c r="A28" s="3" t="n">
        <v>26</v>
      </c>
      <c r="B28" s="3" t="inlineStr">
        <is>
          <t>المصروفات</t>
        </is>
      </c>
      <c r="C28" s="3" t="inlineStr">
        <is>
          <t>الديزل: هل ديزل العهد النقدية (سيارات 1219 و 3010) جزء من 24,888 المدفوعة من نسما في 2026؟ وهل يوجد ديزل أغسطس–أكتوبر 2025؟</t>
        </is>
      </c>
      <c r="D28" s="4" t="inlineStr">
        <is>
          <t>—</t>
        </is>
      </c>
      <c r="E28" s="11" t="inlineStr"/>
    </row>
    <row r="29">
      <c r="A29" s="3" t="n">
        <v>27</v>
      </c>
      <c r="B29" s="3" t="inlineStr">
        <is>
          <t>المصروفات</t>
        </is>
      </c>
      <c r="C29" s="3" t="inlineStr">
        <is>
          <t>مشتريات 2025 المدفوعة من تبوك: الفلتر يعطي 226,679.26 والرقم اليدوي 269,099.26 – ما الحركات التي تكوّن الفرق 42,420؟</t>
        </is>
      </c>
      <c r="D29" s="4" t="n">
        <v>42420</v>
      </c>
      <c r="E29" s="11" t="inlineStr"/>
    </row>
    <row r="30">
      <c r="A30" s="3" t="n">
        <v>28</v>
      </c>
      <c r="B30" s="3" t="inlineStr">
        <is>
          <t>المصروفات</t>
        </is>
      </c>
      <c r="C30" s="3" t="inlineStr">
        <is>
          <t>مصروفات 2025 مكررة ظاهرياً: المدارات 50,600 مرتين في 23-10-2025 وأخرى – هل هي مكررة؟</t>
        </is>
      </c>
      <c r="D30" s="4" t="n">
        <v>70600</v>
      </c>
      <c r="E30" s="11" t="inlineStr"/>
    </row>
    <row r="31">
      <c r="A31" s="3" t="n">
        <v>29</v>
      </c>
      <c r="B31" s="3" t="inlineStr">
        <is>
          <t>المصروفات</t>
        </is>
      </c>
      <c r="C31" s="3" t="inlineStr">
        <is>
          <t>شركة الجزيرة الحديثة 21,250 غير مدفوعة (عقد عرعر) – من يسددها؟</t>
        </is>
      </c>
      <c r="D31" s="4" t="n">
        <v>21250</v>
      </c>
      <c r="E31" s="11" t="inlineStr">
        <is>
          <t>لا توجد مديونية – كل مسحوبات الجزيرة مسددة وخاصة ببساتين الرياض (محذوفة من الحسابات)</t>
        </is>
      </c>
    </row>
    <row r="32">
      <c r="A32" s="3" t="n">
        <v>30</v>
      </c>
      <c r="B32" s="3" t="inlineStr">
        <is>
          <t>المصروفات</t>
        </is>
      </c>
      <c r="C32" s="3" t="inlineStr">
        <is>
          <t>كشف الخزنة فيه 53 مصروف بمبلغ صفر (يناير–فبراير 2026) ورواتب شهر 5-2026 (29,457) مسجلة في خانة البيان – ما المبالغ الصحيحة؟</t>
        </is>
      </c>
      <c r="D32" s="4" t="n">
        <v>29457</v>
      </c>
      <c r="E32" s="11" t="inlineStr"/>
    </row>
    <row r="33">
      <c r="A33" s="3" t="n">
        <v>31</v>
      </c>
      <c r="B33" s="3" t="inlineStr">
        <is>
          <t>المصروفات</t>
        </is>
      </c>
      <c r="C33" s="3" t="inlineStr">
        <is>
          <t>مصروفات الخزنة (1,442,387.24) متداخلة مع أوامر الشراء والعهد ومصروفات 2025 – هل يُعتمد كشف الخزنة مصدراً رئيسياً للمصروفات من 11-2025؟</t>
        </is>
      </c>
      <c r="D33" s="4" t="inlineStr">
        <is>
          <t>—</t>
        </is>
      </c>
      <c r="E33" s="11" t="inlineStr"/>
    </row>
    <row r="34">
      <c r="A34" s="3" t="n">
        <v>32</v>
      </c>
      <c r="B34" s="3" t="inlineStr">
        <is>
          <t>المصروفات</t>
        </is>
      </c>
      <c r="C34" s="3" t="inlineStr">
        <is>
          <t>كشف مصروفات التشغيل قبل الفترة: البندان 8 و 17 ناقصان، و3 فواتير كهرباء بدون تاريخ – هل توجد بنود ناقصة؟</t>
        </is>
      </c>
      <c r="D34" s="4" t="inlineStr">
        <is>
          <t>—</t>
        </is>
      </c>
      <c r="E34" s="11" t="inlineStr"/>
    </row>
    <row r="35">
      <c r="A35" s="3" t="n">
        <v>33</v>
      </c>
      <c r="B35" s="3" t="inlineStr">
        <is>
          <t>المصروفات</t>
        </is>
      </c>
      <c r="C35" s="3" t="inlineStr">
        <is>
          <t>مصروفات التشغيل 2-2024 إلى 12-2024 (412,040.67) صُرفت من الإيرادات – أي إيرادات؟ (المبيعات المسجلة تبدأ من 10-2024 فقط)</t>
        </is>
      </c>
      <c r="D35" s="4" t="n">
        <v>412040.67</v>
      </c>
      <c r="E35" s="11" t="inlineStr"/>
    </row>
    <row r="36">
      <c r="A36" s="3" t="n">
        <v>34</v>
      </c>
      <c r="B36" s="3" t="inlineStr">
        <is>
          <t>المصروفات</t>
        </is>
      </c>
      <c r="C36" s="3" t="inlineStr">
        <is>
          <t>مصروفات م/ عادل 413,236 إجماليات ربع سنوية – هل يوجد كشف تفصيلي بالمستندات؟</t>
        </is>
      </c>
      <c r="D36" s="4" t="n">
        <v>413236</v>
      </c>
      <c r="E36" s="11" t="inlineStr"/>
    </row>
    <row r="37">
      <c r="A37" s="3" t="n">
        <v>35</v>
      </c>
      <c r="B37" s="3" t="inlineStr">
        <is>
          <t>المصروفات</t>
        </is>
      </c>
      <c r="C37" s="3" t="inlineStr">
        <is>
          <t>التأسيس البند 23: دينة عماد 123,000 بتاريخ 1-11-2025 – هل هو تأسيس أم مصروف تشغيل 2025؟</t>
        </is>
      </c>
      <c r="D37" s="4" t="n">
        <v>123000</v>
      </c>
      <c r="E37" s="11" t="inlineStr"/>
    </row>
    <row r="38">
      <c r="A38" s="3" t="n">
        <v>36</v>
      </c>
      <c r="B38" s="3" t="inlineStr">
        <is>
          <t>المصروفات</t>
        </is>
      </c>
      <c r="C38" s="3" t="inlineStr">
        <is>
          <t>الإيجار: 300,000 لعامين من 9-1-2024 + 150,000 في 27-7-2026 – ما الفترة التي يغطيها كل منهما؟</t>
        </is>
      </c>
      <c r="D38" s="4" t="n">
        <v>150000</v>
      </c>
      <c r="E38" s="11" t="inlineStr"/>
    </row>
    <row r="39">
      <c r="A39" s="3" t="n">
        <v>37</v>
      </c>
      <c r="B39" s="3" t="inlineStr">
        <is>
          <t>المصروفات</t>
        </is>
      </c>
      <c r="C39" s="3" t="inlineStr">
        <is>
          <t>عهدة المصروفات الإدارية 2026 (174,142.15) بدون أي تسوية – هل توجد مستندات؟ وأرصدة العهد غير المسواة 1,543.91؟</t>
        </is>
      </c>
      <c r="D39" s="4" t="n">
        <v>174142.15</v>
      </c>
      <c r="E39" s="11" t="inlineStr"/>
    </row>
    <row r="40">
      <c r="A40" s="3" t="n">
        <v>38</v>
      </c>
      <c r="B40" s="3" t="inlineStr">
        <is>
          <t>الشركاء</t>
        </is>
      </c>
      <c r="C40" s="3" t="inlineStr">
        <is>
          <t>سدادات أبو خالد المسجلة بكشف الخزنة (763,323.81) تم احتسابها سداداً لمسحوباته – هل هذا صحيح؟</t>
        </is>
      </c>
      <c r="D40" s="4" t="n">
        <v>763323.8100000001</v>
      </c>
      <c r="E40" s="11" t="inlineStr"/>
    </row>
    <row r="41">
      <c r="A41" s="3" t="n">
        <v>39</v>
      </c>
      <c r="B41" s="3" t="inlineStr">
        <is>
          <t>الشركاء</t>
        </is>
      </c>
      <c r="C41" s="3" t="inlineStr">
        <is>
          <t>مبلغ 2,000 "تسديد لأبو خالد من المديونية" (18-5-2026) – يخص أبو خالد أم أبو مازن؟</t>
        </is>
      </c>
      <c r="D41" s="4" t="n">
        <v>2000</v>
      </c>
      <c r="E41" s="11" t="inlineStr"/>
    </row>
    <row r="42">
      <c r="A42" s="3" t="n">
        <v>40</v>
      </c>
      <c r="B42" s="3" t="inlineStr">
        <is>
          <t>الشركاء</t>
        </is>
      </c>
      <c r="C42" s="3" t="inlineStr">
        <is>
          <t>الضخ النقدي من أبو خالد 189,235 – ما تواريخه ومستنداته؟</t>
        </is>
      </c>
      <c r="D42" s="4" t="n">
        <v>189235</v>
      </c>
      <c r="E42" s="11" t="inlineStr"/>
    </row>
    <row r="43">
      <c r="A43" s="3" t="n">
        <v>41</v>
      </c>
      <c r="B43" s="3" t="inlineStr">
        <is>
          <t>الشركاء</t>
        </is>
      </c>
      <c r="C43" s="3" t="inlineStr">
        <is>
          <t>الإيداع في حساب أبو مازن 197,452 – ما تاريخه ومستنده؟</t>
        </is>
      </c>
      <c r="D43" s="4" t="n">
        <v>197452</v>
      </c>
      <c r="E43" s="11" t="inlineStr">
        <is>
          <t>✓ مؤكد: 197,452 و 13,000 لأبو مازن، و 100,000 لأبو خالد</t>
        </is>
      </c>
    </row>
    <row r="44">
      <c r="A44" s="3" t="n">
        <v>42</v>
      </c>
      <c r="B44" s="3" t="inlineStr">
        <is>
          <t>الخزنة</t>
        </is>
      </c>
      <c r="C44" s="3" t="inlineStr">
        <is>
          <t>صرف 11,000 و 1,500 لـ ENG.AHMED ABDELSABOUR (13-6 و 1-7-2026) بدون بيان – هل هي مسحوبات لأبو مازن/نسما؟</t>
        </is>
      </c>
      <c r="D44" s="4" t="n">
        <v>12500</v>
      </c>
      <c r="E44" s="11" t="inlineStr">
        <is>
          <t>الـ 11,000 = سداد جزئي PO-0777. الـ 1,500 لم يُوضح بعد</t>
        </is>
      </c>
    </row>
    <row r="45">
      <c r="A45" s="3" t="n">
        <v>43</v>
      </c>
      <c r="B45" s="3" t="inlineStr">
        <is>
          <t>الخزنة</t>
        </is>
      </c>
      <c r="C45" s="3" t="inlineStr">
        <is>
          <t>صرف 3,963.64 و 5,863.80 لـ RIYADH NURSERY و 2,588 و 4,200 لمحمد عبدالمجيد بدون بيان – ما هي؟</t>
        </is>
      </c>
      <c r="D45" s="4" t="n">
        <v>16615.44</v>
      </c>
      <c r="E45" s="11" t="inlineStr"/>
    </row>
    <row r="46">
      <c r="A46" s="3" t="n">
        <v>44</v>
      </c>
      <c r="B46" s="3" t="inlineStr">
        <is>
          <t>الخزنة</t>
        </is>
      </c>
      <c r="C46" s="3" t="inlineStr">
        <is>
          <t>الرصيد الافتتاحي لخزنة النظام الجديد 41,269 – هل يطابق رصيد الخزنة القديمة في 3-6-2026؟</t>
        </is>
      </c>
      <c r="D46" s="4" t="n">
        <v>41269</v>
      </c>
      <c r="E46" s="11" t="inlineStr">
        <is>
          <t>✓ مطابق: رصيد الخزنة القديمة 41,269.50 (فرق 0.50)</t>
        </is>
      </c>
    </row>
    <row r="47">
      <c r="A47" s="3" t="n">
        <v>45</v>
      </c>
      <c r="B47" s="3" t="inlineStr">
        <is>
          <t>الخزنة</t>
        </is>
      </c>
      <c r="C47" s="3" t="inlineStr">
        <is>
          <t>عملاء سددوا أكثر من مبيعات السيارات (مشتل سليمان 13,900 وغيره) – على أي مندوب تُخصم هذه السدادات من المديونيات القديمة؟</t>
        </is>
      </c>
      <c r="D47" s="4" t="n">
        <v>13900</v>
      </c>
      <c r="E47" s="11" t="inlineStr"/>
    </row>
    <row r="48">
      <c r="A48" s="3" t="n">
        <v>46</v>
      </c>
      <c r="B48" s="3" t="inlineStr">
        <is>
          <t>الشركاء</t>
        </is>
      </c>
      <c r="C48" s="3" t="inlineStr">
        <is>
          <t>هل هناك أرصدة افتتاحية أو اتفاق على نسب الشراكة في مزرعة الرياض لتوزيع الربح/الخسارة؟</t>
        </is>
      </c>
      <c r="D48" s="4" t="inlineStr">
        <is>
          <t>—</t>
        </is>
      </c>
      <c r="E48" s="11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1"/>
  <sheetViews>
    <sheetView rightToLeft="1" zoomScale="100"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56" customWidth="1" min="4" max="4"/>
  </cols>
  <sheetData>
    <row r="1">
      <c r="A1" s="1" t="inlineStr">
        <is>
          <t>ملخص حساب الشريكين مع مزرعة الرياض</t>
        </is>
      </c>
    </row>
    <row r="2">
      <c r="A2" t="inlineStr">
        <is>
          <t>أبو خالد = مؤسسة بساتين الرياض | أبو مازن = شركة نسما الشرق (مزرعة تبوك)</t>
        </is>
      </c>
    </row>
    <row r="3"/>
    <row r="4">
      <c r="A4" s="2" t="inlineStr">
        <is>
          <t>البند</t>
        </is>
      </c>
      <c r="B4" s="2" t="inlineStr">
        <is>
          <t>أبو خالد – بساتين الرياض</t>
        </is>
      </c>
      <c r="C4" s="2" t="inlineStr">
        <is>
          <t>أبو مازن – نسما الشرق</t>
        </is>
      </c>
      <c r="D4" s="2" t="inlineStr">
        <is>
          <t>ملاحظة</t>
        </is>
      </c>
    </row>
    <row r="5">
      <c r="A5" s="3" t="inlineStr">
        <is>
          <t>1) المسحوبات المباشرة</t>
        </is>
      </c>
      <c r="B5" s="4">
        <f>'حساب أبو خالد'!C8</f>
        <v/>
      </c>
      <c r="C5" s="4">
        <f>'حساب أبو مازن'!C9</f>
        <v/>
      </c>
      <c r="D5" s="3" t="n"/>
    </row>
    <row r="6">
      <c r="A6" s="3" t="inlineStr">
        <is>
          <t>2) المسحوبات النقدية</t>
        </is>
      </c>
      <c r="B6" s="4">
        <f>'حساب أبو خالد'!C14</f>
        <v/>
      </c>
      <c r="C6" s="4">
        <f>'حساب أبو مازن'!C16</f>
        <v/>
      </c>
      <c r="D6" s="3" t="n"/>
    </row>
    <row r="7">
      <c r="A7" s="5" t="inlineStr">
        <is>
          <t>إجمالي المسحوبات (عليه)</t>
        </is>
      </c>
      <c r="B7" s="6">
        <f>B5+B6</f>
        <v/>
      </c>
      <c r="C7" s="6">
        <f>C5+C6</f>
        <v/>
      </c>
      <c r="D7" s="5" t="n"/>
    </row>
    <row r="8">
      <c r="A8" s="3" t="inlineStr">
        <is>
          <t>3) سدادات لمسحوباته مسجلة بكشف الخزنة</t>
        </is>
      </c>
      <c r="B8" s="4">
        <f>'حساب أبو خالد'!C19</f>
        <v/>
      </c>
      <c r="C8" s="4" t="n">
        <v>0</v>
      </c>
      <c r="D8" s="3" t="inlineStr">
        <is>
          <t>توريدات وسدادات أبو خالد</t>
        </is>
      </c>
    </row>
    <row r="9">
      <c r="A9" s="3" t="inlineStr">
        <is>
          <t>4) الدعم المقدم للمزرعة</t>
        </is>
      </c>
      <c r="B9" s="4">
        <f>'حساب أبو خالد'!C26</f>
        <v/>
      </c>
      <c r="C9" s="4">
        <f>'حساب أبو مازن'!C26</f>
        <v/>
      </c>
      <c r="D9" s="3" t="n"/>
    </row>
    <row r="10">
      <c r="A10" s="5" t="inlineStr">
        <is>
          <t>إجمالي ما له (سدادات + دعم)</t>
        </is>
      </c>
      <c r="B10" s="6">
        <f>B8+B9</f>
        <v/>
      </c>
      <c r="C10" s="6">
        <f>C8+C9</f>
        <v/>
      </c>
      <c r="D10" s="5" t="n"/>
    </row>
    <row r="11">
      <c r="A11" s="5" t="inlineStr">
        <is>
          <t>الصافي (موجب = مديونية عليه للمزرعة / سالب = مستحق له)</t>
        </is>
      </c>
      <c r="B11" s="6">
        <f>B7-B10</f>
        <v/>
      </c>
      <c r="C11" s="6">
        <f>C7-C10</f>
        <v/>
      </c>
      <c r="D11" s="5" t="inlineStr">
        <is>
          <t>⚠ لم تُسعّر بعد مسحوبات تبوك قبل الفترة (102,875 حبة)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8"/>
  <sheetViews>
    <sheetView rightToLeft="1" zoomScale="10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7" customWidth="1" min="3" max="3"/>
    <col width="42" customWidth="1" min="4" max="4"/>
    <col width="70" customWidth="1" min="5" max="5"/>
  </cols>
  <sheetData>
    <row r="1">
      <c r="A1" s="1" t="inlineStr">
        <is>
          <t>حساب م/ عادل أبو خالد – مؤسسة بساتين الرياض مع مزرعة الرياض</t>
        </is>
      </c>
    </row>
    <row r="2"/>
    <row r="3">
      <c r="A3" s="7" t="inlineStr">
        <is>
          <t>أولاً: المسحوبات المباشرة (مديونية على أبو خالد)</t>
        </is>
      </c>
    </row>
    <row r="4">
      <c r="A4" s="8" t="inlineStr">
        <is>
          <t>م</t>
        </is>
      </c>
      <c r="B4" s="8" t="inlineStr">
        <is>
          <t>البند</t>
        </is>
      </c>
      <c r="C4" s="8" t="inlineStr">
        <is>
          <t>المبلغ</t>
        </is>
      </c>
      <c r="D4" s="8" t="inlineStr">
        <is>
          <t>المصدر</t>
        </is>
      </c>
      <c r="E4" s="8" t="inlineStr">
        <is>
          <t>ملاحظة</t>
        </is>
      </c>
    </row>
    <row r="5">
      <c r="A5" s="3" t="n">
        <v>1</v>
      </c>
      <c r="B5" s="3" t="inlineStr">
        <is>
          <t>عقد عرعر WHK-2364 – الكميات المصروفة من الرياض والمحوّلة من تبوك × 0.50</t>
        </is>
      </c>
      <c r="C5" s="4">
        <f>'مطابقة كميات عقد عرعر'!E11</f>
        <v/>
      </c>
      <c r="D5" s="3" t="inlineStr">
        <is>
          <t>صفحة مطابقة كميات عقد عرعر</t>
        </is>
      </c>
      <c r="E5" s="3" t="inlineStr">
        <is>
          <t>275,375 حبة × 0.50 (بدل قيمة العقد 440,000)</t>
        </is>
      </c>
    </row>
    <row r="6">
      <c r="A6" s="3" t="n">
        <v>2</v>
      </c>
      <c r="B6" s="3" t="inlineStr">
        <is>
          <t>مبيعات المندوب أبو خالد – باقي عقود WHK (46 عقد) من 30-7-2025 إلى 31-7-2026</t>
        </is>
      </c>
      <c r="C6" s="4">
        <f>'مبيعات أبو خالد'!E49-'مطابقة كميات عقد عرعر'!E11</f>
        <v/>
      </c>
      <c r="D6" s="3" t="inlineStr">
        <is>
          <t>ملف المبيعات – مبيعات أبو خالد</t>
        </is>
      </c>
      <c r="E6" s="3" t="inlineStr">
        <is>
          <t>تشمل بنود سند المسحوبات 24.2–3.6.2026 (لا تُحسب مرتين)</t>
        </is>
      </c>
    </row>
    <row r="7">
      <c r="A7" s="123" t="n">
        <v>3</v>
      </c>
      <c r="B7" s="123" t="inlineStr">
        <is>
          <t>فرق سعر زهور الجزيرة لعقد عرعر (ربح المزرعة): 392,450 × (0.55 − 0.50) − فلين 3,128</t>
        </is>
      </c>
      <c r="C7" s="131" t="n">
        <v>16494.5</v>
      </c>
      <c r="D7" s="123" t="inlineStr">
        <is>
          <t>كشف الخزنة – قيود 28-2-2026</t>
        </is>
      </c>
      <c r="E7" s="123" t="inlineStr">
        <is>
          <t>يُبقي رصيد أبو خالد بكشف الخزنة كما هو (160,988.56 له) بعد حذف عمليات الجزيرة</t>
        </is>
      </c>
    </row>
    <row r="8">
      <c r="A8" s="9" t="n"/>
      <c r="B8" s="9" t="inlineStr">
        <is>
          <t>الإجمالي</t>
        </is>
      </c>
      <c r="C8" s="10">
        <f>SUM(C5:C7)</f>
        <v/>
      </c>
      <c r="D8" s="9" t="n"/>
      <c r="E8" s="9" t="n"/>
    </row>
    <row r="9"/>
    <row r="10">
      <c r="A10" s="7" t="inlineStr">
        <is>
          <t>ثانياً: المسحوبات النقدية من خزنة المزرعة (مديونية على أبو خالد)</t>
        </is>
      </c>
    </row>
    <row r="11">
      <c r="A11" s="8" t="inlineStr">
        <is>
          <t>م</t>
        </is>
      </c>
      <c r="B11" s="8" t="inlineStr">
        <is>
          <t>البند</t>
        </is>
      </c>
      <c r="C11" s="8" t="inlineStr">
        <is>
          <t>المبلغ</t>
        </is>
      </c>
      <c r="D11" s="8" t="inlineStr">
        <is>
          <t>المصدر</t>
        </is>
      </c>
      <c r="E11" s="8" t="inlineStr">
        <is>
          <t>ملاحظة</t>
        </is>
      </c>
    </row>
    <row r="12">
      <c r="A12" s="3" t="n">
        <v>1</v>
      </c>
      <c r="B12" s="3" t="inlineStr">
        <is>
          <t>مبلغ مسدد نقداً لأبو خالد من مديونيته (18-5-2026)</t>
        </is>
      </c>
      <c r="C12" s="4" t="n">
        <v>2000</v>
      </c>
      <c r="D12" s="3" t="inlineStr">
        <is>
          <t>كشف الخزنة – مستند 156</t>
        </is>
      </c>
      <c r="E12" s="3" t="inlineStr">
        <is>
          <t>مسجل بالكشف كفاتورة على حسابه (بمثابة مرتجع نقدي للعميل) لتخفيض رصيده الدائن</t>
        </is>
      </c>
    </row>
    <row r="13">
      <c r="A13" s="123" t="n">
        <v>2</v>
      </c>
      <c r="B13" s="123" t="inlineStr">
        <is>
          <t>منصرف لأبو خالد بتعليمات أبو مازن (9-3-2026)</t>
        </is>
      </c>
      <c r="C13" s="131" t="n">
        <v>100000</v>
      </c>
      <c r="D13" s="123" t="inlineStr">
        <is>
          <t>كشف الخزنة – مصروف 131</t>
        </is>
      </c>
      <c r="E13" s="123" t="inlineStr">
        <is>
          <t>✓ مؤكد أن أبو خالد استلمه</t>
        </is>
      </c>
    </row>
    <row r="14">
      <c r="A14" s="9" t="n"/>
      <c r="B14" s="9" t="inlineStr">
        <is>
          <t>الإجمالي</t>
        </is>
      </c>
      <c r="C14" s="10">
        <f>SUM(C12:C13)</f>
        <v/>
      </c>
      <c r="D14" s="9" t="n"/>
      <c r="E14" s="9" t="n"/>
    </row>
    <row r="15"/>
    <row r="16">
      <c r="A16" s="7" t="inlineStr">
        <is>
          <t>ثالثاً: سدادات أبو خالد لمسحوباته (مسجلة لحسابه في كشف الخزنة)</t>
        </is>
      </c>
    </row>
    <row r="17">
      <c r="A17" s="8" t="inlineStr">
        <is>
          <t>م</t>
        </is>
      </c>
      <c r="B17" s="8" t="inlineStr">
        <is>
          <t>البند</t>
        </is>
      </c>
      <c r="C17" s="8" t="inlineStr">
        <is>
          <t>المبلغ</t>
        </is>
      </c>
      <c r="D17" s="8" t="inlineStr">
        <is>
          <t>المصدر</t>
        </is>
      </c>
      <c r="E17" s="8" t="inlineStr">
        <is>
          <t>ملاحظة</t>
        </is>
      </c>
    </row>
    <row r="18">
      <c r="A18" s="3" t="n">
        <v>1</v>
      </c>
      <c r="B18" s="3" t="inlineStr">
        <is>
          <t>توريدات نقدية وسدادات مسجلة لحسابه بكشف الخزنة (بعد حذف إيداعات الجزيرة)</t>
        </is>
      </c>
      <c r="C18" s="4">
        <f>763323.81-196225-3128</f>
        <v/>
      </c>
      <c r="D18" s="3" t="inlineStr">
        <is>
          <t>كشف الحساب – عميل 5000</t>
        </is>
      </c>
      <c r="E18" s="3" t="inlineStr">
        <is>
          <t>الأصل 763,323.81 − زهور الجزيرة 196,225 − فلين مستعمل من الجزيرة 3,128 (خاصة بعقد بساتين الرياض – محذوفة)</t>
        </is>
      </c>
    </row>
    <row r="19">
      <c r="A19" s="9" t="n"/>
      <c r="B19" s="9" t="inlineStr">
        <is>
          <t>الإجمالي</t>
        </is>
      </c>
      <c r="C19" s="10">
        <f>SUM(C18:C18)</f>
        <v/>
      </c>
      <c r="D19" s="9" t="n"/>
      <c r="E19" s="9" t="n"/>
    </row>
    <row r="20"/>
    <row r="21">
      <c r="A21" s="7" t="inlineStr">
        <is>
          <t>رابعاً: دعم أبو خالد لمزرعة الرياض (حق له)</t>
        </is>
      </c>
    </row>
    <row r="22">
      <c r="A22" s="8" t="inlineStr">
        <is>
          <t>م</t>
        </is>
      </c>
      <c r="B22" s="8" t="inlineStr">
        <is>
          <t>البند</t>
        </is>
      </c>
      <c r="C22" s="8" t="inlineStr">
        <is>
          <t>المبلغ</t>
        </is>
      </c>
      <c r="D22" s="8" t="inlineStr">
        <is>
          <t>المصدر</t>
        </is>
      </c>
      <c r="E22" s="8" t="inlineStr">
        <is>
          <t>ملاحظة</t>
        </is>
      </c>
    </row>
    <row r="23">
      <c r="A23" s="3" t="n">
        <v>1</v>
      </c>
      <c r="B23" s="3" t="inlineStr">
        <is>
          <t>مساهمة أبو خالد في مصروفات التأسيس</t>
        </is>
      </c>
      <c r="C23" s="4" t="n">
        <v>189235</v>
      </c>
      <c r="D23" s="3" t="inlineStr">
        <is>
          <t>بيان صاحب الحساب</t>
        </is>
      </c>
      <c r="E23" s="3" t="inlineStr">
        <is>
          <t>مساهمة أبو خالد في التأسيس – تُضاف لمصروفات التأسيس (الإجمالي 1,278,970.80)</t>
        </is>
      </c>
    </row>
    <row r="24">
      <c r="A24" s="3" t="n">
        <v>2</v>
      </c>
      <c r="B24" s="3" t="inlineStr">
        <is>
          <t>أوامر شراء بساتين الرياض غير مسددة – PO-1023</t>
        </is>
      </c>
      <c r="C24" s="4" t="n">
        <v>33950</v>
      </c>
      <c r="D24" s="3" t="inlineStr">
        <is>
          <t>ملف أوامر الشراء 2026</t>
        </is>
      </c>
      <c r="E24" s="3" t="n"/>
    </row>
    <row r="25">
      <c r="A25" s="3" t="n">
        <v>3</v>
      </c>
      <c r="B25" s="3" t="inlineStr">
        <is>
          <t>أوامر شراء بساتين الرياض – PO-0777 (المتبقي بعد سداد 11,000)</t>
        </is>
      </c>
      <c r="C25" s="4" t="n">
        <v>55420</v>
      </c>
      <c r="D25" s="3" t="inlineStr">
        <is>
          <t>ملف أوامر الشراء 2026</t>
        </is>
      </c>
      <c r="E25" s="3" t="inlineStr">
        <is>
          <t>قيمة الأمر 66,420 − مسدد 11,000 (سند الخزنة DIS-Riyadh-0012 بتاريخ 1-7-2026) = 55,420</t>
        </is>
      </c>
    </row>
    <row r="26" ht="32" customHeight="1">
      <c r="A26" s="9" t="n"/>
      <c r="B26" s="9" t="inlineStr">
        <is>
          <t>الإجمالي</t>
        </is>
      </c>
      <c r="C26" s="10">
        <f>SUM(C23:C25)</f>
        <v/>
      </c>
      <c r="D26" s="9" t="n"/>
      <c r="E26" s="9" t="n"/>
    </row>
    <row r="27"/>
    <row r="28">
      <c r="B28" s="13" t="inlineStr">
        <is>
          <t>ملاحظة: أوامر بساتين المسددة (PO-288 و PO-287-REV1 = 147,745.75 سُددت كتسوية على حسابه، و PO-146 و PO-255 و PO-0707 مدفوعة) لم تُحتسب كدعم لأنها سُددت.</t>
        </is>
      </c>
    </row>
  </sheetData>
  <mergeCells count="6">
    <mergeCell ref="A21:E21"/>
    <mergeCell ref="A16:E16"/>
    <mergeCell ref="A10:E10"/>
    <mergeCell ref="A1:E1"/>
    <mergeCell ref="B28:E28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F4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8" customWidth="1" min="4" max="4"/>
    <col width="16" customWidth="1" min="5" max="5"/>
    <col width="60" customWidth="1" min="6" max="6"/>
  </cols>
  <sheetData>
    <row r="1">
      <c r="A1" s="1" t="inlineStr">
        <is>
          <t>مطابقة مسحوبات أبو خالد: قائمة العقود (ملف المبيعات) مقابل كشف حساب الخزنة (عميل 5000)</t>
        </is>
      </c>
    </row>
    <row r="2"/>
    <row r="3">
      <c r="A3" s="7" t="inlineStr">
        <is>
          <t>أولاً: المقارنة الإجمالية</t>
        </is>
      </c>
    </row>
    <row r="4">
      <c r="A4" s="86" t="inlineStr">
        <is>
          <t>م</t>
        </is>
      </c>
      <c r="B4" s="86" t="inlineStr">
        <is>
          <t>البند</t>
        </is>
      </c>
      <c r="C4" s="86" t="inlineStr">
        <is>
          <t>حسب قائمة العقود</t>
        </is>
      </c>
      <c r="D4" s="86" t="inlineStr">
        <is>
          <t>حسب كشف الخزنة</t>
        </is>
      </c>
      <c r="E4" s="86" t="inlineStr">
        <is>
          <t>الفرق</t>
        </is>
      </c>
      <c r="F4" s="86" t="inlineStr">
        <is>
          <t>التفسير</t>
        </is>
      </c>
    </row>
    <row r="5">
      <c r="A5" s="11" t="n">
        <v>1</v>
      </c>
      <c r="B5" s="11" t="inlineStr">
        <is>
          <t>عقد عرعر WHK-2364</t>
        </is>
      </c>
      <c r="C5" s="12" t="n">
        <v>440000</v>
      </c>
      <c r="D5" s="12" t="n">
        <v>367803.75</v>
      </c>
      <c r="E5" s="12">
        <f>C5-D5</f>
        <v/>
      </c>
      <c r="F5" s="11" t="inlineStr">
        <is>
          <t>الكشف سجّل المسلّم فقط (5 فواتير + زهور الجزيرة 215,847.50 + زهور تبوك 38,293.75). قائمة العقود بقيمة العقد كاملة (حسب قرارك السابق)</t>
        </is>
      </c>
    </row>
    <row r="6">
      <c r="A6" s="11" t="n">
        <v>2</v>
      </c>
      <c r="B6" s="11" t="inlineStr">
        <is>
          <t>عقود ما قبل 1-11-2025 (19 عقد من WHK-1909 إلى WHK-2656)</t>
        </is>
      </c>
      <c r="C6" s="12" t="n">
        <v>151988.75</v>
      </c>
      <c r="D6" s="12" t="n">
        <v>62937</v>
      </c>
      <c r="E6" s="12">
        <f>C6-D6</f>
        <v/>
      </c>
      <c r="F6" s="11" t="inlineStr">
        <is>
          <t>الكشف سجّلها كقيد واحد "تصفية مديونية أبو خالد حتى 31-10" بقيمة 62,937 بتاريخ 17-12-2025 بدل قيمها الفعلية</t>
        </is>
      </c>
    </row>
    <row r="7">
      <c r="A7" s="3" t="n">
        <v>3</v>
      </c>
      <c r="B7" s="3" t="inlineStr">
        <is>
          <t>باقي العقود من 1-11-2025 إلى 31-7-2026 (27 عقد)</t>
        </is>
      </c>
      <c r="C7" s="4" t="n">
        <v>169594.5</v>
      </c>
      <c r="D7" s="4" t="n">
        <v>169594.5</v>
      </c>
      <c r="E7" s="4">
        <f>C7-D7</f>
        <v/>
      </c>
      <c r="F7" s="3" t="inlineStr">
        <is>
          <t>مطابق تماماً عقداً بعقد</t>
        </is>
      </c>
    </row>
    <row r="8">
      <c r="A8" s="5" t="inlineStr"/>
      <c r="B8" s="5" t="inlineStr">
        <is>
          <t>إجمالي المسحوبات</t>
        </is>
      </c>
      <c r="C8" s="6">
        <f>SUM(C5:C7)</f>
        <v/>
      </c>
      <c r="D8" s="6">
        <f>SUM(D5:D7)</f>
        <v/>
      </c>
      <c r="E8" s="6">
        <f>SUM(E5:E7)</f>
        <v/>
      </c>
      <c r="F8" s="5" t="inlineStr"/>
    </row>
    <row r="9"/>
    <row r="10">
      <c r="A10" s="7" t="inlineStr">
        <is>
          <t>ثانياً: ماذا يعني "سداد أبو خالد لمسحوباته"</t>
        </is>
      </c>
    </row>
    <row r="11" ht="80" customHeight="1">
      <c r="B11" s="65" t="inlineStr">
        <is>
          <t>كشف الخزنة فيه لحساب أبو خالد (عميل 5000) جانبان: مدين = الفواتير/المسحوبات 600,335.25 + صرف 2,000، ودائن = "Cash Payment" 763,323.81 وهي كل المبالغ التي وردها أبو خالد نقداً للخزنة أو دفعها عن المزرعة لموردين (زهور الجزيرة 196,225 – بذور بساتين قديم 147,745.75 – بيتموس 53,475 – جهنمية 37,550 – مراكن 20,000 ...). هذه المبالغ الدائنة هي "السداد" لأنها تُخفض رصيده. رصيد الكشف = 600,335.25 + 2,000 − 763,323.81 = −160,988.56 أي دائن لصالح أبو خالد.</t>
        </is>
      </c>
    </row>
    <row r="12"/>
    <row r="13">
      <c r="A13" s="7" t="inlineStr">
        <is>
          <t>ثالثاً: الخيارات – اختر أحدها</t>
        </is>
      </c>
    </row>
    <row r="14">
      <c r="A14" s="86" t="inlineStr">
        <is>
          <t>م</t>
        </is>
      </c>
      <c r="B14" s="86" t="inlineStr">
        <is>
          <t>الخيار</t>
        </is>
      </c>
      <c r="C14" s="86" t="inlineStr">
        <is>
          <t>المسحوبات</t>
        </is>
      </c>
      <c r="D14" s="86" t="inlineStr">
        <is>
          <t>السدادات</t>
        </is>
      </c>
      <c r="E14" s="86" t="inlineStr">
        <is>
          <t>الرصيد</t>
        </is>
      </c>
      <c r="F14" s="86" t="inlineStr">
        <is>
          <t>الشرح</t>
        </is>
      </c>
    </row>
    <row r="15">
      <c r="A15" s="3" t="n">
        <v>1</v>
      </c>
      <c r="B15" s="3" t="inlineStr">
        <is>
          <t>اعتماد كشف الخزنة كما هو</t>
        </is>
      </c>
      <c r="C15" s="4" t="n">
        <v>602335.25</v>
      </c>
      <c r="D15" s="4" t="n">
        <v>763323.8100000001</v>
      </c>
      <c r="E15" s="4">
        <f>C15-D15</f>
        <v/>
      </c>
      <c r="F15" s="3" t="inlineStr">
        <is>
          <t>عرعر بالمسلّم + قيد التصفية 62,937 لما قبل نوفمبر</t>
        </is>
      </c>
    </row>
    <row r="16">
      <c r="A16" s="11" t="n">
        <v>2</v>
      </c>
      <c r="B16" s="11" t="inlineStr">
        <is>
          <t>قائمة العقود كاملة (المعتمد حالياً بالملف)</t>
        </is>
      </c>
      <c r="C16" s="12" t="n">
        <v>763583.25</v>
      </c>
      <c r="D16" s="12" t="n">
        <v>763323.8100000001</v>
      </c>
      <c r="E16" s="12">
        <f>C16-D16</f>
        <v/>
      </c>
      <c r="F16" s="11" t="inlineStr">
        <is>
          <t>عرعر 440,000 + عقود ما قبل نوفمبر بقيمها الفعلية 151,988.75</t>
        </is>
      </c>
    </row>
    <row r="17">
      <c r="A17" s="3" t="n">
        <v>3</v>
      </c>
      <c r="B17" s="3" t="inlineStr">
        <is>
          <t>الكشف مع عرعر بالقيمة الكاملة</t>
        </is>
      </c>
      <c r="C17" s="4" t="n">
        <v>674531.5</v>
      </c>
      <c r="D17" s="4" t="n">
        <v>763323.8100000001</v>
      </c>
      <c r="E17" s="4">
        <f>C17-D17</f>
        <v/>
      </c>
      <c r="F17" s="3" t="inlineStr">
        <is>
          <t>يُعتمد قيد التصفية 62,937 لما قبل نوفمبر</t>
        </is>
      </c>
    </row>
    <row r="18">
      <c r="A18" s="3" t="n">
        <v>4</v>
      </c>
      <c r="B18" s="3" t="inlineStr">
        <is>
          <t>الكشف مع عقود ما قبل نوفمبر بقيمها الفعلية</t>
        </is>
      </c>
      <c r="C18" s="4" t="n">
        <v>691387</v>
      </c>
      <c r="D18" s="4" t="n">
        <v>763323.8100000001</v>
      </c>
      <c r="E18" s="4">
        <f>C18-D18</f>
        <v/>
      </c>
      <c r="F18" s="3" t="inlineStr">
        <is>
          <t>عرعر بالمسلّم فقط</t>
        </is>
      </c>
    </row>
    <row r="19">
      <c r="B19" s="13" t="inlineStr">
        <is>
          <t>ملاحظة: الرصيد الموجب = مديونية على أبو خالد، السالب = مستحق له. (يُضاف لاحقاً دعمه 189,235 + أوامر بساتين غير المسددة ويُطرح منه ما يخص أبو مازن)</t>
        </is>
      </c>
    </row>
    <row r="20"/>
    <row r="21">
      <c r="A21" s="7" t="inlineStr">
        <is>
          <t>رابعاً: تفصيل عقود ما قبل 1-11-2025 غير الظاهرة بالكشف</t>
        </is>
      </c>
    </row>
    <row r="22">
      <c r="A22" s="86" t="inlineStr">
        <is>
          <t>م</t>
        </is>
      </c>
      <c r="B22" s="86" t="inlineStr">
        <is>
          <t>العقد</t>
        </is>
      </c>
      <c r="C22" s="86" t="inlineStr">
        <is>
          <t>التاريخ</t>
        </is>
      </c>
      <c r="D22" s="86" t="inlineStr">
        <is>
          <t>القيمة</t>
        </is>
      </c>
      <c r="E22" s="86" t="inlineStr"/>
      <c r="F22" s="86" t="inlineStr"/>
    </row>
    <row r="23">
      <c r="A23" s="3" t="n">
        <v>1</v>
      </c>
      <c r="B23" s="3" t="inlineStr">
        <is>
          <t>WHK-1909</t>
        </is>
      </c>
      <c r="C23" s="107" t="n">
        <v>45868</v>
      </c>
      <c r="D23" s="4" t="n">
        <v>11570</v>
      </c>
      <c r="E23" s="4" t="n"/>
      <c r="F23" s="3" t="n"/>
    </row>
    <row r="24">
      <c r="A24" s="3" t="n">
        <v>2</v>
      </c>
      <c r="B24" s="3" t="inlineStr">
        <is>
          <t>WHK-2148</t>
        </is>
      </c>
      <c r="C24" s="107" t="n">
        <v>45909</v>
      </c>
      <c r="D24" s="4" t="n">
        <v>3320</v>
      </c>
      <c r="E24" s="4" t="n"/>
      <c r="F24" s="3" t="n"/>
    </row>
    <row r="25">
      <c r="A25" s="3" t="n">
        <v>3</v>
      </c>
      <c r="B25" s="3" t="inlineStr">
        <is>
          <t>WHK-2271</t>
        </is>
      </c>
      <c r="C25" s="107" t="n">
        <v>45923</v>
      </c>
      <c r="D25" s="4" t="n">
        <v>2400</v>
      </c>
      <c r="E25" s="4" t="n"/>
      <c r="F25" s="3" t="n"/>
    </row>
    <row r="26">
      <c r="A26" s="3" t="n">
        <v>4</v>
      </c>
      <c r="B26" s="3" t="inlineStr">
        <is>
          <t>WHK-2283</t>
        </is>
      </c>
      <c r="C26" s="107" t="n">
        <v>45924</v>
      </c>
      <c r="D26" s="4" t="n">
        <v>2800</v>
      </c>
      <c r="E26" s="4" t="n"/>
      <c r="F26" s="3" t="n"/>
    </row>
    <row r="27">
      <c r="A27" s="3" t="n">
        <v>5</v>
      </c>
      <c r="B27" s="3" t="inlineStr">
        <is>
          <t>WHK-2328</t>
        </is>
      </c>
      <c r="C27" s="107" t="n">
        <v>45929</v>
      </c>
      <c r="D27" s="4" t="n">
        <v>4550</v>
      </c>
      <c r="E27" s="4" t="n"/>
      <c r="F27" s="3" t="n"/>
    </row>
    <row r="28">
      <c r="A28" s="3" t="n">
        <v>6</v>
      </c>
      <c r="B28" s="3" t="inlineStr">
        <is>
          <t>WHK-2411</t>
        </is>
      </c>
      <c r="C28" s="107" t="n">
        <v>45938</v>
      </c>
      <c r="D28" s="4" t="n">
        <v>4200</v>
      </c>
      <c r="E28" s="4" t="n"/>
      <c r="F28" s="3" t="n"/>
    </row>
    <row r="29">
      <c r="A29" s="3" t="n">
        <v>7</v>
      </c>
      <c r="B29" s="3" t="inlineStr">
        <is>
          <t>WHK-2425</t>
        </is>
      </c>
      <c r="C29" s="107" t="n">
        <v>45939</v>
      </c>
      <c r="D29" s="4" t="n">
        <v>11000</v>
      </c>
      <c r="E29" s="4" t="n"/>
      <c r="F29" s="3" t="n"/>
    </row>
    <row r="30">
      <c r="A30" s="3" t="n">
        <v>8</v>
      </c>
      <c r="B30" s="3" t="inlineStr">
        <is>
          <t>WHK-2434</t>
        </is>
      </c>
      <c r="C30" s="107" t="n">
        <v>45941</v>
      </c>
      <c r="D30" s="4" t="n">
        <v>70250</v>
      </c>
      <c r="E30" s="4" t="n"/>
      <c r="F30" s="3" t="n"/>
    </row>
    <row r="31">
      <c r="A31" s="3" t="n">
        <v>9</v>
      </c>
      <c r="B31" s="3" t="inlineStr">
        <is>
          <t>WHK-2465</t>
        </is>
      </c>
      <c r="C31" s="107" t="n">
        <v>45943</v>
      </c>
      <c r="D31" s="4" t="n">
        <v>1750</v>
      </c>
      <c r="E31" s="4" t="n"/>
      <c r="F31" s="3" t="n"/>
    </row>
    <row r="32">
      <c r="A32" s="3" t="n">
        <v>10</v>
      </c>
      <c r="B32" s="3" t="inlineStr">
        <is>
          <t>WHK-2480</t>
        </is>
      </c>
      <c r="C32" s="107" t="n">
        <v>45944</v>
      </c>
      <c r="D32" s="4" t="n">
        <v>412.5</v>
      </c>
      <c r="E32" s="4" t="n"/>
      <c r="F32" s="3" t="n"/>
    </row>
    <row r="33">
      <c r="A33" s="3" t="n">
        <v>11</v>
      </c>
      <c r="B33" s="3" t="inlineStr">
        <is>
          <t>WHK-2498</t>
        </is>
      </c>
      <c r="C33" s="107" t="n">
        <v>45945</v>
      </c>
      <c r="D33" s="4" t="n">
        <v>17055</v>
      </c>
      <c r="E33" s="4" t="n"/>
      <c r="F33" s="3" t="n"/>
    </row>
    <row r="34">
      <c r="A34" s="3" t="n">
        <v>12</v>
      </c>
      <c r="B34" s="3" t="inlineStr">
        <is>
          <t>WHK-2509</t>
        </is>
      </c>
      <c r="C34" s="107" t="n">
        <v>45946</v>
      </c>
      <c r="D34" s="4" t="n">
        <v>3150</v>
      </c>
      <c r="E34" s="4" t="n"/>
      <c r="F34" s="3" t="n"/>
    </row>
    <row r="35">
      <c r="A35" s="3" t="n">
        <v>13</v>
      </c>
      <c r="B35" s="3" t="inlineStr">
        <is>
          <t>WHK-2515</t>
        </is>
      </c>
      <c r="C35" s="107" t="n">
        <v>45948</v>
      </c>
      <c r="D35" s="4" t="n">
        <v>6975</v>
      </c>
      <c r="E35" s="4" t="n"/>
      <c r="F35" s="3" t="n"/>
    </row>
    <row r="36">
      <c r="A36" s="3" t="n">
        <v>14</v>
      </c>
      <c r="B36" s="3" t="inlineStr">
        <is>
          <t>WHK-2563</t>
        </is>
      </c>
      <c r="C36" s="107" t="n">
        <v>45951</v>
      </c>
      <c r="D36" s="4" t="n">
        <v>2925</v>
      </c>
      <c r="E36" s="4" t="n"/>
      <c r="F36" s="3" t="n"/>
    </row>
    <row r="37">
      <c r="A37" s="3" t="n">
        <v>15</v>
      </c>
      <c r="B37" s="3" t="inlineStr">
        <is>
          <t>WHK-2583</t>
        </is>
      </c>
      <c r="C37" s="107" t="n">
        <v>45952</v>
      </c>
      <c r="D37" s="4" t="n">
        <v>4125</v>
      </c>
      <c r="E37" s="4" t="n"/>
      <c r="F37" s="3" t="n"/>
    </row>
    <row r="38">
      <c r="A38" s="3" t="n">
        <v>16</v>
      </c>
      <c r="B38" s="3" t="inlineStr">
        <is>
          <t>WHK-2605</t>
        </is>
      </c>
      <c r="C38" s="107" t="n">
        <v>45953</v>
      </c>
      <c r="D38" s="4" t="n">
        <v>1331.25</v>
      </c>
      <c r="E38" s="4" t="n"/>
      <c r="F38" s="3" t="n"/>
    </row>
    <row r="39">
      <c r="A39" s="3" t="n">
        <v>17</v>
      </c>
      <c r="B39" s="3" t="inlineStr">
        <is>
          <t>WHK-2626</t>
        </is>
      </c>
      <c r="C39" s="107" t="n">
        <v>45955</v>
      </c>
      <c r="D39" s="4" t="n">
        <v>2150</v>
      </c>
      <c r="E39" s="4" t="n"/>
      <c r="F39" s="3" t="n"/>
    </row>
    <row r="40">
      <c r="A40" s="3" t="n">
        <v>18</v>
      </c>
      <c r="B40" s="3" t="inlineStr">
        <is>
          <t>WHK-2639</t>
        </is>
      </c>
      <c r="C40" s="107" t="n">
        <v>45956</v>
      </c>
      <c r="D40" s="4" t="n">
        <v>1125</v>
      </c>
      <c r="E40" s="4" t="n"/>
      <c r="F40" s="3" t="n"/>
    </row>
    <row r="41">
      <c r="A41" s="3" t="n">
        <v>19</v>
      </c>
      <c r="B41" s="3" t="inlineStr">
        <is>
          <t>WHK-2656</t>
        </is>
      </c>
      <c r="C41" s="107" t="n">
        <v>45957</v>
      </c>
      <c r="D41" s="4" t="n">
        <v>900</v>
      </c>
      <c r="E41" s="4" t="n"/>
      <c r="F41" s="3" t="n"/>
    </row>
    <row r="42">
      <c r="A42" s="5" t="inlineStr"/>
      <c r="B42" s="5" t="inlineStr">
        <is>
          <t>الإجمالي</t>
        </is>
      </c>
      <c r="C42" s="6" t="inlineStr"/>
      <c r="D42" s="6">
        <f>SUM(D23:D41)</f>
        <v/>
      </c>
      <c r="E42" s="6" t="n"/>
      <c r="F42" s="5" t="n"/>
    </row>
    <row r="43">
      <c r="A43" s="3" t="inlineStr"/>
      <c r="B43" s="3" t="inlineStr">
        <is>
          <t>بالكشف: قيد تصفية مديونية أبو خالد حتى 31-10 (17-12-2025)</t>
        </is>
      </c>
      <c r="C43" s="4" t="inlineStr"/>
      <c r="D43" s="4" t="n">
        <v>62937</v>
      </c>
      <c r="E43" s="4" t="n"/>
      <c r="F43" s="3" t="n"/>
    </row>
  </sheetData>
  <mergeCells count="7">
    <mergeCell ref="A10:F10"/>
    <mergeCell ref="A13:F13"/>
    <mergeCell ref="A1:F1"/>
    <mergeCell ref="B11:F11"/>
    <mergeCell ref="B19:F19"/>
    <mergeCell ref="A3:F3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G1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0" customWidth="1" min="4" max="4"/>
    <col width="16" customWidth="1" min="5" max="5"/>
    <col width="34" customWidth="1" min="6" max="6"/>
    <col width="55" customWidth="1" min="7" max="7"/>
  </cols>
  <sheetData>
    <row r="1">
      <c r="A1" s="1" t="inlineStr">
        <is>
          <t>عقد عرعر WHK-2364 – مسحوبات أبو خالد (الكميات المصروفة من الرياض + المحوّلة من تبوك) بسعر 0.50</t>
        </is>
      </c>
    </row>
    <row r="2"/>
    <row r="3">
      <c r="A3" s="15" t="inlineStr">
        <is>
          <t>م</t>
        </is>
      </c>
      <c r="B3" s="15" t="inlineStr">
        <is>
          <t>المصدر</t>
        </is>
      </c>
      <c r="C3" s="15" t="inlineStr">
        <is>
          <t>الكمية (حبة)</t>
        </is>
      </c>
      <c r="D3" s="15" t="inlineStr">
        <is>
          <t>السعر</t>
        </is>
      </c>
      <c r="E3" s="15" t="inlineStr">
        <is>
          <t>القيمة</t>
        </is>
      </c>
      <c r="F3" s="15" t="inlineStr">
        <is>
          <t>المستند</t>
        </is>
      </c>
      <c r="G3" s="15" t="inlineStr">
        <is>
          <t>ملاحظة</t>
        </is>
      </c>
    </row>
    <row r="4">
      <c r="A4" s="3" t="n">
        <v>1</v>
      </c>
      <c r="B4" s="3" t="inlineStr">
        <is>
          <t>صرف من مزرعة الرياض – بيتونيا (8-11-2025)</t>
        </is>
      </c>
      <c r="C4" s="85" t="n">
        <v>40000</v>
      </c>
      <c r="D4" s="3" t="n">
        <v>0.5</v>
      </c>
      <c r="E4" s="4">
        <f>C4*D4</f>
        <v/>
      </c>
      <c r="F4" s="3" t="inlineStr">
        <is>
          <t>RN-INV#40</t>
        </is>
      </c>
      <c r="G4" s="3" t="inlineStr"/>
    </row>
    <row r="5">
      <c r="A5" s="3" t="n">
        <v>2</v>
      </c>
      <c r="B5" s="3" t="inlineStr">
        <is>
          <t>صرف من مزرعة الرياض – بيتونيا (11-11-2025)</t>
        </is>
      </c>
      <c r="C5" s="85" t="n">
        <v>41250</v>
      </c>
      <c r="D5" s="3" t="n">
        <v>0.5</v>
      </c>
      <c r="E5" s="4">
        <f>C5*D5</f>
        <v/>
      </c>
      <c r="F5" s="3" t="inlineStr">
        <is>
          <t>RN-INV#45</t>
        </is>
      </c>
      <c r="G5" s="3" t="inlineStr"/>
    </row>
    <row r="6">
      <c r="A6" s="3" t="n">
        <v>3</v>
      </c>
      <c r="B6" s="3" t="inlineStr">
        <is>
          <t>صرف من مزرعة الرياض – بيتونيا (20-11-2025)</t>
        </is>
      </c>
      <c r="C6" s="85" t="n">
        <v>42000</v>
      </c>
      <c r="D6" s="3" t="n">
        <v>0.5</v>
      </c>
      <c r="E6" s="4">
        <f>C6*D6</f>
        <v/>
      </c>
      <c r="F6" s="3" t="inlineStr">
        <is>
          <t>RN-INV#54</t>
        </is>
      </c>
      <c r="G6" s="3" t="inlineStr"/>
    </row>
    <row r="7">
      <c r="A7" s="3" t="n">
        <v>4</v>
      </c>
      <c r="B7" s="3" t="inlineStr">
        <is>
          <t>صرف من مزرعة الرياض – بيتونيا (11-12-2025)</t>
        </is>
      </c>
      <c r="C7" s="85" t="n">
        <v>42500</v>
      </c>
      <c r="D7" s="3" t="n">
        <v>0.5</v>
      </c>
      <c r="E7" s="4">
        <f>C7*D7</f>
        <v/>
      </c>
      <c r="F7" s="3" t="inlineStr">
        <is>
          <t>RN-INV#84</t>
        </is>
      </c>
      <c r="G7" s="3" t="inlineStr"/>
    </row>
    <row r="8">
      <c r="A8" s="3" t="n">
        <v>5</v>
      </c>
      <c r="B8" s="3" t="inlineStr">
        <is>
          <t>صرف من مزرعة الرياض – بيتونيا (28-12-2025)</t>
        </is>
      </c>
      <c r="C8" s="85" t="n">
        <v>30000</v>
      </c>
      <c r="D8" s="3" t="n">
        <v>0.5</v>
      </c>
      <c r="E8" s="4">
        <f>C8*D8</f>
        <v/>
      </c>
      <c r="F8" s="3" t="inlineStr">
        <is>
          <t>RN-INV#100</t>
        </is>
      </c>
      <c r="G8" s="3" t="inlineStr"/>
    </row>
    <row r="9">
      <c r="A9" s="3" t="n">
        <v>6</v>
      </c>
      <c r="B9" s="3" t="inlineStr">
        <is>
          <t>صرف من مزرعة الرياض – ماري جولد (28-12-2025)</t>
        </is>
      </c>
      <c r="C9" s="85" t="n">
        <v>10000</v>
      </c>
      <c r="D9" s="3" t="n">
        <v>0.5</v>
      </c>
      <c r="E9" s="4">
        <f>C9*D9</f>
        <v/>
      </c>
      <c r="F9" s="3" t="inlineStr">
        <is>
          <t>RN-INV#100</t>
        </is>
      </c>
      <c r="G9" s="3" t="inlineStr">
        <is>
          <t>صنف ماري جولد – محسوب بنفس السعر 0.50</t>
        </is>
      </c>
    </row>
    <row r="10">
      <c r="A10" s="3" t="n">
        <v>7</v>
      </c>
      <c r="B10" s="3" t="inlineStr">
        <is>
          <t>محوّل من مزرعة تبوك إلى الرياض للعقد (سندا TNR-2689 و TNR-2888)</t>
        </is>
      </c>
      <c r="C10" s="85" t="n">
        <v>69625</v>
      </c>
      <c r="D10" s="3" t="n">
        <v>0.5</v>
      </c>
      <c r="E10" s="4">
        <f>C10*D10</f>
        <v/>
      </c>
      <c r="F10" s="3" t="inlineStr">
        <is>
          <t>كشف الخزنة 28-2-2026 "زهور تبوك 69625"</t>
        </is>
      </c>
      <c r="G10" s="3" t="inlineStr">
        <is>
          <t>سندا الترحيل TNR-2689 و TNR-2888 بقيمة 72,625 حبة، منها 3,000 زهرة تالفة – الكمية الفعلية الموردة 69,625</t>
        </is>
      </c>
    </row>
    <row r="11">
      <c r="A11" s="9" t="inlineStr"/>
      <c r="B11" s="9" t="inlineStr">
        <is>
          <t>إجمالي مسحوبات أبو خالد لعقد عرعر</t>
        </is>
      </c>
      <c r="C11" s="40">
        <f>SUM(C4:C10)</f>
        <v/>
      </c>
      <c r="D11" s="9" t="inlineStr"/>
      <c r="E11" s="10">
        <f>SUM(E4:E10)</f>
        <v/>
      </c>
      <c r="F11" s="9" t="inlineStr"/>
      <c r="G11" s="9">
        <f> مديونية أبو خالد عن عقد عرعر</f>
        <v/>
      </c>
    </row>
    <row r="12">
      <c r="B12" s="127" t="inlineStr">
        <is>
          <t>بيان كمية تبوك: 72,625 بالسندات − 3,000 تالف = 69,625 حبة موردة فعلياً</t>
        </is>
      </c>
      <c r="C12" s="126" t="n"/>
      <c r="E12" s="58" t="n"/>
    </row>
    <row r="13" ht="34" customHeight="1">
      <c r="A13" s="13" t="inlineStr"/>
    </row>
    <row r="14" ht="34" customHeight="1">
      <c r="A14" s="13" t="inlineStr">
        <is>
          <t>ملاحظات:</t>
        </is>
      </c>
    </row>
    <row r="15" ht="34" customHeight="1">
      <c r="A15" s="13" t="inlineStr">
        <is>
          <t>1) مشتريات الجزيرة الحديثة وإيداعاتها خاصة بعقد بساتين الرياض ومسددة بالكامل – تم حذفها من كل الحسابات (مصروفات 2025، كشف الخزنة، سدادات أبو خالد، أرصدة الموردين).</t>
        </is>
      </c>
    </row>
    <row r="16" ht="34" customHeight="1">
      <c r="A16" s="13" t="inlineStr">
        <is>
          <t>2) القيمة السابقة للعقد (440,000) مستبدلة بالقيمة المحسوبة بالكميات الفعلية × 0.50.</t>
        </is>
      </c>
    </row>
  </sheetData>
  <mergeCells count="5">
    <mergeCell ref="A13:G13"/>
    <mergeCell ref="A14:G14"/>
    <mergeCell ref="A1:G1"/>
    <mergeCell ref="A16:G16"/>
    <mergeCell ref="A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6"/>
  <sheetViews>
    <sheetView rightToLeft="1" zoomScale="10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7" customWidth="1" min="3" max="3"/>
    <col width="42" customWidth="1" min="4" max="4"/>
    <col width="70" customWidth="1" min="5" max="5"/>
  </cols>
  <sheetData>
    <row r="1">
      <c r="A1" s="1" t="inlineStr">
        <is>
          <t>حساب أبو مازن – شركة نسما الشرق (مزرعة تبوك) مع مزرعة الرياض</t>
        </is>
      </c>
    </row>
    <row r="2"/>
    <row r="3">
      <c r="A3" s="7" t="inlineStr">
        <is>
          <t>أولاً: المسحوبات المباشرة (مديونية على أبو مازن)</t>
        </is>
      </c>
    </row>
    <row r="4">
      <c r="A4" s="8" t="inlineStr">
        <is>
          <t>م</t>
        </is>
      </c>
      <c r="B4" s="8" t="inlineStr">
        <is>
          <t>البند</t>
        </is>
      </c>
      <c r="C4" s="8" t="inlineStr">
        <is>
          <t>المبلغ</t>
        </is>
      </c>
      <c r="D4" s="8" t="inlineStr">
        <is>
          <t>المصدر</t>
        </is>
      </c>
      <c r="E4" s="8" t="inlineStr">
        <is>
          <t>ملاحظة</t>
        </is>
      </c>
    </row>
    <row r="5">
      <c r="A5" s="11" t="n">
        <v>1</v>
      </c>
      <c r="B5" s="11" t="inlineStr">
        <is>
          <t>ترحيلات من الرياض إلى تبوك RNT</t>
        </is>
      </c>
      <c r="C5" s="12">
        <f>'مواد - الملخص'!J6</f>
        <v/>
      </c>
      <c r="D5" s="11" t="inlineStr">
        <is>
          <t>ملف حركات المواد – بقيم النظام</t>
        </is>
      </c>
      <c r="E5" s="11" t="inlineStr">
        <is>
          <t>⚠ بقيم النظام – شيت المحاسب بأسعار التحويل مختلف</t>
        </is>
      </c>
    </row>
    <row r="6">
      <c r="A6" s="3" t="n">
        <v>2</v>
      </c>
      <c r="B6" s="3" t="inlineStr">
        <is>
          <t>ترحيلات إلى قسم المشاريع تبوك RNP</t>
        </is>
      </c>
      <c r="C6" s="4">
        <f>'مواد - الملخص'!J7</f>
        <v/>
      </c>
      <c r="D6" s="3" t="inlineStr">
        <is>
          <t>ملف حركات المواد – بقيم النظام</t>
        </is>
      </c>
      <c r="E6" s="3" t="n"/>
    </row>
    <row r="7">
      <c r="A7" s="3" t="n">
        <v>3</v>
      </c>
      <c r="B7" s="3" t="inlineStr">
        <is>
          <t>تكاليف نقل خارج الرياض لصالح تبوك (15,290 كم × 1.30)</t>
        </is>
      </c>
      <c r="C7" s="4">
        <f>'مصاريف إدارية وديزل تبوك'!F59</f>
        <v/>
      </c>
      <c r="D7" s="3" t="inlineStr">
        <is>
          <t>ملف مراجعة المسحوبات</t>
        </is>
      </c>
      <c r="E7" s="3" t="n"/>
    </row>
    <row r="8">
      <c r="A8" s="11" t="n">
        <v>4</v>
      </c>
      <c r="B8" s="11" t="inlineStr">
        <is>
          <t>مسحوبات قبل الفترة – أوامر P00480 إلى P00523 (102,875 حبة)</t>
        </is>
      </c>
      <c r="C8" s="12" t="n">
        <v>0</v>
      </c>
      <c r="D8" s="11" t="inlineStr">
        <is>
          <t>ملف مراجعة المسحوبات</t>
        </is>
      </c>
      <c r="E8" s="11" t="inlineStr">
        <is>
          <t>⚠ بدون أسعار – تُدخل يدوياً</t>
        </is>
      </c>
    </row>
    <row r="9">
      <c r="A9" s="9" t="n"/>
      <c r="B9" s="9" t="inlineStr">
        <is>
          <t>الإجمالي</t>
        </is>
      </c>
      <c r="C9" s="10">
        <f>SUM(C5:C8)</f>
        <v/>
      </c>
      <c r="D9" s="9" t="n"/>
      <c r="E9" s="9" t="n"/>
    </row>
    <row r="10"/>
    <row r="11">
      <c r="A11" s="7" t="inlineStr">
        <is>
          <t>ثانياً: المسحوبات النقدية (مديونية على أبو مازن)</t>
        </is>
      </c>
    </row>
    <row r="12">
      <c r="A12" s="8" t="inlineStr">
        <is>
          <t>م</t>
        </is>
      </c>
      <c r="B12" s="8" t="inlineStr">
        <is>
          <t>البند</t>
        </is>
      </c>
      <c r="C12" s="8" t="inlineStr">
        <is>
          <t>المبلغ</t>
        </is>
      </c>
      <c r="D12" s="8" t="inlineStr">
        <is>
          <t>المصدر</t>
        </is>
      </c>
      <c r="E12" s="8" t="inlineStr">
        <is>
          <t>ملاحظة</t>
        </is>
      </c>
    </row>
    <row r="13">
      <c r="A13" s="3" t="n">
        <v>1</v>
      </c>
      <c r="B13" s="3" t="inlineStr">
        <is>
          <t>إيداع في حساب أبو مازن من إيرادات المناديب قبل الفترة</t>
        </is>
      </c>
      <c r="C13" s="4" t="n">
        <v>197452</v>
      </c>
      <c r="D13" s="3" t="inlineStr">
        <is>
          <t>بيان صاحب الحساب</t>
        </is>
      </c>
      <c r="E13" s="3" t="inlineStr">
        <is>
          <t>✓ مؤكد – استُلم لحسابه الشخصي</t>
        </is>
      </c>
    </row>
    <row r="14">
      <c r="A14" s="3" t="n">
        <v>2</v>
      </c>
      <c r="B14" s="3" t="inlineStr">
        <is>
          <t>(منقول لحساب أبو خالد) منصرف 100,000 بتاريخ 9-3-2026</t>
        </is>
      </c>
      <c r="C14" s="4" t="n">
        <v>0</v>
      </c>
      <c r="D14" s="3" t="inlineStr">
        <is>
          <t>كشف الخزنة – مصروف 131</t>
        </is>
      </c>
      <c r="E14" s="3" t="inlineStr">
        <is>
          <t>تأكد أن أبو خالد هو من استلمه</t>
        </is>
      </c>
    </row>
    <row r="15">
      <c r="A15" s="3" t="n">
        <v>3</v>
      </c>
      <c r="B15" s="3" t="inlineStr">
        <is>
          <t>توريد نقدي للإدارة – أبو مازن (21-5-2026)</t>
        </is>
      </c>
      <c r="C15" s="4" t="n">
        <v>13000</v>
      </c>
      <c r="D15" s="3" t="inlineStr">
        <is>
          <t>كشف الخزنة – مصروف 157</t>
        </is>
      </c>
      <c r="E15" s="3" t="inlineStr">
        <is>
          <t>✓ مؤكد – استُلم لحسابه الشخصي</t>
        </is>
      </c>
    </row>
    <row r="16">
      <c r="A16" s="9" t="n"/>
      <c r="B16" s="9" t="inlineStr">
        <is>
          <t>الإجمالي</t>
        </is>
      </c>
      <c r="C16" s="10">
        <f>SUM(C13:C15)</f>
        <v/>
      </c>
      <c r="D16" s="9" t="n"/>
      <c r="E16" s="9" t="n"/>
    </row>
    <row r="17"/>
    <row r="18">
      <c r="A18" s="7" t="inlineStr">
        <is>
          <t>ثالثاً: دعم أبو مازن / نسما لمزرعة الرياض (حق له)</t>
        </is>
      </c>
    </row>
    <row r="19">
      <c r="A19" s="8" t="inlineStr">
        <is>
          <t>م</t>
        </is>
      </c>
      <c r="B19" s="8" t="inlineStr">
        <is>
          <t>البند</t>
        </is>
      </c>
      <c r="C19" s="8" t="inlineStr">
        <is>
          <t>المبلغ</t>
        </is>
      </c>
      <c r="D19" s="8" t="inlineStr">
        <is>
          <t>المصدر</t>
        </is>
      </c>
      <c r="E19" s="8" t="inlineStr">
        <is>
          <t>ملاحظة</t>
        </is>
      </c>
    </row>
    <row r="20">
      <c r="A20" s="3" t="n">
        <v>1</v>
      </c>
      <c r="B20" s="3" t="inlineStr">
        <is>
          <t>مصروفات التأسيس المدفوعة من أبو مازن / نسما</t>
        </is>
      </c>
      <c r="C20" s="4">
        <f>'مصروفات التأسيس'!E27</f>
        <v/>
      </c>
      <c r="D20" s="3" t="inlineStr">
        <is>
          <t>كشف مصروفات التأسيس</t>
        </is>
      </c>
      <c r="E20" s="3" t="inlineStr">
        <is>
          <t>كشف التأسيس 1,089,735.80 – مساهمة أبو خالد (189,235) منفصلة ومضافة عليها</t>
        </is>
      </c>
    </row>
    <row r="21">
      <c r="A21" s="3" t="n">
        <v>2</v>
      </c>
      <c r="B21" s="3" t="inlineStr">
        <is>
          <t>ترحيلات من تبوك إلى الرياض TNR</t>
        </is>
      </c>
      <c r="C21" s="4">
        <f>'مواد - الملخص'!J5</f>
        <v/>
      </c>
      <c r="D21" s="3" t="inlineStr">
        <is>
          <t>ملف حركات المواد – بقيم النظام</t>
        </is>
      </c>
      <c r="E21" s="3" t="n"/>
    </row>
    <row r="22">
      <c r="A22" s="3" t="n">
        <v>3</v>
      </c>
      <c r="B22" s="3" t="inlineStr">
        <is>
          <t>مصروفات إدارية 2025</t>
        </is>
      </c>
      <c r="C22" s="4">
        <f>'مصاريف إدارية وديزل تبوك'!D12</f>
        <v/>
      </c>
      <c r="D22" s="3" t="inlineStr">
        <is>
          <t>كشف المصاريف الإدارية</t>
        </is>
      </c>
      <c r="E22" s="3" t="n"/>
    </row>
    <row r="23">
      <c r="A23" s="3" t="n">
        <v>4</v>
      </c>
      <c r="B23" s="3" t="inlineStr">
        <is>
          <t>مصروفات إدارية وحكومية 2026 (تشمل إيجار المزرعة 150,000)</t>
        </is>
      </c>
      <c r="C23" s="4">
        <f>'مصاريف إدارية وديزل تبوك'!D36</f>
        <v/>
      </c>
      <c r="D23" s="3" t="inlineStr">
        <is>
          <t>تقرير العهدة الإدارية</t>
        </is>
      </c>
      <c r="E23" s="3" t="n"/>
    </row>
    <row r="24">
      <c r="A24" s="11" t="n">
        <v>5</v>
      </c>
      <c r="B24" s="11" t="inlineStr">
        <is>
          <t>ديزل مدفوع من نسما</t>
        </is>
      </c>
      <c r="C24" s="12">
        <f>'مصاريف إدارية وديزل تبوك'!F42</f>
        <v/>
      </c>
      <c r="D24" s="11" t="inlineStr">
        <is>
          <t>شيت الديزل</t>
        </is>
      </c>
      <c r="E24" s="11" t="inlineStr">
        <is>
          <t>⚠ قد يتداخل مع ديزل العهد</t>
        </is>
      </c>
    </row>
    <row r="25">
      <c r="A25" s="11" t="n">
        <v>6</v>
      </c>
      <c r="B25" s="11" t="inlineStr">
        <is>
          <t>مشتريات 2025 مدفوعة من نسما (تحويل بنكي)</t>
        </is>
      </c>
      <c r="C25" s="12" t="n">
        <v>226679.26</v>
      </c>
      <c r="D25" s="11" t="inlineStr">
        <is>
          <t>ملف مصروفات 2025</t>
        </is>
      </c>
      <c r="E25" s="11" t="inlineStr">
        <is>
          <t>⚠ الرقم اليدوي بالملف 269,099.26 (فرق 42,420 بدون حركات)</t>
        </is>
      </c>
    </row>
    <row r="26">
      <c r="A26" s="9" t="n"/>
      <c r="B26" s="9" t="inlineStr">
        <is>
          <t>الإجمالي</t>
        </is>
      </c>
      <c r="C26" s="10">
        <f>SUM(C20:C25)</f>
        <v/>
      </c>
      <c r="D26" s="9" t="n"/>
      <c r="E26" s="9" t="n"/>
    </row>
  </sheetData>
  <mergeCells count="4">
    <mergeCell ref="A11:E11"/>
    <mergeCell ref="A1:E1"/>
    <mergeCell ref="A18:E18"/>
    <mergeCell ref="A3:E3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1"/>
  <sheetViews>
    <sheetView rightToLeft="1" zoomScale="10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7" customWidth="1" min="3" max="3"/>
    <col width="42" customWidth="1" min="4" max="4"/>
    <col width="70" customWidth="1" min="5" max="5"/>
  </cols>
  <sheetData>
    <row r="1">
      <c r="A1" s="1" t="inlineStr">
        <is>
          <t>إيرادات ومصروفات المزرعة قبل 30-7-2025 (ليست دعماً من أي شريك)</t>
        </is>
      </c>
    </row>
    <row r="2"/>
    <row r="3">
      <c r="A3" s="7" t="inlineStr">
        <is>
          <t>التسوية</t>
        </is>
      </c>
    </row>
    <row r="4">
      <c r="A4" s="8" t="inlineStr">
        <is>
          <t>م</t>
        </is>
      </c>
      <c r="B4" s="8" t="inlineStr">
        <is>
          <t>البند</t>
        </is>
      </c>
      <c r="C4" s="8" t="inlineStr">
        <is>
          <t>المبلغ</t>
        </is>
      </c>
      <c r="D4" s="8" t="inlineStr">
        <is>
          <t>المصدر</t>
        </is>
      </c>
      <c r="E4" s="8" t="inlineStr">
        <is>
          <t>ملاحظة</t>
        </is>
      </c>
    </row>
    <row r="5">
      <c r="A5" s="3" t="n">
        <v>1</v>
      </c>
      <c r="B5" s="3" t="inlineStr">
        <is>
          <t>إيرادات المناديب (1-10-2024 إلى 30-6-2025)</t>
        </is>
      </c>
      <c r="C5" s="4" t="n">
        <v>610688</v>
      </c>
      <c r="D5" s="3" t="inlineStr">
        <is>
          <t>ملف المبيعات</t>
        </is>
      </c>
      <c r="E5" s="3" t="n"/>
    </row>
    <row r="6">
      <c r="A6" s="3" t="n">
        <v>2</v>
      </c>
      <c r="B6" s="3" t="inlineStr">
        <is>
          <t>يُخصم: مصروفات تشغيل دفعها م/ عادل من الإيرادات</t>
        </is>
      </c>
      <c r="C6" s="4" t="n">
        <v>-413236</v>
      </c>
      <c r="D6" s="3" t="inlineStr">
        <is>
          <t>ملف المصاريف التشغيلية</t>
        </is>
      </c>
      <c r="E6" s="3" t="n"/>
    </row>
    <row r="7">
      <c r="A7" s="3" t="n">
        <v>3</v>
      </c>
      <c r="B7" s="3" t="inlineStr">
        <is>
          <t>يُخصم: المودع في حساب أبو مازن</t>
        </is>
      </c>
      <c r="C7" s="4" t="n">
        <v>-197452</v>
      </c>
      <c r="D7" s="3" t="inlineStr">
        <is>
          <t>بيان صاحب الحساب</t>
        </is>
      </c>
      <c r="E7" s="3" t="inlineStr">
        <is>
          <t>مُدرج كمسحوبات نقدية على أبو مازن</t>
        </is>
      </c>
    </row>
    <row r="8">
      <c r="A8" s="9" t="n"/>
      <c r="B8" s="9" t="inlineStr">
        <is>
          <t>الإجمالي</t>
        </is>
      </c>
      <c r="C8" s="10">
        <f>SUM(C5:C7)</f>
        <v/>
      </c>
      <c r="D8" s="9" t="n"/>
      <c r="E8" s="9" t="n"/>
    </row>
    <row r="9">
      <c r="E9" t="inlineStr">
        <is>
          <t>الصافي = صفر ✓</t>
        </is>
      </c>
    </row>
    <row r="10"/>
    <row r="11">
      <c r="B11" t="inlineStr">
        <is>
          <t>مصروفات تشغيل 2-2024 إلى 12-2024 (412,040.67) صُرفت من إيرادات المزرعة – لا تُحتسب دعماً لأي شريك.</t>
        </is>
      </c>
    </row>
  </sheetData>
  <mergeCells count="3">
    <mergeCell ref="A1:E1"/>
    <mergeCell ref="B11:E11"/>
    <mergeCell ref="A3:E3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20"/>
  <sheetViews>
    <sheetView rightToLeft="1" zoomScale="10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40" customWidth="1" min="10" max="10"/>
  </cols>
  <sheetData>
    <row r="1">
      <c r="A1" s="14" t="inlineStr">
        <is>
          <t>مراجعة سند "مسحوبات بساتين الرياض من 24.2.2026 حتى 3.6.2026" مقابل فواتير أبو خالد</t>
        </is>
      </c>
    </row>
    <row r="2">
      <c r="A2" s="15" t="inlineStr">
        <is>
          <t>سند الصرف</t>
        </is>
      </c>
      <c r="B2" s="15" t="inlineStr">
        <is>
          <t>العقد</t>
        </is>
      </c>
      <c r="C2" s="15" t="inlineStr">
        <is>
          <t>الفاتورة</t>
        </is>
      </c>
      <c r="D2" s="15" t="inlineStr">
        <is>
          <t>الصنف</t>
        </is>
      </c>
      <c r="E2" s="15" t="inlineStr">
        <is>
          <t>الكمية بالسند</t>
        </is>
      </c>
      <c r="F2" s="15" t="inlineStr">
        <is>
          <t>الكمية بالفاتورة</t>
        </is>
      </c>
      <c r="G2" s="15" t="inlineStr">
        <is>
          <t>سعر السند</t>
        </is>
      </c>
      <c r="H2" s="15" t="inlineStr">
        <is>
          <t>سعر الفاتورة</t>
        </is>
      </c>
      <c r="I2" s="15" t="inlineStr">
        <is>
          <t>الفرق بالقيمة</t>
        </is>
      </c>
      <c r="J2" s="15" t="inlineStr">
        <is>
          <t>الحالة</t>
        </is>
      </c>
    </row>
    <row r="3">
      <c r="A3" s="16" t="inlineStr">
        <is>
          <t>#141</t>
        </is>
      </c>
      <c r="B3" s="16" t="inlineStr">
        <is>
          <t>WHK-3923</t>
        </is>
      </c>
      <c r="C3" s="16" t="inlineStr">
        <is>
          <t>RN-INV#166</t>
        </is>
      </c>
      <c r="D3" s="16" t="inlineStr">
        <is>
          <t>OD696 أقحوان</t>
        </is>
      </c>
      <c r="E3" s="16" t="n">
        <v>2075</v>
      </c>
      <c r="F3" s="16" t="n">
        <v>2075</v>
      </c>
      <c r="G3" s="16" t="n">
        <v>1.5</v>
      </c>
      <c r="H3" s="16" t="n">
        <v>1.5</v>
      </c>
      <c r="I3" s="17">
        <f>E3*G3-F3*H3</f>
        <v/>
      </c>
      <c r="J3" s="16" t="inlineStr">
        <is>
          <t>الكمية مطابقة والسعر مطابق</t>
        </is>
      </c>
    </row>
    <row r="4">
      <c r="A4" s="18" t="inlineStr">
        <is>
          <t>#141</t>
        </is>
      </c>
      <c r="B4" s="18" t="inlineStr">
        <is>
          <t>WHK-3923</t>
        </is>
      </c>
      <c r="C4" s="18" t="inlineStr">
        <is>
          <t>RN-INV#166</t>
        </is>
      </c>
      <c r="D4" s="18" t="inlineStr">
        <is>
          <t>OD603 جرانيوم 9</t>
        </is>
      </c>
      <c r="E4" s="18" t="n">
        <v>3000</v>
      </c>
      <c r="F4" s="18" t="n">
        <v>3000</v>
      </c>
      <c r="G4" s="18" t="n">
        <v>0.95</v>
      </c>
      <c r="H4" s="18" t="n">
        <v>1.25</v>
      </c>
      <c r="I4" s="19">
        <f>E4*G4-F4*H4</f>
        <v/>
      </c>
      <c r="J4" s="18" t="inlineStr">
        <is>
          <t>الكمية مطابقة – السعر مختلف</t>
        </is>
      </c>
    </row>
    <row r="5">
      <c r="A5" s="18" t="inlineStr">
        <is>
          <t>#261</t>
        </is>
      </c>
      <c r="B5" s="18" t="inlineStr">
        <is>
          <t>WHK-4256</t>
        </is>
      </c>
      <c r="C5" s="18" t="inlineStr">
        <is>
          <t>RN-INV#227</t>
        </is>
      </c>
      <c r="D5" s="18" t="inlineStr">
        <is>
          <t>OD562 زينيا</t>
        </is>
      </c>
      <c r="E5" s="18" t="n">
        <v>25625</v>
      </c>
      <c r="F5" s="18" t="n">
        <v>25625</v>
      </c>
      <c r="G5" s="18" t="n">
        <v>0.55</v>
      </c>
      <c r="H5" s="18" t="n">
        <v>0.5</v>
      </c>
      <c r="I5" s="19">
        <f>E5*G5-F5*H5</f>
        <v/>
      </c>
      <c r="J5" s="18" t="inlineStr">
        <is>
          <t>الكمية مطابقة – السعر مختلف</t>
        </is>
      </c>
    </row>
    <row r="6">
      <c r="A6" s="18" t="inlineStr">
        <is>
          <t>#261</t>
        </is>
      </c>
      <c r="B6" s="18" t="inlineStr">
        <is>
          <t>WHK-4256</t>
        </is>
      </c>
      <c r="C6" s="18" t="inlineStr">
        <is>
          <t>RN-INV#227</t>
        </is>
      </c>
      <c r="D6" s="18" t="inlineStr">
        <is>
          <t>OD563 سيلوزيا</t>
        </is>
      </c>
      <c r="E6" s="18" t="n">
        <v>3000</v>
      </c>
      <c r="F6" s="18" t="n">
        <v>3000</v>
      </c>
      <c r="G6" s="18" t="n">
        <v>0.55</v>
      </c>
      <c r="H6" s="18" t="n">
        <v>0.5</v>
      </c>
      <c r="I6" s="19">
        <f>E6*G6-F6*H6</f>
        <v/>
      </c>
      <c r="J6" s="18" t="inlineStr">
        <is>
          <t>الكمية مطابقة – السعر مختلف</t>
        </is>
      </c>
    </row>
    <row r="7">
      <c r="A7" s="18" t="inlineStr">
        <is>
          <t>#261</t>
        </is>
      </c>
      <c r="B7" s="18" t="inlineStr">
        <is>
          <t>WHK-4256</t>
        </is>
      </c>
      <c r="C7" s="18" t="inlineStr">
        <is>
          <t>RN-INV#227</t>
        </is>
      </c>
      <c r="D7" s="18" t="inlineStr">
        <is>
          <t>OD564 امرانتس</t>
        </is>
      </c>
      <c r="E7" s="18" t="n">
        <v>5000</v>
      </c>
      <c r="F7" s="18" t="n">
        <v>5000</v>
      </c>
      <c r="G7" s="18" t="n">
        <v>0.55</v>
      </c>
      <c r="H7" s="18" t="n">
        <v>0.5</v>
      </c>
      <c r="I7" s="19">
        <f>E7*G7-F7*H7</f>
        <v/>
      </c>
      <c r="J7" s="18" t="inlineStr">
        <is>
          <t>الكمية مطابقة – السعر مختلف</t>
        </is>
      </c>
    </row>
    <row r="8">
      <c r="A8" s="18" t="inlineStr">
        <is>
          <t>#261</t>
        </is>
      </c>
      <c r="B8" s="18" t="inlineStr">
        <is>
          <t>WHK-4256</t>
        </is>
      </c>
      <c r="C8" s="18" t="inlineStr">
        <is>
          <t>RN-INV#227</t>
        </is>
      </c>
      <c r="D8" s="18" t="inlineStr">
        <is>
          <t>OD565 جازانيا</t>
        </is>
      </c>
      <c r="E8" s="18" t="n">
        <v>4475</v>
      </c>
      <c r="F8" s="18" t="n">
        <v>4475</v>
      </c>
      <c r="G8" s="18" t="n">
        <v>0.55</v>
      </c>
      <c r="H8" s="18" t="n">
        <v>0.5</v>
      </c>
      <c r="I8" s="19">
        <f>E8*G8-F8*H8</f>
        <v/>
      </c>
      <c r="J8" s="18" t="inlineStr">
        <is>
          <t>الكمية مطابقة – السعر مختلف</t>
        </is>
      </c>
    </row>
    <row r="9">
      <c r="A9" s="18" t="inlineStr">
        <is>
          <t>#261</t>
        </is>
      </c>
      <c r="B9" s="18" t="inlineStr">
        <is>
          <t>WHK-4256</t>
        </is>
      </c>
      <c r="C9" s="18" t="inlineStr">
        <is>
          <t>RN-INV#227</t>
        </is>
      </c>
      <c r="D9" s="18" t="inlineStr">
        <is>
          <t>OD454 تيكوماريا</t>
        </is>
      </c>
      <c r="E9" s="18" t="n">
        <v>50</v>
      </c>
      <c r="F9" s="18" t="n">
        <v>50</v>
      </c>
      <c r="G9" s="18" t="n">
        <v>2.5</v>
      </c>
      <c r="H9" s="18" t="n">
        <v>4</v>
      </c>
      <c r="I9" s="19">
        <f>E9*G9-F9*H9</f>
        <v/>
      </c>
      <c r="J9" s="18" t="inlineStr">
        <is>
          <t>الكمية مطابقة – السعر مختلف</t>
        </is>
      </c>
    </row>
    <row r="10">
      <c r="A10" s="18" t="inlineStr">
        <is>
          <t>#261</t>
        </is>
      </c>
      <c r="B10" s="18" t="inlineStr">
        <is>
          <t>WHK-4256</t>
        </is>
      </c>
      <c r="C10" s="18" t="inlineStr">
        <is>
          <t>RN-INV#227</t>
        </is>
      </c>
      <c r="D10" s="18" t="inlineStr">
        <is>
          <t>OD623 تيسبيسيا</t>
        </is>
      </c>
      <c r="E10" s="18" t="n">
        <v>4</v>
      </c>
      <c r="F10" s="18" t="n">
        <v>4</v>
      </c>
      <c r="G10" s="18" t="n">
        <v>49.5</v>
      </c>
      <c r="H10" s="18" t="n">
        <v>60</v>
      </c>
      <c r="I10" s="19">
        <f>E10*G10-F10*H10</f>
        <v/>
      </c>
      <c r="J10" s="18" t="inlineStr">
        <is>
          <t>الكمية مطابقة – السعر مختلف</t>
        </is>
      </c>
    </row>
    <row r="11">
      <c r="A11" s="16" t="inlineStr">
        <is>
          <t>#269</t>
        </is>
      </c>
      <c r="B11" s="16" t="inlineStr">
        <is>
          <t>WHK-4275</t>
        </is>
      </c>
      <c r="C11" s="16" t="inlineStr">
        <is>
          <t>RN-INV#231</t>
        </is>
      </c>
      <c r="D11" s="16" t="inlineStr">
        <is>
          <t>OD569 فينكا</t>
        </is>
      </c>
      <c r="E11" s="16" t="n">
        <v>37400</v>
      </c>
      <c r="F11" s="16" t="n">
        <v>37400</v>
      </c>
      <c r="G11" s="16" t="n">
        <v>0.55</v>
      </c>
      <c r="H11" s="16" t="n">
        <v>0.55</v>
      </c>
      <c r="I11" s="17">
        <f>E11*G11-F11*H11</f>
        <v/>
      </c>
      <c r="J11" s="16" t="inlineStr">
        <is>
          <t>الكمية مطابقة والسعر مطابق</t>
        </is>
      </c>
    </row>
    <row r="12">
      <c r="A12" s="16" t="inlineStr">
        <is>
          <t>#269</t>
        </is>
      </c>
      <c r="B12" s="16" t="inlineStr">
        <is>
          <t>WHK-4275</t>
        </is>
      </c>
      <c r="C12" s="16" t="inlineStr">
        <is>
          <t>RN-INV#231</t>
        </is>
      </c>
      <c r="D12" s="16" t="inlineStr">
        <is>
          <t>OD567 كيليوس</t>
        </is>
      </c>
      <c r="E12" s="16" t="n">
        <v>2200</v>
      </c>
      <c r="F12" s="16" t="n">
        <v>2200</v>
      </c>
      <c r="G12" s="16" t="n">
        <v>0.55</v>
      </c>
      <c r="H12" s="16" t="n">
        <v>0.55</v>
      </c>
      <c r="I12" s="17">
        <f>E12*G12-F12*H12</f>
        <v/>
      </c>
      <c r="J12" s="16" t="inlineStr">
        <is>
          <t>الكمية مطابقة والسعر مطابق</t>
        </is>
      </c>
    </row>
    <row r="13">
      <c r="A13" s="16" t="inlineStr">
        <is>
          <t>#279</t>
        </is>
      </c>
      <c r="B13" s="16" t="inlineStr">
        <is>
          <t>WHK-4291</t>
        </is>
      </c>
      <c r="C13" s="16" t="inlineStr">
        <is>
          <t>RN-INV#239</t>
        </is>
      </c>
      <c r="D13" s="16" t="inlineStr">
        <is>
          <t>OD569 فينكا</t>
        </is>
      </c>
      <c r="E13" s="16" t="n">
        <v>5700</v>
      </c>
      <c r="F13" s="16" t="n">
        <v>5700</v>
      </c>
      <c r="G13" s="16" t="n">
        <v>0.55</v>
      </c>
      <c r="H13" s="16" t="n">
        <v>0.55</v>
      </c>
      <c r="I13" s="17">
        <f>E13*G13-F13*H13</f>
        <v/>
      </c>
      <c r="J13" s="16" t="inlineStr">
        <is>
          <t>الكمية مطابقة والسعر مطابق</t>
        </is>
      </c>
    </row>
    <row r="14">
      <c r="A14" s="16" t="inlineStr">
        <is>
          <t>#285</t>
        </is>
      </c>
      <c r="B14" s="16" t="inlineStr">
        <is>
          <t>WHK-4305</t>
        </is>
      </c>
      <c r="C14" s="16" t="inlineStr">
        <is>
          <t>RN-INV#243</t>
        </is>
      </c>
      <c r="D14" s="16" t="inlineStr">
        <is>
          <t>OD569 فينكا</t>
        </is>
      </c>
      <c r="E14" s="16" t="n">
        <v>5500</v>
      </c>
      <c r="F14" s="16" t="n">
        <v>5500</v>
      </c>
      <c r="G14" s="16" t="n">
        <v>0.55</v>
      </c>
      <c r="H14" s="16" t="n">
        <v>0.55</v>
      </c>
      <c r="I14" s="17">
        <f>E14*G14-F14*H14</f>
        <v/>
      </c>
      <c r="J14" s="16" t="inlineStr">
        <is>
          <t>الكمية مطابقة والسعر مطابق</t>
        </is>
      </c>
    </row>
    <row r="15">
      <c r="A15" s="18" t="inlineStr">
        <is>
          <t>#296</t>
        </is>
      </c>
      <c r="B15" s="18" t="inlineStr">
        <is>
          <t>WHK-4323</t>
        </is>
      </c>
      <c r="C15" s="18" t="inlineStr">
        <is>
          <t>RN-INV#250</t>
        </is>
      </c>
      <c r="D15" s="18" t="inlineStr">
        <is>
          <t>OD564 امرانتس</t>
        </is>
      </c>
      <c r="E15" s="18" t="n">
        <v>1500</v>
      </c>
      <c r="F15" s="18" t="n">
        <v>1500</v>
      </c>
      <c r="G15" s="18" t="n">
        <v>0.55</v>
      </c>
      <c r="H15" s="18" t="n">
        <v>0.5</v>
      </c>
      <c r="I15" s="19">
        <f>E15*G15-F15*H15</f>
        <v/>
      </c>
      <c r="J15" s="18" t="inlineStr">
        <is>
          <t>الكمية مطابقة – السعر مختلف</t>
        </is>
      </c>
    </row>
    <row r="16">
      <c r="A16" s="20" t="inlineStr">
        <is>
          <t>الإجمالي</t>
        </is>
      </c>
      <c r="B16" s="20" t="n"/>
      <c r="C16" s="20" t="n"/>
      <c r="D16" s="20" t="n"/>
      <c r="E16" s="20" t="n"/>
      <c r="F16" s="20" t="n"/>
      <c r="G16" s="20" t="n"/>
      <c r="H16" s="20" t="n"/>
      <c r="I16" s="21">
        <f>SUM(I3:I15)</f>
        <v/>
      </c>
      <c r="J16" s="20" t="n"/>
    </row>
    <row r="17" ht="34" customHeight="1">
      <c r="A17" s="13" t="n"/>
    </row>
    <row r="18" ht="34" customHeight="1">
      <c r="A18" s="13" t="inlineStr">
        <is>
          <t>النتيجة: كل بنود السند (13 بند، 6 عقود) هي مسحوبات عقود أبو خالد WHK ومطابقة للكميات في الفواتير المبدئية 166 و227 و231 و239 و243 و250، وكلها مدرجة بالفعل في مبيعات أبو خالد.</t>
        </is>
      </c>
    </row>
    <row r="19" ht="34" customHeight="1">
      <c r="A19" s="13" t="inlineStr">
        <is>
          <t>إجمالي السند 56,005.50 مقابل 55,042.50 بالفواتير (فرق 963) بسبب اختلاف الأسعار في 3 سندات: #141 الجرانيوم 0.95 بدل 1.25 (−900)، #261 أسعار السند 0.55 بدل 0.50 وتيكوماريا وتيسبيسيا أقل (+1,788)، #296 الامرانتس 0.55 بدل 0.50 (+75).</t>
        </is>
      </c>
    </row>
    <row r="20" ht="34" customHeight="1">
      <c r="A20" s="13" t="inlineStr">
        <is>
          <t>عنوان السند مكتوب "حتى 3.7.2026" بينما اسم الملف "3.6.2026" – آخر حركة بالسند 18-5-2026.</t>
        </is>
      </c>
    </row>
  </sheetData>
  <mergeCells count="5">
    <mergeCell ref="A1:J1"/>
    <mergeCell ref="A17:J17"/>
    <mergeCell ref="A18:J18"/>
    <mergeCell ref="A20:J20"/>
    <mergeCell ref="A19:J19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20"/>
  <sheetViews>
    <sheetView rightToLeft="1" zoomScale="10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20" customWidth="1" min="5" max="5"/>
    <col width="16" customWidth="1" min="6" max="6"/>
    <col width="11" customWidth="1" min="7" max="7"/>
  </cols>
  <sheetData>
    <row r="1">
      <c r="A1" s="1" t="inlineStr">
        <is>
          <t>ملخص إجمالي مبيعات المناديب – مزرعة الرياض</t>
        </is>
      </c>
    </row>
    <row r="2" ht="32" customHeight="1">
      <c r="A2" s="13" t="inlineStr">
        <is>
          <t>الفترة كاملة: من 1-10-2024 إلى 31-7-2026 – مبيعات ما قبل 30-7-2025 (إجمالي شهري غير موزع على المناديب) + شيت المبيعات (عقود الجملة من 30-7-2025 حتى 3-6-2026) + النظام الجديد برقم السيارة (شهري 6 و7 لسنة 2026)</t>
        </is>
      </c>
    </row>
    <row r="3"/>
    <row r="4" ht="45" customHeight="1">
      <c r="A4" s="22" t="inlineStr">
        <is>
          <t>المندوب</t>
        </is>
      </c>
      <c r="B4" s="22" t="inlineStr">
        <is>
          <t>عقود الجملة (30-7-2025 إلى 3-6-2026)</t>
        </is>
      </c>
      <c r="C4" s="22" t="inlineStr">
        <is>
          <t>النظام الجديد – السيارة (6 و7 لسنة 2026)</t>
        </is>
      </c>
      <c r="D4" s="22" t="inlineStr">
        <is>
          <t>إجمالي مبيعات المندوب</t>
        </is>
      </c>
      <c r="E4" s="22" t="inlineStr">
        <is>
          <t>الإجمالي حسب المحاسب</t>
        </is>
      </c>
      <c r="F4" s="22" t="inlineStr">
        <is>
          <t>الفرق</t>
        </is>
      </c>
      <c r="G4" s="22" t="inlineStr">
        <is>
          <t>السيارة</t>
        </is>
      </c>
    </row>
    <row r="5">
      <c r="A5" s="16" t="inlineStr">
        <is>
          <t>عصمت الله خان</t>
        </is>
      </c>
      <c r="B5" s="17">
        <f>SUMIFS('مبيعات عصمت'!E2:E255,'مبيعات عصمت'!I2:I255,"شيت المبيعات (عقود الجملة)")</f>
        <v/>
      </c>
      <c r="C5" s="17">
        <f>SUMIFS('مبيعات عصمت'!E2:E255,'مبيعات عصمت'!I2:I255,"النظام الجديد*")</f>
        <v/>
      </c>
      <c r="D5" s="17">
        <f>'مبيعات عصمت'!E256</f>
        <v/>
      </c>
      <c r="E5" s="17">
        <f>'مبيعات عصمت'!D256</f>
        <v/>
      </c>
      <c r="F5" s="17">
        <f>D5-E5</f>
        <v/>
      </c>
      <c r="G5" s="16" t="inlineStr">
        <is>
          <t>VHC-1219</t>
        </is>
      </c>
    </row>
    <row r="6">
      <c r="A6" s="16" t="inlineStr">
        <is>
          <t>عماد حمدي</t>
        </is>
      </c>
      <c r="B6" s="17">
        <f>SUMIFS('مبيعات عماد'!E2:E59,'مبيعات عماد'!I2:I59,"شيت المبيعات (عقود الجملة)")</f>
        <v/>
      </c>
      <c r="C6" s="17">
        <f>SUMIFS('مبيعات عماد'!E2:E59,'مبيعات عماد'!I2:I59,"النظام الجديد*")</f>
        <v/>
      </c>
      <c r="D6" s="17">
        <f>'مبيعات عماد'!E60</f>
        <v/>
      </c>
      <c r="E6" s="17">
        <f>'مبيعات عماد'!D60</f>
        <v/>
      </c>
      <c r="F6" s="17">
        <f>D6-E6</f>
        <v/>
      </c>
      <c r="G6" s="16" t="inlineStr">
        <is>
          <t>VHC-3010</t>
        </is>
      </c>
    </row>
    <row r="7">
      <c r="A7" s="16" t="inlineStr">
        <is>
          <t>م/ عادل أبو خالد</t>
        </is>
      </c>
      <c r="B7" s="17">
        <f>SUMIFS('مبيعات أبو خالد'!E2:E48,'مبيعات أبو خالد'!I2:I48,"شيت المبيعات (عقود الجملة)")</f>
        <v/>
      </c>
      <c r="C7" s="17">
        <f>SUMIFS('مبيعات أبو خالد'!E2:E48,'مبيعات أبو خالد'!I2:I48,"النظام الجديد*")</f>
        <v/>
      </c>
      <c r="D7" s="17">
        <f>'مبيعات أبو خالد'!E49</f>
        <v/>
      </c>
      <c r="E7" s="17">
        <f>'مبيعات أبو خالد'!D49</f>
        <v/>
      </c>
      <c r="F7" s="17">
        <f>D7-E7</f>
        <v/>
      </c>
      <c r="G7" s="16" t="inlineStr">
        <is>
          <t>—</t>
        </is>
      </c>
    </row>
    <row r="8">
      <c r="A8" s="16" t="inlineStr">
        <is>
          <t>مبيعات قبل 30.7.2025 (1-10-2024 إلى 30-6-2025) – غير موزعة على المناديب</t>
        </is>
      </c>
      <c r="B8" s="16" t="n"/>
      <c r="C8" s="16" t="n"/>
      <c r="D8" s="17">
        <f>'مبيعات قبل 30.7.2025'!C12</f>
        <v/>
      </c>
      <c r="E8" s="16" t="n"/>
      <c r="F8" s="16" t="n"/>
      <c r="G8" s="16" t="inlineStr">
        <is>
          <t>—</t>
        </is>
      </c>
    </row>
    <row r="9">
      <c r="A9" s="9" t="inlineStr">
        <is>
          <t>الإجمالي الكلي (1-10-2024 إلى 31-7-2026)</t>
        </is>
      </c>
      <c r="B9" s="10">
        <f>SUM(B5:B8)</f>
        <v/>
      </c>
      <c r="C9" s="10">
        <f>SUM(C5:C8)</f>
        <v/>
      </c>
      <c r="D9" s="10">
        <f>SUM(D5:D8)</f>
        <v/>
      </c>
      <c r="E9" s="10">
        <f>SUM(E5:E8)</f>
        <v/>
      </c>
      <c r="F9" s="10">
        <f>SUM(F5:F8)</f>
        <v/>
      </c>
      <c r="G9" s="9" t="n"/>
    </row>
    <row r="10">
      <c r="A10" s="13" t="n"/>
    </row>
    <row r="11" ht="30" customHeight="1">
      <c r="A11" s="23" t="inlineStr">
        <is>
          <t>ملاحظات المراجعة (كل الأرقام بالقيمة الإجمالية كما هي بالمستندات):</t>
        </is>
      </c>
    </row>
    <row r="12" ht="30" customHeight="1">
      <c r="A12" s="13" t="inlineStr">
        <is>
          <t>1) عصمت (WHT): شيت المحاسب مكتوب "من 9-10-2025" لكنه أدرج عقوداً من يوليو–سبتمبر، وأسقط 4 عقود من 1 إلى 8 أكتوبر (WHT-2348/2358/2378/2408 = 21,087.50) فتمت إضافتها.</t>
        </is>
      </c>
    </row>
    <row r="13" ht="30" customHeight="1">
      <c r="A13" s="13" t="inlineStr">
        <is>
          <t>2) عصمت: عقدان WHT-2756 و WHT-2758 (16,810.00) موجودان في سجل العقود فقط، بدون فاتورة مبدئية ولا قيد في الكشف – تمت إضافتهما.</t>
        </is>
      </c>
    </row>
    <row r="14" ht="30" customHeight="1">
      <c r="A14" s="13" t="inlineStr">
        <is>
          <t>3) عصمت: 3 عقود مكررة الرقم في شيت المحاسب (WHT-3786 و WHT-4052 و WHT-4234) – القيم صحيحة والأرقام الصحيحة WHT-3804 و WHT-4062 و WHT-4243.</t>
        </is>
      </c>
    </row>
    <row r="15" ht="30" customHeight="1">
      <c r="A15" s="13" t="inlineStr">
        <is>
          <t>4) العقدان WHT-1908 (16,658.75) و WHK-1909 (11,570.00) بتاريخ 30-7-2025 – بداية الفترة.</t>
        </is>
      </c>
    </row>
    <row r="16" ht="30" customHeight="1">
      <c r="A16" s="13" t="inlineStr">
        <is>
          <t>5) أبو خالد (WHK): عقد عرعر WHK-2364 أُدرج بالقيمة الكاملة 440,000 بناءً على طلبك، علماً بأن المسجل بكشف الحساب 367,803.75 (الفرق 72,196.25 بدون قيد بالكشف).</t>
        </is>
      </c>
    </row>
    <row r="17" ht="30" customHeight="1">
      <c r="A17" s="13" t="inlineStr">
        <is>
          <t>6) أبو خالد: العقد WHK-3400 (505.00 – فاتورة 103) سقط من شيت المحاسب فتمت إضافته.</t>
        </is>
      </c>
    </row>
    <row r="18" ht="30" customHeight="1">
      <c r="A18" s="13" t="inlineStr">
        <is>
          <t>7) عماد (WHE): الشيت مطابق تماماً للفواتير المبدئية وسجل العقود (45 عقد).</t>
        </is>
      </c>
    </row>
    <row r="19" ht="30" customHeight="1">
      <c r="A19" s="13" t="inlineStr">
        <is>
          <t>8) مبيعات النظام الجديد (برقم السيارة) مدمجة في صفحة كل مندوب: السيارة 1219 = عصمت، والسيارة 3010 = عماد. المحاسب لم يخصم 3 فواتير مرتجعة بالكامل لسيارة 1219 (4,123.90). شيت المرتجعات فيه صفّان مكرران (WS-RET-0002 و 0003).</t>
        </is>
      </c>
    </row>
    <row r="20">
      <c r="A20" s="13" t="inlineStr">
        <is>
          <t>9) بعض التواريخ في ملفات المحاسب مقلوبة (يوم/شهر) مثل 2026-11-07 وهي 7-11 أي 11 يوليو – تم تصحيحها.</t>
        </is>
      </c>
    </row>
  </sheetData>
  <mergeCells count="12">
    <mergeCell ref="A13:G13"/>
    <mergeCell ref="A14:G14"/>
    <mergeCell ref="A1:G1"/>
    <mergeCell ref="A17:G17"/>
    <mergeCell ref="A18:G18"/>
    <mergeCell ref="A12:G12"/>
    <mergeCell ref="A20:G20"/>
    <mergeCell ref="A2:G2"/>
    <mergeCell ref="A16:G16"/>
    <mergeCell ref="A15:G15"/>
    <mergeCell ref="A19:G19"/>
    <mergeCell ref="A11:G1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361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24" customWidth="1" min="4" max="4"/>
    <col width="16" customWidth="1" min="5" max="5"/>
    <col width="10" customWidth="1" min="6" max="6"/>
    <col width="38" customWidth="1" min="7" max="7"/>
    <col width="14" customWidth="1" min="8" max="8"/>
    <col width="16" customWidth="1" min="9" max="9"/>
    <col width="70" customWidth="1" min="10" max="10"/>
  </cols>
  <sheetData>
    <row r="1">
      <c r="A1" s="15" t="inlineStr">
        <is>
          <t>م</t>
        </is>
      </c>
      <c r="B1" s="15" t="inlineStr">
        <is>
          <t>التاريخ</t>
        </is>
      </c>
      <c r="C1" s="15" t="inlineStr">
        <is>
          <t>المندوب</t>
        </is>
      </c>
      <c r="D1" s="15" t="inlineStr">
        <is>
          <t>المصدر</t>
        </is>
      </c>
      <c r="E1" s="15" t="inlineStr">
        <is>
          <t>رقم العقد / الفاتورة</t>
        </is>
      </c>
      <c r="F1" s="15" t="inlineStr">
        <is>
          <t>السيارة</t>
        </is>
      </c>
      <c r="G1" s="15" t="inlineStr">
        <is>
          <t>العميل</t>
        </is>
      </c>
      <c r="H1" s="15" t="inlineStr">
        <is>
          <t>القيمة</t>
        </is>
      </c>
      <c r="I1" s="15" t="inlineStr">
        <is>
          <t>الحالة</t>
        </is>
      </c>
      <c r="J1" s="15" t="inlineStr">
        <is>
          <t>ملاحظة</t>
        </is>
      </c>
    </row>
    <row r="2">
      <c r="A2" s="16" t="n">
        <v>1</v>
      </c>
      <c r="B2" s="95" t="n">
        <v>45868</v>
      </c>
      <c r="C2" s="16" t="inlineStr">
        <is>
          <t>عصمت الله خان</t>
        </is>
      </c>
      <c r="D2" s="16" t="inlineStr">
        <is>
          <t>شيت المبيعات (عقود الجملة)</t>
        </is>
      </c>
      <c r="E2" s="16" t="inlineStr">
        <is>
          <t>WHT-1908</t>
        </is>
      </c>
      <c r="F2" s="16" t="inlineStr">
        <is>
          <t>VHC-1219</t>
        </is>
      </c>
      <c r="G2" s="16" t="n"/>
      <c r="H2" s="17" t="n">
        <v>16658.75</v>
      </c>
      <c r="I2" s="16" t="inlineStr">
        <is>
          <t>صحيح (ملاحظة)</t>
        </is>
      </c>
      <c r="J2" s="16" t="inlineStr">
        <is>
          <t>تاريخه 2025-07-30 قبل بداية الفترة 31-7-2025 بيوم – أُدرج بناءً على طلبك</t>
        </is>
      </c>
    </row>
    <row r="3">
      <c r="A3" s="16" t="n">
        <v>2</v>
      </c>
      <c r="B3" s="95" t="n">
        <v>45868</v>
      </c>
      <c r="C3" s="16" t="inlineStr">
        <is>
          <t>م/ عادل أبو خالد</t>
        </is>
      </c>
      <c r="D3" s="16" t="inlineStr">
        <is>
          <t>شيت المبيعات (عقود الجملة)</t>
        </is>
      </c>
      <c r="E3" s="16" t="inlineStr">
        <is>
          <t>WHK-1909</t>
        </is>
      </c>
      <c r="F3" s="16" t="inlineStr">
        <is>
          <t>—</t>
        </is>
      </c>
      <c r="G3" s="16" t="n"/>
      <c r="H3" s="17" t="n">
        <v>11570</v>
      </c>
      <c r="I3" s="16" t="inlineStr">
        <is>
          <t>صحيح (ملاحظة)</t>
        </is>
      </c>
      <c r="J3" s="16" t="inlineStr">
        <is>
          <t>تاريخه 2025-07-30 قبل بداية الفترة 31-7-2025 بيوم – أُدرج بناءً على طلبك</t>
        </is>
      </c>
    </row>
    <row r="4">
      <c r="A4" s="16" t="n">
        <v>3</v>
      </c>
      <c r="B4" s="95" t="n">
        <v>45878</v>
      </c>
      <c r="C4" s="16" t="inlineStr">
        <is>
          <t>عصمت الله خان</t>
        </is>
      </c>
      <c r="D4" s="16" t="inlineStr">
        <is>
          <t>شيت المبيعات (عقود الجملة)</t>
        </is>
      </c>
      <c r="E4" s="16" t="inlineStr">
        <is>
          <t>WHT-1892</t>
        </is>
      </c>
      <c r="F4" s="16" t="inlineStr">
        <is>
          <t>VHC-1219</t>
        </is>
      </c>
      <c r="G4" s="16" t="n"/>
      <c r="H4" s="17" t="n">
        <v>150</v>
      </c>
      <c r="I4" s="16" t="n"/>
      <c r="J4" s="16" t="n"/>
    </row>
    <row r="5">
      <c r="A5" s="16" t="n">
        <v>4</v>
      </c>
      <c r="B5" s="95" t="n">
        <v>45885</v>
      </c>
      <c r="C5" s="16" t="inlineStr">
        <is>
          <t>عصمت الله خان</t>
        </is>
      </c>
      <c r="D5" s="16" t="inlineStr">
        <is>
          <t>شيت المبيعات (عقود الجملة)</t>
        </is>
      </c>
      <c r="E5" s="16" t="inlineStr">
        <is>
          <t>WHT-1934</t>
        </is>
      </c>
      <c r="F5" s="16" t="inlineStr">
        <is>
          <t>VHC-1219</t>
        </is>
      </c>
      <c r="G5" s="16" t="n"/>
      <c r="H5" s="17" t="n">
        <v>162.5</v>
      </c>
      <c r="I5" s="16" t="n"/>
      <c r="J5" s="16" t="n"/>
    </row>
    <row r="6">
      <c r="A6" s="16" t="n">
        <v>5</v>
      </c>
      <c r="B6" s="95" t="n">
        <v>45885</v>
      </c>
      <c r="C6" s="16" t="inlineStr">
        <is>
          <t>عصمت الله خان</t>
        </is>
      </c>
      <c r="D6" s="16" t="inlineStr">
        <is>
          <t>شيت المبيعات (عقود الجملة)</t>
        </is>
      </c>
      <c r="E6" s="16" t="inlineStr">
        <is>
          <t>WHT-1937</t>
        </is>
      </c>
      <c r="F6" s="16" t="inlineStr">
        <is>
          <t>VHC-1219</t>
        </is>
      </c>
      <c r="G6" s="16" t="n"/>
      <c r="H6" s="17" t="n">
        <v>50</v>
      </c>
      <c r="I6" s="16" t="n"/>
      <c r="J6" s="16" t="n"/>
    </row>
    <row r="7">
      <c r="A7" s="16" t="n">
        <v>6</v>
      </c>
      <c r="B7" s="95" t="n">
        <v>45887</v>
      </c>
      <c r="C7" s="16" t="inlineStr">
        <is>
          <t>عصمت الله خان</t>
        </is>
      </c>
      <c r="D7" s="16" t="inlineStr">
        <is>
          <t>شيت المبيعات (عقود الجملة)</t>
        </is>
      </c>
      <c r="E7" s="16" t="inlineStr">
        <is>
          <t>WHT-1952</t>
        </is>
      </c>
      <c r="F7" s="16" t="inlineStr">
        <is>
          <t>VHC-1219</t>
        </is>
      </c>
      <c r="G7" s="16" t="n"/>
      <c r="H7" s="17" t="n">
        <v>450</v>
      </c>
      <c r="I7" s="16" t="n"/>
      <c r="J7" s="16" t="n"/>
    </row>
    <row r="8">
      <c r="A8" s="16" t="n">
        <v>7</v>
      </c>
      <c r="B8" s="95" t="n">
        <v>45889</v>
      </c>
      <c r="C8" s="16" t="inlineStr">
        <is>
          <t>عصمت الله خان</t>
        </is>
      </c>
      <c r="D8" s="16" t="inlineStr">
        <is>
          <t>شيت المبيعات (عقود الجملة)</t>
        </is>
      </c>
      <c r="E8" s="16" t="inlineStr">
        <is>
          <t>WHT-1970</t>
        </is>
      </c>
      <c r="F8" s="16" t="inlineStr">
        <is>
          <t>VHC-1219</t>
        </is>
      </c>
      <c r="G8" s="16" t="n"/>
      <c r="H8" s="17" t="n">
        <v>125</v>
      </c>
      <c r="I8" s="16" t="n"/>
      <c r="J8" s="16" t="n"/>
    </row>
    <row r="9">
      <c r="A9" s="16" t="n">
        <v>8</v>
      </c>
      <c r="B9" s="95" t="n">
        <v>45890</v>
      </c>
      <c r="C9" s="16" t="inlineStr">
        <is>
          <t>عصمت الله خان</t>
        </is>
      </c>
      <c r="D9" s="16" t="inlineStr">
        <is>
          <t>شيت المبيعات (عقود الجملة)</t>
        </is>
      </c>
      <c r="E9" s="16" t="inlineStr">
        <is>
          <t>WHT-1999</t>
        </is>
      </c>
      <c r="F9" s="16" t="inlineStr">
        <is>
          <t>VHC-1219</t>
        </is>
      </c>
      <c r="G9" s="16" t="n"/>
      <c r="H9" s="17" t="n">
        <v>800</v>
      </c>
      <c r="I9" s="16" t="n"/>
      <c r="J9" s="16" t="n"/>
    </row>
    <row r="10">
      <c r="A10" s="16" t="n">
        <v>9</v>
      </c>
      <c r="B10" s="95" t="n">
        <v>45892</v>
      </c>
      <c r="C10" s="16" t="inlineStr">
        <is>
          <t>عصمت الله خان</t>
        </is>
      </c>
      <c r="D10" s="16" t="inlineStr">
        <is>
          <t>شيت المبيعات (عقود الجملة)</t>
        </is>
      </c>
      <c r="E10" s="16" t="inlineStr">
        <is>
          <t>WHT-2007</t>
        </is>
      </c>
      <c r="F10" s="16" t="inlineStr">
        <is>
          <t>VHC-1219</t>
        </is>
      </c>
      <c r="G10" s="16" t="n"/>
      <c r="H10" s="17" t="n">
        <v>155</v>
      </c>
      <c r="I10" s="16" t="n"/>
      <c r="J10" s="16" t="n"/>
    </row>
    <row r="11">
      <c r="A11" s="16" t="n">
        <v>10</v>
      </c>
      <c r="B11" s="95" t="n">
        <v>45894</v>
      </c>
      <c r="C11" s="16" t="inlineStr">
        <is>
          <t>عصمت الله خان</t>
        </is>
      </c>
      <c r="D11" s="16" t="inlineStr">
        <is>
          <t>شيت المبيعات (عقود الجملة)</t>
        </is>
      </c>
      <c r="E11" s="16" t="inlineStr">
        <is>
          <t>WHT-2030</t>
        </is>
      </c>
      <c r="F11" s="16" t="inlineStr">
        <is>
          <t>VHC-1219</t>
        </is>
      </c>
      <c r="G11" s="16" t="n"/>
      <c r="H11" s="17" t="n">
        <v>350</v>
      </c>
      <c r="I11" s="16" t="n"/>
      <c r="J11" s="16" t="n"/>
    </row>
    <row r="12">
      <c r="A12" s="16" t="n">
        <v>11</v>
      </c>
      <c r="B12" s="95" t="n">
        <v>45895</v>
      </c>
      <c r="C12" s="16" t="inlineStr">
        <is>
          <t>عصمت الله خان</t>
        </is>
      </c>
      <c r="D12" s="16" t="inlineStr">
        <is>
          <t>شيت المبيعات (عقود الجملة)</t>
        </is>
      </c>
      <c r="E12" s="16" t="inlineStr">
        <is>
          <t>WHT-2040</t>
        </is>
      </c>
      <c r="F12" s="16" t="inlineStr">
        <is>
          <t>VHC-1219</t>
        </is>
      </c>
      <c r="G12" s="16" t="n"/>
      <c r="H12" s="17" t="n">
        <v>205</v>
      </c>
      <c r="I12" s="16" t="n"/>
      <c r="J12" s="16" t="n"/>
    </row>
    <row r="13">
      <c r="A13" s="16" t="n">
        <v>12</v>
      </c>
      <c r="B13" s="95" t="n">
        <v>45897</v>
      </c>
      <c r="C13" s="16" t="inlineStr">
        <is>
          <t>عصمت الله خان</t>
        </is>
      </c>
      <c r="D13" s="16" t="inlineStr">
        <is>
          <t>شيت المبيعات (عقود الجملة)</t>
        </is>
      </c>
      <c r="E13" s="16" t="inlineStr">
        <is>
          <t>WHT-2065</t>
        </is>
      </c>
      <c r="F13" s="16" t="inlineStr">
        <is>
          <t>VHC-1219</t>
        </is>
      </c>
      <c r="G13" s="16" t="n"/>
      <c r="H13" s="17" t="n">
        <v>62.5</v>
      </c>
      <c r="I13" s="16" t="n"/>
      <c r="J13" s="16" t="n"/>
    </row>
    <row r="14">
      <c r="A14" s="16" t="n">
        <v>13</v>
      </c>
      <c r="B14" s="95" t="n">
        <v>45901</v>
      </c>
      <c r="C14" s="16" t="inlineStr">
        <is>
          <t>عصمت الله خان</t>
        </is>
      </c>
      <c r="D14" s="16" t="inlineStr">
        <is>
          <t>شيت المبيعات (عقود الجملة)</t>
        </is>
      </c>
      <c r="E14" s="16" t="inlineStr">
        <is>
          <t>WHT-2084</t>
        </is>
      </c>
      <c r="F14" s="16" t="inlineStr">
        <is>
          <t>VHC-1219</t>
        </is>
      </c>
      <c r="G14" s="16" t="n"/>
      <c r="H14" s="17" t="n">
        <v>202.5</v>
      </c>
      <c r="I14" s="16" t="n"/>
      <c r="J14" s="16" t="n"/>
    </row>
    <row r="15">
      <c r="A15" s="16" t="n">
        <v>14</v>
      </c>
      <c r="B15" s="95" t="n">
        <v>45904</v>
      </c>
      <c r="C15" s="16" t="inlineStr">
        <is>
          <t>عصمت الله خان</t>
        </is>
      </c>
      <c r="D15" s="16" t="inlineStr">
        <is>
          <t>شيت المبيعات (عقود الجملة)</t>
        </is>
      </c>
      <c r="E15" s="16" t="inlineStr">
        <is>
          <t>WHT-2112</t>
        </is>
      </c>
      <c r="F15" s="16" t="inlineStr">
        <is>
          <t>VHC-1219</t>
        </is>
      </c>
      <c r="G15" s="16" t="n"/>
      <c r="H15" s="17" t="n">
        <v>517.5</v>
      </c>
      <c r="I15" s="16" t="n"/>
      <c r="J15" s="16" t="n"/>
    </row>
    <row r="16">
      <c r="A16" s="16" t="n">
        <v>15</v>
      </c>
      <c r="B16" s="95" t="n">
        <v>45907</v>
      </c>
      <c r="C16" s="16" t="inlineStr">
        <is>
          <t>عصمت الله خان</t>
        </is>
      </c>
      <c r="D16" s="16" t="inlineStr">
        <is>
          <t>شيت المبيعات (عقود الجملة)</t>
        </is>
      </c>
      <c r="E16" s="16" t="inlineStr">
        <is>
          <t>WHT-2144</t>
        </is>
      </c>
      <c r="F16" s="16" t="inlineStr">
        <is>
          <t>VHC-1219</t>
        </is>
      </c>
      <c r="G16" s="16" t="n"/>
      <c r="H16" s="17" t="n">
        <v>650</v>
      </c>
      <c r="I16" s="16" t="n"/>
      <c r="J16" s="16" t="n"/>
    </row>
    <row r="17">
      <c r="A17" s="16" t="n">
        <v>16</v>
      </c>
      <c r="B17" s="95" t="n">
        <v>45908</v>
      </c>
      <c r="C17" s="16" t="inlineStr">
        <is>
          <t>عصمت الله خان</t>
        </is>
      </c>
      <c r="D17" s="16" t="inlineStr">
        <is>
          <t>شيت المبيعات (عقود الجملة)</t>
        </is>
      </c>
      <c r="E17" s="16" t="inlineStr">
        <is>
          <t>WHT-2146</t>
        </is>
      </c>
      <c r="F17" s="16" t="inlineStr">
        <is>
          <t>VHC-1219</t>
        </is>
      </c>
      <c r="G17" s="16" t="n"/>
      <c r="H17" s="17" t="n">
        <v>95</v>
      </c>
      <c r="I17" s="16" t="n"/>
      <c r="J17" s="16" t="n"/>
    </row>
    <row r="18">
      <c r="A18" s="16" t="n">
        <v>17</v>
      </c>
      <c r="B18" s="95" t="n">
        <v>45909</v>
      </c>
      <c r="C18" s="16" t="inlineStr">
        <is>
          <t>عصمت الله خان</t>
        </is>
      </c>
      <c r="D18" s="16" t="inlineStr">
        <is>
          <t>شيت المبيعات (عقود الجملة)</t>
        </is>
      </c>
      <c r="E18" s="16" t="inlineStr">
        <is>
          <t>WHT-2150</t>
        </is>
      </c>
      <c r="F18" s="16" t="inlineStr">
        <is>
          <t>VHC-1219</t>
        </is>
      </c>
      <c r="G18" s="16" t="n"/>
      <c r="H18" s="17" t="n">
        <v>242.5</v>
      </c>
      <c r="I18" s="16" t="n"/>
      <c r="J18" s="16" t="n"/>
    </row>
    <row r="19">
      <c r="A19" s="16" t="n">
        <v>18</v>
      </c>
      <c r="B19" s="95" t="n">
        <v>45909</v>
      </c>
      <c r="C19" s="16" t="inlineStr">
        <is>
          <t>م/ عادل أبو خالد</t>
        </is>
      </c>
      <c r="D19" s="16" t="inlineStr">
        <is>
          <t>شيت المبيعات (عقود الجملة)</t>
        </is>
      </c>
      <c r="E19" s="16" t="inlineStr">
        <is>
          <t>WHK-2148</t>
        </is>
      </c>
      <c r="F19" s="16" t="inlineStr">
        <is>
          <t>—</t>
        </is>
      </c>
      <c r="G19" s="16" t="n"/>
      <c r="H19" s="17" t="n">
        <v>3320</v>
      </c>
      <c r="I19" s="16" t="n"/>
      <c r="J19" s="16" t="n"/>
    </row>
    <row r="20">
      <c r="A20" s="16" t="n">
        <v>19</v>
      </c>
      <c r="B20" s="95" t="n">
        <v>45911</v>
      </c>
      <c r="C20" s="16" t="inlineStr">
        <is>
          <t>عصمت الله خان</t>
        </is>
      </c>
      <c r="D20" s="16" t="inlineStr">
        <is>
          <t>شيت المبيعات (عقود الجملة)</t>
        </is>
      </c>
      <c r="E20" s="16" t="inlineStr">
        <is>
          <t>WHT-2162</t>
        </is>
      </c>
      <c r="F20" s="16" t="inlineStr">
        <is>
          <t>VHC-1219</t>
        </is>
      </c>
      <c r="G20" s="16" t="n"/>
      <c r="H20" s="17" t="n">
        <v>1827.5</v>
      </c>
      <c r="I20" s="16" t="n"/>
      <c r="J20" s="16" t="n"/>
    </row>
    <row r="21">
      <c r="A21" s="16" t="n">
        <v>20</v>
      </c>
      <c r="B21" s="95" t="n">
        <v>45915</v>
      </c>
      <c r="C21" s="16" t="inlineStr">
        <is>
          <t>عصمت الله خان</t>
        </is>
      </c>
      <c r="D21" s="16" t="inlineStr">
        <is>
          <t>شيت المبيعات (عقود الجملة)</t>
        </is>
      </c>
      <c r="E21" s="16" t="inlineStr">
        <is>
          <t>WHT-2187</t>
        </is>
      </c>
      <c r="F21" s="16" t="inlineStr">
        <is>
          <t>VHC-1219</t>
        </is>
      </c>
      <c r="G21" s="16" t="n"/>
      <c r="H21" s="17" t="n">
        <v>2260</v>
      </c>
      <c r="I21" s="16" t="n"/>
      <c r="J21" s="16" t="n"/>
    </row>
    <row r="22">
      <c r="A22" s="16" t="n">
        <v>21</v>
      </c>
      <c r="B22" s="95" t="n">
        <v>45915</v>
      </c>
      <c r="C22" s="16" t="inlineStr">
        <is>
          <t>عصمت الله خان</t>
        </is>
      </c>
      <c r="D22" s="16" t="inlineStr">
        <is>
          <t>شيت المبيعات (عقود الجملة)</t>
        </is>
      </c>
      <c r="E22" s="16" t="inlineStr">
        <is>
          <t>WHT-2199</t>
        </is>
      </c>
      <c r="F22" s="16" t="inlineStr">
        <is>
          <t>VHC-1219</t>
        </is>
      </c>
      <c r="G22" s="16" t="n"/>
      <c r="H22" s="17" t="n">
        <v>1330</v>
      </c>
      <c r="I22" s="16" t="n"/>
      <c r="J22" s="16" t="n"/>
    </row>
    <row r="23">
      <c r="A23" s="16" t="n">
        <v>22</v>
      </c>
      <c r="B23" s="95" t="n">
        <v>45916</v>
      </c>
      <c r="C23" s="16" t="inlineStr">
        <is>
          <t>عصمت الله خان</t>
        </is>
      </c>
      <c r="D23" s="16" t="inlineStr">
        <is>
          <t>شيت المبيعات (عقود الجملة)</t>
        </is>
      </c>
      <c r="E23" s="16" t="inlineStr">
        <is>
          <t>WHT-2216</t>
        </is>
      </c>
      <c r="F23" s="16" t="inlineStr">
        <is>
          <t>VHC-1219</t>
        </is>
      </c>
      <c r="G23" s="16" t="n"/>
      <c r="H23" s="17" t="n">
        <v>160</v>
      </c>
      <c r="I23" s="16" t="n"/>
      <c r="J23" s="16" t="n"/>
    </row>
    <row r="24">
      <c r="A24" s="16" t="n">
        <v>23</v>
      </c>
      <c r="B24" s="95" t="n">
        <v>45917</v>
      </c>
      <c r="C24" s="16" t="inlineStr">
        <is>
          <t>عصمت الله خان</t>
        </is>
      </c>
      <c r="D24" s="16" t="inlineStr">
        <is>
          <t>شيت المبيعات (عقود الجملة)</t>
        </is>
      </c>
      <c r="E24" s="16" t="inlineStr">
        <is>
          <t>WHT-2228</t>
        </is>
      </c>
      <c r="F24" s="16" t="inlineStr">
        <is>
          <t>VHC-1219</t>
        </is>
      </c>
      <c r="G24" s="16" t="n"/>
      <c r="H24" s="17" t="n">
        <v>180</v>
      </c>
      <c r="I24" s="16" t="n"/>
      <c r="J24" s="16" t="n"/>
    </row>
    <row r="25">
      <c r="A25" s="16" t="n">
        <v>24</v>
      </c>
      <c r="B25" s="95" t="n">
        <v>45918</v>
      </c>
      <c r="C25" s="16" t="inlineStr">
        <is>
          <t>عصمت الله خان</t>
        </is>
      </c>
      <c r="D25" s="16" t="inlineStr">
        <is>
          <t>شيت المبيعات (عقود الجملة)</t>
        </is>
      </c>
      <c r="E25" s="16" t="inlineStr">
        <is>
          <t>WHT-2244</t>
        </is>
      </c>
      <c r="F25" s="16" t="inlineStr">
        <is>
          <t>VHC-1219</t>
        </is>
      </c>
      <c r="G25" s="16" t="n"/>
      <c r="H25" s="17" t="n">
        <v>1400</v>
      </c>
      <c r="I25" s="16" t="n"/>
      <c r="J25" s="16" t="n"/>
    </row>
    <row r="26">
      <c r="A26" s="16" t="n">
        <v>25</v>
      </c>
      <c r="B26" s="95" t="n">
        <v>45920</v>
      </c>
      <c r="C26" s="16" t="inlineStr">
        <is>
          <t>عصمت الله خان</t>
        </is>
      </c>
      <c r="D26" s="16" t="inlineStr">
        <is>
          <t>شيت المبيعات (عقود الجملة)</t>
        </is>
      </c>
      <c r="E26" s="16" t="inlineStr">
        <is>
          <t>WHT-2259</t>
        </is>
      </c>
      <c r="F26" s="16" t="inlineStr">
        <is>
          <t>VHC-1219</t>
        </is>
      </c>
      <c r="G26" s="16" t="n"/>
      <c r="H26" s="17" t="n">
        <v>1305</v>
      </c>
      <c r="I26" s="16" t="n"/>
      <c r="J26" s="16" t="n"/>
    </row>
    <row r="27">
      <c r="A27" s="16" t="n">
        <v>26</v>
      </c>
      <c r="B27" s="95" t="n">
        <v>45921</v>
      </c>
      <c r="C27" s="16" t="inlineStr">
        <is>
          <t>عصمت الله خان</t>
        </is>
      </c>
      <c r="D27" s="16" t="inlineStr">
        <is>
          <t>شيت المبيعات (عقود الجملة)</t>
        </is>
      </c>
      <c r="E27" s="16" t="inlineStr">
        <is>
          <t>WHT-2261</t>
        </is>
      </c>
      <c r="F27" s="16" t="inlineStr">
        <is>
          <t>VHC-1219</t>
        </is>
      </c>
      <c r="G27" s="16" t="n"/>
      <c r="H27" s="17" t="n">
        <v>1690</v>
      </c>
      <c r="I27" s="16" t="n"/>
      <c r="J27" s="16" t="n"/>
    </row>
    <row r="28">
      <c r="A28" s="16" t="n">
        <v>27</v>
      </c>
      <c r="B28" s="95" t="n">
        <v>45922</v>
      </c>
      <c r="C28" s="16" t="inlineStr">
        <is>
          <t>عصمت الله خان</t>
        </is>
      </c>
      <c r="D28" s="16" t="inlineStr">
        <is>
          <t>شيت المبيعات (عقود الجملة)</t>
        </is>
      </c>
      <c r="E28" s="16" t="inlineStr">
        <is>
          <t>WHT-2268</t>
        </is>
      </c>
      <c r="F28" s="16" t="inlineStr">
        <is>
          <t>VHC-1219</t>
        </is>
      </c>
      <c r="G28" s="16" t="n"/>
      <c r="H28" s="17" t="n">
        <v>8812.5</v>
      </c>
      <c r="I28" s="16" t="n"/>
      <c r="J28" s="16" t="n"/>
    </row>
    <row r="29">
      <c r="A29" s="16" t="n">
        <v>28</v>
      </c>
      <c r="B29" s="95" t="n">
        <v>45923</v>
      </c>
      <c r="C29" s="16" t="inlineStr">
        <is>
          <t>م/ عادل أبو خالد</t>
        </is>
      </c>
      <c r="D29" s="16" t="inlineStr">
        <is>
          <t>شيت المبيعات (عقود الجملة)</t>
        </is>
      </c>
      <c r="E29" s="16" t="inlineStr">
        <is>
          <t>WHK-2271</t>
        </is>
      </c>
      <c r="F29" s="16" t="inlineStr">
        <is>
          <t>—</t>
        </is>
      </c>
      <c r="G29" s="16" t="n"/>
      <c r="H29" s="17" t="n">
        <v>2400</v>
      </c>
      <c r="I29" s="16" t="n"/>
      <c r="J29" s="16" t="n"/>
    </row>
    <row r="30">
      <c r="A30" s="16" t="n">
        <v>29</v>
      </c>
      <c r="B30" s="95" t="n">
        <v>45924</v>
      </c>
      <c r="C30" s="16" t="inlineStr">
        <is>
          <t>عصمت الله خان</t>
        </is>
      </c>
      <c r="D30" s="16" t="inlineStr">
        <is>
          <t>شيت المبيعات (عقود الجملة)</t>
        </is>
      </c>
      <c r="E30" s="16" t="inlineStr">
        <is>
          <t>WHT-2290</t>
        </is>
      </c>
      <c r="F30" s="16" t="inlineStr">
        <is>
          <t>VHC-1219</t>
        </is>
      </c>
      <c r="G30" s="16" t="n"/>
      <c r="H30" s="17" t="n">
        <v>4160</v>
      </c>
      <c r="I30" s="16" t="n"/>
      <c r="J30" s="16" t="n"/>
    </row>
    <row r="31">
      <c r="A31" s="16" t="n">
        <v>30</v>
      </c>
      <c r="B31" s="95" t="n">
        <v>45924</v>
      </c>
      <c r="C31" s="16" t="inlineStr">
        <is>
          <t>م/ عادل أبو خالد</t>
        </is>
      </c>
      <c r="D31" s="16" t="inlineStr">
        <is>
          <t>شيت المبيعات (عقود الجملة)</t>
        </is>
      </c>
      <c r="E31" s="16" t="inlineStr">
        <is>
          <t>WHK-2283</t>
        </is>
      </c>
      <c r="F31" s="16" t="inlineStr">
        <is>
          <t>—</t>
        </is>
      </c>
      <c r="G31" s="16" t="n"/>
      <c r="H31" s="17" t="n">
        <v>2800</v>
      </c>
      <c r="I31" s="16" t="n"/>
      <c r="J31" s="16" t="n"/>
    </row>
    <row r="32">
      <c r="A32" s="16" t="n">
        <v>31</v>
      </c>
      <c r="B32" s="95" t="n">
        <v>45925</v>
      </c>
      <c r="C32" s="16" t="inlineStr">
        <is>
          <t>عصمت الله خان</t>
        </is>
      </c>
      <c r="D32" s="16" t="inlineStr">
        <is>
          <t>شيت المبيعات (عقود الجملة)</t>
        </is>
      </c>
      <c r="E32" s="16" t="inlineStr">
        <is>
          <t>WHT-2292</t>
        </is>
      </c>
      <c r="F32" s="16" t="inlineStr">
        <is>
          <t>VHC-1219</t>
        </is>
      </c>
      <c r="G32" s="16" t="n"/>
      <c r="H32" s="17" t="n">
        <v>8860</v>
      </c>
      <c r="I32" s="16" t="n"/>
      <c r="J32" s="16" t="n"/>
    </row>
    <row r="33">
      <c r="A33" s="16" t="n">
        <v>32</v>
      </c>
      <c r="B33" s="95" t="n">
        <v>45926</v>
      </c>
      <c r="C33" s="16" t="inlineStr">
        <is>
          <t>عصمت الله خان</t>
        </is>
      </c>
      <c r="D33" s="16" t="inlineStr">
        <is>
          <t>شيت المبيعات (عقود الجملة)</t>
        </is>
      </c>
      <c r="E33" s="16" t="inlineStr">
        <is>
          <t>WHT-2296</t>
        </is>
      </c>
      <c r="F33" s="16" t="inlineStr">
        <is>
          <t>VHC-1219</t>
        </is>
      </c>
      <c r="G33" s="16" t="n"/>
      <c r="H33" s="17" t="n">
        <v>14816</v>
      </c>
      <c r="I33" s="16" t="n"/>
      <c r="J33" s="16" t="n"/>
    </row>
    <row r="34">
      <c r="A34" s="16" t="n">
        <v>33</v>
      </c>
      <c r="B34" s="95" t="n">
        <v>45929</v>
      </c>
      <c r="C34" s="16" t="inlineStr">
        <is>
          <t>م/ عادل أبو خالد</t>
        </is>
      </c>
      <c r="D34" s="16" t="inlineStr">
        <is>
          <t>شيت المبيعات (عقود الجملة)</t>
        </is>
      </c>
      <c r="E34" s="16" t="inlineStr">
        <is>
          <t>WHK-2328</t>
        </is>
      </c>
      <c r="F34" s="16" t="inlineStr">
        <is>
          <t>—</t>
        </is>
      </c>
      <c r="G34" s="16" t="n"/>
      <c r="H34" s="17" t="n">
        <v>4550</v>
      </c>
      <c r="I34" s="16" t="n"/>
      <c r="J34" s="16" t="n"/>
    </row>
    <row r="35">
      <c r="A35" s="16" t="n">
        <v>34</v>
      </c>
      <c r="B35" s="95" t="n">
        <v>45930</v>
      </c>
      <c r="C35" s="16" t="inlineStr">
        <is>
          <t>عصمت الله خان</t>
        </is>
      </c>
      <c r="D35" s="16" t="inlineStr">
        <is>
          <t>شيت المبيعات (عقود الجملة)</t>
        </is>
      </c>
      <c r="E35" s="16" t="inlineStr">
        <is>
          <t>WHT-2331</t>
        </is>
      </c>
      <c r="F35" s="16" t="inlineStr">
        <is>
          <t>VHC-1219</t>
        </is>
      </c>
      <c r="G35" s="16" t="n"/>
      <c r="H35" s="17" t="n">
        <v>2820</v>
      </c>
      <c r="I35" s="16" t="n"/>
      <c r="J35" s="16" t="n"/>
    </row>
    <row r="36">
      <c r="A36" s="16" t="n">
        <v>35</v>
      </c>
      <c r="B36" s="95" t="n">
        <v>45930</v>
      </c>
      <c r="C36" s="16" t="inlineStr">
        <is>
          <t>عصمت الله خان</t>
        </is>
      </c>
      <c r="D36" s="16" t="inlineStr">
        <is>
          <t>شيت المبيعات (عقود الجملة)</t>
        </is>
      </c>
      <c r="E36" s="16" t="inlineStr">
        <is>
          <t>WHT-2344</t>
        </is>
      </c>
      <c r="F36" s="16" t="inlineStr">
        <is>
          <t>VHC-1219</t>
        </is>
      </c>
      <c r="G36" s="16" t="n"/>
      <c r="H36" s="17" t="n">
        <v>2485</v>
      </c>
      <c r="I36" s="16" t="n"/>
      <c r="J36" s="16" t="n"/>
    </row>
    <row r="37">
      <c r="A37" s="16" t="n">
        <v>36</v>
      </c>
      <c r="B37" s="95" t="n">
        <v>45931</v>
      </c>
      <c r="C37" s="16" t="inlineStr">
        <is>
          <t>عصمت الله خان</t>
        </is>
      </c>
      <c r="D37" s="16" t="inlineStr">
        <is>
          <t>شيت المبيعات (عقود الجملة)</t>
        </is>
      </c>
      <c r="E37" s="16" t="inlineStr">
        <is>
          <t>WHT-2348</t>
        </is>
      </c>
      <c r="F37" s="16" t="inlineStr">
        <is>
          <t>VHC-1219</t>
        </is>
      </c>
      <c r="G37" s="16" t="n"/>
      <c r="H37" s="17" t="n">
        <v>3920</v>
      </c>
      <c r="I37" s="16" t="inlineStr">
        <is>
          <t>مضاف</t>
        </is>
      </c>
      <c r="J37" s="16" t="inlineStr">
        <is>
          <t>موجود في سجل العقود وسقط من شيت المحاسب (المحاسب بدأ من 9-10 رغم إدراجه عقود أقدم)</t>
        </is>
      </c>
    </row>
    <row r="38">
      <c r="A38" s="16" t="n">
        <v>37</v>
      </c>
      <c r="B38" s="95" t="n">
        <v>45932</v>
      </c>
      <c r="C38" s="16" t="inlineStr">
        <is>
          <t>عصمت الله خان</t>
        </is>
      </c>
      <c r="D38" s="16" t="inlineStr">
        <is>
          <t>شيت المبيعات (عقود الجملة)</t>
        </is>
      </c>
      <c r="E38" s="16" t="inlineStr">
        <is>
          <t>WHT-2358</t>
        </is>
      </c>
      <c r="F38" s="16" t="inlineStr">
        <is>
          <t>VHC-1219</t>
        </is>
      </c>
      <c r="G38" s="16" t="n"/>
      <c r="H38" s="17" t="n">
        <v>4910</v>
      </c>
      <c r="I38" s="16" t="inlineStr">
        <is>
          <t>مضاف</t>
        </is>
      </c>
      <c r="J38" s="16" t="inlineStr">
        <is>
          <t>موجود في سجل العقود وسقط من شيت المحاسب (المحاسب بدأ من 9-10 رغم إدراجه عقود أقدم)</t>
        </is>
      </c>
    </row>
    <row r="39">
      <c r="A39" s="16" t="n">
        <v>38</v>
      </c>
      <c r="B39" s="95" t="n">
        <v>45934</v>
      </c>
      <c r="C39" s="16" t="inlineStr">
        <is>
          <t>عصمت الله خان</t>
        </is>
      </c>
      <c r="D39" s="16" t="inlineStr">
        <is>
          <t>شيت المبيعات (عقود الجملة)</t>
        </is>
      </c>
      <c r="E39" s="16" t="inlineStr">
        <is>
          <t>WHT-2378</t>
        </is>
      </c>
      <c r="F39" s="16" t="inlineStr">
        <is>
          <t>VHC-1219</t>
        </is>
      </c>
      <c r="G39" s="16" t="n"/>
      <c r="H39" s="17" t="n">
        <v>4760</v>
      </c>
      <c r="I39" s="16" t="inlineStr">
        <is>
          <t>مضاف</t>
        </is>
      </c>
      <c r="J39" s="16" t="inlineStr">
        <is>
          <t>موجود في سجل العقود وسقط من شيت المحاسب (المحاسب بدأ من 9-10 رغم إدراجه عقود أقدم)</t>
        </is>
      </c>
    </row>
    <row r="40">
      <c r="A40" s="16" t="n">
        <v>39</v>
      </c>
      <c r="B40" s="95" t="n">
        <v>45935</v>
      </c>
      <c r="C40" s="16" t="inlineStr">
        <is>
          <t>عصمت الله خان</t>
        </is>
      </c>
      <c r="D40" s="16" t="inlineStr">
        <is>
          <t>شيت المبيعات (عقود الجملة)</t>
        </is>
      </c>
      <c r="E40" s="16" t="inlineStr">
        <is>
          <t>WHT-2756</t>
        </is>
      </c>
      <c r="F40" s="16" t="inlineStr">
        <is>
          <t>VHC-1219</t>
        </is>
      </c>
      <c r="G40" s="16" t="n"/>
      <c r="H40" s="17" t="n">
        <v>3520</v>
      </c>
      <c r="I40" s="16" t="inlineStr">
        <is>
          <t>مضاف</t>
        </is>
      </c>
      <c r="J40" s="16" t="inlineStr">
        <is>
          <t>موجود في سجل العقود فقط (بدون فاتورة مبدئية وغير مسجل بالكشف) – يحتاج تأكيد</t>
        </is>
      </c>
    </row>
    <row r="41">
      <c r="A41" s="16" t="n">
        <v>40</v>
      </c>
      <c r="B41" s="95" t="n">
        <v>45935</v>
      </c>
      <c r="C41" s="16" t="inlineStr">
        <is>
          <t>م/ عادل أبو خالد</t>
        </is>
      </c>
      <c r="D41" s="16" t="inlineStr">
        <is>
          <t>شيت المبيعات (عقود الجملة)</t>
        </is>
      </c>
      <c r="E41" s="16" t="inlineStr">
        <is>
          <t>WHK-2364</t>
        </is>
      </c>
      <c r="F41" s="16" t="inlineStr">
        <is>
          <t>—</t>
        </is>
      </c>
      <c r="G41" s="16" t="n"/>
      <c r="H41" s="17">
        <f>'مطابقة كميات عقد عرعر'!E11</f>
        <v/>
      </c>
      <c r="I41" s="16" t="inlineStr">
        <is>
          <t>صحيح (ملاحظة)</t>
        </is>
      </c>
      <c r="J41" s="16" t="inlineStr">
        <is>
          <t>عقد عرعر بالكميات الفعلية × 0.50 (بدل 440,000)</t>
        </is>
      </c>
    </row>
    <row r="42">
      <c r="A42" s="16" t="n">
        <v>41</v>
      </c>
      <c r="B42" s="95" t="n">
        <v>45936</v>
      </c>
      <c r="C42" s="16" t="inlineStr">
        <is>
          <t>عصمت الله خان</t>
        </is>
      </c>
      <c r="D42" s="16" t="inlineStr">
        <is>
          <t>شيت المبيعات (عقود الجملة)</t>
        </is>
      </c>
      <c r="E42" s="16" t="inlineStr">
        <is>
          <t>WHT-2758</t>
        </is>
      </c>
      <c r="F42" s="16" t="inlineStr">
        <is>
          <t>VHC-1219</t>
        </is>
      </c>
      <c r="G42" s="16" t="n"/>
      <c r="H42" s="17" t="n">
        <v>13290</v>
      </c>
      <c r="I42" s="16" t="inlineStr">
        <is>
          <t>مضاف</t>
        </is>
      </c>
      <c r="J42" s="16" t="inlineStr">
        <is>
          <t>موجود في سجل العقود فقط (بدون فاتورة مبدئية وغير مسجل بالكشف) – يحتاج تأكيد</t>
        </is>
      </c>
    </row>
    <row r="43">
      <c r="A43" s="16" t="n">
        <v>42</v>
      </c>
      <c r="B43" s="95" t="n">
        <v>45938</v>
      </c>
      <c r="C43" s="16" t="inlineStr">
        <is>
          <t>عصمت الله خان</t>
        </is>
      </c>
      <c r="D43" s="16" t="inlineStr">
        <is>
          <t>شيت المبيعات (عقود الجملة)</t>
        </is>
      </c>
      <c r="E43" s="16" t="inlineStr">
        <is>
          <t>WHT-2408</t>
        </is>
      </c>
      <c r="F43" s="16" t="inlineStr">
        <is>
          <t>VHC-1219</t>
        </is>
      </c>
      <c r="G43" s="16" t="n"/>
      <c r="H43" s="17" t="n">
        <v>7497.5</v>
      </c>
      <c r="I43" s="16" t="inlineStr">
        <is>
          <t>مضاف</t>
        </is>
      </c>
      <c r="J43" s="16" t="inlineStr">
        <is>
          <t>موجود في سجل العقود وسقط من شيت المحاسب (المحاسب بدأ من 9-10 رغم إدراجه عقود أقدم)</t>
        </is>
      </c>
    </row>
    <row r="44">
      <c r="A44" s="16" t="n">
        <v>43</v>
      </c>
      <c r="B44" s="95" t="n">
        <v>45938</v>
      </c>
      <c r="C44" s="16" t="inlineStr">
        <is>
          <t>م/ عادل أبو خالد</t>
        </is>
      </c>
      <c r="D44" s="16" t="inlineStr">
        <is>
          <t>شيت المبيعات (عقود الجملة)</t>
        </is>
      </c>
      <c r="E44" s="16" t="inlineStr">
        <is>
          <t>WHK-2411</t>
        </is>
      </c>
      <c r="F44" s="16" t="inlineStr">
        <is>
          <t>—</t>
        </is>
      </c>
      <c r="G44" s="16" t="n"/>
      <c r="H44" s="17" t="n">
        <v>4200</v>
      </c>
      <c r="I44" s="16" t="n"/>
      <c r="J44" s="16" t="n"/>
    </row>
    <row r="45">
      <c r="A45" s="16" t="n">
        <v>44</v>
      </c>
      <c r="B45" s="95" t="n">
        <v>45939</v>
      </c>
      <c r="C45" s="16" t="inlineStr">
        <is>
          <t>عصمت الله خان</t>
        </is>
      </c>
      <c r="D45" s="16" t="inlineStr">
        <is>
          <t>شيت المبيعات (عقود الجملة)</t>
        </is>
      </c>
      <c r="E45" s="16" t="inlineStr">
        <is>
          <t>WHT-2423</t>
        </is>
      </c>
      <c r="F45" s="16" t="inlineStr">
        <is>
          <t>VHC-1219</t>
        </is>
      </c>
      <c r="G45" s="16" t="n"/>
      <c r="H45" s="17" t="n">
        <v>5790</v>
      </c>
      <c r="I45" s="16" t="n"/>
      <c r="J45" s="16" t="n"/>
    </row>
    <row r="46">
      <c r="A46" s="16" t="n">
        <v>45</v>
      </c>
      <c r="B46" s="95" t="n">
        <v>45939</v>
      </c>
      <c r="C46" s="16" t="inlineStr">
        <is>
          <t>م/ عادل أبو خالد</t>
        </is>
      </c>
      <c r="D46" s="16" t="inlineStr">
        <is>
          <t>شيت المبيعات (عقود الجملة)</t>
        </is>
      </c>
      <c r="E46" s="16" t="inlineStr">
        <is>
          <t>WHK-2425</t>
        </is>
      </c>
      <c r="F46" s="16" t="inlineStr">
        <is>
          <t>—</t>
        </is>
      </c>
      <c r="G46" s="16" t="n"/>
      <c r="H46" s="17" t="n">
        <v>11000</v>
      </c>
      <c r="I46" s="16" t="n"/>
      <c r="J46" s="16" t="n"/>
    </row>
    <row r="47">
      <c r="A47" s="16" t="n">
        <v>46</v>
      </c>
      <c r="B47" s="95" t="n">
        <v>45941</v>
      </c>
      <c r="C47" s="16" t="inlineStr">
        <is>
          <t>عصمت الله خان</t>
        </is>
      </c>
      <c r="D47" s="16" t="inlineStr">
        <is>
          <t>شيت المبيعات (عقود الجملة)</t>
        </is>
      </c>
      <c r="E47" s="16" t="inlineStr">
        <is>
          <t>WHT-2437</t>
        </is>
      </c>
      <c r="F47" s="16" t="inlineStr">
        <is>
          <t>VHC-1219</t>
        </is>
      </c>
      <c r="G47" s="16" t="n"/>
      <c r="H47" s="17" t="n">
        <v>10270</v>
      </c>
      <c r="I47" s="16" t="n"/>
      <c r="J47" s="16" t="n"/>
    </row>
    <row r="48">
      <c r="A48" s="16" t="n">
        <v>47</v>
      </c>
      <c r="B48" s="95" t="n">
        <v>45941</v>
      </c>
      <c r="C48" s="16" t="inlineStr">
        <is>
          <t>م/ عادل أبو خالد</t>
        </is>
      </c>
      <c r="D48" s="16" t="inlineStr">
        <is>
          <t>شيت المبيعات (عقود الجملة)</t>
        </is>
      </c>
      <c r="E48" s="16" t="inlineStr">
        <is>
          <t>WHK-2434</t>
        </is>
      </c>
      <c r="F48" s="16" t="inlineStr">
        <is>
          <t>—</t>
        </is>
      </c>
      <c r="G48" s="16" t="n"/>
      <c r="H48" s="17" t="n">
        <v>70250</v>
      </c>
      <c r="I48" s="16" t="n"/>
      <c r="J48" s="16" t="n"/>
    </row>
    <row r="49">
      <c r="A49" s="16" t="n">
        <v>48</v>
      </c>
      <c r="B49" s="95" t="n">
        <v>45942</v>
      </c>
      <c r="C49" s="16" t="inlineStr">
        <is>
          <t>عصمت الله خان</t>
        </is>
      </c>
      <c r="D49" s="16" t="inlineStr">
        <is>
          <t>شيت المبيعات (عقود الجملة)</t>
        </is>
      </c>
      <c r="E49" s="16" t="inlineStr">
        <is>
          <t>WHT-2454</t>
        </is>
      </c>
      <c r="F49" s="16" t="inlineStr">
        <is>
          <t>VHC-1219</t>
        </is>
      </c>
      <c r="G49" s="16" t="n"/>
      <c r="H49" s="17" t="n">
        <v>6282.5</v>
      </c>
      <c r="I49" s="16" t="n"/>
      <c r="J49" s="16" t="n"/>
    </row>
    <row r="50">
      <c r="A50" s="16" t="n">
        <v>49</v>
      </c>
      <c r="B50" s="95" t="n">
        <v>45943</v>
      </c>
      <c r="C50" s="16" t="inlineStr">
        <is>
          <t>عصمت الله خان</t>
        </is>
      </c>
      <c r="D50" s="16" t="inlineStr">
        <is>
          <t>شيت المبيعات (عقود الجملة)</t>
        </is>
      </c>
      <c r="E50" s="16" t="inlineStr">
        <is>
          <t>WHT-2471</t>
        </is>
      </c>
      <c r="F50" s="16" t="inlineStr">
        <is>
          <t>VHC-1219</t>
        </is>
      </c>
      <c r="G50" s="16" t="n"/>
      <c r="H50" s="17" t="n">
        <v>3275</v>
      </c>
      <c r="I50" s="16" t="n"/>
      <c r="J50" s="16" t="n"/>
    </row>
    <row r="51">
      <c r="A51" s="16" t="n">
        <v>50</v>
      </c>
      <c r="B51" s="95" t="n">
        <v>45943</v>
      </c>
      <c r="C51" s="16" t="inlineStr">
        <is>
          <t>م/ عادل أبو خالد</t>
        </is>
      </c>
      <c r="D51" s="16" t="inlineStr">
        <is>
          <t>شيت المبيعات (عقود الجملة)</t>
        </is>
      </c>
      <c r="E51" s="16" t="inlineStr">
        <is>
          <t>WHK-2465</t>
        </is>
      </c>
      <c r="F51" s="16" t="inlineStr">
        <is>
          <t>—</t>
        </is>
      </c>
      <c r="G51" s="16" t="n"/>
      <c r="H51" s="17" t="n">
        <v>1750</v>
      </c>
      <c r="I51" s="16" t="n"/>
      <c r="J51" s="16" t="n"/>
    </row>
    <row r="52">
      <c r="A52" s="16" t="n">
        <v>51</v>
      </c>
      <c r="B52" s="95" t="n">
        <v>45944</v>
      </c>
      <c r="C52" s="16" t="inlineStr">
        <is>
          <t>عصمت الله خان</t>
        </is>
      </c>
      <c r="D52" s="16" t="inlineStr">
        <is>
          <t>شيت المبيعات (عقود الجملة)</t>
        </is>
      </c>
      <c r="E52" s="16" t="inlineStr">
        <is>
          <t>WHT-2483</t>
        </is>
      </c>
      <c r="F52" s="16" t="inlineStr">
        <is>
          <t>VHC-1219</t>
        </is>
      </c>
      <c r="G52" s="16" t="n"/>
      <c r="H52" s="17" t="n">
        <v>6077.5</v>
      </c>
      <c r="I52" s="16" t="n"/>
      <c r="J52" s="16" t="n"/>
    </row>
    <row r="53">
      <c r="A53" s="16" t="n">
        <v>52</v>
      </c>
      <c r="B53" s="95" t="n">
        <v>45944</v>
      </c>
      <c r="C53" s="16" t="inlineStr">
        <is>
          <t>م/ عادل أبو خالد</t>
        </is>
      </c>
      <c r="D53" s="16" t="inlineStr">
        <is>
          <t>شيت المبيعات (عقود الجملة)</t>
        </is>
      </c>
      <c r="E53" s="16" t="inlineStr">
        <is>
          <t>WHK-2480</t>
        </is>
      </c>
      <c r="F53" s="16" t="inlineStr">
        <is>
          <t>—</t>
        </is>
      </c>
      <c r="G53" s="16" t="n"/>
      <c r="H53" s="17" t="n">
        <v>412.5</v>
      </c>
      <c r="I53" s="16" t="n"/>
      <c r="J53" s="16" t="n"/>
    </row>
    <row r="54">
      <c r="A54" s="16" t="n">
        <v>53</v>
      </c>
      <c r="B54" s="95" t="n">
        <v>45945</v>
      </c>
      <c r="C54" s="16" t="inlineStr">
        <is>
          <t>عصمت الله خان</t>
        </is>
      </c>
      <c r="D54" s="16" t="inlineStr">
        <is>
          <t>شيت المبيعات (عقود الجملة)</t>
        </is>
      </c>
      <c r="E54" s="16" t="inlineStr">
        <is>
          <t>WHT-2501</t>
        </is>
      </c>
      <c r="F54" s="16" t="inlineStr">
        <is>
          <t>VHC-1219</t>
        </is>
      </c>
      <c r="G54" s="16" t="n"/>
      <c r="H54" s="17" t="n">
        <v>6087.5</v>
      </c>
      <c r="I54" s="16" t="n"/>
      <c r="J54" s="16" t="n"/>
    </row>
    <row r="55">
      <c r="A55" s="16" t="n">
        <v>54</v>
      </c>
      <c r="B55" s="95" t="n">
        <v>45945</v>
      </c>
      <c r="C55" s="16" t="inlineStr">
        <is>
          <t>م/ عادل أبو خالد</t>
        </is>
      </c>
      <c r="D55" s="16" t="inlineStr">
        <is>
          <t>شيت المبيعات (عقود الجملة)</t>
        </is>
      </c>
      <c r="E55" s="16" t="inlineStr">
        <is>
          <t>WHK-2498</t>
        </is>
      </c>
      <c r="F55" s="16" t="inlineStr">
        <is>
          <t>—</t>
        </is>
      </c>
      <c r="G55" s="16" t="n"/>
      <c r="H55" s="17" t="n">
        <v>17055</v>
      </c>
      <c r="I55" s="16" t="n"/>
      <c r="J55" s="16" t="n"/>
    </row>
    <row r="56">
      <c r="A56" s="16" t="n">
        <v>55</v>
      </c>
      <c r="B56" s="95" t="n">
        <v>45946</v>
      </c>
      <c r="C56" s="16" t="inlineStr">
        <is>
          <t>عصمت الله خان</t>
        </is>
      </c>
      <c r="D56" s="16" t="inlineStr">
        <is>
          <t>شيت المبيعات (عقود الجملة)</t>
        </is>
      </c>
      <c r="E56" s="16" t="inlineStr">
        <is>
          <t>WHT-2511</t>
        </is>
      </c>
      <c r="F56" s="16" t="inlineStr">
        <is>
          <t>VHC-1219</t>
        </is>
      </c>
      <c r="G56" s="16" t="n"/>
      <c r="H56" s="17" t="n">
        <v>3365</v>
      </c>
      <c r="I56" s="16" t="n"/>
      <c r="J56" s="16" t="n"/>
    </row>
    <row r="57">
      <c r="A57" s="16" t="n">
        <v>56</v>
      </c>
      <c r="B57" s="95" t="n">
        <v>45946</v>
      </c>
      <c r="C57" s="16" t="inlineStr">
        <is>
          <t>م/ عادل أبو خالد</t>
        </is>
      </c>
      <c r="D57" s="16" t="inlineStr">
        <is>
          <t>شيت المبيعات (عقود الجملة)</t>
        </is>
      </c>
      <c r="E57" s="16" t="inlineStr">
        <is>
          <t>WHK-2509</t>
        </is>
      </c>
      <c r="F57" s="16" t="inlineStr">
        <is>
          <t>—</t>
        </is>
      </c>
      <c r="G57" s="16" t="n"/>
      <c r="H57" s="17" t="n">
        <v>3150</v>
      </c>
      <c r="I57" s="16" t="n"/>
      <c r="J57" s="16" t="n"/>
    </row>
    <row r="58">
      <c r="A58" s="16" t="n">
        <v>57</v>
      </c>
      <c r="B58" s="95" t="n">
        <v>45948</v>
      </c>
      <c r="C58" s="16" t="inlineStr">
        <is>
          <t>م/ عادل أبو خالد</t>
        </is>
      </c>
      <c r="D58" s="16" t="inlineStr">
        <is>
          <t>شيت المبيعات (عقود الجملة)</t>
        </is>
      </c>
      <c r="E58" s="16" t="inlineStr">
        <is>
          <t>WHK-2515</t>
        </is>
      </c>
      <c r="F58" s="16" t="inlineStr">
        <is>
          <t>—</t>
        </is>
      </c>
      <c r="G58" s="16" t="n"/>
      <c r="H58" s="17" t="n">
        <v>6975</v>
      </c>
      <c r="I58" s="16" t="n"/>
      <c r="J58" s="16" t="n"/>
    </row>
    <row r="59">
      <c r="A59" s="16" t="n">
        <v>58</v>
      </c>
      <c r="B59" s="95" t="n">
        <v>45949</v>
      </c>
      <c r="C59" s="16" t="inlineStr">
        <is>
          <t>عصمت الله خان</t>
        </is>
      </c>
      <c r="D59" s="16" t="inlineStr">
        <is>
          <t>شيت المبيعات (عقود الجملة)</t>
        </is>
      </c>
      <c r="E59" s="16" t="inlineStr">
        <is>
          <t>WHT-2541</t>
        </is>
      </c>
      <c r="F59" s="16" t="inlineStr">
        <is>
          <t>VHC-1219</t>
        </is>
      </c>
      <c r="G59" s="16" t="n"/>
      <c r="H59" s="17" t="n">
        <v>8378.75</v>
      </c>
      <c r="I59" s="16" t="n"/>
      <c r="J59" s="16" t="n"/>
    </row>
    <row r="60">
      <c r="A60" s="16" t="n">
        <v>59</v>
      </c>
      <c r="B60" s="95" t="n">
        <v>45950</v>
      </c>
      <c r="C60" s="16" t="inlineStr">
        <is>
          <t>عصمت الله خان</t>
        </is>
      </c>
      <c r="D60" s="16" t="inlineStr">
        <is>
          <t>شيت المبيعات (عقود الجملة)</t>
        </is>
      </c>
      <c r="E60" s="16" t="inlineStr">
        <is>
          <t>WHT-2549</t>
        </is>
      </c>
      <c r="F60" s="16" t="inlineStr">
        <is>
          <t>VHC-1219</t>
        </is>
      </c>
      <c r="G60" s="16" t="n"/>
      <c r="H60" s="17" t="n">
        <v>6680</v>
      </c>
      <c r="I60" s="16" t="n"/>
      <c r="J60" s="16" t="n"/>
    </row>
    <row r="61">
      <c r="A61" s="16" t="n">
        <v>60</v>
      </c>
      <c r="B61" s="95" t="n">
        <v>45951</v>
      </c>
      <c r="C61" s="16" t="inlineStr">
        <is>
          <t>عصمت الله خان</t>
        </is>
      </c>
      <c r="D61" s="16" t="inlineStr">
        <is>
          <t>شيت المبيعات (عقود الجملة)</t>
        </is>
      </c>
      <c r="E61" s="16" t="inlineStr">
        <is>
          <t>WHT-2585</t>
        </is>
      </c>
      <c r="F61" s="16" t="inlineStr">
        <is>
          <t>VHC-1219</t>
        </is>
      </c>
      <c r="G61" s="16" t="n"/>
      <c r="H61" s="17" t="n">
        <v>2355</v>
      </c>
      <c r="I61" s="16" t="n"/>
      <c r="J61" s="16" t="n"/>
    </row>
    <row r="62">
      <c r="A62" s="16" t="n">
        <v>61</v>
      </c>
      <c r="B62" s="95" t="n">
        <v>45951</v>
      </c>
      <c r="C62" s="16" t="inlineStr">
        <is>
          <t>م/ عادل أبو خالد</t>
        </is>
      </c>
      <c r="D62" s="16" t="inlineStr">
        <is>
          <t>شيت المبيعات (عقود الجملة)</t>
        </is>
      </c>
      <c r="E62" s="16" t="inlineStr">
        <is>
          <t>WHK-2563</t>
        </is>
      </c>
      <c r="F62" s="16" t="inlineStr">
        <is>
          <t>—</t>
        </is>
      </c>
      <c r="G62" s="16" t="n"/>
      <c r="H62" s="17" t="n">
        <v>2925</v>
      </c>
      <c r="I62" s="16" t="n"/>
      <c r="J62" s="16" t="n"/>
    </row>
    <row r="63">
      <c r="A63" s="16" t="n">
        <v>62</v>
      </c>
      <c r="B63" s="95" t="n">
        <v>45952</v>
      </c>
      <c r="C63" s="16" t="inlineStr">
        <is>
          <t>عصمت الله خان</t>
        </is>
      </c>
      <c r="D63" s="16" t="inlineStr">
        <is>
          <t>شيت المبيعات (عقود الجملة)</t>
        </is>
      </c>
      <c r="E63" s="16" t="inlineStr">
        <is>
          <t>WHT-2596</t>
        </is>
      </c>
      <c r="F63" s="16" t="inlineStr">
        <is>
          <t>VHC-1219</t>
        </is>
      </c>
      <c r="G63" s="16" t="n"/>
      <c r="H63" s="17" t="n">
        <v>4715</v>
      </c>
      <c r="I63" s="16" t="n"/>
      <c r="J63" s="16" t="n"/>
    </row>
    <row r="64">
      <c r="A64" s="16" t="n">
        <v>63</v>
      </c>
      <c r="B64" s="95" t="n">
        <v>45952</v>
      </c>
      <c r="C64" s="16" t="inlineStr">
        <is>
          <t>م/ عادل أبو خالد</t>
        </is>
      </c>
      <c r="D64" s="16" t="inlineStr">
        <is>
          <t>شيت المبيعات (عقود الجملة)</t>
        </is>
      </c>
      <c r="E64" s="16" t="inlineStr">
        <is>
          <t>WHK-2583</t>
        </is>
      </c>
      <c r="F64" s="16" t="inlineStr">
        <is>
          <t>—</t>
        </is>
      </c>
      <c r="G64" s="16" t="n"/>
      <c r="H64" s="17" t="n">
        <v>4125</v>
      </c>
      <c r="I64" s="16" t="n"/>
      <c r="J64" s="16" t="n"/>
    </row>
    <row r="65">
      <c r="A65" s="16" t="n">
        <v>64</v>
      </c>
      <c r="B65" s="95" t="n">
        <v>45953</v>
      </c>
      <c r="C65" s="16" t="inlineStr">
        <is>
          <t>عصمت الله خان</t>
        </is>
      </c>
      <c r="D65" s="16" t="inlineStr">
        <is>
          <t>شيت المبيعات (عقود الجملة)</t>
        </is>
      </c>
      <c r="E65" s="16" t="inlineStr">
        <is>
          <t>WHT-2607</t>
        </is>
      </c>
      <c r="F65" s="16" t="inlineStr">
        <is>
          <t>VHC-1219</t>
        </is>
      </c>
      <c r="G65" s="16" t="n"/>
      <c r="H65" s="17" t="n">
        <v>5998.75</v>
      </c>
      <c r="I65" s="16" t="n"/>
      <c r="J65" s="16" t="n"/>
    </row>
    <row r="66">
      <c r="A66" s="16" t="n">
        <v>65</v>
      </c>
      <c r="B66" s="95" t="n">
        <v>45953</v>
      </c>
      <c r="C66" s="16" t="inlineStr">
        <is>
          <t>م/ عادل أبو خالد</t>
        </is>
      </c>
      <c r="D66" s="16" t="inlineStr">
        <is>
          <t>شيت المبيعات (عقود الجملة)</t>
        </is>
      </c>
      <c r="E66" s="16" t="inlineStr">
        <is>
          <t>WHK-2605</t>
        </is>
      </c>
      <c r="F66" s="16" t="inlineStr">
        <is>
          <t>—</t>
        </is>
      </c>
      <c r="G66" s="16" t="n"/>
      <c r="H66" s="17" t="n">
        <v>1331.25</v>
      </c>
      <c r="I66" s="16" t="n"/>
      <c r="J66" s="16" t="n"/>
    </row>
    <row r="67">
      <c r="A67" s="16" t="n">
        <v>66</v>
      </c>
      <c r="B67" s="95" t="n">
        <v>45955</v>
      </c>
      <c r="C67" s="16" t="inlineStr">
        <is>
          <t>عصمت الله خان</t>
        </is>
      </c>
      <c r="D67" s="16" t="inlineStr">
        <is>
          <t>شيت المبيعات (عقود الجملة)</t>
        </is>
      </c>
      <c r="E67" s="16" t="inlineStr">
        <is>
          <t>WHT-2628</t>
        </is>
      </c>
      <c r="F67" s="16" t="inlineStr">
        <is>
          <t>VHC-1219</t>
        </is>
      </c>
      <c r="G67" s="16" t="n"/>
      <c r="H67" s="17" t="n">
        <v>4885</v>
      </c>
      <c r="I67" s="16" t="n"/>
      <c r="J67" s="16" t="n"/>
    </row>
    <row r="68">
      <c r="A68" s="16" t="n">
        <v>67</v>
      </c>
      <c r="B68" s="95" t="n">
        <v>45955</v>
      </c>
      <c r="C68" s="16" t="inlineStr">
        <is>
          <t>م/ عادل أبو خالد</t>
        </is>
      </c>
      <c r="D68" s="16" t="inlineStr">
        <is>
          <t>شيت المبيعات (عقود الجملة)</t>
        </is>
      </c>
      <c r="E68" s="16" t="inlineStr">
        <is>
          <t>WHK-2626</t>
        </is>
      </c>
      <c r="F68" s="16" t="inlineStr">
        <is>
          <t>—</t>
        </is>
      </c>
      <c r="G68" s="16" t="n"/>
      <c r="H68" s="17" t="n">
        <v>2150</v>
      </c>
      <c r="I68" s="16" t="n"/>
      <c r="J68" s="16" t="n"/>
    </row>
    <row r="69">
      <c r="A69" s="16" t="n">
        <v>68</v>
      </c>
      <c r="B69" s="95" t="n">
        <v>45956</v>
      </c>
      <c r="C69" s="16" t="inlineStr">
        <is>
          <t>عصمت الله خان</t>
        </is>
      </c>
      <c r="D69" s="16" t="inlineStr">
        <is>
          <t>شيت المبيعات (عقود الجملة)</t>
        </is>
      </c>
      <c r="E69" s="16" t="inlineStr">
        <is>
          <t>WHT-2645</t>
        </is>
      </c>
      <c r="F69" s="16" t="inlineStr">
        <is>
          <t>VHC-1219</t>
        </is>
      </c>
      <c r="G69" s="16" t="n"/>
      <c r="H69" s="17" t="n">
        <v>3245</v>
      </c>
      <c r="I69" s="16" t="n"/>
      <c r="J69" s="16" t="n"/>
    </row>
    <row r="70">
      <c r="A70" s="16" t="n">
        <v>69</v>
      </c>
      <c r="B70" s="95" t="n">
        <v>45956</v>
      </c>
      <c r="C70" s="16" t="inlineStr">
        <is>
          <t>م/ عادل أبو خالد</t>
        </is>
      </c>
      <c r="D70" s="16" t="inlineStr">
        <is>
          <t>شيت المبيعات (عقود الجملة)</t>
        </is>
      </c>
      <c r="E70" s="16" t="inlineStr">
        <is>
          <t>WHK-2639</t>
        </is>
      </c>
      <c r="F70" s="16" t="inlineStr">
        <is>
          <t>—</t>
        </is>
      </c>
      <c r="G70" s="16" t="n"/>
      <c r="H70" s="17" t="n">
        <v>1125</v>
      </c>
      <c r="I70" s="16" t="n"/>
      <c r="J70" s="16" t="n"/>
    </row>
    <row r="71">
      <c r="A71" s="16" t="n">
        <v>70</v>
      </c>
      <c r="B71" s="95" t="n">
        <v>45957</v>
      </c>
      <c r="C71" s="16" t="inlineStr">
        <is>
          <t>عصمت الله خان</t>
        </is>
      </c>
      <c r="D71" s="16" t="inlineStr">
        <is>
          <t>شيت المبيعات (عقود الجملة)</t>
        </is>
      </c>
      <c r="E71" s="16" t="inlineStr">
        <is>
          <t>WHT-2660</t>
        </is>
      </c>
      <c r="F71" s="16" t="inlineStr">
        <is>
          <t>VHC-1219</t>
        </is>
      </c>
      <c r="G71" s="16" t="n"/>
      <c r="H71" s="17" t="n">
        <v>4420</v>
      </c>
      <c r="I71" s="16" t="n"/>
      <c r="J71" s="16" t="n"/>
    </row>
    <row r="72">
      <c r="A72" s="16" t="n">
        <v>71</v>
      </c>
      <c r="B72" s="95" t="n">
        <v>45957</v>
      </c>
      <c r="C72" s="16" t="inlineStr">
        <is>
          <t>م/ عادل أبو خالد</t>
        </is>
      </c>
      <c r="D72" s="16" t="inlineStr">
        <is>
          <t>شيت المبيعات (عقود الجملة)</t>
        </is>
      </c>
      <c r="E72" s="16" t="inlineStr">
        <is>
          <t>WHK-2656</t>
        </is>
      </c>
      <c r="F72" s="16" t="inlineStr">
        <is>
          <t>—</t>
        </is>
      </c>
      <c r="G72" s="16" t="n"/>
      <c r="H72" s="17" t="n">
        <v>900</v>
      </c>
      <c r="I72" s="16" t="n"/>
      <c r="J72" s="16" t="n"/>
    </row>
    <row r="73">
      <c r="A73" s="16" t="n">
        <v>72</v>
      </c>
      <c r="B73" s="95" t="n">
        <v>45958</v>
      </c>
      <c r="C73" s="16" t="inlineStr">
        <is>
          <t>عصمت الله خان</t>
        </is>
      </c>
      <c r="D73" s="16" t="inlineStr">
        <is>
          <t>شيت المبيعات (عقود الجملة)</t>
        </is>
      </c>
      <c r="E73" s="16" t="inlineStr">
        <is>
          <t>WHT-2672</t>
        </is>
      </c>
      <c r="F73" s="16" t="inlineStr">
        <is>
          <t>VHC-1219</t>
        </is>
      </c>
      <c r="G73" s="16" t="n"/>
      <c r="H73" s="17" t="n">
        <v>4645</v>
      </c>
      <c r="I73" s="16" t="n"/>
      <c r="J73" s="16" t="n"/>
    </row>
    <row r="74">
      <c r="A74" s="16" t="n">
        <v>73</v>
      </c>
      <c r="B74" s="95" t="n">
        <v>45959</v>
      </c>
      <c r="C74" s="16" t="inlineStr">
        <is>
          <t>عصمت الله خان</t>
        </is>
      </c>
      <c r="D74" s="16" t="inlineStr">
        <is>
          <t>شيت المبيعات (عقود الجملة)</t>
        </is>
      </c>
      <c r="E74" s="16" t="inlineStr">
        <is>
          <t>WHT-2682</t>
        </is>
      </c>
      <c r="F74" s="16" t="inlineStr">
        <is>
          <t>VHC-1219</t>
        </is>
      </c>
      <c r="G74" s="16" t="n"/>
      <c r="H74" s="17" t="n">
        <v>2990</v>
      </c>
      <c r="I74" s="16" t="n"/>
      <c r="J74" s="16" t="n"/>
    </row>
    <row r="75">
      <c r="A75" s="16" t="n">
        <v>74</v>
      </c>
      <c r="B75" s="95" t="n">
        <v>45960</v>
      </c>
      <c r="C75" s="16" t="inlineStr">
        <is>
          <t>عصمت الله خان</t>
        </is>
      </c>
      <c r="D75" s="16" t="inlineStr">
        <is>
          <t>شيت المبيعات (عقود الجملة)</t>
        </is>
      </c>
      <c r="E75" s="16" t="inlineStr">
        <is>
          <t>WHT-2701</t>
        </is>
      </c>
      <c r="F75" s="16" t="inlineStr">
        <is>
          <t>VHC-1219</t>
        </is>
      </c>
      <c r="G75" s="16" t="n"/>
      <c r="H75" s="17" t="n">
        <v>6225</v>
      </c>
      <c r="I75" s="16" t="n"/>
      <c r="J75" s="16" t="n"/>
    </row>
    <row r="76">
      <c r="A76" s="16" t="n">
        <v>75</v>
      </c>
      <c r="B76" s="95" t="n">
        <v>45962</v>
      </c>
      <c r="C76" s="16" t="inlineStr">
        <is>
          <t>عصمت الله خان</t>
        </is>
      </c>
      <c r="D76" s="16" t="inlineStr">
        <is>
          <t>شيت المبيعات (عقود الجملة)</t>
        </is>
      </c>
      <c r="E76" s="16" t="inlineStr">
        <is>
          <t>WHT-2714</t>
        </is>
      </c>
      <c r="F76" s="16" t="inlineStr">
        <is>
          <t>VHC-1219</t>
        </is>
      </c>
      <c r="G76" s="16" t="n"/>
      <c r="H76" s="17" t="n">
        <v>8192.5</v>
      </c>
      <c r="I76" s="16" t="n"/>
      <c r="J76" s="16" t="n"/>
    </row>
    <row r="77">
      <c r="A77" s="16" t="n">
        <v>76</v>
      </c>
      <c r="B77" s="95" t="n">
        <v>45963</v>
      </c>
      <c r="C77" s="16" t="inlineStr">
        <is>
          <t>عصمت الله خان</t>
        </is>
      </c>
      <c r="D77" s="16" t="inlineStr">
        <is>
          <t>شيت المبيعات (عقود الجملة)</t>
        </is>
      </c>
      <c r="E77" s="16" t="inlineStr">
        <is>
          <t>WHT-2743</t>
        </is>
      </c>
      <c r="F77" s="16" t="inlineStr">
        <is>
          <t>VHC-1219</t>
        </is>
      </c>
      <c r="G77" s="16" t="n"/>
      <c r="H77" s="17" t="n">
        <v>5930</v>
      </c>
      <c r="I77" s="16" t="n"/>
      <c r="J77" s="16" t="n"/>
    </row>
    <row r="78">
      <c r="A78" s="16" t="n">
        <v>77</v>
      </c>
      <c r="B78" s="95" t="n">
        <v>45963</v>
      </c>
      <c r="C78" s="16" t="inlineStr">
        <is>
          <t>م/ عادل أبو خالد</t>
        </is>
      </c>
      <c r="D78" s="16" t="inlineStr">
        <is>
          <t>شيت المبيعات (عقود الجملة)</t>
        </is>
      </c>
      <c r="E78" s="16" t="inlineStr">
        <is>
          <t>WHK-2712</t>
        </is>
      </c>
      <c r="F78" s="16" t="inlineStr">
        <is>
          <t>—</t>
        </is>
      </c>
      <c r="G78" s="16" t="n"/>
      <c r="H78" s="17" t="n">
        <v>1125</v>
      </c>
      <c r="I78" s="16" t="n"/>
      <c r="J78" s="16" t="n"/>
    </row>
    <row r="79">
      <c r="A79" s="16" t="n">
        <v>78</v>
      </c>
      <c r="B79" s="95" t="n">
        <v>45964</v>
      </c>
      <c r="C79" s="16" t="inlineStr">
        <is>
          <t>عصمت الله خان</t>
        </is>
      </c>
      <c r="D79" s="16" t="inlineStr">
        <is>
          <t>شيت المبيعات (عقود الجملة)</t>
        </is>
      </c>
      <c r="E79" s="16" t="inlineStr">
        <is>
          <t>WHT-2752</t>
        </is>
      </c>
      <c r="F79" s="16" t="inlineStr">
        <is>
          <t>VHC-1219</t>
        </is>
      </c>
      <c r="G79" s="16" t="n"/>
      <c r="H79" s="17" t="n">
        <v>5327.5</v>
      </c>
      <c r="I79" s="16" t="n"/>
      <c r="J79" s="16" t="n"/>
    </row>
    <row r="80">
      <c r="A80" s="16" t="n">
        <v>79</v>
      </c>
      <c r="B80" s="95" t="n">
        <v>45966</v>
      </c>
      <c r="C80" s="16" t="inlineStr">
        <is>
          <t>عصمت الله خان</t>
        </is>
      </c>
      <c r="D80" s="16" t="inlineStr">
        <is>
          <t>شيت المبيعات (عقود الجملة)</t>
        </is>
      </c>
      <c r="E80" s="16" t="inlineStr">
        <is>
          <t>WHT-2779</t>
        </is>
      </c>
      <c r="F80" s="16" t="inlineStr">
        <is>
          <t>VHC-1219</t>
        </is>
      </c>
      <c r="G80" s="16" t="n"/>
      <c r="H80" s="17" t="n">
        <v>7530</v>
      </c>
      <c r="I80" s="16" t="n"/>
      <c r="J80" s="16" t="n"/>
    </row>
    <row r="81">
      <c r="A81" s="16" t="n">
        <v>80</v>
      </c>
      <c r="B81" s="95" t="n">
        <v>45966</v>
      </c>
      <c r="C81" s="16" t="inlineStr">
        <is>
          <t>م/ عادل أبو خالد</t>
        </is>
      </c>
      <c r="D81" s="16" t="inlineStr">
        <is>
          <t>شيت المبيعات (عقود الجملة)</t>
        </is>
      </c>
      <c r="E81" s="16" t="inlineStr">
        <is>
          <t>WHK-2776</t>
        </is>
      </c>
      <c r="F81" s="16" t="inlineStr">
        <is>
          <t>—</t>
        </is>
      </c>
      <c r="G81" s="16" t="n"/>
      <c r="H81" s="17" t="n">
        <v>752.5</v>
      </c>
      <c r="I81" s="16" t="n"/>
      <c r="J81" s="16" t="n"/>
    </row>
    <row r="82">
      <c r="A82" s="16" t="n">
        <v>81</v>
      </c>
      <c r="B82" s="95" t="n">
        <v>45967</v>
      </c>
      <c r="C82" s="16" t="inlineStr">
        <is>
          <t>عصمت الله خان</t>
        </is>
      </c>
      <c r="D82" s="16" t="inlineStr">
        <is>
          <t>شيت المبيعات (عقود الجملة)</t>
        </is>
      </c>
      <c r="E82" s="16" t="inlineStr">
        <is>
          <t>WHT-2790</t>
        </is>
      </c>
      <c r="F82" s="16" t="inlineStr">
        <is>
          <t>VHC-1219</t>
        </is>
      </c>
      <c r="G82" s="16" t="n"/>
      <c r="H82" s="17" t="n">
        <v>7570</v>
      </c>
      <c r="I82" s="16" t="n"/>
      <c r="J82" s="16" t="n"/>
    </row>
    <row r="83">
      <c r="A83" s="16" t="n">
        <v>82</v>
      </c>
      <c r="B83" s="95" t="n">
        <v>45967</v>
      </c>
      <c r="C83" s="16" t="inlineStr">
        <is>
          <t>م/ عادل أبو خالد</t>
        </is>
      </c>
      <c r="D83" s="16" t="inlineStr">
        <is>
          <t>شيت المبيعات (عقود الجملة)</t>
        </is>
      </c>
      <c r="E83" s="16" t="inlineStr">
        <is>
          <t>WHK-2787</t>
        </is>
      </c>
      <c r="F83" s="16" t="inlineStr">
        <is>
          <t>—</t>
        </is>
      </c>
      <c r="G83" s="16" t="n"/>
      <c r="H83" s="17" t="n">
        <v>337.5</v>
      </c>
      <c r="I83" s="16" t="n"/>
      <c r="J83" s="16" t="n"/>
    </row>
    <row r="84">
      <c r="A84" s="16" t="n">
        <v>83</v>
      </c>
      <c r="B84" s="95" t="n">
        <v>45969</v>
      </c>
      <c r="C84" s="16" t="inlineStr">
        <is>
          <t>عصمت الله خان</t>
        </is>
      </c>
      <c r="D84" s="16" t="inlineStr">
        <is>
          <t>شيت المبيعات (عقود الجملة)</t>
        </is>
      </c>
      <c r="E84" s="16" t="inlineStr">
        <is>
          <t>WHT-2809</t>
        </is>
      </c>
      <c r="F84" s="16" t="inlineStr">
        <is>
          <t>VHC-1219</t>
        </is>
      </c>
      <c r="G84" s="16" t="n"/>
      <c r="H84" s="17" t="n">
        <v>4826</v>
      </c>
      <c r="I84" s="16" t="n"/>
      <c r="J84" s="16" t="n"/>
    </row>
    <row r="85">
      <c r="A85" s="16" t="n">
        <v>84</v>
      </c>
      <c r="B85" s="95" t="n">
        <v>45969</v>
      </c>
      <c r="C85" s="16" t="inlineStr">
        <is>
          <t>م/ عادل أبو خالد</t>
        </is>
      </c>
      <c r="D85" s="16" t="inlineStr">
        <is>
          <t>شيت المبيعات (عقود الجملة)</t>
        </is>
      </c>
      <c r="E85" s="16" t="inlineStr">
        <is>
          <t>WHK-2804</t>
        </is>
      </c>
      <c r="F85" s="16" t="inlineStr">
        <is>
          <t>—</t>
        </is>
      </c>
      <c r="G85" s="16" t="n"/>
      <c r="H85" s="17" t="n">
        <v>14850</v>
      </c>
      <c r="I85" s="16" t="n"/>
      <c r="J85" s="16" t="n"/>
    </row>
    <row r="86">
      <c r="A86" s="16" t="n">
        <v>85</v>
      </c>
      <c r="B86" s="95" t="n">
        <v>45970</v>
      </c>
      <c r="C86" s="16" t="inlineStr">
        <is>
          <t>عصمت الله خان</t>
        </is>
      </c>
      <c r="D86" s="16" t="inlineStr">
        <is>
          <t>شيت المبيعات (عقود الجملة)</t>
        </is>
      </c>
      <c r="E86" s="16" t="inlineStr">
        <is>
          <t>WHT-2819</t>
        </is>
      </c>
      <c r="F86" s="16" t="inlineStr">
        <is>
          <t>VHC-1219</t>
        </is>
      </c>
      <c r="G86" s="16" t="n"/>
      <c r="H86" s="17" t="n">
        <v>5310</v>
      </c>
      <c r="I86" s="16" t="n"/>
      <c r="J86" s="16" t="n"/>
    </row>
    <row r="87">
      <c r="A87" s="16" t="n">
        <v>86</v>
      </c>
      <c r="B87" s="95" t="n">
        <v>45971</v>
      </c>
      <c r="C87" s="16" t="inlineStr">
        <is>
          <t>عصمت الله خان</t>
        </is>
      </c>
      <c r="D87" s="16" t="inlineStr">
        <is>
          <t>شيت المبيعات (عقود الجملة)</t>
        </is>
      </c>
      <c r="E87" s="16" t="inlineStr">
        <is>
          <t>WHT-2840</t>
        </is>
      </c>
      <c r="F87" s="16" t="inlineStr">
        <is>
          <t>VHC-1219</t>
        </is>
      </c>
      <c r="G87" s="16" t="n"/>
      <c r="H87" s="17" t="n">
        <v>5745</v>
      </c>
      <c r="I87" s="16" t="n"/>
      <c r="J87" s="16" t="n"/>
    </row>
    <row r="88">
      <c r="A88" s="16" t="n">
        <v>87</v>
      </c>
      <c r="B88" s="95" t="n">
        <v>45971</v>
      </c>
      <c r="C88" s="16" t="inlineStr">
        <is>
          <t>م/ عادل أبو خالد</t>
        </is>
      </c>
      <c r="D88" s="16" t="inlineStr">
        <is>
          <t>شيت المبيعات (عقود الجملة)</t>
        </is>
      </c>
      <c r="E88" s="16" t="inlineStr">
        <is>
          <t>WHK-2835</t>
        </is>
      </c>
      <c r="F88" s="16" t="inlineStr">
        <is>
          <t>—</t>
        </is>
      </c>
      <c r="G88" s="16" t="n"/>
      <c r="H88" s="17" t="n">
        <v>9047.5</v>
      </c>
      <c r="I88" s="16" t="n"/>
      <c r="J88" s="16" t="n"/>
    </row>
    <row r="89">
      <c r="A89" s="16" t="n">
        <v>88</v>
      </c>
      <c r="B89" s="95" t="n">
        <v>45972</v>
      </c>
      <c r="C89" s="16" t="inlineStr">
        <is>
          <t>م/ عادل أبو خالد</t>
        </is>
      </c>
      <c r="D89" s="16" t="inlineStr">
        <is>
          <t>شيت المبيعات (عقود الجملة)</t>
        </is>
      </c>
      <c r="E89" s="16" t="inlineStr">
        <is>
          <t>WHK-2853</t>
        </is>
      </c>
      <c r="F89" s="16" t="inlineStr">
        <is>
          <t>—</t>
        </is>
      </c>
      <c r="G89" s="16" t="n"/>
      <c r="H89" s="17" t="n">
        <v>7500</v>
      </c>
      <c r="I89" s="16" t="n"/>
      <c r="J89" s="16" t="n"/>
    </row>
    <row r="90">
      <c r="A90" s="16" t="n">
        <v>89</v>
      </c>
      <c r="B90" s="95" t="n">
        <v>45973</v>
      </c>
      <c r="C90" s="16" t="inlineStr">
        <is>
          <t>عصمت الله خان</t>
        </is>
      </c>
      <c r="D90" s="16" t="inlineStr">
        <is>
          <t>شيت المبيعات (عقود الجملة)</t>
        </is>
      </c>
      <c r="E90" s="16" t="inlineStr">
        <is>
          <t>WHT-2870</t>
        </is>
      </c>
      <c r="F90" s="16" t="inlineStr">
        <is>
          <t>VHC-1219</t>
        </is>
      </c>
      <c r="G90" s="16" t="n"/>
      <c r="H90" s="17" t="n">
        <v>3112.5</v>
      </c>
      <c r="I90" s="16" t="n"/>
      <c r="J90" s="16" t="n"/>
    </row>
    <row r="91">
      <c r="A91" s="16" t="n">
        <v>90</v>
      </c>
      <c r="B91" s="95" t="n">
        <v>45973</v>
      </c>
      <c r="C91" s="16" t="inlineStr">
        <is>
          <t>م/ عادل أبو خالد</t>
        </is>
      </c>
      <c r="D91" s="16" t="inlineStr">
        <is>
          <t>شيت المبيعات (عقود الجملة)</t>
        </is>
      </c>
      <c r="E91" s="16" t="inlineStr">
        <is>
          <t>WHK-2868</t>
        </is>
      </c>
      <c r="F91" s="16" t="inlineStr">
        <is>
          <t>—</t>
        </is>
      </c>
      <c r="G91" s="16" t="n"/>
      <c r="H91" s="17" t="n">
        <v>1500</v>
      </c>
      <c r="I91" s="16" t="n"/>
      <c r="J91" s="16" t="n"/>
    </row>
    <row r="92">
      <c r="A92" s="16" t="n">
        <v>91</v>
      </c>
      <c r="B92" s="95" t="n">
        <v>45974</v>
      </c>
      <c r="C92" s="16" t="inlineStr">
        <is>
          <t>عصمت الله خان</t>
        </is>
      </c>
      <c r="D92" s="16" t="inlineStr">
        <is>
          <t>شيت المبيعات (عقود الجملة)</t>
        </is>
      </c>
      <c r="E92" s="16" t="inlineStr">
        <is>
          <t>WHT-2883</t>
        </is>
      </c>
      <c r="F92" s="16" t="inlineStr">
        <is>
          <t>VHC-1219</t>
        </is>
      </c>
      <c r="G92" s="16" t="n"/>
      <c r="H92" s="17" t="n">
        <v>4600</v>
      </c>
      <c r="I92" s="16" t="n"/>
      <c r="J92" s="16" t="n"/>
    </row>
    <row r="93">
      <c r="A93" s="16" t="n">
        <v>92</v>
      </c>
      <c r="B93" s="95" t="n">
        <v>45974</v>
      </c>
      <c r="C93" s="16" t="inlineStr">
        <is>
          <t>م/ عادل أبو خالد</t>
        </is>
      </c>
      <c r="D93" s="16" t="inlineStr">
        <is>
          <t>شيت المبيعات (عقود الجملة)</t>
        </is>
      </c>
      <c r="E93" s="16" t="inlineStr">
        <is>
          <t>WHK-2881</t>
        </is>
      </c>
      <c r="F93" s="16" t="inlineStr">
        <is>
          <t>—</t>
        </is>
      </c>
      <c r="G93" s="16" t="n"/>
      <c r="H93" s="17" t="n">
        <v>1759.5</v>
      </c>
      <c r="I93" s="16" t="n"/>
      <c r="J93" s="16" t="n"/>
    </row>
    <row r="94">
      <c r="A94" s="16" t="n">
        <v>93</v>
      </c>
      <c r="B94" s="95" t="n">
        <v>45977</v>
      </c>
      <c r="C94" s="16" t="inlineStr">
        <is>
          <t>عصمت الله خان</t>
        </is>
      </c>
      <c r="D94" s="16" t="inlineStr">
        <is>
          <t>شيت المبيعات (عقود الجملة)</t>
        </is>
      </c>
      <c r="E94" s="16" t="inlineStr">
        <is>
          <t>WHT-2897</t>
        </is>
      </c>
      <c r="F94" s="16" t="inlineStr">
        <is>
          <t>VHC-1219</t>
        </is>
      </c>
      <c r="G94" s="16" t="n"/>
      <c r="H94" s="17" t="n">
        <v>900</v>
      </c>
      <c r="I94" s="16" t="n"/>
      <c r="J94" s="16" t="n"/>
    </row>
    <row r="95">
      <c r="A95" s="16" t="n">
        <v>94</v>
      </c>
      <c r="B95" s="95" t="n">
        <v>45978</v>
      </c>
      <c r="C95" s="16" t="inlineStr">
        <is>
          <t>عصمت الله خان</t>
        </is>
      </c>
      <c r="D95" s="16" t="inlineStr">
        <is>
          <t>شيت المبيعات (عقود الجملة)</t>
        </is>
      </c>
      <c r="E95" s="16" t="inlineStr">
        <is>
          <t>WHT-2914</t>
        </is>
      </c>
      <c r="F95" s="16" t="inlineStr">
        <is>
          <t>VHC-1219</t>
        </is>
      </c>
      <c r="G95" s="16" t="n"/>
      <c r="H95" s="17" t="n">
        <v>5520</v>
      </c>
      <c r="I95" s="16" t="n"/>
      <c r="J95" s="16" t="n"/>
    </row>
    <row r="96">
      <c r="A96" s="16" t="n">
        <v>95</v>
      </c>
      <c r="B96" s="95" t="n">
        <v>45978</v>
      </c>
      <c r="C96" s="16" t="inlineStr">
        <is>
          <t>م/ عادل أبو خالد</t>
        </is>
      </c>
      <c r="D96" s="16" t="inlineStr">
        <is>
          <t>شيت المبيعات (عقود الجملة)</t>
        </is>
      </c>
      <c r="E96" s="16" t="inlineStr">
        <is>
          <t>WHK-2912</t>
        </is>
      </c>
      <c r="F96" s="16" t="inlineStr">
        <is>
          <t>—</t>
        </is>
      </c>
      <c r="G96" s="16" t="n"/>
      <c r="H96" s="17" t="n">
        <v>2650</v>
      </c>
      <c r="I96" s="16" t="n"/>
      <c r="J96" s="16" t="n"/>
    </row>
    <row r="97">
      <c r="A97" s="16" t="n">
        <v>96</v>
      </c>
      <c r="B97" s="95" t="n">
        <v>45979</v>
      </c>
      <c r="C97" s="16" t="inlineStr">
        <is>
          <t>عصمت الله خان</t>
        </is>
      </c>
      <c r="D97" s="16" t="inlineStr">
        <is>
          <t>شيت المبيعات (عقود الجملة)</t>
        </is>
      </c>
      <c r="E97" s="16" t="inlineStr">
        <is>
          <t>WHT-2951</t>
        </is>
      </c>
      <c r="F97" s="16" t="inlineStr">
        <is>
          <t>VHC-1219</t>
        </is>
      </c>
      <c r="G97" s="16" t="n"/>
      <c r="H97" s="17" t="n">
        <v>5955</v>
      </c>
      <c r="I97" s="16" t="n"/>
      <c r="J97" s="16" t="n"/>
    </row>
    <row r="98">
      <c r="A98" s="16" t="n">
        <v>97</v>
      </c>
      <c r="B98" s="95" t="n">
        <v>45980</v>
      </c>
      <c r="C98" s="16" t="inlineStr">
        <is>
          <t>عصمت الله خان</t>
        </is>
      </c>
      <c r="D98" s="16" t="inlineStr">
        <is>
          <t>شيت المبيعات (عقود الجملة)</t>
        </is>
      </c>
      <c r="E98" s="16" t="inlineStr">
        <is>
          <t>WHT-2953</t>
        </is>
      </c>
      <c r="F98" s="16" t="inlineStr">
        <is>
          <t>VHC-1219</t>
        </is>
      </c>
      <c r="G98" s="16" t="n"/>
      <c r="H98" s="17" t="n">
        <v>12742.5</v>
      </c>
      <c r="I98" s="16" t="n"/>
      <c r="J98" s="16" t="n"/>
    </row>
    <row r="99">
      <c r="A99" s="16" t="n">
        <v>98</v>
      </c>
      <c r="B99" s="95" t="n">
        <v>45981</v>
      </c>
      <c r="C99" s="16" t="inlineStr">
        <is>
          <t>عصمت الله خان</t>
        </is>
      </c>
      <c r="D99" s="16" t="inlineStr">
        <is>
          <t>شيت المبيعات (عقود الجملة)</t>
        </is>
      </c>
      <c r="E99" s="16" t="inlineStr">
        <is>
          <t>WHT-2955</t>
        </is>
      </c>
      <c r="F99" s="16" t="inlineStr">
        <is>
          <t>VHC-1219</t>
        </is>
      </c>
      <c r="G99" s="16" t="n"/>
      <c r="H99" s="17" t="n">
        <v>8847.5</v>
      </c>
      <c r="I99" s="16" t="n"/>
      <c r="J99" s="16" t="n"/>
    </row>
    <row r="100">
      <c r="A100" s="16" t="n">
        <v>99</v>
      </c>
      <c r="B100" s="95" t="n">
        <v>45981</v>
      </c>
      <c r="C100" s="16" t="inlineStr">
        <is>
          <t>م/ عادل أبو خالد</t>
        </is>
      </c>
      <c r="D100" s="16" t="inlineStr">
        <is>
          <t>شيت المبيعات (عقود الجملة)</t>
        </is>
      </c>
      <c r="E100" s="16" t="inlineStr">
        <is>
          <t>WHK-2948</t>
        </is>
      </c>
      <c r="F100" s="16" t="inlineStr">
        <is>
          <t>—</t>
        </is>
      </c>
      <c r="G100" s="16" t="n"/>
      <c r="H100" s="17" t="n">
        <v>1535</v>
      </c>
      <c r="I100" s="16" t="n"/>
      <c r="J100" s="16" t="n"/>
    </row>
    <row r="101">
      <c r="A101" s="16" t="n">
        <v>100</v>
      </c>
      <c r="B101" s="95" t="n">
        <v>45983</v>
      </c>
      <c r="C101" s="16" t="inlineStr">
        <is>
          <t>عصمت الله خان</t>
        </is>
      </c>
      <c r="D101" s="16" t="inlineStr">
        <is>
          <t>شيت المبيعات (عقود الجملة)</t>
        </is>
      </c>
      <c r="E101" s="16" t="inlineStr">
        <is>
          <t>WHT-2968</t>
        </is>
      </c>
      <c r="F101" s="16" t="inlineStr">
        <is>
          <t>VHC-1219</t>
        </is>
      </c>
      <c r="G101" s="16" t="n"/>
      <c r="H101" s="17" t="n">
        <v>10135</v>
      </c>
      <c r="I101" s="16" t="n"/>
      <c r="J101" s="16" t="n"/>
    </row>
    <row r="102">
      <c r="A102" s="16" t="n">
        <v>101</v>
      </c>
      <c r="B102" s="95" t="n">
        <v>45983</v>
      </c>
      <c r="C102" s="16" t="inlineStr">
        <is>
          <t>عماد حمدي</t>
        </is>
      </c>
      <c r="D102" s="16" t="inlineStr">
        <is>
          <t>شيت المبيعات (عقود الجملة)</t>
        </is>
      </c>
      <c r="E102" s="16" t="inlineStr">
        <is>
          <t>WHE-2973</t>
        </is>
      </c>
      <c r="F102" s="16" t="inlineStr">
        <is>
          <t>VHC-3010</t>
        </is>
      </c>
      <c r="G102" s="16" t="n"/>
      <c r="H102" s="17" t="n">
        <v>6315</v>
      </c>
      <c r="I102" s="16" t="n"/>
      <c r="J102" s="16" t="n"/>
    </row>
    <row r="103">
      <c r="A103" s="16" t="n">
        <v>102</v>
      </c>
      <c r="B103" s="95" t="n">
        <v>45984</v>
      </c>
      <c r="C103" s="16" t="inlineStr">
        <is>
          <t>عصمت الله خان</t>
        </is>
      </c>
      <c r="D103" s="16" t="inlineStr">
        <is>
          <t>شيت المبيعات (عقود الجملة)</t>
        </is>
      </c>
      <c r="E103" s="16" t="inlineStr">
        <is>
          <t>WHT-2980</t>
        </is>
      </c>
      <c r="F103" s="16" t="inlineStr">
        <is>
          <t>VHC-1219</t>
        </is>
      </c>
      <c r="G103" s="16" t="n"/>
      <c r="H103" s="17" t="n">
        <v>8455</v>
      </c>
      <c r="I103" s="16" t="n"/>
      <c r="J103" s="16" t="n"/>
    </row>
    <row r="104">
      <c r="A104" s="16" t="n">
        <v>103</v>
      </c>
      <c r="B104" s="95" t="n">
        <v>45984</v>
      </c>
      <c r="C104" s="16" t="inlineStr">
        <is>
          <t>م/ عادل أبو خالد</t>
        </is>
      </c>
      <c r="D104" s="16" t="inlineStr">
        <is>
          <t>شيت المبيعات (عقود الجملة)</t>
        </is>
      </c>
      <c r="E104" s="16" t="inlineStr">
        <is>
          <t>WHK-2971</t>
        </is>
      </c>
      <c r="F104" s="16" t="inlineStr">
        <is>
          <t>—</t>
        </is>
      </c>
      <c r="G104" s="16" t="n"/>
      <c r="H104" s="17" t="n">
        <v>6090</v>
      </c>
      <c r="I104" s="16" t="n"/>
      <c r="J104" s="16" t="n"/>
    </row>
    <row r="105">
      <c r="A105" s="16" t="n">
        <v>104</v>
      </c>
      <c r="B105" s="95" t="n">
        <v>45985</v>
      </c>
      <c r="C105" s="16" t="inlineStr">
        <is>
          <t>عصمت الله خان</t>
        </is>
      </c>
      <c r="D105" s="16" t="inlineStr">
        <is>
          <t>شيت المبيعات (عقود الجملة)</t>
        </is>
      </c>
      <c r="E105" s="16" t="inlineStr">
        <is>
          <t>WHT-2997</t>
        </is>
      </c>
      <c r="F105" s="16" t="inlineStr">
        <is>
          <t>VHC-1219</t>
        </is>
      </c>
      <c r="G105" s="16" t="n"/>
      <c r="H105" s="17" t="n">
        <v>6210</v>
      </c>
      <c r="I105" s="16" t="n"/>
      <c r="J105" s="16" t="n"/>
    </row>
    <row r="106">
      <c r="A106" s="16" t="n">
        <v>105</v>
      </c>
      <c r="B106" s="95" t="n">
        <v>45985</v>
      </c>
      <c r="C106" s="16" t="inlineStr">
        <is>
          <t>م/ عادل أبو خالد</t>
        </is>
      </c>
      <c r="D106" s="16" t="inlineStr">
        <is>
          <t>شيت المبيعات (عقود الجملة)</t>
        </is>
      </c>
      <c r="E106" s="16" t="inlineStr">
        <is>
          <t>WHK-2995</t>
        </is>
      </c>
      <c r="F106" s="16" t="inlineStr">
        <is>
          <t>—</t>
        </is>
      </c>
      <c r="G106" s="16" t="n"/>
      <c r="H106" s="17" t="n">
        <v>4200</v>
      </c>
      <c r="I106" s="16" t="n"/>
      <c r="J106" s="16" t="n"/>
    </row>
    <row r="107">
      <c r="A107" s="16" t="n">
        <v>106</v>
      </c>
      <c r="B107" s="95" t="n">
        <v>45986</v>
      </c>
      <c r="C107" s="16" t="inlineStr">
        <is>
          <t>عصمت الله خان</t>
        </is>
      </c>
      <c r="D107" s="16" t="inlineStr">
        <is>
          <t>شيت المبيعات (عقود الجملة)</t>
        </is>
      </c>
      <c r="E107" s="16" t="inlineStr">
        <is>
          <t>WHT-3009</t>
        </is>
      </c>
      <c r="F107" s="16" t="inlineStr">
        <is>
          <t>VHC-1219</t>
        </is>
      </c>
      <c r="G107" s="16" t="n"/>
      <c r="H107" s="17" t="n">
        <v>4080</v>
      </c>
      <c r="I107" s="16" t="n"/>
      <c r="J107" s="16" t="n"/>
    </row>
    <row r="108">
      <c r="A108" s="16" t="n">
        <v>107</v>
      </c>
      <c r="B108" s="95" t="n">
        <v>45987</v>
      </c>
      <c r="C108" s="16" t="inlineStr">
        <is>
          <t>عماد حمدي</t>
        </is>
      </c>
      <c r="D108" s="16" t="inlineStr">
        <is>
          <t>شيت المبيعات (عقود الجملة)</t>
        </is>
      </c>
      <c r="E108" s="16" t="inlineStr">
        <is>
          <t>WHE-3011</t>
        </is>
      </c>
      <c r="F108" s="16" t="inlineStr">
        <is>
          <t>VHC-3010</t>
        </is>
      </c>
      <c r="G108" s="16" t="n"/>
      <c r="H108" s="17" t="n">
        <v>8300.5</v>
      </c>
      <c r="I108" s="16" t="n"/>
      <c r="J108" s="16" t="n"/>
    </row>
    <row r="109">
      <c r="A109" s="16" t="n">
        <v>108</v>
      </c>
      <c r="B109" s="95" t="n">
        <v>45988</v>
      </c>
      <c r="C109" s="16" t="inlineStr">
        <is>
          <t>عصمت الله خان</t>
        </is>
      </c>
      <c r="D109" s="16" t="inlineStr">
        <is>
          <t>شيت المبيعات (عقود الجملة)</t>
        </is>
      </c>
      <c r="E109" s="16" t="inlineStr">
        <is>
          <t>WHT-3039</t>
        </is>
      </c>
      <c r="F109" s="16" t="inlineStr">
        <is>
          <t>VHC-1219</t>
        </is>
      </c>
      <c r="G109" s="16" t="n"/>
      <c r="H109" s="17" t="n">
        <v>5737.5</v>
      </c>
      <c r="I109" s="16" t="n"/>
      <c r="J109" s="16" t="n"/>
    </row>
    <row r="110">
      <c r="A110" s="16" t="n">
        <v>109</v>
      </c>
      <c r="B110" s="95" t="n">
        <v>45988</v>
      </c>
      <c r="C110" s="16" t="inlineStr">
        <is>
          <t>م/ عادل أبو خالد</t>
        </is>
      </c>
      <c r="D110" s="16" t="inlineStr">
        <is>
          <t>شيت المبيعات (عقود الجملة)</t>
        </is>
      </c>
      <c r="E110" s="16" t="inlineStr">
        <is>
          <t>WHK-3029</t>
        </is>
      </c>
      <c r="F110" s="16" t="inlineStr">
        <is>
          <t>—</t>
        </is>
      </c>
      <c r="G110" s="16" t="n"/>
      <c r="H110" s="17" t="n">
        <v>157.5</v>
      </c>
      <c r="I110" s="16" t="n"/>
      <c r="J110" s="16" t="n"/>
    </row>
    <row r="111">
      <c r="A111" s="16" t="n">
        <v>110</v>
      </c>
      <c r="B111" s="95" t="n">
        <v>45989</v>
      </c>
      <c r="C111" s="16" t="inlineStr">
        <is>
          <t>عماد حمدي</t>
        </is>
      </c>
      <c r="D111" s="16" t="inlineStr">
        <is>
          <t>شيت المبيعات (عقود الجملة)</t>
        </is>
      </c>
      <c r="E111" s="16" t="inlineStr">
        <is>
          <t>WHE-3041</t>
        </is>
      </c>
      <c r="F111" s="16" t="inlineStr">
        <is>
          <t>VHC-3010</t>
        </is>
      </c>
      <c r="G111" s="16" t="n"/>
      <c r="H111" s="17" t="n">
        <v>7387.5</v>
      </c>
      <c r="I111" s="16" t="n"/>
      <c r="J111" s="16" t="n"/>
    </row>
    <row r="112">
      <c r="A112" s="16" t="n">
        <v>111</v>
      </c>
      <c r="B112" s="95" t="n">
        <v>45990</v>
      </c>
      <c r="C112" s="16" t="inlineStr">
        <is>
          <t>عصمت الله خان</t>
        </is>
      </c>
      <c r="D112" s="16" t="inlineStr">
        <is>
          <t>شيت المبيعات (عقود الجملة)</t>
        </is>
      </c>
      <c r="E112" s="16" t="inlineStr">
        <is>
          <t>WHT-3053</t>
        </is>
      </c>
      <c r="F112" s="16" t="inlineStr">
        <is>
          <t>VHC-1219</t>
        </is>
      </c>
      <c r="G112" s="16" t="n"/>
      <c r="H112" s="17" t="n">
        <v>8065</v>
      </c>
      <c r="I112" s="16" t="n"/>
      <c r="J112" s="16" t="n"/>
    </row>
    <row r="113">
      <c r="A113" s="16" t="n">
        <v>112</v>
      </c>
      <c r="B113" s="95" t="n">
        <v>45991</v>
      </c>
      <c r="C113" s="16" t="inlineStr">
        <is>
          <t>عصمت الله خان</t>
        </is>
      </c>
      <c r="D113" s="16" t="inlineStr">
        <is>
          <t>شيت المبيعات (عقود الجملة)</t>
        </is>
      </c>
      <c r="E113" s="16" t="inlineStr">
        <is>
          <t>WHT-3074</t>
        </is>
      </c>
      <c r="F113" s="16" t="inlineStr">
        <is>
          <t>VHC-1219</t>
        </is>
      </c>
      <c r="G113" s="16" t="n"/>
      <c r="H113" s="17" t="n">
        <v>5075</v>
      </c>
      <c r="I113" s="16" t="n"/>
      <c r="J113" s="16" t="n"/>
    </row>
    <row r="114">
      <c r="A114" s="16" t="n">
        <v>113</v>
      </c>
      <c r="B114" s="95" t="n">
        <v>45991</v>
      </c>
      <c r="C114" s="16" t="inlineStr">
        <is>
          <t>عماد حمدي</t>
        </is>
      </c>
      <c r="D114" s="16" t="inlineStr">
        <is>
          <t>شيت المبيعات (عقود الجملة)</t>
        </is>
      </c>
      <c r="E114" s="16" t="inlineStr">
        <is>
          <t>WHE-3076</t>
        </is>
      </c>
      <c r="F114" s="16" t="inlineStr">
        <is>
          <t>VHC-3010</t>
        </is>
      </c>
      <c r="G114" s="16" t="n"/>
      <c r="H114" s="17" t="n">
        <v>8400</v>
      </c>
      <c r="I114" s="16" t="n"/>
      <c r="J114" s="16" t="n"/>
    </row>
    <row r="115">
      <c r="A115" s="16" t="n">
        <v>114</v>
      </c>
      <c r="B115" s="95" t="n">
        <v>45992</v>
      </c>
      <c r="C115" s="16" t="inlineStr">
        <is>
          <t>عصمت الله خان</t>
        </is>
      </c>
      <c r="D115" s="16" t="inlineStr">
        <is>
          <t>شيت المبيعات (عقود الجملة)</t>
        </is>
      </c>
      <c r="E115" s="16" t="inlineStr">
        <is>
          <t>WHT-3090</t>
        </is>
      </c>
      <c r="F115" s="16" t="inlineStr">
        <is>
          <t>VHC-1219</t>
        </is>
      </c>
      <c r="G115" s="16" t="n"/>
      <c r="H115" s="17" t="n">
        <v>6787.5</v>
      </c>
      <c r="I115" s="16" t="n"/>
      <c r="J115" s="16" t="n"/>
    </row>
    <row r="116">
      <c r="A116" s="16" t="n">
        <v>115</v>
      </c>
      <c r="B116" s="95" t="n">
        <v>45993</v>
      </c>
      <c r="C116" s="16" t="inlineStr">
        <is>
          <t>عصمت الله خان</t>
        </is>
      </c>
      <c r="D116" s="16" t="inlineStr">
        <is>
          <t>شيت المبيعات (عقود الجملة)</t>
        </is>
      </c>
      <c r="E116" s="16" t="inlineStr">
        <is>
          <t>WHT-3102</t>
        </is>
      </c>
      <c r="F116" s="16" t="inlineStr">
        <is>
          <t>VHC-1219</t>
        </is>
      </c>
      <c r="G116" s="16" t="n"/>
      <c r="H116" s="17" t="n">
        <v>2772.5</v>
      </c>
      <c r="I116" s="16" t="n"/>
      <c r="J116" s="16" t="n"/>
    </row>
    <row r="117">
      <c r="A117" s="16" t="n">
        <v>116</v>
      </c>
      <c r="B117" s="95" t="n">
        <v>45994</v>
      </c>
      <c r="C117" s="16" t="inlineStr">
        <is>
          <t>عصمت الله خان</t>
        </is>
      </c>
      <c r="D117" s="16" t="inlineStr">
        <is>
          <t>شيت المبيعات (عقود الجملة)</t>
        </is>
      </c>
      <c r="E117" s="16" t="inlineStr">
        <is>
          <t>WHT-3117</t>
        </is>
      </c>
      <c r="F117" s="16" t="inlineStr">
        <is>
          <t>VHC-1219</t>
        </is>
      </c>
      <c r="G117" s="16" t="n"/>
      <c r="H117" s="17" t="n">
        <v>4505</v>
      </c>
      <c r="I117" s="16" t="n"/>
      <c r="J117" s="16" t="n"/>
    </row>
    <row r="118">
      <c r="A118" s="16" t="n">
        <v>117</v>
      </c>
      <c r="B118" s="95" t="n">
        <v>45995</v>
      </c>
      <c r="C118" s="16" t="inlineStr">
        <is>
          <t>عصمت الله خان</t>
        </is>
      </c>
      <c r="D118" s="16" t="inlineStr">
        <is>
          <t>شيت المبيعات (عقود الجملة)</t>
        </is>
      </c>
      <c r="E118" s="16" t="inlineStr">
        <is>
          <t>WHT-3133</t>
        </is>
      </c>
      <c r="F118" s="16" t="inlineStr">
        <is>
          <t>VHC-1219</t>
        </is>
      </c>
      <c r="G118" s="16" t="n"/>
      <c r="H118" s="17" t="n">
        <v>2880</v>
      </c>
      <c r="I118" s="16" t="n"/>
      <c r="J118" s="16" t="n"/>
    </row>
    <row r="119">
      <c r="A119" s="16" t="n">
        <v>118</v>
      </c>
      <c r="B119" s="95" t="n">
        <v>45996</v>
      </c>
      <c r="C119" s="16" t="inlineStr">
        <is>
          <t>م/ عادل أبو خالد</t>
        </is>
      </c>
      <c r="D119" s="16" t="inlineStr">
        <is>
          <t>شيت المبيعات (عقود الجملة)</t>
        </is>
      </c>
      <c r="E119" s="16" t="inlineStr">
        <is>
          <t>WHK-3135</t>
        </is>
      </c>
      <c r="F119" s="16" t="inlineStr">
        <is>
          <t>—</t>
        </is>
      </c>
      <c r="G119" s="16" t="n"/>
      <c r="H119" s="17" t="n">
        <v>1680</v>
      </c>
      <c r="I119" s="16" t="n"/>
      <c r="J119" s="16" t="n"/>
    </row>
    <row r="120">
      <c r="A120" s="16" t="n">
        <v>119</v>
      </c>
      <c r="B120" s="95" t="n">
        <v>45997</v>
      </c>
      <c r="C120" s="16" t="inlineStr">
        <is>
          <t>عصمت الله خان</t>
        </is>
      </c>
      <c r="D120" s="16" t="inlineStr">
        <is>
          <t>شيت المبيعات (عقود الجملة)</t>
        </is>
      </c>
      <c r="E120" s="16" t="inlineStr">
        <is>
          <t>WHT-3150</t>
        </is>
      </c>
      <c r="F120" s="16" t="inlineStr">
        <is>
          <t>VHC-1219</t>
        </is>
      </c>
      <c r="G120" s="16" t="n"/>
      <c r="H120" s="17" t="n">
        <v>7617.5</v>
      </c>
      <c r="I120" s="16" t="n"/>
      <c r="J120" s="16" t="n"/>
    </row>
    <row r="121">
      <c r="A121" s="16" t="n">
        <v>120</v>
      </c>
      <c r="B121" s="95" t="n">
        <v>45998</v>
      </c>
      <c r="C121" s="16" t="inlineStr">
        <is>
          <t>عصمت الله خان</t>
        </is>
      </c>
      <c r="D121" s="16" t="inlineStr">
        <is>
          <t>شيت المبيعات (عقود الجملة)</t>
        </is>
      </c>
      <c r="E121" s="16" t="inlineStr">
        <is>
          <t>WHT-3162</t>
        </is>
      </c>
      <c r="F121" s="16" t="inlineStr">
        <is>
          <t>VHC-1219</t>
        </is>
      </c>
      <c r="G121" s="16" t="n"/>
      <c r="H121" s="17" t="n">
        <v>2637.5</v>
      </c>
      <c r="I121" s="16" t="n"/>
      <c r="J121" s="16" t="n"/>
    </row>
    <row r="122">
      <c r="A122" s="16" t="n">
        <v>121</v>
      </c>
      <c r="B122" s="95" t="n">
        <v>45999</v>
      </c>
      <c r="C122" s="16" t="inlineStr">
        <is>
          <t>عصمت الله خان</t>
        </is>
      </c>
      <c r="D122" s="16" t="inlineStr">
        <is>
          <t>شيت المبيعات (عقود الجملة)</t>
        </is>
      </c>
      <c r="E122" s="16" t="inlineStr">
        <is>
          <t>WHT-3173</t>
        </is>
      </c>
      <c r="F122" s="16" t="inlineStr">
        <is>
          <t>VHC-1219</t>
        </is>
      </c>
      <c r="G122" s="16" t="n"/>
      <c r="H122" s="17" t="n">
        <v>2940</v>
      </c>
      <c r="I122" s="16" t="n"/>
      <c r="J122" s="16" t="n"/>
    </row>
    <row r="123">
      <c r="A123" s="16" t="n">
        <v>122</v>
      </c>
      <c r="B123" s="95" t="n">
        <v>46000</v>
      </c>
      <c r="C123" s="16" t="inlineStr">
        <is>
          <t>عصمت الله خان</t>
        </is>
      </c>
      <c r="D123" s="16" t="inlineStr">
        <is>
          <t>شيت المبيعات (عقود الجملة)</t>
        </is>
      </c>
      <c r="E123" s="16" t="inlineStr">
        <is>
          <t>WHT-3197</t>
        </is>
      </c>
      <c r="F123" s="16" t="inlineStr">
        <is>
          <t>VHC-1219</t>
        </is>
      </c>
      <c r="G123" s="16" t="n"/>
      <c r="H123" s="17" t="n">
        <v>2546.25</v>
      </c>
      <c r="I123" s="16" t="n"/>
      <c r="J123" s="16" t="n"/>
    </row>
    <row r="124">
      <c r="A124" s="16" t="n">
        <v>123</v>
      </c>
      <c r="B124" s="95" t="n">
        <v>46001</v>
      </c>
      <c r="C124" s="16" t="inlineStr">
        <is>
          <t>عصمت الله خان</t>
        </is>
      </c>
      <c r="D124" s="16" t="inlineStr">
        <is>
          <t>شيت المبيعات (عقود الجملة)</t>
        </is>
      </c>
      <c r="E124" s="16" t="inlineStr">
        <is>
          <t>WHT-3208</t>
        </is>
      </c>
      <c r="F124" s="16" t="inlineStr">
        <is>
          <t>VHC-1219</t>
        </is>
      </c>
      <c r="G124" s="16" t="n"/>
      <c r="H124" s="17" t="n">
        <v>2253.75</v>
      </c>
      <c r="I124" s="16" t="n"/>
      <c r="J124" s="16" t="n"/>
    </row>
    <row r="125">
      <c r="A125" s="16" t="n">
        <v>124</v>
      </c>
      <c r="B125" s="95" t="n">
        <v>46002</v>
      </c>
      <c r="C125" s="16" t="inlineStr">
        <is>
          <t>عصمت الله خان</t>
        </is>
      </c>
      <c r="D125" s="16" t="inlineStr">
        <is>
          <t>شيت المبيعات (عقود الجملة)</t>
        </is>
      </c>
      <c r="E125" s="16" t="inlineStr">
        <is>
          <t>WHT-3215</t>
        </is>
      </c>
      <c r="F125" s="16" t="inlineStr">
        <is>
          <t>VHC-1219</t>
        </is>
      </c>
      <c r="G125" s="16" t="n"/>
      <c r="H125" s="17" t="n">
        <v>3075</v>
      </c>
      <c r="I125" s="16" t="n"/>
      <c r="J125" s="16" t="n"/>
    </row>
    <row r="126">
      <c r="A126" s="16" t="n">
        <v>125</v>
      </c>
      <c r="B126" s="95" t="n">
        <v>46002</v>
      </c>
      <c r="C126" s="16" t="inlineStr">
        <is>
          <t>عماد حمدي</t>
        </is>
      </c>
      <c r="D126" s="16" t="inlineStr">
        <is>
          <t>شيت المبيعات (عقود الجملة)</t>
        </is>
      </c>
      <c r="E126" s="16" t="inlineStr">
        <is>
          <t>WHE-3212</t>
        </is>
      </c>
      <c r="F126" s="16" t="inlineStr">
        <is>
          <t>VHC-3010</t>
        </is>
      </c>
      <c r="G126" s="16" t="n"/>
      <c r="H126" s="17" t="n">
        <v>10731.25</v>
      </c>
      <c r="I126" s="16" t="n"/>
      <c r="J126" s="16" t="n"/>
    </row>
    <row r="127">
      <c r="A127" s="16" t="n">
        <v>126</v>
      </c>
      <c r="B127" s="95" t="n">
        <v>46004</v>
      </c>
      <c r="C127" s="16" t="inlineStr">
        <is>
          <t>عصمت الله خان</t>
        </is>
      </c>
      <c r="D127" s="16" t="inlineStr">
        <is>
          <t>شيت المبيعات (عقود الجملة)</t>
        </is>
      </c>
      <c r="E127" s="16" t="inlineStr">
        <is>
          <t>WHT-3228</t>
        </is>
      </c>
      <c r="F127" s="16" t="inlineStr">
        <is>
          <t>VHC-1219</t>
        </is>
      </c>
      <c r="G127" s="16" t="n"/>
      <c r="H127" s="17" t="n">
        <v>1728.75</v>
      </c>
      <c r="I127" s="16" t="n"/>
      <c r="J127" s="16" t="n"/>
    </row>
    <row r="128">
      <c r="A128" s="16" t="n">
        <v>127</v>
      </c>
      <c r="B128" s="95" t="n">
        <v>46005</v>
      </c>
      <c r="C128" s="16" t="inlineStr">
        <is>
          <t>عصمت الله خان</t>
        </is>
      </c>
      <c r="D128" s="16" t="inlineStr">
        <is>
          <t>شيت المبيعات (عقود الجملة)</t>
        </is>
      </c>
      <c r="E128" s="16" t="inlineStr">
        <is>
          <t>WHT-3241</t>
        </is>
      </c>
      <c r="F128" s="16" t="inlineStr">
        <is>
          <t>VHC-1219</t>
        </is>
      </c>
      <c r="G128" s="16" t="n"/>
      <c r="H128" s="17" t="n">
        <v>1057.5</v>
      </c>
      <c r="I128" s="16" t="n"/>
      <c r="J128" s="16" t="n"/>
    </row>
    <row r="129">
      <c r="A129" s="16" t="n">
        <v>128</v>
      </c>
      <c r="B129" s="95" t="n">
        <v>46006</v>
      </c>
      <c r="C129" s="16" t="inlineStr">
        <is>
          <t>عصمت الله خان</t>
        </is>
      </c>
      <c r="D129" s="16" t="inlineStr">
        <is>
          <t>شيت المبيعات (عقود الجملة)</t>
        </is>
      </c>
      <c r="E129" s="16" t="inlineStr">
        <is>
          <t>WHT-3253</t>
        </is>
      </c>
      <c r="F129" s="16" t="inlineStr">
        <is>
          <t>VHC-1219</t>
        </is>
      </c>
      <c r="G129" s="16" t="n"/>
      <c r="H129" s="17" t="n">
        <v>5730</v>
      </c>
      <c r="I129" s="16" t="n"/>
      <c r="J129" s="16" t="n"/>
    </row>
    <row r="130">
      <c r="A130" s="16" t="n">
        <v>129</v>
      </c>
      <c r="B130" s="95" t="n">
        <v>46006</v>
      </c>
      <c r="C130" s="16" t="inlineStr">
        <is>
          <t>عماد حمدي</t>
        </is>
      </c>
      <c r="D130" s="16" t="inlineStr">
        <is>
          <t>شيت المبيعات (عقود الجملة)</t>
        </is>
      </c>
      <c r="E130" s="16" t="inlineStr">
        <is>
          <t>WHE-3245</t>
        </is>
      </c>
      <c r="F130" s="16" t="inlineStr">
        <is>
          <t>VHC-3010</t>
        </is>
      </c>
      <c r="G130" s="16" t="n"/>
      <c r="H130" s="17" t="n">
        <v>4845.5</v>
      </c>
      <c r="I130" s="16" t="n"/>
      <c r="J130" s="16" t="n"/>
    </row>
    <row r="131">
      <c r="A131" s="16" t="n">
        <v>130</v>
      </c>
      <c r="B131" s="95" t="n">
        <v>46006</v>
      </c>
      <c r="C131" s="16" t="inlineStr">
        <is>
          <t>م/ عادل أبو خالد</t>
        </is>
      </c>
      <c r="D131" s="16" t="inlineStr">
        <is>
          <t>شيت المبيعات (عقود الجملة)</t>
        </is>
      </c>
      <c r="E131" s="16" t="inlineStr">
        <is>
          <t>WHK-3243</t>
        </is>
      </c>
      <c r="F131" s="16" t="inlineStr">
        <is>
          <t>—</t>
        </is>
      </c>
      <c r="G131" s="16" t="n"/>
      <c r="H131" s="17" t="n">
        <v>1875</v>
      </c>
      <c r="I131" s="16" t="n"/>
      <c r="J131" s="16" t="n"/>
    </row>
    <row r="132">
      <c r="A132" s="16" t="n">
        <v>131</v>
      </c>
      <c r="B132" s="95" t="n">
        <v>46007</v>
      </c>
      <c r="C132" s="16" t="inlineStr">
        <is>
          <t>عصمت الله خان</t>
        </is>
      </c>
      <c r="D132" s="16" t="inlineStr">
        <is>
          <t>شيت المبيعات (عقود الجملة)</t>
        </is>
      </c>
      <c r="E132" s="16" t="inlineStr">
        <is>
          <t>WHT-3266</t>
        </is>
      </c>
      <c r="F132" s="16" t="inlineStr">
        <is>
          <t>VHC-1219</t>
        </is>
      </c>
      <c r="G132" s="16" t="n"/>
      <c r="H132" s="17" t="n">
        <v>7080</v>
      </c>
      <c r="I132" s="16" t="n"/>
      <c r="J132" s="16" t="n"/>
    </row>
    <row r="133">
      <c r="A133" s="16" t="n">
        <v>132</v>
      </c>
      <c r="B133" s="95" t="n">
        <v>46008</v>
      </c>
      <c r="C133" s="16" t="inlineStr">
        <is>
          <t>عصمت الله خان</t>
        </is>
      </c>
      <c r="D133" s="16" t="inlineStr">
        <is>
          <t>شيت المبيعات (عقود الجملة)</t>
        </is>
      </c>
      <c r="E133" s="16" t="inlineStr">
        <is>
          <t>WHT-3270</t>
        </is>
      </c>
      <c r="F133" s="16" t="inlineStr">
        <is>
          <t>VHC-1219</t>
        </is>
      </c>
      <c r="G133" s="16" t="n"/>
      <c r="H133" s="17" t="n">
        <v>1785</v>
      </c>
      <c r="I133" s="16" t="n"/>
      <c r="J133" s="16" t="n"/>
    </row>
    <row r="134">
      <c r="A134" s="16" t="n">
        <v>133</v>
      </c>
      <c r="B134" s="95" t="n">
        <v>46008</v>
      </c>
      <c r="C134" s="16" t="inlineStr">
        <is>
          <t>عماد حمدي</t>
        </is>
      </c>
      <c r="D134" s="16" t="inlineStr">
        <is>
          <t>شيت المبيعات (عقود الجملة)</t>
        </is>
      </c>
      <c r="E134" s="16" t="inlineStr">
        <is>
          <t>WHE-3274</t>
        </is>
      </c>
      <c r="F134" s="16" t="inlineStr">
        <is>
          <t>VHC-3010</t>
        </is>
      </c>
      <c r="G134" s="16" t="n"/>
      <c r="H134" s="17" t="n">
        <v>6818.5</v>
      </c>
      <c r="I134" s="16" t="n"/>
      <c r="J134" s="16" t="n"/>
    </row>
    <row r="135">
      <c r="A135" s="16" t="n">
        <v>134</v>
      </c>
      <c r="B135" s="95" t="n">
        <v>46011</v>
      </c>
      <c r="C135" s="16" t="inlineStr">
        <is>
          <t>عصمت الله خان</t>
        </is>
      </c>
      <c r="D135" s="16" t="inlineStr">
        <is>
          <t>شيت المبيعات (عقود الجملة)</t>
        </is>
      </c>
      <c r="E135" s="16" t="inlineStr">
        <is>
          <t>WHT-3294</t>
        </is>
      </c>
      <c r="F135" s="16" t="inlineStr">
        <is>
          <t>VHC-1219</t>
        </is>
      </c>
      <c r="G135" s="16" t="n"/>
      <c r="H135" s="17" t="n">
        <v>885</v>
      </c>
      <c r="I135" s="16" t="n"/>
      <c r="J135" s="16" t="n"/>
    </row>
    <row r="136">
      <c r="A136" s="16" t="n">
        <v>135</v>
      </c>
      <c r="B136" s="95" t="n">
        <v>46012</v>
      </c>
      <c r="C136" s="16" t="inlineStr">
        <is>
          <t>عصمت الله خان</t>
        </is>
      </c>
      <c r="D136" s="16" t="inlineStr">
        <is>
          <t>شيت المبيعات (عقود الجملة)</t>
        </is>
      </c>
      <c r="E136" s="16" t="inlineStr">
        <is>
          <t>WHT-3303</t>
        </is>
      </c>
      <c r="F136" s="16" t="inlineStr">
        <is>
          <t>VHC-1219</t>
        </is>
      </c>
      <c r="G136" s="16" t="n"/>
      <c r="H136" s="17" t="n">
        <v>970</v>
      </c>
      <c r="I136" s="16" t="n"/>
      <c r="J136" s="16" t="n"/>
    </row>
    <row r="137">
      <c r="A137" s="16" t="n">
        <v>136</v>
      </c>
      <c r="B137" s="95" t="n">
        <v>46013</v>
      </c>
      <c r="C137" s="16" t="inlineStr">
        <is>
          <t>عصمت الله خان</t>
        </is>
      </c>
      <c r="D137" s="16" t="inlineStr">
        <is>
          <t>شيت المبيعات (عقود الجملة)</t>
        </is>
      </c>
      <c r="E137" s="16" t="inlineStr">
        <is>
          <t>WHT-3316</t>
        </is>
      </c>
      <c r="F137" s="16" t="inlineStr">
        <is>
          <t>VHC-1219</t>
        </is>
      </c>
      <c r="G137" s="16" t="n"/>
      <c r="H137" s="17" t="n">
        <v>615</v>
      </c>
      <c r="I137" s="16" t="n"/>
      <c r="J137" s="16" t="n"/>
    </row>
    <row r="138">
      <c r="A138" s="16" t="n">
        <v>137</v>
      </c>
      <c r="B138" s="95" t="n">
        <v>46014</v>
      </c>
      <c r="C138" s="16" t="inlineStr">
        <is>
          <t>عصمت الله خان</t>
        </is>
      </c>
      <c r="D138" s="16" t="inlineStr">
        <is>
          <t>شيت المبيعات (عقود الجملة)</t>
        </is>
      </c>
      <c r="E138" s="16" t="inlineStr">
        <is>
          <t>WHT-3329</t>
        </is>
      </c>
      <c r="F138" s="16" t="inlineStr">
        <is>
          <t>VHC-1219</t>
        </is>
      </c>
      <c r="G138" s="16" t="n"/>
      <c r="H138" s="17" t="n">
        <v>1380</v>
      </c>
      <c r="I138" s="16" t="n"/>
      <c r="J138" s="16" t="n"/>
    </row>
    <row r="139">
      <c r="A139" s="16" t="n">
        <v>138</v>
      </c>
      <c r="B139" s="95" t="n">
        <v>46015</v>
      </c>
      <c r="C139" s="16" t="inlineStr">
        <is>
          <t>عصمت الله خان</t>
        </is>
      </c>
      <c r="D139" s="16" t="inlineStr">
        <is>
          <t>شيت المبيعات (عقود الجملة)</t>
        </is>
      </c>
      <c r="E139" s="16" t="inlineStr">
        <is>
          <t>WHT-3343</t>
        </is>
      </c>
      <c r="F139" s="16" t="inlineStr">
        <is>
          <t>VHC-1219</t>
        </is>
      </c>
      <c r="G139" s="16" t="n"/>
      <c r="H139" s="17" t="n">
        <v>870</v>
      </c>
      <c r="I139" s="16" t="n"/>
      <c r="J139" s="16" t="n"/>
    </row>
    <row r="140">
      <c r="A140" s="16" t="n">
        <v>139</v>
      </c>
      <c r="B140" s="95" t="n">
        <v>46016</v>
      </c>
      <c r="C140" s="16" t="inlineStr">
        <is>
          <t>عصمت الله خان</t>
        </is>
      </c>
      <c r="D140" s="16" t="inlineStr">
        <is>
          <t>شيت المبيعات (عقود الجملة)</t>
        </is>
      </c>
      <c r="E140" s="16" t="inlineStr">
        <is>
          <t>WHT-3349</t>
        </is>
      </c>
      <c r="F140" s="16" t="inlineStr">
        <is>
          <t>VHC-1219</t>
        </is>
      </c>
      <c r="G140" s="16" t="n"/>
      <c r="H140" s="17" t="n">
        <v>1541.25</v>
      </c>
      <c r="I140" s="16" t="n"/>
      <c r="J140" s="16" t="n"/>
    </row>
    <row r="141">
      <c r="A141" s="16" t="n">
        <v>140</v>
      </c>
      <c r="B141" s="95" t="n">
        <v>46018</v>
      </c>
      <c r="C141" s="16" t="inlineStr">
        <is>
          <t>عصمت الله خان</t>
        </is>
      </c>
      <c r="D141" s="16" t="inlineStr">
        <is>
          <t>شيت المبيعات (عقود الجملة)</t>
        </is>
      </c>
      <c r="E141" s="16" t="inlineStr">
        <is>
          <t>WHT-3355</t>
        </is>
      </c>
      <c r="F141" s="16" t="inlineStr">
        <is>
          <t>VHC-1219</t>
        </is>
      </c>
      <c r="G141" s="16" t="n"/>
      <c r="H141" s="17" t="n">
        <v>4845</v>
      </c>
      <c r="I141" s="16" t="n"/>
      <c r="J141" s="16" t="n"/>
    </row>
    <row r="142">
      <c r="A142" s="16" t="n">
        <v>141</v>
      </c>
      <c r="B142" s="95" t="n">
        <v>46019</v>
      </c>
      <c r="C142" s="16" t="inlineStr">
        <is>
          <t>عصمت الله خان</t>
        </is>
      </c>
      <c r="D142" s="16" t="inlineStr">
        <is>
          <t>شيت المبيعات (عقود الجملة)</t>
        </is>
      </c>
      <c r="E142" s="16" t="inlineStr">
        <is>
          <t>WHT-3368</t>
        </is>
      </c>
      <c r="F142" s="16" t="inlineStr">
        <is>
          <t>VHC-1219</t>
        </is>
      </c>
      <c r="G142" s="16" t="n"/>
      <c r="H142" s="17" t="n">
        <v>1245</v>
      </c>
      <c r="I142" s="16" t="n"/>
      <c r="J142" s="16" t="n"/>
    </row>
    <row r="143">
      <c r="A143" s="16" t="n">
        <v>142</v>
      </c>
      <c r="B143" s="95" t="n">
        <v>46020</v>
      </c>
      <c r="C143" s="16" t="inlineStr">
        <is>
          <t>عصمت الله خان</t>
        </is>
      </c>
      <c r="D143" s="16" t="inlineStr">
        <is>
          <t>شيت المبيعات (عقود الجملة)</t>
        </is>
      </c>
      <c r="E143" s="16" t="inlineStr">
        <is>
          <t>WHT-3379</t>
        </is>
      </c>
      <c r="F143" s="16" t="inlineStr">
        <is>
          <t>VHC-1219</t>
        </is>
      </c>
      <c r="G143" s="16" t="n"/>
      <c r="H143" s="17" t="n">
        <v>1132.5</v>
      </c>
      <c r="I143" s="16" t="n"/>
      <c r="J143" s="16" t="n"/>
    </row>
    <row r="144">
      <c r="A144" s="16" t="n">
        <v>143</v>
      </c>
      <c r="B144" s="95" t="n">
        <v>46021</v>
      </c>
      <c r="C144" s="16" t="inlineStr">
        <is>
          <t>عصمت الله خان</t>
        </is>
      </c>
      <c r="D144" s="16" t="inlineStr">
        <is>
          <t>شيت المبيعات (عقود الجملة)</t>
        </is>
      </c>
      <c r="E144" s="16" t="inlineStr">
        <is>
          <t>WHT-3404</t>
        </is>
      </c>
      <c r="F144" s="16" t="inlineStr">
        <is>
          <t>VHC-1219</t>
        </is>
      </c>
      <c r="G144" s="16" t="n"/>
      <c r="H144" s="17" t="n">
        <v>2630</v>
      </c>
      <c r="I144" s="16" t="n"/>
      <c r="J144" s="16" t="n"/>
    </row>
    <row r="145">
      <c r="A145" s="16" t="n">
        <v>144</v>
      </c>
      <c r="B145" s="95" t="n">
        <v>46021</v>
      </c>
      <c r="C145" s="16" t="inlineStr">
        <is>
          <t>عماد حمدي</t>
        </is>
      </c>
      <c r="D145" s="16" t="inlineStr">
        <is>
          <t>شيت المبيعات (عقود الجملة)</t>
        </is>
      </c>
      <c r="E145" s="16" t="inlineStr">
        <is>
          <t>WHE-3402</t>
        </is>
      </c>
      <c r="F145" s="16" t="inlineStr">
        <is>
          <t>VHC-3010</t>
        </is>
      </c>
      <c r="G145" s="16" t="n"/>
      <c r="H145" s="17" t="n">
        <v>6097.5</v>
      </c>
      <c r="I145" s="16" t="n"/>
      <c r="J145" s="16" t="n"/>
    </row>
    <row r="146">
      <c r="A146" s="16" t="n">
        <v>145</v>
      </c>
      <c r="B146" s="95" t="n">
        <v>46021</v>
      </c>
      <c r="C146" s="16" t="inlineStr">
        <is>
          <t>م/ عادل أبو خالد</t>
        </is>
      </c>
      <c r="D146" s="16" t="inlineStr">
        <is>
          <t>شيت المبيعات (عقود الجملة)</t>
        </is>
      </c>
      <c r="E146" s="16" t="inlineStr">
        <is>
          <t>WHK-3400</t>
        </is>
      </c>
      <c r="F146" s="16" t="inlineStr">
        <is>
          <t>—</t>
        </is>
      </c>
      <c r="G146" s="16" t="n"/>
      <c r="H146" s="17" t="n">
        <v>505</v>
      </c>
      <c r="I146" s="16" t="inlineStr">
        <is>
          <t>مضاف</t>
        </is>
      </c>
      <c r="J146" s="16" t="inlineStr">
        <is>
          <t>فاتورة مبدئية 103 ومسجلة بكشف الحساب – سقطت من شيت المحاسب</t>
        </is>
      </c>
    </row>
    <row r="147">
      <c r="A147" s="16" t="n">
        <v>146</v>
      </c>
      <c r="B147" s="95" t="n">
        <v>46023</v>
      </c>
      <c r="C147" s="16" t="inlineStr">
        <is>
          <t>عصمت الله خان</t>
        </is>
      </c>
      <c r="D147" s="16" t="inlineStr">
        <is>
          <t>شيت المبيعات (عقود الجملة)</t>
        </is>
      </c>
      <c r="E147" s="16" t="inlineStr">
        <is>
          <t>WHT-3426</t>
        </is>
      </c>
      <c r="F147" s="16" t="inlineStr">
        <is>
          <t>VHC-1219</t>
        </is>
      </c>
      <c r="G147" s="16" t="n"/>
      <c r="H147" s="17" t="n">
        <v>790</v>
      </c>
      <c r="I147" s="16" t="n"/>
      <c r="J147" s="16" t="n"/>
    </row>
    <row r="148">
      <c r="A148" s="16" t="n">
        <v>147</v>
      </c>
      <c r="B148" s="95" t="n">
        <v>46024</v>
      </c>
      <c r="C148" s="16" t="inlineStr">
        <is>
          <t>عماد حمدي</t>
        </is>
      </c>
      <c r="D148" s="16" t="inlineStr">
        <is>
          <t>شيت المبيعات (عقود الجملة)</t>
        </is>
      </c>
      <c r="E148" s="16" t="inlineStr">
        <is>
          <t>WHE-3424</t>
        </is>
      </c>
      <c r="F148" s="16" t="inlineStr">
        <is>
          <t>VHC-3010</t>
        </is>
      </c>
      <c r="G148" s="16" t="n"/>
      <c r="H148" s="17" t="n">
        <v>6577.5</v>
      </c>
      <c r="I148" s="16" t="n"/>
      <c r="J148" s="16" t="n"/>
    </row>
    <row r="149">
      <c r="A149" s="16" t="n">
        <v>148</v>
      </c>
      <c r="B149" s="95" t="n">
        <v>46025</v>
      </c>
      <c r="C149" s="16" t="inlineStr">
        <is>
          <t>عصمت الله خان</t>
        </is>
      </c>
      <c r="D149" s="16" t="inlineStr">
        <is>
          <t>شيت المبيعات (عقود الجملة)</t>
        </is>
      </c>
      <c r="E149" s="16" t="inlineStr">
        <is>
          <t>WHT-3431</t>
        </is>
      </c>
      <c r="F149" s="16" t="inlineStr">
        <is>
          <t>VHC-1219</t>
        </is>
      </c>
      <c r="G149" s="16" t="n"/>
      <c r="H149" s="17" t="n">
        <v>1412.5</v>
      </c>
      <c r="I149" s="16" t="n"/>
      <c r="J149" s="16" t="n"/>
    </row>
    <row r="150">
      <c r="A150" s="16" t="n">
        <v>149</v>
      </c>
      <c r="B150" s="95" t="n">
        <v>46026</v>
      </c>
      <c r="C150" s="16" t="inlineStr">
        <is>
          <t>عصمت الله خان</t>
        </is>
      </c>
      <c r="D150" s="16" t="inlineStr">
        <is>
          <t>شيت المبيعات (عقود الجملة)</t>
        </is>
      </c>
      <c r="E150" s="16" t="inlineStr">
        <is>
          <t>WHT-3448</t>
        </is>
      </c>
      <c r="F150" s="16" t="inlineStr">
        <is>
          <t>VHC-1219</t>
        </is>
      </c>
      <c r="G150" s="16" t="n"/>
      <c r="H150" s="17" t="n">
        <v>42695</v>
      </c>
      <c r="I150" s="16" t="n"/>
      <c r="J150" s="16" t="n"/>
    </row>
    <row r="151">
      <c r="A151" s="16" t="n">
        <v>150</v>
      </c>
      <c r="B151" s="95" t="n">
        <v>46027</v>
      </c>
      <c r="C151" s="16" t="inlineStr">
        <is>
          <t>عصمت الله خان</t>
        </is>
      </c>
      <c r="D151" s="16" t="inlineStr">
        <is>
          <t>شيت المبيعات (عقود الجملة)</t>
        </is>
      </c>
      <c r="E151" s="16" t="inlineStr">
        <is>
          <t>WHT-3464</t>
        </is>
      </c>
      <c r="F151" s="16" t="inlineStr">
        <is>
          <t>VHC-1219</t>
        </is>
      </c>
      <c r="G151" s="16" t="n"/>
      <c r="H151" s="17" t="n">
        <v>1972.5</v>
      </c>
      <c r="I151" s="16" t="n"/>
      <c r="J151" s="16" t="n"/>
    </row>
    <row r="152">
      <c r="A152" s="16" t="n">
        <v>151</v>
      </c>
      <c r="B152" s="95" t="n">
        <v>46027</v>
      </c>
      <c r="C152" s="16" t="inlineStr">
        <is>
          <t>عماد حمدي</t>
        </is>
      </c>
      <c r="D152" s="16" t="inlineStr">
        <is>
          <t>شيت المبيعات (عقود الجملة)</t>
        </is>
      </c>
      <c r="E152" s="16" t="inlineStr">
        <is>
          <t>WHE-3475</t>
        </is>
      </c>
      <c r="F152" s="16" t="inlineStr">
        <is>
          <t>VHC-3010</t>
        </is>
      </c>
      <c r="G152" s="16" t="n"/>
      <c r="H152" s="17" t="n">
        <v>8985</v>
      </c>
      <c r="I152" s="16" t="n"/>
      <c r="J152" s="16" t="n"/>
    </row>
    <row r="153">
      <c r="A153" s="16" t="n">
        <v>152</v>
      </c>
      <c r="B153" s="95" t="n">
        <v>46028</v>
      </c>
      <c r="C153" s="16" t="inlineStr">
        <is>
          <t>عصمت الله خان</t>
        </is>
      </c>
      <c r="D153" s="16" t="inlineStr">
        <is>
          <t>شيت المبيعات (عقود الجملة)</t>
        </is>
      </c>
      <c r="E153" s="16" t="inlineStr">
        <is>
          <t>WHT-3488</t>
        </is>
      </c>
      <c r="F153" s="16" t="inlineStr">
        <is>
          <t>VHC-1219</t>
        </is>
      </c>
      <c r="G153" s="16" t="n"/>
      <c r="H153" s="17" t="n">
        <v>3500</v>
      </c>
      <c r="I153" s="16" t="n"/>
      <c r="J153" s="16" t="n"/>
    </row>
    <row r="154">
      <c r="A154" s="16" t="n">
        <v>153</v>
      </c>
      <c r="B154" s="95" t="n">
        <v>46029</v>
      </c>
      <c r="C154" s="16" t="inlineStr">
        <is>
          <t>عصمت الله خان</t>
        </is>
      </c>
      <c r="D154" s="16" t="inlineStr">
        <is>
          <t>شيت المبيعات (عقود الجملة)</t>
        </is>
      </c>
      <c r="E154" s="16" t="inlineStr">
        <is>
          <t>WHT-3496</t>
        </is>
      </c>
      <c r="F154" s="16" t="inlineStr">
        <is>
          <t>VHC-1219</t>
        </is>
      </c>
      <c r="G154" s="16" t="n"/>
      <c r="H154" s="17" t="n">
        <v>1095</v>
      </c>
      <c r="I154" s="16" t="n"/>
      <c r="J154" s="16" t="n"/>
    </row>
    <row r="155">
      <c r="A155" s="16" t="n">
        <v>154</v>
      </c>
      <c r="B155" s="95" t="n">
        <v>46030</v>
      </c>
      <c r="C155" s="16" t="inlineStr">
        <is>
          <t>عصمت الله خان</t>
        </is>
      </c>
      <c r="D155" s="16" t="inlineStr">
        <is>
          <t>شيت المبيعات (عقود الجملة)</t>
        </is>
      </c>
      <c r="E155" s="16" t="inlineStr">
        <is>
          <t>WHT-3503</t>
        </is>
      </c>
      <c r="F155" s="16" t="inlineStr">
        <is>
          <t>VHC-1219</t>
        </is>
      </c>
      <c r="G155" s="16" t="n"/>
      <c r="H155" s="17" t="n">
        <v>2020</v>
      </c>
      <c r="I155" s="16" t="n"/>
      <c r="J155" s="16" t="n"/>
    </row>
    <row r="156">
      <c r="A156" s="16" t="n">
        <v>155</v>
      </c>
      <c r="B156" s="95" t="n">
        <v>46032</v>
      </c>
      <c r="C156" s="16" t="inlineStr">
        <is>
          <t>عصمت الله خان</t>
        </is>
      </c>
      <c r="D156" s="16" t="inlineStr">
        <is>
          <t>شيت المبيعات (عقود الجملة)</t>
        </is>
      </c>
      <c r="E156" s="16" t="inlineStr">
        <is>
          <t>WHT-3518</t>
        </is>
      </c>
      <c r="F156" s="16" t="inlineStr">
        <is>
          <t>VHC-1219</t>
        </is>
      </c>
      <c r="G156" s="16" t="n"/>
      <c r="H156" s="17" t="n">
        <v>2175</v>
      </c>
      <c r="I156" s="16" t="n"/>
      <c r="J156" s="16" t="n"/>
    </row>
    <row r="157">
      <c r="A157" s="16" t="n">
        <v>156</v>
      </c>
      <c r="B157" s="95" t="n">
        <v>46034</v>
      </c>
      <c r="C157" s="16" t="inlineStr">
        <is>
          <t>عصمت الله خان</t>
        </is>
      </c>
      <c r="D157" s="16" t="inlineStr">
        <is>
          <t>شيت المبيعات (عقود الجملة)</t>
        </is>
      </c>
      <c r="E157" s="16" t="inlineStr">
        <is>
          <t>WHT-3543</t>
        </is>
      </c>
      <c r="F157" s="16" t="inlineStr">
        <is>
          <t>VHC-1219</t>
        </is>
      </c>
      <c r="G157" s="16" t="n"/>
      <c r="H157" s="17" t="n">
        <v>5655</v>
      </c>
      <c r="I157" s="16" t="n"/>
      <c r="J157" s="16" t="n"/>
    </row>
    <row r="158">
      <c r="A158" s="16" t="n">
        <v>157</v>
      </c>
      <c r="B158" s="95" t="n">
        <v>46035</v>
      </c>
      <c r="C158" s="16" t="inlineStr">
        <is>
          <t>عصمت الله خان</t>
        </is>
      </c>
      <c r="D158" s="16" t="inlineStr">
        <is>
          <t>شيت المبيعات (عقود الجملة)</t>
        </is>
      </c>
      <c r="E158" s="16" t="inlineStr">
        <is>
          <t>WHT-3549</t>
        </is>
      </c>
      <c r="F158" s="16" t="inlineStr">
        <is>
          <t>VHC-1219</t>
        </is>
      </c>
      <c r="G158" s="16" t="n"/>
      <c r="H158" s="17" t="n">
        <v>2130</v>
      </c>
      <c r="I158" s="16" t="n"/>
      <c r="J158" s="16" t="n"/>
    </row>
    <row r="159">
      <c r="A159" s="16" t="n">
        <v>158</v>
      </c>
      <c r="B159" s="95" t="n">
        <v>46036</v>
      </c>
      <c r="C159" s="16" t="inlineStr">
        <is>
          <t>عصمت الله خان</t>
        </is>
      </c>
      <c r="D159" s="16" t="inlineStr">
        <is>
          <t>شيت المبيعات (عقود الجملة)</t>
        </is>
      </c>
      <c r="E159" s="16" t="inlineStr">
        <is>
          <t>WHT-3560</t>
        </is>
      </c>
      <c r="F159" s="16" t="inlineStr">
        <is>
          <t>VHC-1219</t>
        </is>
      </c>
      <c r="G159" s="16" t="n"/>
      <c r="H159" s="17" t="n">
        <v>2250</v>
      </c>
      <c r="I159" s="16" t="n"/>
      <c r="J159" s="16" t="n"/>
    </row>
    <row r="160">
      <c r="A160" s="16" t="n">
        <v>159</v>
      </c>
      <c r="B160" s="95" t="n">
        <v>46037</v>
      </c>
      <c r="C160" s="16" t="inlineStr">
        <is>
          <t>عصمت الله خان</t>
        </is>
      </c>
      <c r="D160" s="16" t="inlineStr">
        <is>
          <t>شيت المبيعات (عقود الجملة)</t>
        </is>
      </c>
      <c r="E160" s="16" t="inlineStr">
        <is>
          <t>WHT-3568</t>
        </is>
      </c>
      <c r="F160" s="16" t="inlineStr">
        <is>
          <t>VHC-1219</t>
        </is>
      </c>
      <c r="G160" s="16" t="n"/>
      <c r="H160" s="17" t="n">
        <v>2205</v>
      </c>
      <c r="I160" s="16" t="n"/>
      <c r="J160" s="16" t="n"/>
    </row>
    <row r="161">
      <c r="A161" s="16" t="n">
        <v>160</v>
      </c>
      <c r="B161" s="95" t="n">
        <v>46037</v>
      </c>
      <c r="C161" s="16" t="inlineStr">
        <is>
          <t>عماد حمدي</t>
        </is>
      </c>
      <c r="D161" s="16" t="inlineStr">
        <is>
          <t>شيت المبيعات (عقود الجملة)</t>
        </is>
      </c>
      <c r="E161" s="16" t="inlineStr">
        <is>
          <t>WHE-3570</t>
        </is>
      </c>
      <c r="F161" s="16" t="inlineStr">
        <is>
          <t>VHC-3010</t>
        </is>
      </c>
      <c r="G161" s="16" t="n"/>
      <c r="H161" s="17" t="n">
        <v>8562.5</v>
      </c>
      <c r="I161" s="16" t="n"/>
      <c r="J161" s="16" t="n"/>
    </row>
    <row r="162">
      <c r="A162" s="16" t="n">
        <v>161</v>
      </c>
      <c r="B162" s="95" t="n">
        <v>46039</v>
      </c>
      <c r="C162" s="16" t="inlineStr">
        <is>
          <t>عصمت الله خان</t>
        </is>
      </c>
      <c r="D162" s="16" t="inlineStr">
        <is>
          <t>شيت المبيعات (عقود الجملة)</t>
        </is>
      </c>
      <c r="E162" s="16" t="inlineStr">
        <is>
          <t>WHT-3580</t>
        </is>
      </c>
      <c r="F162" s="16" t="inlineStr">
        <is>
          <t>VHC-1219</t>
        </is>
      </c>
      <c r="G162" s="16" t="n"/>
      <c r="H162" s="17" t="n">
        <v>3227.5</v>
      </c>
      <c r="I162" s="16" t="n"/>
      <c r="J162" s="16" t="n"/>
    </row>
    <row r="163">
      <c r="A163" s="16" t="n">
        <v>162</v>
      </c>
      <c r="B163" s="95" t="n">
        <v>46040</v>
      </c>
      <c r="C163" s="16" t="inlineStr">
        <is>
          <t>عصمت الله خان</t>
        </is>
      </c>
      <c r="D163" s="16" t="inlineStr">
        <is>
          <t>شيت المبيعات (عقود الجملة)</t>
        </is>
      </c>
      <c r="E163" s="16" t="inlineStr">
        <is>
          <t>WHT-3591</t>
        </is>
      </c>
      <c r="F163" s="16" t="inlineStr">
        <is>
          <t>VHC-1219</t>
        </is>
      </c>
      <c r="G163" s="16" t="n"/>
      <c r="H163" s="17" t="n">
        <v>3225</v>
      </c>
      <c r="I163" s="16" t="n"/>
      <c r="J163" s="16" t="n"/>
    </row>
    <row r="164">
      <c r="A164" s="16" t="n">
        <v>163</v>
      </c>
      <c r="B164" s="95" t="n">
        <v>46041</v>
      </c>
      <c r="C164" s="16" t="inlineStr">
        <is>
          <t>عصمت الله خان</t>
        </is>
      </c>
      <c r="D164" s="16" t="inlineStr">
        <is>
          <t>شيت المبيعات (عقود الجملة)</t>
        </is>
      </c>
      <c r="E164" s="16" t="inlineStr">
        <is>
          <t>WHT-3603</t>
        </is>
      </c>
      <c r="F164" s="16" t="inlineStr">
        <is>
          <t>VHC-1219</t>
        </is>
      </c>
      <c r="G164" s="16" t="n"/>
      <c r="H164" s="17" t="n">
        <v>2347.5</v>
      </c>
      <c r="I164" s="16" t="n"/>
      <c r="J164" s="16" t="n"/>
    </row>
    <row r="165">
      <c r="A165" s="16" t="n">
        <v>164</v>
      </c>
      <c r="B165" s="95" t="n">
        <v>46042</v>
      </c>
      <c r="C165" s="16" t="inlineStr">
        <is>
          <t>عماد حمدي</t>
        </is>
      </c>
      <c r="D165" s="16" t="inlineStr">
        <is>
          <t>شيت المبيعات (عقود الجملة)</t>
        </is>
      </c>
      <c r="E165" s="16" t="inlineStr">
        <is>
          <t>WHE-3615</t>
        </is>
      </c>
      <c r="F165" s="16" t="inlineStr">
        <is>
          <t>VHC-3010</t>
        </is>
      </c>
      <c r="G165" s="16" t="n"/>
      <c r="H165" s="17" t="n">
        <v>6699.5</v>
      </c>
      <c r="I165" s="16" t="n"/>
      <c r="J165" s="16" t="n"/>
    </row>
    <row r="166">
      <c r="A166" s="16" t="n">
        <v>165</v>
      </c>
      <c r="B166" s="95" t="n">
        <v>46044</v>
      </c>
      <c r="C166" s="16" t="inlineStr">
        <is>
          <t>عصمت الله خان</t>
        </is>
      </c>
      <c r="D166" s="16" t="inlineStr">
        <is>
          <t>شيت المبيعات (عقود الجملة)</t>
        </is>
      </c>
      <c r="E166" s="16" t="inlineStr">
        <is>
          <t>WHT-3623</t>
        </is>
      </c>
      <c r="F166" s="16" t="inlineStr">
        <is>
          <t>VHC-1219</t>
        </is>
      </c>
      <c r="G166" s="16" t="n"/>
      <c r="H166" s="17" t="n">
        <v>3382.5</v>
      </c>
      <c r="I166" s="16" t="n"/>
      <c r="J166" s="16" t="n"/>
    </row>
    <row r="167">
      <c r="A167" s="16" t="n">
        <v>166</v>
      </c>
      <c r="B167" s="95" t="n">
        <v>46046</v>
      </c>
      <c r="C167" s="16" t="inlineStr">
        <is>
          <t>عصمت الله خان</t>
        </is>
      </c>
      <c r="D167" s="16" t="inlineStr">
        <is>
          <t>شيت المبيعات (عقود الجملة)</t>
        </is>
      </c>
      <c r="E167" s="16" t="inlineStr">
        <is>
          <t>WHT-3629</t>
        </is>
      </c>
      <c r="F167" s="16" t="inlineStr">
        <is>
          <t>VHC-1219</t>
        </is>
      </c>
      <c r="G167" s="16" t="n"/>
      <c r="H167" s="17" t="n">
        <v>2430</v>
      </c>
      <c r="I167" s="16" t="n"/>
      <c r="J167" s="16" t="n"/>
    </row>
    <row r="168">
      <c r="A168" s="16" t="n">
        <v>167</v>
      </c>
      <c r="B168" s="95" t="n">
        <v>46047</v>
      </c>
      <c r="C168" s="16" t="inlineStr">
        <is>
          <t>عصمت الله خان</t>
        </is>
      </c>
      <c r="D168" s="16" t="inlineStr">
        <is>
          <t>شيت المبيعات (عقود الجملة)</t>
        </is>
      </c>
      <c r="E168" s="16" t="inlineStr">
        <is>
          <t>WHT-3633</t>
        </is>
      </c>
      <c r="F168" s="16" t="inlineStr">
        <is>
          <t>VHC-1219</t>
        </is>
      </c>
      <c r="G168" s="16" t="n"/>
      <c r="H168" s="17" t="n">
        <v>1852.5</v>
      </c>
      <c r="I168" s="16" t="n"/>
      <c r="J168" s="16" t="n"/>
    </row>
    <row r="169">
      <c r="A169" s="16" t="n">
        <v>168</v>
      </c>
      <c r="B169" s="95" t="n">
        <v>46048</v>
      </c>
      <c r="C169" s="16" t="inlineStr">
        <is>
          <t>عصمت الله خان</t>
        </is>
      </c>
      <c r="D169" s="16" t="inlineStr">
        <is>
          <t>شيت المبيعات (عقود الجملة)</t>
        </is>
      </c>
      <c r="E169" s="16" t="inlineStr">
        <is>
          <t>WHT-3654</t>
        </is>
      </c>
      <c r="F169" s="16" t="inlineStr">
        <is>
          <t>VHC-1219</t>
        </is>
      </c>
      <c r="G169" s="16" t="n"/>
      <c r="H169" s="17" t="n">
        <v>2622.5</v>
      </c>
      <c r="I169" s="16" t="n"/>
      <c r="J169" s="16" t="n"/>
    </row>
    <row r="170">
      <c r="A170" s="16" t="n">
        <v>169</v>
      </c>
      <c r="B170" s="95" t="n">
        <v>46048</v>
      </c>
      <c r="C170" s="16" t="inlineStr">
        <is>
          <t>عماد حمدي</t>
        </is>
      </c>
      <c r="D170" s="16" t="inlineStr">
        <is>
          <t>شيت المبيعات (عقود الجملة)</t>
        </is>
      </c>
      <c r="E170" s="16" t="inlineStr">
        <is>
          <t>WHE-3657</t>
        </is>
      </c>
      <c r="F170" s="16" t="inlineStr">
        <is>
          <t>VHC-3010</t>
        </is>
      </c>
      <c r="G170" s="16" t="n"/>
      <c r="H170" s="17" t="n">
        <v>4881.25</v>
      </c>
      <c r="I170" s="16" t="n"/>
      <c r="J170" s="16" t="n"/>
    </row>
    <row r="171">
      <c r="A171" s="16" t="n">
        <v>170</v>
      </c>
      <c r="B171" s="95" t="n">
        <v>46049</v>
      </c>
      <c r="C171" s="16" t="inlineStr">
        <is>
          <t>عصمت الله خان</t>
        </is>
      </c>
      <c r="D171" s="16" t="inlineStr">
        <is>
          <t>شيت المبيعات (عقود الجملة)</t>
        </is>
      </c>
      <c r="E171" s="16" t="inlineStr">
        <is>
          <t>WHT-3679</t>
        </is>
      </c>
      <c r="F171" s="16" t="inlineStr">
        <is>
          <t>VHC-1219</t>
        </is>
      </c>
      <c r="G171" s="16" t="n"/>
      <c r="H171" s="17" t="n">
        <v>1172.5</v>
      </c>
      <c r="I171" s="16" t="n"/>
      <c r="J171" s="16" t="n"/>
    </row>
    <row r="172">
      <c r="A172" s="16" t="n">
        <v>171</v>
      </c>
      <c r="B172" s="95" t="n">
        <v>46050</v>
      </c>
      <c r="C172" s="16" t="inlineStr">
        <is>
          <t>عصمت الله خان</t>
        </is>
      </c>
      <c r="D172" s="16" t="inlineStr">
        <is>
          <t>شيت المبيعات (عقود الجملة)</t>
        </is>
      </c>
      <c r="E172" s="16" t="inlineStr">
        <is>
          <t>WHT-3687</t>
        </is>
      </c>
      <c r="F172" s="16" t="inlineStr">
        <is>
          <t>VHC-1219</t>
        </is>
      </c>
      <c r="G172" s="16" t="n"/>
      <c r="H172" s="17" t="n">
        <v>6142.5</v>
      </c>
      <c r="I172" s="16" t="n"/>
      <c r="J172" s="16" t="n"/>
    </row>
    <row r="173">
      <c r="A173" s="16" t="n">
        <v>172</v>
      </c>
      <c r="B173" s="95" t="n">
        <v>46051</v>
      </c>
      <c r="C173" s="16" t="inlineStr">
        <is>
          <t>عصمت الله خان</t>
        </is>
      </c>
      <c r="D173" s="16" t="inlineStr">
        <is>
          <t>شيت المبيعات (عقود الجملة)</t>
        </is>
      </c>
      <c r="E173" s="16" t="inlineStr">
        <is>
          <t>WHT-3697</t>
        </is>
      </c>
      <c r="F173" s="16" t="inlineStr">
        <is>
          <t>VHC-1219</t>
        </is>
      </c>
      <c r="G173" s="16" t="n"/>
      <c r="H173" s="17" t="n">
        <v>2850</v>
      </c>
      <c r="I173" s="16" t="n"/>
      <c r="J173" s="16" t="n"/>
    </row>
    <row r="174">
      <c r="A174" s="16" t="n">
        <v>173</v>
      </c>
      <c r="B174" s="95" t="n">
        <v>46053</v>
      </c>
      <c r="C174" s="16" t="inlineStr">
        <is>
          <t>عصمت الله خان</t>
        </is>
      </c>
      <c r="D174" s="16" t="inlineStr">
        <is>
          <t>شيت المبيعات (عقود الجملة)</t>
        </is>
      </c>
      <c r="E174" s="16" t="inlineStr">
        <is>
          <t>WHT-3700</t>
        </is>
      </c>
      <c r="F174" s="16" t="inlineStr">
        <is>
          <t>VHC-1219</t>
        </is>
      </c>
      <c r="G174" s="16" t="n"/>
      <c r="H174" s="17" t="n">
        <v>5397.5</v>
      </c>
      <c r="I174" s="16" t="n"/>
      <c r="J174" s="16" t="n"/>
    </row>
    <row r="175">
      <c r="A175" s="16" t="n">
        <v>174</v>
      </c>
      <c r="B175" s="95" t="n">
        <v>46053</v>
      </c>
      <c r="C175" s="16" t="inlineStr">
        <is>
          <t>عماد حمدي</t>
        </is>
      </c>
      <c r="D175" s="16" t="inlineStr">
        <is>
          <t>شيت المبيعات (عقود الجملة)</t>
        </is>
      </c>
      <c r="E175" s="16" t="inlineStr">
        <is>
          <t>WHE-3702</t>
        </is>
      </c>
      <c r="F175" s="16" t="inlineStr">
        <is>
          <t>VHC-3010</t>
        </is>
      </c>
      <c r="G175" s="16" t="n"/>
      <c r="H175" s="17" t="n">
        <v>4311.25</v>
      </c>
      <c r="I175" s="16" t="n"/>
      <c r="J175" s="16" t="n"/>
    </row>
    <row r="176">
      <c r="A176" s="16" t="n">
        <v>175</v>
      </c>
      <c r="B176" s="95" t="n">
        <v>46054</v>
      </c>
      <c r="C176" s="16" t="inlineStr">
        <is>
          <t>عصمت الله خان</t>
        </is>
      </c>
      <c r="D176" s="16" t="inlineStr">
        <is>
          <t>شيت المبيعات (عقود الجملة)</t>
        </is>
      </c>
      <c r="E176" s="16" t="inlineStr">
        <is>
          <t>WHT-3716</t>
        </is>
      </c>
      <c r="F176" s="16" t="inlineStr">
        <is>
          <t>VHC-1219</t>
        </is>
      </c>
      <c r="G176" s="16" t="n"/>
      <c r="H176" s="17" t="n">
        <v>4575</v>
      </c>
      <c r="I176" s="16" t="n"/>
      <c r="J176" s="16" t="n"/>
    </row>
    <row r="177">
      <c r="A177" s="16" t="n">
        <v>176</v>
      </c>
      <c r="B177" s="95" t="n">
        <v>46055</v>
      </c>
      <c r="C177" s="16" t="inlineStr">
        <is>
          <t>عصمت الله خان</t>
        </is>
      </c>
      <c r="D177" s="16" t="inlineStr">
        <is>
          <t>شيت المبيعات (عقود الجملة)</t>
        </is>
      </c>
      <c r="E177" s="16" t="inlineStr">
        <is>
          <t>WHT-3732</t>
        </is>
      </c>
      <c r="F177" s="16" t="inlineStr">
        <is>
          <t>VHC-1219</t>
        </is>
      </c>
      <c r="G177" s="16" t="n"/>
      <c r="H177" s="17" t="n">
        <v>4887.5</v>
      </c>
      <c r="I177" s="16" t="n"/>
      <c r="J177" s="16" t="n"/>
    </row>
    <row r="178">
      <c r="A178" s="16" t="n">
        <v>177</v>
      </c>
      <c r="B178" s="95" t="n">
        <v>46056</v>
      </c>
      <c r="C178" s="16" t="inlineStr">
        <is>
          <t>عصمت الله خان</t>
        </is>
      </c>
      <c r="D178" s="16" t="inlineStr">
        <is>
          <t>شيت المبيعات (عقود الجملة)</t>
        </is>
      </c>
      <c r="E178" s="16" t="inlineStr">
        <is>
          <t>WHT-3746</t>
        </is>
      </c>
      <c r="F178" s="16" t="inlineStr">
        <is>
          <t>VHC-1219</t>
        </is>
      </c>
      <c r="G178" s="16" t="n"/>
      <c r="H178" s="17" t="n">
        <v>3750</v>
      </c>
      <c r="I178" s="16" t="n"/>
      <c r="J178" s="16" t="n"/>
    </row>
    <row r="179">
      <c r="A179" s="16" t="n">
        <v>178</v>
      </c>
      <c r="B179" s="95" t="n">
        <v>46056</v>
      </c>
      <c r="C179" s="16" t="inlineStr">
        <is>
          <t>عماد حمدي</t>
        </is>
      </c>
      <c r="D179" s="16" t="inlineStr">
        <is>
          <t>شيت المبيعات (عقود الجملة)</t>
        </is>
      </c>
      <c r="E179" s="16" t="inlineStr">
        <is>
          <t>WHE-3748</t>
        </is>
      </c>
      <c r="F179" s="16" t="inlineStr">
        <is>
          <t>VHC-3010</t>
        </is>
      </c>
      <c r="G179" s="16" t="n"/>
      <c r="H179" s="17" t="n">
        <v>5237.5</v>
      </c>
      <c r="I179" s="16" t="n"/>
      <c r="J179" s="16" t="n"/>
    </row>
    <row r="180">
      <c r="A180" s="16" t="n">
        <v>179</v>
      </c>
      <c r="B180" s="95" t="n">
        <v>46057</v>
      </c>
      <c r="C180" s="16" t="inlineStr">
        <is>
          <t>عصمت الله خان</t>
        </is>
      </c>
      <c r="D180" s="16" t="inlineStr">
        <is>
          <t>شيت المبيعات (عقود الجملة)</t>
        </is>
      </c>
      <c r="E180" s="16" t="inlineStr">
        <is>
          <t>WHT-3755</t>
        </is>
      </c>
      <c r="F180" s="16" t="inlineStr">
        <is>
          <t>VHC-1219</t>
        </is>
      </c>
      <c r="G180" s="16" t="n"/>
      <c r="H180" s="17" t="n">
        <v>5205</v>
      </c>
      <c r="I180" s="16" t="n"/>
      <c r="J180" s="16" t="n"/>
    </row>
    <row r="181">
      <c r="A181" s="16" t="n">
        <v>180</v>
      </c>
      <c r="B181" s="95" t="n">
        <v>46058</v>
      </c>
      <c r="C181" s="16" t="inlineStr">
        <is>
          <t>عصمت الله خان</t>
        </is>
      </c>
      <c r="D181" s="16" t="inlineStr">
        <is>
          <t>شيت المبيعات (عقود الجملة)</t>
        </is>
      </c>
      <c r="E181" s="16" t="inlineStr">
        <is>
          <t>WHT-3766</t>
        </is>
      </c>
      <c r="F181" s="16" t="inlineStr">
        <is>
          <t>VHC-1219</t>
        </is>
      </c>
      <c r="G181" s="16" t="n"/>
      <c r="H181" s="17" t="n">
        <v>6875</v>
      </c>
      <c r="I181" s="16" t="n"/>
      <c r="J181" s="16" t="n"/>
    </row>
    <row r="182">
      <c r="A182" s="16" t="n">
        <v>181</v>
      </c>
      <c r="B182" s="95" t="n">
        <v>46058</v>
      </c>
      <c r="C182" s="16" t="inlineStr">
        <is>
          <t>عماد حمدي</t>
        </is>
      </c>
      <c r="D182" s="16" t="inlineStr">
        <is>
          <t>شيت المبيعات (عقود الجملة)</t>
        </is>
      </c>
      <c r="E182" s="16" t="inlineStr">
        <is>
          <t>WHE-3764</t>
        </is>
      </c>
      <c r="F182" s="16" t="inlineStr">
        <is>
          <t>VHC-3010</t>
        </is>
      </c>
      <c r="G182" s="16" t="n"/>
      <c r="H182" s="17" t="n">
        <v>7425</v>
      </c>
      <c r="I182" s="16" t="n"/>
      <c r="J182" s="16" t="n"/>
    </row>
    <row r="183">
      <c r="A183" s="16" t="n">
        <v>182</v>
      </c>
      <c r="B183" s="95" t="n">
        <v>46058</v>
      </c>
      <c r="C183" s="16" t="inlineStr">
        <is>
          <t>م/ عادل أبو خالد</t>
        </is>
      </c>
      <c r="D183" s="16" t="inlineStr">
        <is>
          <t>شيت المبيعات (عقود الجملة)</t>
        </is>
      </c>
      <c r="E183" s="16" t="inlineStr">
        <is>
          <t>WHK-3758</t>
        </is>
      </c>
      <c r="F183" s="16" t="inlineStr">
        <is>
          <t>—</t>
        </is>
      </c>
      <c r="G183" s="16" t="n"/>
      <c r="H183" s="17" t="n">
        <v>20300</v>
      </c>
      <c r="I183" s="16" t="n"/>
      <c r="J183" s="16" t="n"/>
    </row>
    <row r="184">
      <c r="A184" s="16" t="n">
        <v>183</v>
      </c>
      <c r="B184" s="95" t="n">
        <v>46058</v>
      </c>
      <c r="C184" s="16" t="inlineStr">
        <is>
          <t>م/ عادل أبو خالد</t>
        </is>
      </c>
      <c r="D184" s="16" t="inlineStr">
        <is>
          <t>شيت المبيعات (عقود الجملة)</t>
        </is>
      </c>
      <c r="E184" s="16" t="inlineStr">
        <is>
          <t>WHK-3760</t>
        </is>
      </c>
      <c r="F184" s="16" t="inlineStr">
        <is>
          <t>—</t>
        </is>
      </c>
      <c r="G184" s="16" t="n"/>
      <c r="H184" s="17" t="n">
        <v>30850</v>
      </c>
      <c r="I184" s="16" t="n"/>
      <c r="J184" s="16" t="n"/>
    </row>
    <row r="185">
      <c r="A185" s="16" t="n">
        <v>184</v>
      </c>
      <c r="B185" s="95" t="n">
        <v>46060</v>
      </c>
      <c r="C185" s="16" t="inlineStr">
        <is>
          <t>عصمت الله خان</t>
        </is>
      </c>
      <c r="D185" s="16" t="inlineStr">
        <is>
          <t>شيت المبيعات (عقود الجملة)</t>
        </is>
      </c>
      <c r="E185" s="16" t="inlineStr">
        <is>
          <t>WHT-3775</t>
        </is>
      </c>
      <c r="F185" s="16" t="inlineStr">
        <is>
          <t>VHC-1219</t>
        </is>
      </c>
      <c r="G185" s="16" t="n"/>
      <c r="H185" s="17" t="n">
        <v>5235</v>
      </c>
      <c r="I185" s="16" t="n"/>
      <c r="J185" s="16" t="n"/>
    </row>
    <row r="186">
      <c r="A186" s="16" t="n">
        <v>185</v>
      </c>
      <c r="B186" s="95" t="n">
        <v>46061</v>
      </c>
      <c r="C186" s="16" t="inlineStr">
        <is>
          <t>عصمت الله خان</t>
        </is>
      </c>
      <c r="D186" s="16" t="inlineStr">
        <is>
          <t>شيت المبيعات (عقود الجملة)</t>
        </is>
      </c>
      <c r="E186" s="16" t="inlineStr">
        <is>
          <t>WHT-3782</t>
        </is>
      </c>
      <c r="F186" s="16" t="inlineStr">
        <is>
          <t>VHC-1219</t>
        </is>
      </c>
      <c r="G186" s="16" t="n"/>
      <c r="H186" s="17" t="n">
        <v>5725</v>
      </c>
      <c r="I186" s="16" t="n"/>
      <c r="J186" s="16" t="n"/>
    </row>
    <row r="187">
      <c r="A187" s="16" t="n">
        <v>186</v>
      </c>
      <c r="B187" s="95" t="n">
        <v>46062</v>
      </c>
      <c r="C187" s="16" t="inlineStr">
        <is>
          <t>عصمت الله خان</t>
        </is>
      </c>
      <c r="D187" s="16" t="inlineStr">
        <is>
          <t>شيت المبيعات (عقود الجملة)</t>
        </is>
      </c>
      <c r="E187" s="16" t="inlineStr">
        <is>
          <t>WHT-3786</t>
        </is>
      </c>
      <c r="F187" s="16" t="inlineStr">
        <is>
          <t>VHC-1219</t>
        </is>
      </c>
      <c r="G187" s="16" t="n"/>
      <c r="H187" s="17" t="n">
        <v>6900</v>
      </c>
      <c r="I187" s="16" t="n"/>
      <c r="J187" s="16" t="n"/>
    </row>
    <row r="188">
      <c r="A188" s="16" t="n">
        <v>187</v>
      </c>
      <c r="B188" s="95" t="n">
        <v>46062</v>
      </c>
      <c r="C188" s="16" t="inlineStr">
        <is>
          <t>عماد حمدي</t>
        </is>
      </c>
      <c r="D188" s="16" t="inlineStr">
        <is>
          <t>شيت المبيعات (عقود الجملة)</t>
        </is>
      </c>
      <c r="E188" s="16" t="inlineStr">
        <is>
          <t>WHE-3784</t>
        </is>
      </c>
      <c r="F188" s="16" t="inlineStr">
        <is>
          <t>VHC-3010</t>
        </is>
      </c>
      <c r="G188" s="16" t="n"/>
      <c r="H188" s="17" t="n">
        <v>6660</v>
      </c>
      <c r="I188" s="16" t="n"/>
      <c r="J188" s="16" t="n"/>
    </row>
    <row r="189">
      <c r="A189" s="16" t="n">
        <v>188</v>
      </c>
      <c r="B189" s="95" t="n">
        <v>46063</v>
      </c>
      <c r="C189" s="16" t="inlineStr">
        <is>
          <t>عصمت الله خان</t>
        </is>
      </c>
      <c r="D189" s="16" t="inlineStr">
        <is>
          <t>شيت المبيعات (عقود الجملة)</t>
        </is>
      </c>
      <c r="E189" s="16" t="inlineStr">
        <is>
          <t>WHT-3804</t>
        </is>
      </c>
      <c r="F189" s="16" t="inlineStr">
        <is>
          <t>VHC-1219</t>
        </is>
      </c>
      <c r="G189" s="16" t="n"/>
      <c r="H189" s="17" t="n">
        <v>4472.5</v>
      </c>
      <c r="I189" s="16" t="inlineStr">
        <is>
          <t>صحيح (تصحيح رقم)</t>
        </is>
      </c>
      <c r="J189" s="16" t="inlineStr">
        <is>
          <t>رقم العقد مكرر في شيت المحاسب – الصحيح WHT-3804</t>
        </is>
      </c>
    </row>
    <row r="190">
      <c r="A190" s="16" t="n">
        <v>189</v>
      </c>
      <c r="B190" s="95" t="n">
        <v>46064</v>
      </c>
      <c r="C190" s="16" t="inlineStr">
        <is>
          <t>عصمت الله خان</t>
        </is>
      </c>
      <c r="D190" s="16" t="inlineStr">
        <is>
          <t>شيت المبيعات (عقود الجملة)</t>
        </is>
      </c>
      <c r="E190" s="16" t="inlineStr">
        <is>
          <t>WHT-3814</t>
        </is>
      </c>
      <c r="F190" s="16" t="inlineStr">
        <is>
          <t>VHC-1219</t>
        </is>
      </c>
      <c r="G190" s="16" t="n"/>
      <c r="H190" s="17" t="n">
        <v>6267.5</v>
      </c>
      <c r="I190" s="16" t="n"/>
      <c r="J190" s="16" t="n"/>
    </row>
    <row r="191">
      <c r="A191" s="16" t="n">
        <v>190</v>
      </c>
      <c r="B191" s="95" t="n">
        <v>46064</v>
      </c>
      <c r="C191" s="16" t="inlineStr">
        <is>
          <t>م/ عادل أبو خالد</t>
        </is>
      </c>
      <c r="D191" s="16" t="inlineStr">
        <is>
          <t>شيت المبيعات (عقود الجملة)</t>
        </is>
      </c>
      <c r="E191" s="16" t="inlineStr">
        <is>
          <t>WHK-3809</t>
        </is>
      </c>
      <c r="F191" s="16" t="inlineStr">
        <is>
          <t>—</t>
        </is>
      </c>
      <c r="G191" s="16" t="n"/>
      <c r="H191" s="17" t="n">
        <v>3125</v>
      </c>
      <c r="I191" s="16" t="n"/>
      <c r="J191" s="16" t="n"/>
    </row>
    <row r="192">
      <c r="A192" s="16" t="n">
        <v>191</v>
      </c>
      <c r="B192" s="95" t="n">
        <v>46065</v>
      </c>
      <c r="C192" s="16" t="inlineStr">
        <is>
          <t>عصمت الله خان</t>
        </is>
      </c>
      <c r="D192" s="16" t="inlineStr">
        <is>
          <t>شيت المبيعات (عقود الجملة)</t>
        </is>
      </c>
      <c r="E192" s="16" t="inlineStr">
        <is>
          <t>WHT-3828</t>
        </is>
      </c>
      <c r="F192" s="16" t="inlineStr">
        <is>
          <t>VHC-1219</t>
        </is>
      </c>
      <c r="G192" s="16" t="n"/>
      <c r="H192" s="17" t="n">
        <v>5862.5</v>
      </c>
      <c r="I192" s="16" t="n"/>
      <c r="J192" s="16" t="n"/>
    </row>
    <row r="193">
      <c r="A193" s="16" t="n">
        <v>192</v>
      </c>
      <c r="B193" s="95" t="n">
        <v>46065</v>
      </c>
      <c r="C193" s="16" t="inlineStr">
        <is>
          <t>عماد حمدي</t>
        </is>
      </c>
      <c r="D193" s="16" t="inlineStr">
        <is>
          <t>شيت المبيعات (عقود الجملة)</t>
        </is>
      </c>
      <c r="E193" s="16" t="inlineStr">
        <is>
          <t>WHE-3834</t>
        </is>
      </c>
      <c r="F193" s="16" t="inlineStr">
        <is>
          <t>VHC-3010</t>
        </is>
      </c>
      <c r="G193" s="16" t="n"/>
      <c r="H193" s="17" t="n">
        <v>4628.75</v>
      </c>
      <c r="I193" s="16" t="n"/>
      <c r="J193" s="16" t="n"/>
    </row>
    <row r="194">
      <c r="A194" s="16" t="n">
        <v>193</v>
      </c>
      <c r="B194" s="95" t="n">
        <v>46067</v>
      </c>
      <c r="C194" s="16" t="inlineStr">
        <is>
          <t>عصمت الله خان</t>
        </is>
      </c>
      <c r="D194" s="16" t="inlineStr">
        <is>
          <t>شيت المبيعات (عقود الجملة)</t>
        </is>
      </c>
      <c r="E194" s="16" t="inlineStr">
        <is>
          <t>WHT-3837</t>
        </is>
      </c>
      <c r="F194" s="16" t="inlineStr">
        <is>
          <t>VHC-1219</t>
        </is>
      </c>
      <c r="G194" s="16" t="n"/>
      <c r="H194" s="17" t="n">
        <v>7380</v>
      </c>
      <c r="I194" s="16" t="n"/>
      <c r="J194" s="16" t="n"/>
    </row>
    <row r="195">
      <c r="A195" s="16" t="n">
        <v>194</v>
      </c>
      <c r="B195" s="95" t="n">
        <v>46068</v>
      </c>
      <c r="C195" s="16" t="inlineStr">
        <is>
          <t>عصمت الله خان</t>
        </is>
      </c>
      <c r="D195" s="16" t="inlineStr">
        <is>
          <t>شيت المبيعات (عقود الجملة)</t>
        </is>
      </c>
      <c r="E195" s="16" t="inlineStr">
        <is>
          <t>WHT-3851</t>
        </is>
      </c>
      <c r="F195" s="16" t="inlineStr">
        <is>
          <t>VHC-1219</t>
        </is>
      </c>
      <c r="G195" s="16" t="n"/>
      <c r="H195" s="17" t="n">
        <v>5520</v>
      </c>
      <c r="I195" s="16" t="n"/>
      <c r="J195" s="16" t="n"/>
    </row>
    <row r="196">
      <c r="A196" s="16" t="n">
        <v>195</v>
      </c>
      <c r="B196" s="95" t="n">
        <v>46068</v>
      </c>
      <c r="C196" s="16" t="inlineStr">
        <is>
          <t>عماد حمدي</t>
        </is>
      </c>
      <c r="D196" s="16" t="inlineStr">
        <is>
          <t>شيت المبيعات (عقود الجملة)</t>
        </is>
      </c>
      <c r="E196" s="16" t="inlineStr">
        <is>
          <t>WHE-3842</t>
        </is>
      </c>
      <c r="F196" s="16" t="inlineStr">
        <is>
          <t>VHC-3010</t>
        </is>
      </c>
      <c r="G196" s="16" t="n"/>
      <c r="H196" s="17" t="n">
        <v>9600</v>
      </c>
      <c r="I196" s="16" t="n"/>
      <c r="J196" s="16" t="n"/>
    </row>
    <row r="197">
      <c r="A197" s="16" t="n">
        <v>196</v>
      </c>
      <c r="B197" s="95" t="n">
        <v>46069</v>
      </c>
      <c r="C197" s="16" t="inlineStr">
        <is>
          <t>عصمت الله خان</t>
        </is>
      </c>
      <c r="D197" s="16" t="inlineStr">
        <is>
          <t>شيت المبيعات (عقود الجملة)</t>
        </is>
      </c>
      <c r="E197" s="16" t="inlineStr">
        <is>
          <t>WHT-3857</t>
        </is>
      </c>
      <c r="F197" s="16" t="inlineStr">
        <is>
          <t>VHC-1219</t>
        </is>
      </c>
      <c r="G197" s="16" t="n"/>
      <c r="H197" s="17" t="n">
        <v>5447.75</v>
      </c>
      <c r="I197" s="16" t="n"/>
      <c r="J197" s="16" t="n"/>
    </row>
    <row r="198">
      <c r="A198" s="16" t="n">
        <v>197</v>
      </c>
      <c r="B198" s="95" t="n">
        <v>46070</v>
      </c>
      <c r="C198" s="16" t="inlineStr">
        <is>
          <t>عصمت الله خان</t>
        </is>
      </c>
      <c r="D198" s="16" t="inlineStr">
        <is>
          <t>شيت المبيعات (عقود الجملة)</t>
        </is>
      </c>
      <c r="E198" s="16" t="inlineStr">
        <is>
          <t>WHT-3864</t>
        </is>
      </c>
      <c r="F198" s="16" t="inlineStr">
        <is>
          <t>VHC-1219</t>
        </is>
      </c>
      <c r="G198" s="16" t="n"/>
      <c r="H198" s="17" t="n">
        <v>6536.25</v>
      </c>
      <c r="I198" s="16" t="n"/>
      <c r="J198" s="16" t="n"/>
    </row>
    <row r="199">
      <c r="A199" s="16" t="n">
        <v>198</v>
      </c>
      <c r="B199" s="95" t="n">
        <v>46071</v>
      </c>
      <c r="C199" s="16" t="inlineStr">
        <is>
          <t>عصمت الله خان</t>
        </is>
      </c>
      <c r="D199" s="16" t="inlineStr">
        <is>
          <t>شيت المبيعات (عقود الجملة)</t>
        </is>
      </c>
      <c r="E199" s="16" t="inlineStr">
        <is>
          <t>WHT-3875</t>
        </is>
      </c>
      <c r="F199" s="16" t="inlineStr">
        <is>
          <t>VHC-1219</t>
        </is>
      </c>
      <c r="G199" s="16" t="n"/>
      <c r="H199" s="17" t="n">
        <v>4275</v>
      </c>
      <c r="I199" s="16" t="n"/>
      <c r="J199" s="16" t="n"/>
    </row>
    <row r="200">
      <c r="A200" s="16" t="n">
        <v>199</v>
      </c>
      <c r="B200" s="95" t="n">
        <v>46071</v>
      </c>
      <c r="C200" s="16" t="inlineStr">
        <is>
          <t>عماد حمدي</t>
        </is>
      </c>
      <c r="D200" s="16" t="inlineStr">
        <is>
          <t>شيت المبيعات (عقود الجملة)</t>
        </is>
      </c>
      <c r="E200" s="16" t="inlineStr">
        <is>
          <t>WHE-3869</t>
        </is>
      </c>
      <c r="F200" s="16" t="inlineStr">
        <is>
          <t>VHC-3010</t>
        </is>
      </c>
      <c r="G200" s="16" t="n"/>
      <c r="H200" s="17" t="n">
        <v>5768.75</v>
      </c>
      <c r="I200" s="16" t="n"/>
      <c r="J200" s="16" t="n"/>
    </row>
    <row r="201">
      <c r="A201" s="16" t="n">
        <v>200</v>
      </c>
      <c r="B201" s="95" t="n">
        <v>46072</v>
      </c>
      <c r="C201" s="16" t="inlineStr">
        <is>
          <t>م/ عادل أبو خالد</t>
        </is>
      </c>
      <c r="D201" s="16" t="inlineStr">
        <is>
          <t>شيت المبيعات (عقود الجملة)</t>
        </is>
      </c>
      <c r="E201" s="16" t="inlineStr">
        <is>
          <t>WHK-3878</t>
        </is>
      </c>
      <c r="F201" s="16" t="inlineStr">
        <is>
          <t>—</t>
        </is>
      </c>
      <c r="G201" s="16" t="n"/>
      <c r="H201" s="17" t="n">
        <v>2012.5</v>
      </c>
      <c r="I201" s="16" t="n"/>
      <c r="J201" s="16" t="n"/>
    </row>
    <row r="202">
      <c r="A202" s="16" t="n">
        <v>201</v>
      </c>
      <c r="B202" s="95" t="n">
        <v>46073</v>
      </c>
      <c r="C202" s="16" t="inlineStr">
        <is>
          <t>عصمت الله خان</t>
        </is>
      </c>
      <c r="D202" s="16" t="inlineStr">
        <is>
          <t>شيت المبيعات (عقود الجملة)</t>
        </is>
      </c>
      <c r="E202" s="16" t="inlineStr">
        <is>
          <t>WHT-3885</t>
        </is>
      </c>
      <c r="F202" s="16" t="inlineStr">
        <is>
          <t>VHC-1219</t>
        </is>
      </c>
      <c r="G202" s="16" t="n"/>
      <c r="H202" s="17" t="n">
        <v>5175</v>
      </c>
      <c r="I202" s="16" t="n"/>
      <c r="J202" s="16" t="n"/>
    </row>
    <row r="203">
      <c r="A203" s="16" t="n">
        <v>202</v>
      </c>
      <c r="B203" s="95" t="n">
        <v>46074</v>
      </c>
      <c r="C203" s="16" t="inlineStr">
        <is>
          <t>عصمت الله خان</t>
        </is>
      </c>
      <c r="D203" s="16" t="inlineStr">
        <is>
          <t>شيت المبيعات (عقود الجملة)</t>
        </is>
      </c>
      <c r="E203" s="16" t="inlineStr">
        <is>
          <t>WHT-3905</t>
        </is>
      </c>
      <c r="F203" s="16" t="inlineStr">
        <is>
          <t>VHC-1219</t>
        </is>
      </c>
      <c r="G203" s="16" t="n"/>
      <c r="H203" s="17" t="n">
        <v>4030</v>
      </c>
      <c r="I203" s="16" t="n"/>
      <c r="J203" s="16" t="n"/>
    </row>
    <row r="204">
      <c r="A204" s="16" t="n">
        <v>203</v>
      </c>
      <c r="B204" s="95" t="n">
        <v>46075</v>
      </c>
      <c r="C204" s="16" t="inlineStr">
        <is>
          <t>عصمت الله خان</t>
        </is>
      </c>
      <c r="D204" s="16" t="inlineStr">
        <is>
          <t>شيت المبيعات (عقود الجملة)</t>
        </is>
      </c>
      <c r="E204" s="16" t="inlineStr">
        <is>
          <t>WHT-3909</t>
        </is>
      </c>
      <c r="F204" s="16" t="inlineStr">
        <is>
          <t>VHC-1219</t>
        </is>
      </c>
      <c r="G204" s="16" t="n"/>
      <c r="H204" s="17" t="n">
        <v>2787.5</v>
      </c>
      <c r="I204" s="16" t="n"/>
      <c r="J204" s="16" t="n"/>
    </row>
    <row r="205">
      <c r="A205" s="16" t="n">
        <v>204</v>
      </c>
      <c r="B205" s="95" t="n">
        <v>46075</v>
      </c>
      <c r="C205" s="16" t="inlineStr">
        <is>
          <t>عماد حمدي</t>
        </is>
      </c>
      <c r="D205" s="16" t="inlineStr">
        <is>
          <t>شيت المبيعات (عقود الجملة)</t>
        </is>
      </c>
      <c r="E205" s="16" t="inlineStr">
        <is>
          <t>WHE-3912</t>
        </is>
      </c>
      <c r="F205" s="16" t="inlineStr">
        <is>
          <t>VHC-3010</t>
        </is>
      </c>
      <c r="G205" s="16" t="n"/>
      <c r="H205" s="17" t="n">
        <v>4952.5</v>
      </c>
      <c r="I205" s="16" t="n"/>
      <c r="J205" s="16" t="n"/>
    </row>
    <row r="206">
      <c r="A206" s="16" t="n">
        <v>205</v>
      </c>
      <c r="B206" s="95" t="n">
        <v>46076</v>
      </c>
      <c r="C206" s="16" t="inlineStr">
        <is>
          <t>عصمت الله خان</t>
        </is>
      </c>
      <c r="D206" s="16" t="inlineStr">
        <is>
          <t>شيت المبيعات (عقود الجملة)</t>
        </is>
      </c>
      <c r="E206" s="16" t="inlineStr">
        <is>
          <t>WHT-3918</t>
        </is>
      </c>
      <c r="F206" s="16" t="inlineStr">
        <is>
          <t>VHC-1219</t>
        </is>
      </c>
      <c r="G206" s="16" t="n"/>
      <c r="H206" s="17" t="n">
        <v>3787.5</v>
      </c>
      <c r="I206" s="16" t="n"/>
      <c r="J206" s="16" t="n"/>
    </row>
    <row r="207">
      <c r="A207" s="16" t="n">
        <v>206</v>
      </c>
      <c r="B207" s="95" t="n">
        <v>46077</v>
      </c>
      <c r="C207" s="16" t="inlineStr">
        <is>
          <t>عصمت الله خان</t>
        </is>
      </c>
      <c r="D207" s="16" t="inlineStr">
        <is>
          <t>شيت المبيعات (عقود الجملة)</t>
        </is>
      </c>
      <c r="E207" s="16" t="inlineStr">
        <is>
          <t>WHT-3924</t>
        </is>
      </c>
      <c r="F207" s="16" t="inlineStr">
        <is>
          <t>VHC-1219</t>
        </is>
      </c>
      <c r="G207" s="16" t="n"/>
      <c r="H207" s="17" t="n">
        <v>2020</v>
      </c>
      <c r="I207" s="16" t="n"/>
      <c r="J207" s="16" t="n"/>
    </row>
    <row r="208">
      <c r="A208" s="16" t="n">
        <v>207</v>
      </c>
      <c r="B208" s="95" t="n">
        <v>46078</v>
      </c>
      <c r="C208" s="16" t="inlineStr">
        <is>
          <t>عصمت الله خان</t>
        </is>
      </c>
      <c r="D208" s="16" t="inlineStr">
        <is>
          <t>شيت المبيعات (عقود الجملة)</t>
        </is>
      </c>
      <c r="E208" s="16" t="inlineStr">
        <is>
          <t>WHT-3934</t>
        </is>
      </c>
      <c r="F208" s="16" t="inlineStr">
        <is>
          <t>VHC-1219</t>
        </is>
      </c>
      <c r="G208" s="16" t="n"/>
      <c r="H208" s="17" t="n">
        <v>2790</v>
      </c>
      <c r="I208" s="16" t="n"/>
      <c r="J208" s="16" t="n"/>
    </row>
    <row r="209">
      <c r="A209" s="16" t="n">
        <v>208</v>
      </c>
      <c r="B209" s="95" t="n">
        <v>46081</v>
      </c>
      <c r="C209" s="16" t="inlineStr">
        <is>
          <t>عصمت الله خان</t>
        </is>
      </c>
      <c r="D209" s="16" t="inlineStr">
        <is>
          <t>شيت المبيعات (عقود الجملة)</t>
        </is>
      </c>
      <c r="E209" s="16" t="inlineStr">
        <is>
          <t>WHT-3946</t>
        </is>
      </c>
      <c r="F209" s="16" t="inlineStr">
        <is>
          <t>VHC-1219</t>
        </is>
      </c>
      <c r="G209" s="16" t="n"/>
      <c r="H209" s="17" t="n">
        <v>2575</v>
      </c>
      <c r="I209" s="16" t="n"/>
      <c r="J209" s="16" t="n"/>
    </row>
    <row r="210">
      <c r="A210" s="16" t="n">
        <v>209</v>
      </c>
      <c r="B210" s="95" t="n">
        <v>46082</v>
      </c>
      <c r="C210" s="16" t="inlineStr">
        <is>
          <t>عصمت الله خان</t>
        </is>
      </c>
      <c r="D210" s="16" t="inlineStr">
        <is>
          <t>شيت المبيعات (عقود الجملة)</t>
        </is>
      </c>
      <c r="E210" s="16" t="inlineStr">
        <is>
          <t>WHT-3951</t>
        </is>
      </c>
      <c r="F210" s="16" t="inlineStr">
        <is>
          <t>VHC-1219</t>
        </is>
      </c>
      <c r="G210" s="16" t="n"/>
      <c r="H210" s="17" t="n">
        <v>3205</v>
      </c>
      <c r="I210" s="16" t="n"/>
      <c r="J210" s="16" t="n"/>
    </row>
    <row r="211">
      <c r="A211" s="16" t="n">
        <v>210</v>
      </c>
      <c r="B211" s="95" t="n">
        <v>46083</v>
      </c>
      <c r="C211" s="16" t="inlineStr">
        <is>
          <t>عصمت الله خان</t>
        </is>
      </c>
      <c r="D211" s="16" t="inlineStr">
        <is>
          <t>شيت المبيعات (عقود الجملة)</t>
        </is>
      </c>
      <c r="E211" s="16" t="inlineStr">
        <is>
          <t>WHT-3955</t>
        </is>
      </c>
      <c r="F211" s="16" t="inlineStr">
        <is>
          <t>VHC-1219</t>
        </is>
      </c>
      <c r="G211" s="16" t="n"/>
      <c r="H211" s="17" t="n">
        <v>1665</v>
      </c>
      <c r="I211" s="16" t="n"/>
      <c r="J211" s="16" t="n"/>
    </row>
    <row r="212">
      <c r="A212" s="16" t="n">
        <v>211</v>
      </c>
      <c r="B212" s="95" t="n">
        <v>46084</v>
      </c>
      <c r="C212" s="16" t="inlineStr">
        <is>
          <t>عماد حمدي</t>
        </is>
      </c>
      <c r="D212" s="16" t="inlineStr">
        <is>
          <t>شيت المبيعات (عقود الجملة)</t>
        </is>
      </c>
      <c r="E212" s="16" t="inlineStr">
        <is>
          <t>WHE-3936</t>
        </is>
      </c>
      <c r="F212" s="16" t="inlineStr">
        <is>
          <t>VHC-3010</t>
        </is>
      </c>
      <c r="G212" s="16" t="n"/>
      <c r="H212" s="17" t="n">
        <v>5331.25</v>
      </c>
      <c r="I212" s="16" t="n"/>
      <c r="J212" s="16" t="n"/>
    </row>
    <row r="213">
      <c r="A213" s="16" t="n">
        <v>212</v>
      </c>
      <c r="B213" s="95" t="n">
        <v>46084</v>
      </c>
      <c r="C213" s="16" t="inlineStr">
        <is>
          <t>م/ عادل أبو خالد</t>
        </is>
      </c>
      <c r="D213" s="16" t="inlineStr">
        <is>
          <t>شيت المبيعات (عقود الجملة)</t>
        </is>
      </c>
      <c r="E213" s="16" t="inlineStr">
        <is>
          <t>WHK-3923</t>
        </is>
      </c>
      <c r="F213" s="16" t="inlineStr">
        <is>
          <t>—</t>
        </is>
      </c>
      <c r="G213" s="16" t="n"/>
      <c r="H213" s="17" t="n">
        <v>6862.5</v>
      </c>
      <c r="I213" s="16" t="n"/>
      <c r="J213" s="16" t="n"/>
    </row>
    <row r="214">
      <c r="A214" s="16" t="n">
        <v>213</v>
      </c>
      <c r="B214" s="95" t="n">
        <v>46085</v>
      </c>
      <c r="C214" s="16" t="inlineStr">
        <is>
          <t>عماد حمدي</t>
        </is>
      </c>
      <c r="D214" s="16" t="inlineStr">
        <is>
          <t>شيت المبيعات (عقود الجملة)</t>
        </is>
      </c>
      <c r="E214" s="16" t="inlineStr">
        <is>
          <t>WHE-3962</t>
        </is>
      </c>
      <c r="F214" s="16" t="inlineStr">
        <is>
          <t>VHC-3010</t>
        </is>
      </c>
      <c r="G214" s="16" t="n"/>
      <c r="H214" s="17" t="n">
        <v>5463.75</v>
      </c>
      <c r="I214" s="16" t="n"/>
      <c r="J214" s="16" t="n"/>
    </row>
    <row r="215">
      <c r="A215" s="16" t="n">
        <v>214</v>
      </c>
      <c r="B215" s="95" t="n">
        <v>46085</v>
      </c>
      <c r="C215" s="16" t="inlineStr">
        <is>
          <t>م/ عادل أبو خالد</t>
        </is>
      </c>
      <c r="D215" s="16" t="inlineStr">
        <is>
          <t>شيت المبيعات (عقود الجملة)</t>
        </is>
      </c>
      <c r="E215" s="16" t="inlineStr">
        <is>
          <t>WHK-3963</t>
        </is>
      </c>
      <c r="F215" s="16" t="inlineStr">
        <is>
          <t>—</t>
        </is>
      </c>
      <c r="G215" s="16" t="n"/>
      <c r="H215" s="17" t="n">
        <v>2700</v>
      </c>
      <c r="I215" s="16" t="n"/>
      <c r="J215" s="16" t="n"/>
    </row>
    <row r="216">
      <c r="A216" s="16" t="n">
        <v>215</v>
      </c>
      <c r="B216" s="95" t="n">
        <v>46086</v>
      </c>
      <c r="C216" s="16" t="inlineStr">
        <is>
          <t>عصمت الله خان</t>
        </is>
      </c>
      <c r="D216" s="16" t="inlineStr">
        <is>
          <t>شيت المبيعات (عقود الجملة)</t>
        </is>
      </c>
      <c r="E216" s="16" t="inlineStr">
        <is>
          <t>WHT-3966</t>
        </is>
      </c>
      <c r="F216" s="16" t="inlineStr">
        <is>
          <t>VHC-1219</t>
        </is>
      </c>
      <c r="G216" s="16" t="n"/>
      <c r="H216" s="17" t="n">
        <v>1320</v>
      </c>
      <c r="I216" s="16" t="n"/>
      <c r="J216" s="16" t="n"/>
    </row>
    <row r="217">
      <c r="A217" s="16" t="n">
        <v>216</v>
      </c>
      <c r="B217" s="95" t="n">
        <v>46088</v>
      </c>
      <c r="C217" s="16" t="inlineStr">
        <is>
          <t>عصمت الله خان</t>
        </is>
      </c>
      <c r="D217" s="16" t="inlineStr">
        <is>
          <t>شيت المبيعات (عقود الجملة)</t>
        </is>
      </c>
      <c r="E217" s="16" t="inlineStr">
        <is>
          <t>WHT-3968</t>
        </is>
      </c>
      <c r="F217" s="16" t="inlineStr">
        <is>
          <t>VHC-1219</t>
        </is>
      </c>
      <c r="G217" s="16" t="n"/>
      <c r="H217" s="17" t="n">
        <v>1910</v>
      </c>
      <c r="I217" s="16" t="n"/>
      <c r="J217" s="16" t="n"/>
    </row>
    <row r="218">
      <c r="A218" s="16" t="n">
        <v>217</v>
      </c>
      <c r="B218" s="95" t="n">
        <v>46089</v>
      </c>
      <c r="C218" s="16" t="inlineStr">
        <is>
          <t>عصمت الله خان</t>
        </is>
      </c>
      <c r="D218" s="16" t="inlineStr">
        <is>
          <t>شيت المبيعات (عقود الجملة)</t>
        </is>
      </c>
      <c r="E218" s="16" t="inlineStr">
        <is>
          <t>WHT-3978</t>
        </is>
      </c>
      <c r="F218" s="16" t="inlineStr">
        <is>
          <t>VHC-1219</t>
        </is>
      </c>
      <c r="G218" s="16" t="n"/>
      <c r="H218" s="17" t="n">
        <v>2537.5</v>
      </c>
      <c r="I218" s="16" t="n"/>
      <c r="J218" s="16" t="n"/>
    </row>
    <row r="219">
      <c r="A219" s="16" t="n">
        <v>218</v>
      </c>
      <c r="B219" s="95" t="n">
        <v>46090</v>
      </c>
      <c r="C219" s="16" t="inlineStr">
        <is>
          <t>عصمت الله خان</t>
        </is>
      </c>
      <c r="D219" s="16" t="inlineStr">
        <is>
          <t>شيت المبيعات (عقود الجملة)</t>
        </is>
      </c>
      <c r="E219" s="16" t="inlineStr">
        <is>
          <t>WHT-3988</t>
        </is>
      </c>
      <c r="F219" s="16" t="inlineStr">
        <is>
          <t>VHC-1219</t>
        </is>
      </c>
      <c r="G219" s="16" t="n"/>
      <c r="H219" s="17" t="n">
        <v>1762.5</v>
      </c>
      <c r="I219" s="16" t="n"/>
      <c r="J219" s="16" t="n"/>
    </row>
    <row r="220">
      <c r="A220" s="16" t="n">
        <v>219</v>
      </c>
      <c r="B220" s="95" t="n">
        <v>46090</v>
      </c>
      <c r="C220" s="16" t="inlineStr">
        <is>
          <t>عماد حمدي</t>
        </is>
      </c>
      <c r="D220" s="16" t="inlineStr">
        <is>
          <t>شيت المبيعات (عقود الجملة)</t>
        </is>
      </c>
      <c r="E220" s="16" t="inlineStr">
        <is>
          <t>WHE-3990</t>
        </is>
      </c>
      <c r="F220" s="16" t="inlineStr">
        <is>
          <t>VHC-3010</t>
        </is>
      </c>
      <c r="G220" s="16" t="n"/>
      <c r="H220" s="17" t="n">
        <v>6240</v>
      </c>
      <c r="I220" s="16" t="n"/>
      <c r="J220" s="16" t="n"/>
    </row>
    <row r="221">
      <c r="A221" s="16" t="n">
        <v>220</v>
      </c>
      <c r="B221" s="95" t="n">
        <v>46091</v>
      </c>
      <c r="C221" s="16" t="inlineStr">
        <is>
          <t>عصمت الله خان</t>
        </is>
      </c>
      <c r="D221" s="16" t="inlineStr">
        <is>
          <t>شيت المبيعات (عقود الجملة)</t>
        </is>
      </c>
      <c r="E221" s="16" t="inlineStr">
        <is>
          <t>WHT-3993</t>
        </is>
      </c>
      <c r="F221" s="16" t="inlineStr">
        <is>
          <t>VHC-1219</t>
        </is>
      </c>
      <c r="G221" s="16" t="n"/>
      <c r="H221" s="17" t="n">
        <v>1261.25</v>
      </c>
      <c r="I221" s="16" t="n"/>
      <c r="J221" s="16" t="n"/>
    </row>
    <row r="222">
      <c r="A222" s="16" t="n">
        <v>221</v>
      </c>
      <c r="B222" s="95" t="n">
        <v>46092</v>
      </c>
      <c r="C222" s="16" t="inlineStr">
        <is>
          <t>عصمت الله خان</t>
        </is>
      </c>
      <c r="D222" s="16" t="inlineStr">
        <is>
          <t>شيت المبيعات (عقود الجملة)</t>
        </is>
      </c>
      <c r="E222" s="16" t="inlineStr">
        <is>
          <t>WHT-3999</t>
        </is>
      </c>
      <c r="F222" s="16" t="inlineStr">
        <is>
          <t>VHC-1219</t>
        </is>
      </c>
      <c r="G222" s="16" t="n"/>
      <c r="H222" s="17" t="n">
        <v>3133.75</v>
      </c>
      <c r="I222" s="16" t="n"/>
      <c r="J222" s="16" t="n"/>
    </row>
    <row r="223">
      <c r="A223" s="16" t="n">
        <v>222</v>
      </c>
      <c r="B223" s="95" t="n">
        <v>46093</v>
      </c>
      <c r="C223" s="16" t="inlineStr">
        <is>
          <t>عصمت الله خان</t>
        </is>
      </c>
      <c r="D223" s="16" t="inlineStr">
        <is>
          <t>شيت المبيعات (عقود الجملة)</t>
        </is>
      </c>
      <c r="E223" s="16" t="inlineStr">
        <is>
          <t>WHT-4010</t>
        </is>
      </c>
      <c r="F223" s="16" t="inlineStr">
        <is>
          <t>VHC-1219</t>
        </is>
      </c>
      <c r="G223" s="16" t="n"/>
      <c r="H223" s="17" t="n">
        <v>1870</v>
      </c>
      <c r="I223" s="16" t="n"/>
      <c r="J223" s="16" t="n"/>
    </row>
    <row r="224">
      <c r="A224" s="16" t="n">
        <v>223</v>
      </c>
      <c r="B224" s="95" t="n">
        <v>46094</v>
      </c>
      <c r="C224" s="16" t="inlineStr">
        <is>
          <t>عصمت الله خان</t>
        </is>
      </c>
      <c r="D224" s="16" t="inlineStr">
        <is>
          <t>شيت المبيعات (عقود الجملة)</t>
        </is>
      </c>
      <c r="E224" s="16" t="inlineStr">
        <is>
          <t>WHT-4015</t>
        </is>
      </c>
      <c r="F224" s="16" t="inlineStr">
        <is>
          <t>VHC-1219</t>
        </is>
      </c>
      <c r="G224" s="16" t="n"/>
      <c r="H224" s="17" t="n">
        <v>2212.5</v>
      </c>
      <c r="I224" s="16" t="n"/>
      <c r="J224" s="16" t="n"/>
    </row>
    <row r="225">
      <c r="A225" s="16" t="n">
        <v>224</v>
      </c>
      <c r="B225" s="95" t="n">
        <v>46095</v>
      </c>
      <c r="C225" s="16" t="inlineStr">
        <is>
          <t>عصمت الله خان</t>
        </is>
      </c>
      <c r="D225" s="16" t="inlineStr">
        <is>
          <t>شيت المبيعات (عقود الجملة)</t>
        </is>
      </c>
      <c r="E225" s="16" t="inlineStr">
        <is>
          <t>WHT-4018</t>
        </is>
      </c>
      <c r="F225" s="16" t="inlineStr">
        <is>
          <t>VHC-1219</t>
        </is>
      </c>
      <c r="G225" s="16" t="n"/>
      <c r="H225" s="17" t="n">
        <v>3240</v>
      </c>
      <c r="I225" s="16" t="n"/>
      <c r="J225" s="16" t="n"/>
    </row>
    <row r="226">
      <c r="A226" s="16" t="n">
        <v>225</v>
      </c>
      <c r="B226" s="95" t="n">
        <v>46095</v>
      </c>
      <c r="C226" s="16" t="inlineStr">
        <is>
          <t>عماد حمدي</t>
        </is>
      </c>
      <c r="D226" s="16" t="inlineStr">
        <is>
          <t>شيت المبيعات (عقود الجملة)</t>
        </is>
      </c>
      <c r="E226" s="16" t="inlineStr">
        <is>
          <t>WHE-4016</t>
        </is>
      </c>
      <c r="F226" s="16" t="inlineStr">
        <is>
          <t>VHC-3010</t>
        </is>
      </c>
      <c r="G226" s="16" t="n"/>
      <c r="H226" s="17" t="n">
        <v>6700</v>
      </c>
      <c r="I226" s="16" t="n"/>
      <c r="J226" s="16" t="n"/>
    </row>
    <row r="227">
      <c r="A227" s="16" t="n">
        <v>226</v>
      </c>
      <c r="B227" s="95" t="n">
        <v>46096</v>
      </c>
      <c r="C227" s="16" t="inlineStr">
        <is>
          <t>عصمت الله خان</t>
        </is>
      </c>
      <c r="D227" s="16" t="inlineStr">
        <is>
          <t>شيت المبيعات (عقود الجملة)</t>
        </is>
      </c>
      <c r="E227" s="16" t="inlineStr">
        <is>
          <t>WHT-4022</t>
        </is>
      </c>
      <c r="F227" s="16" t="inlineStr">
        <is>
          <t>VHC-1219</t>
        </is>
      </c>
      <c r="G227" s="16" t="n"/>
      <c r="H227" s="17" t="n">
        <v>2180</v>
      </c>
      <c r="I227" s="16" t="n"/>
      <c r="J227" s="16" t="n"/>
    </row>
    <row r="228">
      <c r="A228" s="16" t="n">
        <v>227</v>
      </c>
      <c r="B228" s="95" t="n">
        <v>46097</v>
      </c>
      <c r="C228" s="16" t="inlineStr">
        <is>
          <t>عصمت الله خان</t>
        </is>
      </c>
      <c r="D228" s="16" t="inlineStr">
        <is>
          <t>شيت المبيعات (عقود الجملة)</t>
        </is>
      </c>
      <c r="E228" s="16" t="inlineStr">
        <is>
          <t>WHT-4034</t>
        </is>
      </c>
      <c r="F228" s="16" t="inlineStr">
        <is>
          <t>VHC-1219</t>
        </is>
      </c>
      <c r="G228" s="16" t="n"/>
      <c r="H228" s="17" t="n">
        <v>1117.5</v>
      </c>
      <c r="I228" s="16" t="n"/>
      <c r="J228" s="16" t="n"/>
    </row>
    <row r="229">
      <c r="A229" s="16" t="n">
        <v>228</v>
      </c>
      <c r="B229" s="95" t="n">
        <v>46098</v>
      </c>
      <c r="C229" s="16" t="inlineStr">
        <is>
          <t>عصمت الله خان</t>
        </is>
      </c>
      <c r="D229" s="16" t="inlineStr">
        <is>
          <t>شيت المبيعات (عقود الجملة)</t>
        </is>
      </c>
      <c r="E229" s="16" t="inlineStr">
        <is>
          <t>WHT-4048</t>
        </is>
      </c>
      <c r="F229" s="16" t="inlineStr">
        <is>
          <t>VHC-1219</t>
        </is>
      </c>
      <c r="G229" s="16" t="n"/>
      <c r="H229" s="17" t="n">
        <v>1710</v>
      </c>
      <c r="I229" s="16" t="n"/>
      <c r="J229" s="16" t="n"/>
    </row>
    <row r="230">
      <c r="A230" s="16" t="n">
        <v>229</v>
      </c>
      <c r="B230" s="95" t="n">
        <v>46100</v>
      </c>
      <c r="C230" s="16" t="inlineStr">
        <is>
          <t>عصمت الله خان</t>
        </is>
      </c>
      <c r="D230" s="16" t="inlineStr">
        <is>
          <t>شيت المبيعات (عقود الجملة)</t>
        </is>
      </c>
      <c r="E230" s="16" t="inlineStr">
        <is>
          <t>WHT-4052</t>
        </is>
      </c>
      <c r="F230" s="16" t="inlineStr">
        <is>
          <t>VHC-1219</t>
        </is>
      </c>
      <c r="G230" s="16" t="n"/>
      <c r="H230" s="17" t="n">
        <v>3332.5</v>
      </c>
      <c r="I230" s="16" t="n"/>
      <c r="J230" s="16" t="n"/>
    </row>
    <row r="231">
      <c r="A231" s="16" t="n">
        <v>230</v>
      </c>
      <c r="B231" s="95" t="n">
        <v>46100</v>
      </c>
      <c r="C231" s="16" t="inlineStr">
        <is>
          <t>عماد حمدي</t>
        </is>
      </c>
      <c r="D231" s="16" t="inlineStr">
        <is>
          <t>شيت المبيعات (عقود الجملة)</t>
        </is>
      </c>
      <c r="E231" s="16" t="inlineStr">
        <is>
          <t>WHE-4051</t>
        </is>
      </c>
      <c r="F231" s="16" t="inlineStr">
        <is>
          <t>VHC-3010</t>
        </is>
      </c>
      <c r="G231" s="16" t="n"/>
      <c r="H231" s="17" t="n">
        <v>1355</v>
      </c>
      <c r="I231" s="16" t="n"/>
      <c r="J231" s="16" t="n"/>
    </row>
    <row r="232">
      <c r="A232" s="16" t="n">
        <v>231</v>
      </c>
      <c r="B232" s="95" t="n">
        <v>46106</v>
      </c>
      <c r="C232" s="16" t="inlineStr">
        <is>
          <t>عصمت الله خان</t>
        </is>
      </c>
      <c r="D232" s="16" t="inlineStr">
        <is>
          <t>شيت المبيعات (عقود الجملة)</t>
        </is>
      </c>
      <c r="E232" s="16" t="inlineStr">
        <is>
          <t>WHT-4062</t>
        </is>
      </c>
      <c r="F232" s="16" t="inlineStr">
        <is>
          <t>VHC-1219</t>
        </is>
      </c>
      <c r="G232" s="16" t="n"/>
      <c r="H232" s="17" t="n">
        <v>636.25</v>
      </c>
      <c r="I232" s="16" t="inlineStr">
        <is>
          <t>صحيح (تصحيح رقم)</t>
        </is>
      </c>
      <c r="J232" s="16" t="inlineStr">
        <is>
          <t>رقم العقد مكرر في شيت المحاسب – الصحيح WHT-4062</t>
        </is>
      </c>
    </row>
    <row r="233">
      <c r="A233" s="16" t="n">
        <v>232</v>
      </c>
      <c r="B233" s="95" t="n">
        <v>46107</v>
      </c>
      <c r="C233" s="16" t="inlineStr">
        <is>
          <t>عصمت الله خان</t>
        </is>
      </c>
      <c r="D233" s="16" t="inlineStr">
        <is>
          <t>شيت المبيعات (عقود الجملة)</t>
        </is>
      </c>
      <c r="E233" s="16" t="inlineStr">
        <is>
          <t>WHT-4065</t>
        </is>
      </c>
      <c r="F233" s="16" t="inlineStr">
        <is>
          <t>VHC-1219</t>
        </is>
      </c>
      <c r="G233" s="16" t="n"/>
      <c r="H233" s="17" t="n">
        <v>543.75</v>
      </c>
      <c r="I233" s="16" t="n"/>
      <c r="J233" s="16" t="n"/>
    </row>
    <row r="234">
      <c r="A234" s="16" t="n">
        <v>233</v>
      </c>
      <c r="B234" s="95" t="n">
        <v>46110</v>
      </c>
      <c r="C234" s="16" t="inlineStr">
        <is>
          <t>عصمت الله خان</t>
        </is>
      </c>
      <c r="D234" s="16" t="inlineStr">
        <is>
          <t>شيت المبيعات (عقود الجملة)</t>
        </is>
      </c>
      <c r="E234" s="16" t="inlineStr">
        <is>
          <t>WHT-4075</t>
        </is>
      </c>
      <c r="F234" s="16" t="inlineStr">
        <is>
          <t>VHC-1219</t>
        </is>
      </c>
      <c r="G234" s="16" t="n"/>
      <c r="H234" s="17" t="n">
        <v>1140</v>
      </c>
      <c r="I234" s="16" t="n"/>
      <c r="J234" s="16" t="n"/>
    </row>
    <row r="235">
      <c r="A235" s="16" t="n">
        <v>234</v>
      </c>
      <c r="B235" s="95" t="n">
        <v>46111</v>
      </c>
      <c r="C235" s="16" t="inlineStr">
        <is>
          <t>عصمت الله خان</t>
        </is>
      </c>
      <c r="D235" s="16" t="inlineStr">
        <is>
          <t>شيت المبيعات (عقود الجملة)</t>
        </is>
      </c>
      <c r="E235" s="16" t="inlineStr">
        <is>
          <t>WHT-4086</t>
        </is>
      </c>
      <c r="F235" s="16" t="inlineStr">
        <is>
          <t>VHC-1219</t>
        </is>
      </c>
      <c r="G235" s="16" t="n"/>
      <c r="H235" s="17" t="n">
        <v>255</v>
      </c>
      <c r="I235" s="16" t="n"/>
      <c r="J235" s="16" t="n"/>
    </row>
    <row r="236">
      <c r="A236" s="16" t="n">
        <v>235</v>
      </c>
      <c r="B236" s="95" t="n">
        <v>46112</v>
      </c>
      <c r="C236" s="16" t="inlineStr">
        <is>
          <t>عصمت الله خان</t>
        </is>
      </c>
      <c r="D236" s="16" t="inlineStr">
        <is>
          <t>شيت المبيعات (عقود الجملة)</t>
        </is>
      </c>
      <c r="E236" s="16" t="inlineStr">
        <is>
          <t>WHT-4092</t>
        </is>
      </c>
      <c r="F236" s="16" t="inlineStr">
        <is>
          <t>VHC-1219</t>
        </is>
      </c>
      <c r="G236" s="16" t="n"/>
      <c r="H236" s="17" t="n">
        <v>1306.75</v>
      </c>
      <c r="I236" s="16" t="n"/>
      <c r="J236" s="16" t="n"/>
    </row>
    <row r="237">
      <c r="A237" s="16" t="n">
        <v>236</v>
      </c>
      <c r="B237" s="95" t="n">
        <v>46113</v>
      </c>
      <c r="C237" s="16" t="inlineStr">
        <is>
          <t>عصمت الله خان</t>
        </is>
      </c>
      <c r="D237" s="16" t="inlineStr">
        <is>
          <t>شيت المبيعات (عقود الجملة)</t>
        </is>
      </c>
      <c r="E237" s="16" t="inlineStr">
        <is>
          <t>WHT-4097</t>
        </is>
      </c>
      <c r="F237" s="16" t="inlineStr">
        <is>
          <t>VHC-1219</t>
        </is>
      </c>
      <c r="G237" s="16" t="n"/>
      <c r="H237" s="17" t="n">
        <v>675</v>
      </c>
      <c r="I237" s="16" t="n"/>
      <c r="J237" s="16" t="n"/>
    </row>
    <row r="238">
      <c r="A238" s="16" t="n">
        <v>237</v>
      </c>
      <c r="B238" s="95" t="n">
        <v>46114</v>
      </c>
      <c r="C238" s="16" t="inlineStr">
        <is>
          <t>عصمت الله خان</t>
        </is>
      </c>
      <c r="D238" s="16" t="inlineStr">
        <is>
          <t>شيت المبيعات (عقود الجملة)</t>
        </is>
      </c>
      <c r="E238" s="16" t="inlineStr">
        <is>
          <t>WHT-4103</t>
        </is>
      </c>
      <c r="F238" s="16" t="inlineStr">
        <is>
          <t>VHC-1219</t>
        </is>
      </c>
      <c r="G238" s="16" t="n"/>
      <c r="H238" s="17" t="n">
        <v>590</v>
      </c>
      <c r="I238" s="16" t="n"/>
      <c r="J238" s="16" t="n"/>
    </row>
    <row r="239">
      <c r="A239" s="16" t="n">
        <v>238</v>
      </c>
      <c r="B239" s="95" t="n">
        <v>46116</v>
      </c>
      <c r="C239" s="16" t="inlineStr">
        <is>
          <t>عصمت الله خان</t>
        </is>
      </c>
      <c r="D239" s="16" t="inlineStr">
        <is>
          <t>شيت المبيعات (عقود الجملة)</t>
        </is>
      </c>
      <c r="E239" s="16" t="inlineStr">
        <is>
          <t>WHT-4108</t>
        </is>
      </c>
      <c r="F239" s="16" t="inlineStr">
        <is>
          <t>VHC-1219</t>
        </is>
      </c>
      <c r="G239" s="16" t="n"/>
      <c r="H239" s="17" t="n">
        <v>722.5</v>
      </c>
      <c r="I239" s="16" t="n"/>
      <c r="J239" s="16" t="n"/>
    </row>
    <row r="240">
      <c r="A240" s="16" t="n">
        <v>239</v>
      </c>
      <c r="B240" s="95" t="n">
        <v>46117</v>
      </c>
      <c r="C240" s="16" t="inlineStr">
        <is>
          <t>عصمت الله خان</t>
        </is>
      </c>
      <c r="D240" s="16" t="inlineStr">
        <is>
          <t>شيت المبيعات (عقود الجملة)</t>
        </is>
      </c>
      <c r="E240" s="16" t="inlineStr">
        <is>
          <t>WHT-4112</t>
        </is>
      </c>
      <c r="F240" s="16" t="inlineStr">
        <is>
          <t>VHC-1219</t>
        </is>
      </c>
      <c r="G240" s="16" t="n"/>
      <c r="H240" s="17" t="n">
        <v>2030</v>
      </c>
      <c r="I240" s="16" t="n"/>
      <c r="J240" s="16" t="n"/>
    </row>
    <row r="241">
      <c r="A241" s="16" t="n">
        <v>240</v>
      </c>
      <c r="B241" s="95" t="n">
        <v>46118</v>
      </c>
      <c r="C241" s="16" t="inlineStr">
        <is>
          <t>عصمت الله خان</t>
        </is>
      </c>
      <c r="D241" s="16" t="inlineStr">
        <is>
          <t>شيت المبيعات (عقود الجملة)</t>
        </is>
      </c>
      <c r="E241" s="16" t="inlineStr">
        <is>
          <t>WHT-4128</t>
        </is>
      </c>
      <c r="F241" s="16" t="inlineStr">
        <is>
          <t>VHC-1219</t>
        </is>
      </c>
      <c r="G241" s="16" t="n"/>
      <c r="H241" s="17" t="n">
        <v>2650</v>
      </c>
      <c r="I241" s="16" t="n"/>
      <c r="J241" s="16" t="n"/>
    </row>
    <row r="242">
      <c r="A242" s="16" t="n">
        <v>241</v>
      </c>
      <c r="B242" s="95" t="n">
        <v>46119</v>
      </c>
      <c r="C242" s="16" t="inlineStr">
        <is>
          <t>عصمت الله خان</t>
        </is>
      </c>
      <c r="D242" s="16" t="inlineStr">
        <is>
          <t>شيت المبيعات (عقود الجملة)</t>
        </is>
      </c>
      <c r="E242" s="16" t="inlineStr">
        <is>
          <t>WHT-4134</t>
        </is>
      </c>
      <c r="F242" s="16" t="inlineStr">
        <is>
          <t>VHC-1219</t>
        </is>
      </c>
      <c r="G242" s="16" t="n"/>
      <c r="H242" s="17" t="n">
        <v>1000</v>
      </c>
      <c r="I242" s="16" t="n"/>
      <c r="J242" s="16" t="n"/>
    </row>
    <row r="243">
      <c r="A243" s="16" t="n">
        <v>242</v>
      </c>
      <c r="B243" s="95" t="n">
        <v>46119</v>
      </c>
      <c r="C243" s="16" t="inlineStr">
        <is>
          <t>عماد حمدي</t>
        </is>
      </c>
      <c r="D243" s="16" t="inlineStr">
        <is>
          <t>شيت المبيعات (عقود الجملة)</t>
        </is>
      </c>
      <c r="E243" s="16" t="inlineStr">
        <is>
          <t>WHE-4130</t>
        </is>
      </c>
      <c r="F243" s="16" t="inlineStr">
        <is>
          <t>VHC-3010</t>
        </is>
      </c>
      <c r="G243" s="16" t="n"/>
      <c r="H243" s="17" t="n">
        <v>2147.5</v>
      </c>
      <c r="I243" s="16" t="n"/>
      <c r="J243" s="16" t="n"/>
    </row>
    <row r="244">
      <c r="A244" s="16" t="n">
        <v>243</v>
      </c>
      <c r="B244" s="95" t="n">
        <v>46121</v>
      </c>
      <c r="C244" s="16" t="inlineStr">
        <is>
          <t>عصمت الله خان</t>
        </is>
      </c>
      <c r="D244" s="16" t="inlineStr">
        <is>
          <t>شيت المبيعات (عقود الجملة)</t>
        </is>
      </c>
      <c r="E244" s="16" t="inlineStr">
        <is>
          <t>WHT-4149</t>
        </is>
      </c>
      <c r="F244" s="16" t="inlineStr">
        <is>
          <t>VHC-1219</t>
        </is>
      </c>
      <c r="G244" s="16" t="n"/>
      <c r="H244" s="17" t="n">
        <v>500</v>
      </c>
      <c r="I244" s="16" t="n"/>
      <c r="J244" s="16" t="n"/>
    </row>
    <row r="245">
      <c r="A245" s="16" t="n">
        <v>244</v>
      </c>
      <c r="B245" s="95" t="n">
        <v>46123</v>
      </c>
      <c r="C245" s="16" t="inlineStr">
        <is>
          <t>عصمت الله خان</t>
        </is>
      </c>
      <c r="D245" s="16" t="inlineStr">
        <is>
          <t>شيت المبيعات (عقود الجملة)</t>
        </is>
      </c>
      <c r="E245" s="16" t="inlineStr">
        <is>
          <t>WHT-4152</t>
        </is>
      </c>
      <c r="F245" s="16" t="inlineStr">
        <is>
          <t>VHC-1219</t>
        </is>
      </c>
      <c r="G245" s="16" t="n"/>
      <c r="H245" s="17" t="n">
        <v>1335</v>
      </c>
      <c r="I245" s="16" t="n"/>
      <c r="J245" s="16" t="n"/>
    </row>
    <row r="246">
      <c r="A246" s="16" t="n">
        <v>245</v>
      </c>
      <c r="B246" s="95" t="n">
        <v>46125</v>
      </c>
      <c r="C246" s="16" t="inlineStr">
        <is>
          <t>عماد حمدي</t>
        </is>
      </c>
      <c r="D246" s="16" t="inlineStr">
        <is>
          <t>شيت المبيعات (عقود الجملة)</t>
        </is>
      </c>
      <c r="E246" s="16" t="inlineStr">
        <is>
          <t>WHE-4158</t>
        </is>
      </c>
      <c r="F246" s="16" t="inlineStr">
        <is>
          <t>VHC-3010</t>
        </is>
      </c>
      <c r="G246" s="16" t="n"/>
      <c r="H246" s="17" t="n">
        <v>3217.5</v>
      </c>
      <c r="I246" s="16" t="n"/>
      <c r="J246" s="16" t="n"/>
    </row>
    <row r="247">
      <c r="A247" s="16" t="n">
        <v>246</v>
      </c>
      <c r="B247" s="95" t="n">
        <v>46127</v>
      </c>
      <c r="C247" s="16" t="inlineStr">
        <is>
          <t>عصمت الله خان</t>
        </is>
      </c>
      <c r="D247" s="16" t="inlineStr">
        <is>
          <t>شيت المبيعات (عقود الجملة)</t>
        </is>
      </c>
      <c r="E247" s="16" t="inlineStr">
        <is>
          <t>WHT-4181</t>
        </is>
      </c>
      <c r="F247" s="16" t="inlineStr">
        <is>
          <t>VHC-1219</t>
        </is>
      </c>
      <c r="G247" s="16" t="n"/>
      <c r="H247" s="17" t="n">
        <v>1195</v>
      </c>
      <c r="I247" s="16" t="n"/>
      <c r="J247" s="16" t="n"/>
    </row>
    <row r="248">
      <c r="A248" s="16" t="n">
        <v>247</v>
      </c>
      <c r="B248" s="95" t="n">
        <v>46128</v>
      </c>
      <c r="C248" s="16" t="inlineStr">
        <is>
          <t>عماد حمدي</t>
        </is>
      </c>
      <c r="D248" s="16" t="inlineStr">
        <is>
          <t>شيت المبيعات (عقود الجملة)</t>
        </is>
      </c>
      <c r="E248" s="16" t="inlineStr">
        <is>
          <t>WHE-4185</t>
        </is>
      </c>
      <c r="F248" s="16" t="inlineStr">
        <is>
          <t>VHC-3010</t>
        </is>
      </c>
      <c r="G248" s="16" t="n"/>
      <c r="H248" s="17" t="n">
        <v>880</v>
      </c>
      <c r="I248" s="16" t="n"/>
      <c r="J248" s="16" t="n"/>
    </row>
    <row r="249">
      <c r="A249" s="16" t="n">
        <v>248</v>
      </c>
      <c r="B249" s="95" t="n">
        <v>46130</v>
      </c>
      <c r="C249" s="16" t="inlineStr">
        <is>
          <t>عصمت الله خان</t>
        </is>
      </c>
      <c r="D249" s="16" t="inlineStr">
        <is>
          <t>شيت المبيعات (عقود الجملة)</t>
        </is>
      </c>
      <c r="E249" s="16" t="inlineStr">
        <is>
          <t>WHT-4187</t>
        </is>
      </c>
      <c r="F249" s="16" t="inlineStr">
        <is>
          <t>VHC-1219</t>
        </is>
      </c>
      <c r="G249" s="16" t="n"/>
      <c r="H249" s="17" t="n">
        <v>2850</v>
      </c>
      <c r="I249" s="16" t="n"/>
      <c r="J249" s="16" t="n"/>
    </row>
    <row r="250">
      <c r="A250" s="16" t="n">
        <v>249</v>
      </c>
      <c r="B250" s="95" t="n">
        <v>46130</v>
      </c>
      <c r="C250" s="16" t="inlineStr">
        <is>
          <t>عماد حمدي</t>
        </is>
      </c>
      <c r="D250" s="16" t="inlineStr">
        <is>
          <t>شيت المبيعات (عقود الجملة)</t>
        </is>
      </c>
      <c r="E250" s="16" t="inlineStr">
        <is>
          <t>WHE-4186</t>
        </is>
      </c>
      <c r="F250" s="16" t="inlineStr">
        <is>
          <t>VHC-3010</t>
        </is>
      </c>
      <c r="G250" s="16" t="n"/>
      <c r="H250" s="17" t="n">
        <v>2070</v>
      </c>
      <c r="I250" s="16" t="n"/>
      <c r="J250" s="16" t="n"/>
    </row>
    <row r="251">
      <c r="A251" s="16" t="n">
        <v>250</v>
      </c>
      <c r="B251" s="95" t="n">
        <v>46131</v>
      </c>
      <c r="C251" s="16" t="inlineStr">
        <is>
          <t>عصمت الله خان</t>
        </is>
      </c>
      <c r="D251" s="16" t="inlineStr">
        <is>
          <t>شيت المبيعات (عقود الجملة)</t>
        </is>
      </c>
      <c r="E251" s="16" t="inlineStr">
        <is>
          <t>WHT-4191</t>
        </is>
      </c>
      <c r="F251" s="16" t="inlineStr">
        <is>
          <t>VHC-1219</t>
        </is>
      </c>
      <c r="G251" s="16" t="n"/>
      <c r="H251" s="17" t="n">
        <v>1400</v>
      </c>
      <c r="I251" s="16" t="n"/>
      <c r="J251" s="16" t="n"/>
    </row>
    <row r="252">
      <c r="A252" s="16" t="n">
        <v>251</v>
      </c>
      <c r="B252" s="95" t="n">
        <v>46132</v>
      </c>
      <c r="C252" s="16" t="inlineStr">
        <is>
          <t>عصمت الله خان</t>
        </is>
      </c>
      <c r="D252" s="16" t="inlineStr">
        <is>
          <t>شيت المبيعات (عقود الجملة)</t>
        </is>
      </c>
      <c r="E252" s="16" t="inlineStr">
        <is>
          <t>WHT-4193</t>
        </is>
      </c>
      <c r="F252" s="16" t="inlineStr">
        <is>
          <t>VHC-1219</t>
        </is>
      </c>
      <c r="G252" s="16" t="n"/>
      <c r="H252" s="17" t="n">
        <v>1390</v>
      </c>
      <c r="I252" s="16" t="n"/>
      <c r="J252" s="16" t="n"/>
    </row>
    <row r="253">
      <c r="A253" s="16" t="n">
        <v>252</v>
      </c>
      <c r="B253" s="95" t="n">
        <v>46132</v>
      </c>
      <c r="C253" s="16" t="inlineStr">
        <is>
          <t>عماد حمدي</t>
        </is>
      </c>
      <c r="D253" s="16" t="inlineStr">
        <is>
          <t>شيت المبيعات (عقود الجملة)</t>
        </is>
      </c>
      <c r="E253" s="16" t="inlineStr">
        <is>
          <t>WHE-4192</t>
        </is>
      </c>
      <c r="F253" s="16" t="inlineStr">
        <is>
          <t>VHC-3010</t>
        </is>
      </c>
      <c r="G253" s="16" t="n"/>
      <c r="H253" s="17" t="n">
        <v>3100</v>
      </c>
      <c r="I253" s="16" t="n"/>
      <c r="J253" s="16" t="n"/>
    </row>
    <row r="254">
      <c r="A254" s="16" t="n">
        <v>253</v>
      </c>
      <c r="B254" s="95" t="n">
        <v>46133</v>
      </c>
      <c r="C254" s="16" t="inlineStr">
        <is>
          <t>عصمت الله خان</t>
        </is>
      </c>
      <c r="D254" s="16" t="inlineStr">
        <is>
          <t>شيت المبيعات (عقود الجملة)</t>
        </is>
      </c>
      <c r="E254" s="16" t="inlineStr">
        <is>
          <t>WHT-4198</t>
        </is>
      </c>
      <c r="F254" s="16" t="inlineStr">
        <is>
          <t>VHC-1219</t>
        </is>
      </c>
      <c r="G254" s="16" t="n"/>
      <c r="H254" s="17" t="n">
        <v>555</v>
      </c>
      <c r="I254" s="16" t="n"/>
      <c r="J254" s="16" t="n"/>
    </row>
    <row r="255">
      <c r="A255" s="16" t="n">
        <v>254</v>
      </c>
      <c r="B255" s="95" t="n">
        <v>46134</v>
      </c>
      <c r="C255" s="16" t="inlineStr">
        <is>
          <t>عصمت الله خان</t>
        </is>
      </c>
      <c r="D255" s="16" t="inlineStr">
        <is>
          <t>شيت المبيعات (عقود الجملة)</t>
        </is>
      </c>
      <c r="E255" s="16" t="inlineStr">
        <is>
          <t>WHT-4207</t>
        </is>
      </c>
      <c r="F255" s="16" t="inlineStr">
        <is>
          <t>VHC-1219</t>
        </is>
      </c>
      <c r="G255" s="16" t="n"/>
      <c r="H255" s="17" t="n">
        <v>2160</v>
      </c>
      <c r="I255" s="16" t="n"/>
      <c r="J255" s="16" t="n"/>
    </row>
    <row r="256">
      <c r="A256" s="16" t="n">
        <v>255</v>
      </c>
      <c r="B256" s="95" t="n">
        <v>46134</v>
      </c>
      <c r="C256" s="16" t="inlineStr">
        <is>
          <t>عماد حمدي</t>
        </is>
      </c>
      <c r="D256" s="16" t="inlineStr">
        <is>
          <t>شيت المبيعات (عقود الجملة)</t>
        </is>
      </c>
      <c r="E256" s="16" t="inlineStr">
        <is>
          <t>WHE-4199</t>
        </is>
      </c>
      <c r="F256" s="16" t="inlineStr">
        <is>
          <t>VHC-3010</t>
        </is>
      </c>
      <c r="G256" s="16" t="n"/>
      <c r="H256" s="17" t="n">
        <v>2602.5</v>
      </c>
      <c r="I256" s="16" t="n"/>
      <c r="J256" s="16" t="n"/>
    </row>
    <row r="257">
      <c r="A257" s="16" t="n">
        <v>256</v>
      </c>
      <c r="B257" s="95" t="n">
        <v>46134</v>
      </c>
      <c r="C257" s="16" t="inlineStr">
        <is>
          <t>عماد حمدي</t>
        </is>
      </c>
      <c r="D257" s="16" t="inlineStr">
        <is>
          <t>شيت المبيعات (عقود الجملة)</t>
        </is>
      </c>
      <c r="E257" s="16" t="inlineStr">
        <is>
          <t>WHE-4204</t>
        </is>
      </c>
      <c r="F257" s="16" t="inlineStr">
        <is>
          <t>VHC-3010</t>
        </is>
      </c>
      <c r="G257" s="16" t="n"/>
      <c r="H257" s="17" t="n">
        <v>1180</v>
      </c>
      <c r="I257" s="16" t="n"/>
      <c r="J257" s="16" t="n"/>
    </row>
    <row r="258">
      <c r="A258" s="16" t="n">
        <v>257</v>
      </c>
      <c r="B258" s="95" t="n">
        <v>46137</v>
      </c>
      <c r="C258" s="16" t="inlineStr">
        <is>
          <t>عصمت الله خان</t>
        </is>
      </c>
      <c r="D258" s="16" t="inlineStr">
        <is>
          <t>شيت المبيعات (عقود الجملة)</t>
        </is>
      </c>
      <c r="E258" s="16" t="inlineStr">
        <is>
          <t>WHT-4214</t>
        </is>
      </c>
      <c r="F258" s="16" t="inlineStr">
        <is>
          <t>VHC-1219</t>
        </is>
      </c>
      <c r="G258" s="16" t="n"/>
      <c r="H258" s="17" t="n">
        <v>2157.5</v>
      </c>
      <c r="I258" s="16" t="n"/>
      <c r="J258" s="16" t="n"/>
    </row>
    <row r="259">
      <c r="A259" s="16" t="n">
        <v>258</v>
      </c>
      <c r="B259" s="95" t="n">
        <v>46137</v>
      </c>
      <c r="C259" s="16" t="inlineStr">
        <is>
          <t>عماد حمدي</t>
        </is>
      </c>
      <c r="D259" s="16" t="inlineStr">
        <is>
          <t>شيت المبيعات (عقود الجملة)</t>
        </is>
      </c>
      <c r="E259" s="16" t="inlineStr">
        <is>
          <t>WHE-4210</t>
        </is>
      </c>
      <c r="F259" s="16" t="inlineStr">
        <is>
          <t>VHC-3010</t>
        </is>
      </c>
      <c r="G259" s="16" t="n"/>
      <c r="H259" s="17" t="n">
        <v>6711.25</v>
      </c>
      <c r="I259" s="16" t="n"/>
      <c r="J259" s="16" t="n"/>
    </row>
    <row r="260">
      <c r="A260" s="16" t="n">
        <v>259</v>
      </c>
      <c r="B260" s="95" t="n">
        <v>46138</v>
      </c>
      <c r="C260" s="16" t="inlineStr">
        <is>
          <t>عصمت الله خان</t>
        </is>
      </c>
      <c r="D260" s="16" t="inlineStr">
        <is>
          <t>شيت المبيعات (عقود الجملة)</t>
        </is>
      </c>
      <c r="E260" s="16" t="inlineStr">
        <is>
          <t>WHT-4219</t>
        </is>
      </c>
      <c r="F260" s="16" t="inlineStr">
        <is>
          <t>VHC-1219</t>
        </is>
      </c>
      <c r="G260" s="16" t="n"/>
      <c r="H260" s="17" t="n">
        <v>1835</v>
      </c>
      <c r="I260" s="16" t="n"/>
      <c r="J260" s="16" t="n"/>
    </row>
    <row r="261">
      <c r="A261" s="16" t="n">
        <v>260</v>
      </c>
      <c r="B261" s="95" t="n">
        <v>46139</v>
      </c>
      <c r="C261" s="16" t="inlineStr">
        <is>
          <t>عصمت الله خان</t>
        </is>
      </c>
      <c r="D261" s="16" t="inlineStr">
        <is>
          <t>شيت المبيعات (عقود الجملة)</t>
        </is>
      </c>
      <c r="E261" s="16" t="inlineStr">
        <is>
          <t>WHT-4226</t>
        </is>
      </c>
      <c r="F261" s="16" t="inlineStr">
        <is>
          <t>VHC-1219</t>
        </is>
      </c>
      <c r="G261" s="16" t="n"/>
      <c r="H261" s="17" t="n">
        <v>1327.5</v>
      </c>
      <c r="I261" s="16" t="n"/>
      <c r="J261" s="16" t="n"/>
    </row>
    <row r="262">
      <c r="A262" s="16" t="n">
        <v>261</v>
      </c>
      <c r="B262" s="95" t="n">
        <v>46139</v>
      </c>
      <c r="C262" s="16" t="inlineStr">
        <is>
          <t>عماد حمدي</t>
        </is>
      </c>
      <c r="D262" s="16" t="inlineStr">
        <is>
          <t>شيت المبيعات (عقود الجملة)</t>
        </is>
      </c>
      <c r="E262" s="16" t="inlineStr">
        <is>
          <t>WHE-4218</t>
        </is>
      </c>
      <c r="F262" s="16" t="inlineStr">
        <is>
          <t>VHC-3010</t>
        </is>
      </c>
      <c r="G262" s="16" t="n"/>
      <c r="H262" s="17" t="n">
        <v>810</v>
      </c>
      <c r="I262" s="16" t="n"/>
      <c r="J262" s="16" t="n"/>
    </row>
    <row r="263">
      <c r="A263" s="16" t="n">
        <v>262</v>
      </c>
      <c r="B263" s="95" t="n">
        <v>46141</v>
      </c>
      <c r="C263" s="16" t="inlineStr">
        <is>
          <t>عصمت الله خان</t>
        </is>
      </c>
      <c r="D263" s="16" t="inlineStr">
        <is>
          <t>شيت المبيعات (عقود الجملة)</t>
        </is>
      </c>
      <c r="E263" s="16" t="inlineStr">
        <is>
          <t>WHT-4230</t>
        </is>
      </c>
      <c r="F263" s="16" t="inlineStr">
        <is>
          <t>VHC-1219</t>
        </is>
      </c>
      <c r="G263" s="16" t="n"/>
      <c r="H263" s="17" t="n">
        <v>757.5</v>
      </c>
      <c r="I263" s="16" t="n"/>
      <c r="J263" s="16" t="n"/>
    </row>
    <row r="264">
      <c r="A264" s="16" t="n">
        <v>263</v>
      </c>
      <c r="B264" s="95" t="n">
        <v>46141</v>
      </c>
      <c r="C264" s="16" t="inlineStr">
        <is>
          <t>عصمت الله خان</t>
        </is>
      </c>
      <c r="D264" s="16" t="inlineStr">
        <is>
          <t>شيت المبيعات (عقود الجملة)</t>
        </is>
      </c>
      <c r="E264" s="16" t="inlineStr">
        <is>
          <t>WHT-4234</t>
        </is>
      </c>
      <c r="F264" s="16" t="inlineStr">
        <is>
          <t>VHC-1219</t>
        </is>
      </c>
      <c r="G264" s="16" t="n"/>
      <c r="H264" s="17" t="n">
        <v>1350</v>
      </c>
      <c r="I264" s="16" t="n"/>
      <c r="J264" s="16" t="n"/>
    </row>
    <row r="265">
      <c r="A265" s="16" t="n">
        <v>264</v>
      </c>
      <c r="B265" s="95" t="n">
        <v>46141</v>
      </c>
      <c r="C265" s="16" t="inlineStr">
        <is>
          <t>عماد حمدي</t>
        </is>
      </c>
      <c r="D265" s="16" t="inlineStr">
        <is>
          <t>شيت المبيعات (عقود الجملة)</t>
        </is>
      </c>
      <c r="E265" s="16" t="inlineStr">
        <is>
          <t>WHE-4232</t>
        </is>
      </c>
      <c r="F265" s="16" t="inlineStr">
        <is>
          <t>VHC-3010</t>
        </is>
      </c>
      <c r="G265" s="16" t="n"/>
      <c r="H265" s="17" t="n">
        <v>612.5</v>
      </c>
      <c r="I265" s="16" t="n"/>
      <c r="J265" s="16" t="n"/>
    </row>
    <row r="266">
      <c r="A266" s="16" t="n">
        <v>265</v>
      </c>
      <c r="B266" s="95" t="n">
        <v>46142</v>
      </c>
      <c r="C266" s="16" t="inlineStr">
        <is>
          <t>عصمت الله خان</t>
        </is>
      </c>
      <c r="D266" s="16" t="inlineStr">
        <is>
          <t>شيت المبيعات (عقود الجملة)</t>
        </is>
      </c>
      <c r="E266" s="16" t="inlineStr">
        <is>
          <t>WHT-4243</t>
        </is>
      </c>
      <c r="F266" s="16" t="inlineStr">
        <is>
          <t>VHC-1219</t>
        </is>
      </c>
      <c r="G266" s="16" t="n"/>
      <c r="H266" s="17" t="n">
        <v>1350</v>
      </c>
      <c r="I266" s="16" t="inlineStr">
        <is>
          <t>صحيح (تصحيح رقم)</t>
        </is>
      </c>
      <c r="J266" s="16" t="inlineStr">
        <is>
          <t>رقم العقد مكرر في شيت المحاسب – الصحيح WHT-4243</t>
        </is>
      </c>
    </row>
    <row r="267">
      <c r="A267" s="16" t="n">
        <v>266</v>
      </c>
      <c r="B267" s="95" t="n">
        <v>46144</v>
      </c>
      <c r="C267" s="16" t="inlineStr">
        <is>
          <t>عصمت الله خان</t>
        </is>
      </c>
      <c r="D267" s="16" t="inlineStr">
        <is>
          <t>شيت المبيعات (عقود الجملة)</t>
        </is>
      </c>
      <c r="E267" s="16" t="inlineStr">
        <is>
          <t>WHT-4247</t>
        </is>
      </c>
      <c r="F267" s="16" t="inlineStr">
        <is>
          <t>VHC-1219</t>
        </is>
      </c>
      <c r="G267" s="16" t="n"/>
      <c r="H267" s="17" t="n">
        <v>895</v>
      </c>
      <c r="I267" s="16" t="n"/>
      <c r="J267" s="16" t="n"/>
    </row>
    <row r="268">
      <c r="A268" s="16" t="n">
        <v>267</v>
      </c>
      <c r="B268" s="95" t="n">
        <v>46145</v>
      </c>
      <c r="C268" s="16" t="inlineStr">
        <is>
          <t>عصمت الله خان</t>
        </is>
      </c>
      <c r="D268" s="16" t="inlineStr">
        <is>
          <t>شيت المبيعات (عقود الجملة)</t>
        </is>
      </c>
      <c r="E268" s="16" t="inlineStr">
        <is>
          <t>WHT-4260</t>
        </is>
      </c>
      <c r="F268" s="16" t="inlineStr">
        <is>
          <t>VHC-1219</t>
        </is>
      </c>
      <c r="G268" s="16" t="n"/>
      <c r="H268" s="17" t="n">
        <v>1950</v>
      </c>
      <c r="I268" s="16" t="n"/>
      <c r="J268" s="16" t="n"/>
    </row>
    <row r="269">
      <c r="A269" s="16" t="n">
        <v>268</v>
      </c>
      <c r="B269" s="95" t="n">
        <v>46145</v>
      </c>
      <c r="C269" s="16" t="inlineStr">
        <is>
          <t>م/ عادل أبو خالد</t>
        </is>
      </c>
      <c r="D269" s="16" t="inlineStr">
        <is>
          <t>شيت المبيعات (عقود الجملة)</t>
        </is>
      </c>
      <c r="E269" s="16" t="inlineStr">
        <is>
          <t>WHK-4256</t>
        </is>
      </c>
      <c r="F269" s="16" t="inlineStr">
        <is>
          <t>—</t>
        </is>
      </c>
      <c r="G269" s="16" t="n"/>
      <c r="H269" s="17" t="n">
        <v>19490</v>
      </c>
      <c r="I269" s="16" t="n"/>
      <c r="J269" s="16" t="n"/>
    </row>
    <row r="270">
      <c r="A270" s="16" t="n">
        <v>269</v>
      </c>
      <c r="B270" s="95" t="n">
        <v>46146</v>
      </c>
      <c r="C270" s="16" t="inlineStr">
        <is>
          <t>عصمت الله خان</t>
        </is>
      </c>
      <c r="D270" s="16" t="inlineStr">
        <is>
          <t>شيت المبيعات (عقود الجملة)</t>
        </is>
      </c>
      <c r="E270" s="16" t="inlineStr">
        <is>
          <t>WHT-4270</t>
        </is>
      </c>
      <c r="F270" s="16" t="inlineStr">
        <is>
          <t>VHC-1219</t>
        </is>
      </c>
      <c r="G270" s="16" t="n"/>
      <c r="H270" s="17" t="n">
        <v>2895</v>
      </c>
      <c r="I270" s="16" t="n"/>
      <c r="J270" s="16" t="n"/>
    </row>
    <row r="271">
      <c r="A271" s="16" t="n">
        <v>270</v>
      </c>
      <c r="B271" s="95" t="n">
        <v>46146</v>
      </c>
      <c r="C271" s="16" t="inlineStr">
        <is>
          <t>عماد حمدي</t>
        </is>
      </c>
      <c r="D271" s="16" t="inlineStr">
        <is>
          <t>شيت المبيعات (عقود الجملة)</t>
        </is>
      </c>
      <c r="E271" s="16" t="inlineStr">
        <is>
          <t>WHE-4261</t>
        </is>
      </c>
      <c r="F271" s="16" t="inlineStr">
        <is>
          <t>VHC-3010</t>
        </is>
      </c>
      <c r="G271" s="16" t="n"/>
      <c r="H271" s="17" t="n">
        <v>4200</v>
      </c>
      <c r="I271" s="16" t="n"/>
      <c r="J271" s="16" t="n"/>
    </row>
    <row r="272">
      <c r="A272" s="16" t="n">
        <v>271</v>
      </c>
      <c r="B272" s="95" t="n">
        <v>46147</v>
      </c>
      <c r="C272" s="16" t="inlineStr">
        <is>
          <t>عصمت الله خان</t>
        </is>
      </c>
      <c r="D272" s="16" t="inlineStr">
        <is>
          <t>شيت المبيعات (عقود الجملة)</t>
        </is>
      </c>
      <c r="E272" s="16" t="inlineStr">
        <is>
          <t>WHT-4276</t>
        </is>
      </c>
      <c r="F272" s="16" t="inlineStr">
        <is>
          <t>VHC-1219</t>
        </is>
      </c>
      <c r="G272" s="16" t="n"/>
      <c r="H272" s="17" t="n">
        <v>2880</v>
      </c>
      <c r="I272" s="16" t="n"/>
      <c r="J272" s="16" t="n"/>
    </row>
    <row r="273">
      <c r="A273" s="16" t="n">
        <v>272</v>
      </c>
      <c r="B273" s="95" t="n">
        <v>46147</v>
      </c>
      <c r="C273" s="16" t="inlineStr">
        <is>
          <t>م/ عادل أبو خالد</t>
        </is>
      </c>
      <c r="D273" s="16" t="inlineStr">
        <is>
          <t>شيت المبيعات (عقود الجملة)</t>
        </is>
      </c>
      <c r="E273" s="16" t="inlineStr">
        <is>
          <t>WHK-4275</t>
        </is>
      </c>
      <c r="F273" s="16" t="inlineStr">
        <is>
          <t>—</t>
        </is>
      </c>
      <c r="G273" s="16" t="n"/>
      <c r="H273" s="17" t="n">
        <v>21780</v>
      </c>
      <c r="I273" s="16" t="n"/>
      <c r="J273" s="16" t="n"/>
    </row>
    <row r="274">
      <c r="A274" s="16" t="n">
        <v>273</v>
      </c>
      <c r="B274" s="95" t="n">
        <v>46148</v>
      </c>
      <c r="C274" s="16" t="inlineStr">
        <is>
          <t>عصمت الله خان</t>
        </is>
      </c>
      <c r="D274" s="16" t="inlineStr">
        <is>
          <t>شيت المبيعات (عقود الجملة)</t>
        </is>
      </c>
      <c r="E274" s="16" t="inlineStr">
        <is>
          <t>WHT-4285</t>
        </is>
      </c>
      <c r="F274" s="16" t="inlineStr">
        <is>
          <t>VHC-1219</t>
        </is>
      </c>
      <c r="G274" s="16" t="n"/>
      <c r="H274" s="17" t="n">
        <v>3330</v>
      </c>
      <c r="I274" s="16" t="n"/>
      <c r="J274" s="16" t="n"/>
    </row>
    <row r="275">
      <c r="A275" s="16" t="n">
        <v>274</v>
      </c>
      <c r="B275" s="95" t="n">
        <v>46148</v>
      </c>
      <c r="C275" s="16" t="inlineStr">
        <is>
          <t>عماد حمدي</t>
        </is>
      </c>
      <c r="D275" s="16" t="inlineStr">
        <is>
          <t>شيت المبيعات (عقود الجملة)</t>
        </is>
      </c>
      <c r="E275" s="16" t="inlineStr">
        <is>
          <t>WHE-4278</t>
        </is>
      </c>
      <c r="F275" s="16" t="inlineStr">
        <is>
          <t>VHC-3010</t>
        </is>
      </c>
      <c r="G275" s="16" t="n"/>
      <c r="H275" s="17" t="n">
        <v>3328.75</v>
      </c>
      <c r="I275" s="16" t="n"/>
      <c r="J275" s="16" t="n"/>
    </row>
    <row r="276">
      <c r="A276" s="16" t="n">
        <v>275</v>
      </c>
      <c r="B276" s="95" t="n">
        <v>46149</v>
      </c>
      <c r="C276" s="16" t="inlineStr">
        <is>
          <t>عصمت الله خان</t>
        </is>
      </c>
      <c r="D276" s="16" t="inlineStr">
        <is>
          <t>شيت المبيعات (عقود الجملة)</t>
        </is>
      </c>
      <c r="E276" s="16" t="inlineStr">
        <is>
          <t>WHT-4287</t>
        </is>
      </c>
      <c r="F276" s="16" t="inlineStr">
        <is>
          <t>VHC-1219</t>
        </is>
      </c>
      <c r="G276" s="16" t="n"/>
      <c r="H276" s="17" t="n">
        <v>3060</v>
      </c>
      <c r="I276" s="16" t="n"/>
      <c r="J276" s="16" t="n"/>
    </row>
    <row r="277">
      <c r="A277" s="16" t="n">
        <v>276</v>
      </c>
      <c r="B277" s="95" t="n">
        <v>46149</v>
      </c>
      <c r="C277" s="16" t="inlineStr">
        <is>
          <t>عماد حمدي</t>
        </is>
      </c>
      <c r="D277" s="16" t="inlineStr">
        <is>
          <t>شيت المبيعات (عقود الجملة)</t>
        </is>
      </c>
      <c r="E277" s="16" t="inlineStr">
        <is>
          <t>WHE-4286</t>
        </is>
      </c>
      <c r="F277" s="16" t="inlineStr">
        <is>
          <t>VHC-3010</t>
        </is>
      </c>
      <c r="G277" s="16" t="n"/>
      <c r="H277" s="17" t="n">
        <v>6000</v>
      </c>
      <c r="I277" s="16" t="n"/>
      <c r="J277" s="16" t="n"/>
    </row>
    <row r="278">
      <c r="A278" s="16" t="n">
        <v>277</v>
      </c>
      <c r="B278" s="95" t="n">
        <v>46151</v>
      </c>
      <c r="C278" s="16" t="inlineStr">
        <is>
          <t>عصمت الله خان</t>
        </is>
      </c>
      <c r="D278" s="16" t="inlineStr">
        <is>
          <t>شيت المبيعات (عقود الجملة)</t>
        </is>
      </c>
      <c r="E278" s="16" t="inlineStr">
        <is>
          <t>WHT-4289</t>
        </is>
      </c>
      <c r="F278" s="16" t="inlineStr">
        <is>
          <t>VHC-1219</t>
        </is>
      </c>
      <c r="G278" s="16" t="n"/>
      <c r="H278" s="17" t="n">
        <v>4337.5</v>
      </c>
      <c r="I278" s="16" t="n"/>
      <c r="J278" s="16" t="n"/>
    </row>
    <row r="279">
      <c r="A279" s="16" t="n">
        <v>278</v>
      </c>
      <c r="B279" s="95" t="n">
        <v>46151</v>
      </c>
      <c r="C279" s="16" t="inlineStr">
        <is>
          <t>عماد حمدي</t>
        </is>
      </c>
      <c r="D279" s="16" t="inlineStr">
        <is>
          <t>شيت المبيعات (عقود الجملة)</t>
        </is>
      </c>
      <c r="E279" s="16" t="inlineStr">
        <is>
          <t>WHE-4290</t>
        </is>
      </c>
      <c r="F279" s="16" t="inlineStr">
        <is>
          <t>VHC-3010</t>
        </is>
      </c>
      <c r="G279" s="16" t="n"/>
      <c r="H279" s="17" t="n">
        <v>877.5</v>
      </c>
      <c r="I279" s="16" t="n"/>
      <c r="J279" s="16" t="n"/>
    </row>
    <row r="280">
      <c r="A280" s="16" t="n">
        <v>279</v>
      </c>
      <c r="B280" s="95" t="n">
        <v>46152</v>
      </c>
      <c r="C280" s="16" t="inlineStr">
        <is>
          <t>عصمت الله خان</t>
        </is>
      </c>
      <c r="D280" s="16" t="inlineStr">
        <is>
          <t>شيت المبيعات (عقود الجملة)</t>
        </is>
      </c>
      <c r="E280" s="16" t="inlineStr">
        <is>
          <t>WHT-4299</t>
        </is>
      </c>
      <c r="F280" s="16" t="inlineStr">
        <is>
          <t>VHC-1219</t>
        </is>
      </c>
      <c r="G280" s="16" t="n"/>
      <c r="H280" s="17" t="n">
        <v>2415</v>
      </c>
      <c r="I280" s="16" t="n"/>
      <c r="J280" s="16" t="n"/>
    </row>
    <row r="281">
      <c r="A281" s="16" t="n">
        <v>280</v>
      </c>
      <c r="B281" s="95" t="n">
        <v>46152</v>
      </c>
      <c r="C281" s="16" t="inlineStr">
        <is>
          <t>م/ عادل أبو خالد</t>
        </is>
      </c>
      <c r="D281" s="16" t="inlineStr">
        <is>
          <t>شيت المبيعات (عقود الجملة)</t>
        </is>
      </c>
      <c r="E281" s="16" t="inlineStr">
        <is>
          <t>WHK-4291</t>
        </is>
      </c>
      <c r="F281" s="16" t="inlineStr">
        <is>
          <t>—</t>
        </is>
      </c>
      <c r="G281" s="16" t="n"/>
      <c r="H281" s="17" t="n">
        <v>3135</v>
      </c>
      <c r="I281" s="16" t="n"/>
      <c r="J281" s="16" t="n"/>
    </row>
    <row r="282">
      <c r="A282" s="16" t="n">
        <v>281</v>
      </c>
      <c r="B282" s="95" t="n">
        <v>46153</v>
      </c>
      <c r="C282" s="16" t="inlineStr">
        <is>
          <t>عصمت الله خان</t>
        </is>
      </c>
      <c r="D282" s="16" t="inlineStr">
        <is>
          <t>شيت المبيعات (عقود الجملة)</t>
        </is>
      </c>
      <c r="E282" s="16" t="inlineStr">
        <is>
          <t>WHT-4303</t>
        </is>
      </c>
      <c r="F282" s="16" t="inlineStr">
        <is>
          <t>VHC-1219</t>
        </is>
      </c>
      <c r="G282" s="16" t="n"/>
      <c r="H282" s="17" t="n">
        <v>3225</v>
      </c>
      <c r="I282" s="16" t="n"/>
      <c r="J282" s="16" t="n"/>
    </row>
    <row r="283">
      <c r="A283" s="16" t="n">
        <v>282</v>
      </c>
      <c r="B283" s="95" t="n">
        <v>46154</v>
      </c>
      <c r="C283" s="16" t="inlineStr">
        <is>
          <t>عصمت الله خان</t>
        </is>
      </c>
      <c r="D283" s="16" t="inlineStr">
        <is>
          <t>شيت المبيعات (عقود الجملة)</t>
        </is>
      </c>
      <c r="E283" s="16" t="inlineStr">
        <is>
          <t>WHT-4307</t>
        </is>
      </c>
      <c r="F283" s="16" t="inlineStr">
        <is>
          <t>VHC-1219</t>
        </is>
      </c>
      <c r="G283" s="16" t="n"/>
      <c r="H283" s="17" t="n">
        <v>2448.75</v>
      </c>
      <c r="I283" s="16" t="n"/>
      <c r="J283" s="16" t="n"/>
    </row>
    <row r="284">
      <c r="A284" s="16" t="n">
        <v>283</v>
      </c>
      <c r="B284" s="95" t="n">
        <v>46154</v>
      </c>
      <c r="C284" s="16" t="inlineStr">
        <is>
          <t>عماد حمدي</t>
        </is>
      </c>
      <c r="D284" s="16" t="inlineStr">
        <is>
          <t>شيت المبيعات (عقود الجملة)</t>
        </is>
      </c>
      <c r="E284" s="16" t="inlineStr">
        <is>
          <t>WHE-4304</t>
        </is>
      </c>
      <c r="F284" s="16" t="inlineStr">
        <is>
          <t>VHC-3010</t>
        </is>
      </c>
      <c r="G284" s="16" t="n"/>
      <c r="H284" s="17" t="n">
        <v>3955</v>
      </c>
      <c r="I284" s="16" t="n"/>
      <c r="J284" s="16" t="n"/>
    </row>
    <row r="285">
      <c r="A285" s="16" t="n">
        <v>284</v>
      </c>
      <c r="B285" s="95" t="n">
        <v>46154</v>
      </c>
      <c r="C285" s="16" t="inlineStr">
        <is>
          <t>م/ عادل أبو خالد</t>
        </is>
      </c>
      <c r="D285" s="16" t="inlineStr">
        <is>
          <t>شيت المبيعات (عقود الجملة)</t>
        </is>
      </c>
      <c r="E285" s="16" t="inlineStr">
        <is>
          <t>WHK-4305</t>
        </is>
      </c>
      <c r="F285" s="16" t="inlineStr">
        <is>
          <t>—</t>
        </is>
      </c>
      <c r="G285" s="16" t="n"/>
      <c r="H285" s="17" t="n">
        <v>3025</v>
      </c>
      <c r="I285" s="16" t="n"/>
      <c r="J285" s="16" t="n"/>
    </row>
    <row r="286">
      <c r="A286" s="16" t="n">
        <v>285</v>
      </c>
      <c r="B286" s="95" t="n">
        <v>46155</v>
      </c>
      <c r="C286" s="16" t="inlineStr">
        <is>
          <t>عصمت الله خان</t>
        </is>
      </c>
      <c r="D286" s="16" t="inlineStr">
        <is>
          <t>شيت المبيعات (عقود الجملة)</t>
        </is>
      </c>
      <c r="E286" s="16" t="inlineStr">
        <is>
          <t>WHT-4309</t>
        </is>
      </c>
      <c r="F286" s="16" t="inlineStr">
        <is>
          <t>VHC-1219</t>
        </is>
      </c>
      <c r="G286" s="16" t="n"/>
      <c r="H286" s="17" t="n">
        <v>2531</v>
      </c>
      <c r="I286" s="16" t="n"/>
      <c r="J286" s="16" t="n"/>
    </row>
    <row r="287">
      <c r="A287" s="16" t="n">
        <v>286</v>
      </c>
      <c r="B287" s="95" t="n">
        <v>46156</v>
      </c>
      <c r="C287" s="16" t="inlineStr">
        <is>
          <t>عصمت الله خان</t>
        </is>
      </c>
      <c r="D287" s="16" t="inlineStr">
        <is>
          <t>شيت المبيعات (عقود الجملة)</t>
        </is>
      </c>
      <c r="E287" s="16" t="inlineStr">
        <is>
          <t>WHT-4313</t>
        </is>
      </c>
      <c r="F287" s="16" t="inlineStr">
        <is>
          <t>VHC-1219</t>
        </is>
      </c>
      <c r="G287" s="16" t="n"/>
      <c r="H287" s="17" t="n">
        <v>3370</v>
      </c>
      <c r="I287" s="16" t="n"/>
      <c r="J287" s="16" t="n"/>
    </row>
    <row r="288">
      <c r="A288" s="16" t="n">
        <v>287</v>
      </c>
      <c r="B288" s="95" t="n">
        <v>46156</v>
      </c>
      <c r="C288" s="16" t="inlineStr">
        <is>
          <t>عماد حمدي</t>
        </is>
      </c>
      <c r="D288" s="16" t="inlineStr">
        <is>
          <t>شيت المبيعات (عقود الجملة)</t>
        </is>
      </c>
      <c r="E288" s="16" t="inlineStr">
        <is>
          <t>WHE-4314</t>
        </is>
      </c>
      <c r="F288" s="16" t="inlineStr">
        <is>
          <t>VHC-3010</t>
        </is>
      </c>
      <c r="G288" s="16" t="n"/>
      <c r="H288" s="17" t="n">
        <v>6455</v>
      </c>
      <c r="I288" s="16" t="n"/>
      <c r="J288" s="16" t="n"/>
    </row>
    <row r="289">
      <c r="A289" s="16" t="n">
        <v>288</v>
      </c>
      <c r="B289" s="95" t="n">
        <v>46158</v>
      </c>
      <c r="C289" s="16" t="inlineStr">
        <is>
          <t>عصمت الله خان</t>
        </is>
      </c>
      <c r="D289" s="16" t="inlineStr">
        <is>
          <t>شيت المبيعات (عقود الجملة)</t>
        </is>
      </c>
      <c r="E289" s="16" t="inlineStr">
        <is>
          <t>WHT-4317</t>
        </is>
      </c>
      <c r="F289" s="16" t="inlineStr">
        <is>
          <t>VHC-1219</t>
        </is>
      </c>
      <c r="G289" s="16" t="n"/>
      <c r="H289" s="17" t="n">
        <v>3525</v>
      </c>
      <c r="I289" s="16" t="n"/>
      <c r="J289" s="16" t="n"/>
    </row>
    <row r="290">
      <c r="A290" s="16" t="n">
        <v>289</v>
      </c>
      <c r="B290" s="95" t="n">
        <v>46159</v>
      </c>
      <c r="C290" s="16" t="inlineStr">
        <is>
          <t>عصمت الله خان</t>
        </is>
      </c>
      <c r="D290" s="16" t="inlineStr">
        <is>
          <t>شيت المبيعات (عقود الجملة)</t>
        </is>
      </c>
      <c r="E290" s="16" t="inlineStr">
        <is>
          <t>WHT-4322</t>
        </is>
      </c>
      <c r="F290" s="16" t="inlineStr">
        <is>
          <t>VHC-1219</t>
        </is>
      </c>
      <c r="G290" s="16" t="n"/>
      <c r="H290" s="17" t="n">
        <v>2892</v>
      </c>
      <c r="I290" s="16" t="n"/>
      <c r="J290" s="16" t="n"/>
    </row>
    <row r="291">
      <c r="A291" s="16" t="n">
        <v>290</v>
      </c>
      <c r="B291" s="95" t="n">
        <v>46160</v>
      </c>
      <c r="C291" s="16" t="inlineStr">
        <is>
          <t>عصمت الله خان</t>
        </is>
      </c>
      <c r="D291" s="16" t="inlineStr">
        <is>
          <t>شيت المبيعات (عقود الجملة)</t>
        </is>
      </c>
      <c r="E291" s="16" t="inlineStr">
        <is>
          <t>WHT-4326</t>
        </is>
      </c>
      <c r="F291" s="16" t="inlineStr">
        <is>
          <t>VHC-1219</t>
        </is>
      </c>
      <c r="G291" s="16" t="n"/>
      <c r="H291" s="17" t="n">
        <v>2145</v>
      </c>
      <c r="I291" s="16" t="n"/>
      <c r="J291" s="16" t="n"/>
    </row>
    <row r="292">
      <c r="A292" s="16" t="n">
        <v>291</v>
      </c>
      <c r="B292" s="95" t="n">
        <v>46160</v>
      </c>
      <c r="C292" s="16" t="inlineStr">
        <is>
          <t>م/ عادل أبو خالد</t>
        </is>
      </c>
      <c r="D292" s="16" t="inlineStr">
        <is>
          <t>شيت المبيعات (عقود الجملة)</t>
        </is>
      </c>
      <c r="E292" s="16" t="inlineStr">
        <is>
          <t>WHK-4323</t>
        </is>
      </c>
      <c r="F292" s="16" t="inlineStr">
        <is>
          <t>—</t>
        </is>
      </c>
      <c r="G292" s="16" t="n"/>
      <c r="H292" s="17" t="n">
        <v>750</v>
      </c>
      <c r="I292" s="16" t="n"/>
      <c r="J292" s="16" t="n"/>
    </row>
    <row r="293">
      <c r="A293" s="16" t="n">
        <v>292</v>
      </c>
      <c r="B293" s="95" t="n">
        <v>46161</v>
      </c>
      <c r="C293" s="16" t="inlineStr">
        <is>
          <t>عماد حمدي</t>
        </is>
      </c>
      <c r="D293" s="16" t="inlineStr">
        <is>
          <t>شيت المبيعات (عقود الجملة)</t>
        </is>
      </c>
      <c r="E293" s="16" t="inlineStr">
        <is>
          <t>WHE-4327</t>
        </is>
      </c>
      <c r="F293" s="16" t="inlineStr">
        <is>
          <t>VHC-3010</t>
        </is>
      </c>
      <c r="G293" s="16" t="n"/>
      <c r="H293" s="17" t="n">
        <v>5890</v>
      </c>
      <c r="I293" s="16" t="n"/>
      <c r="J293" s="16" t="n"/>
    </row>
    <row r="294">
      <c r="A294" s="16" t="n">
        <v>293</v>
      </c>
      <c r="B294" s="95" t="n">
        <v>46166</v>
      </c>
      <c r="C294" s="16" t="inlineStr">
        <is>
          <t>عصمت الله خان</t>
        </is>
      </c>
      <c r="D294" s="16" t="inlineStr">
        <is>
          <t>شيت المبيعات (عقود الجملة)</t>
        </is>
      </c>
      <c r="E294" s="16" t="inlineStr">
        <is>
          <t>WHT-4340</t>
        </is>
      </c>
      <c r="F294" s="16" t="inlineStr">
        <is>
          <t>VHC-1219</t>
        </is>
      </c>
      <c r="G294" s="16" t="n"/>
      <c r="H294" s="17" t="n">
        <v>1570</v>
      </c>
      <c r="I294" s="16" t="n"/>
      <c r="J294" s="16" t="n"/>
    </row>
    <row r="295">
      <c r="A295" s="16" t="n">
        <v>294</v>
      </c>
      <c r="B295" s="95" t="n">
        <v>46167</v>
      </c>
      <c r="C295" s="16" t="inlineStr">
        <is>
          <t>عصمت الله خان</t>
        </is>
      </c>
      <c r="D295" s="16" t="inlineStr">
        <is>
          <t>شيت المبيعات (عقود الجملة)</t>
        </is>
      </c>
      <c r="E295" s="16" t="inlineStr">
        <is>
          <t>WHT-4342</t>
        </is>
      </c>
      <c r="F295" s="16" t="inlineStr">
        <is>
          <t>VHC-1219</t>
        </is>
      </c>
      <c r="G295" s="16" t="n"/>
      <c r="H295" s="17" t="n">
        <v>2950</v>
      </c>
      <c r="I295" s="16" t="n"/>
      <c r="J295" s="16" t="n"/>
    </row>
    <row r="296">
      <c r="A296" s="16" t="n">
        <v>295</v>
      </c>
      <c r="B296" s="95" t="n">
        <v>46167</v>
      </c>
      <c r="C296" s="16" t="inlineStr">
        <is>
          <t>عصمت الله خان</t>
        </is>
      </c>
      <c r="D296" s="16" t="inlineStr">
        <is>
          <t>شيت المبيعات (عقود الجملة)</t>
        </is>
      </c>
      <c r="E296" s="16" t="inlineStr">
        <is>
          <t>WHT-4346</t>
        </is>
      </c>
      <c r="F296" s="16" t="inlineStr">
        <is>
          <t>VHC-1219</t>
        </is>
      </c>
      <c r="G296" s="16" t="n"/>
      <c r="H296" s="17" t="n">
        <v>4417.5</v>
      </c>
      <c r="I296" s="16" t="n"/>
      <c r="J296" s="16" t="n"/>
    </row>
    <row r="297">
      <c r="A297" s="16" t="n">
        <v>296</v>
      </c>
      <c r="B297" s="95" t="n">
        <v>46167</v>
      </c>
      <c r="C297" s="16" t="inlineStr">
        <is>
          <t>عماد حمدي</t>
        </is>
      </c>
      <c r="D297" s="16" t="inlineStr">
        <is>
          <t>شيت المبيعات (عقود الجملة)</t>
        </is>
      </c>
      <c r="E297" s="16" t="inlineStr">
        <is>
          <t>WHE-4343</t>
        </is>
      </c>
      <c r="F297" s="16" t="inlineStr">
        <is>
          <t>VHC-3010</t>
        </is>
      </c>
      <c r="G297" s="16" t="n"/>
      <c r="H297" s="17" t="n">
        <v>8328</v>
      </c>
      <c r="I297" s="16" t="n"/>
      <c r="J297" s="16" t="n"/>
    </row>
    <row r="298">
      <c r="A298" s="16" t="n">
        <v>297</v>
      </c>
      <c r="B298" s="95" t="n">
        <v>46168</v>
      </c>
      <c r="C298" s="16" t="inlineStr">
        <is>
          <t>عصمت الله خان</t>
        </is>
      </c>
      <c r="D298" s="16" t="inlineStr">
        <is>
          <t>شيت المبيعات (عقود الجملة)</t>
        </is>
      </c>
      <c r="E298" s="16" t="inlineStr">
        <is>
          <t>WHT-4347</t>
        </is>
      </c>
      <c r="F298" s="16" t="inlineStr">
        <is>
          <t>VHC-1219</t>
        </is>
      </c>
      <c r="G298" s="16" t="n"/>
      <c r="H298" s="17" t="n">
        <v>4420</v>
      </c>
      <c r="I298" s="16" t="n"/>
      <c r="J298" s="16" t="n"/>
    </row>
    <row r="299">
      <c r="A299" s="16" t="n">
        <v>298</v>
      </c>
      <c r="B299" s="95" t="n">
        <v>46172</v>
      </c>
      <c r="C299" s="16" t="inlineStr">
        <is>
          <t>عصمت الله خان</t>
        </is>
      </c>
      <c r="D299" s="16" t="inlineStr">
        <is>
          <t>شيت المبيعات (عقود الجملة)</t>
        </is>
      </c>
      <c r="E299" s="16" t="inlineStr">
        <is>
          <t>WHT-4348</t>
        </is>
      </c>
      <c r="F299" s="16" t="inlineStr">
        <is>
          <t>VHC-1219</t>
        </is>
      </c>
      <c r="G299" s="16" t="n"/>
      <c r="H299" s="17" t="n">
        <v>2765</v>
      </c>
      <c r="I299" s="16" t="n"/>
      <c r="J299" s="16" t="n"/>
    </row>
    <row r="300">
      <c r="A300" s="16" t="n">
        <v>299</v>
      </c>
      <c r="B300" s="95" t="n">
        <v>46173</v>
      </c>
      <c r="C300" s="16" t="inlineStr">
        <is>
          <t>عصمت الله خان</t>
        </is>
      </c>
      <c r="D300" s="16" t="inlineStr">
        <is>
          <t>شيت المبيعات (عقود الجملة)</t>
        </is>
      </c>
      <c r="E300" s="16" t="inlineStr">
        <is>
          <t>WHT-4349</t>
        </is>
      </c>
      <c r="F300" s="16" t="inlineStr">
        <is>
          <t>VHC-1219</t>
        </is>
      </c>
      <c r="G300" s="16" t="n"/>
      <c r="H300" s="17" t="n">
        <v>1395</v>
      </c>
      <c r="I300" s="16" t="n"/>
      <c r="J300" s="16" t="n"/>
    </row>
    <row r="301">
      <c r="A301" s="16" t="n">
        <v>300</v>
      </c>
      <c r="B301" s="95" t="n">
        <v>46174</v>
      </c>
      <c r="C301" s="16" t="inlineStr">
        <is>
          <t>عصمت الله خان</t>
        </is>
      </c>
      <c r="D301" s="16" t="inlineStr">
        <is>
          <t>شيت المبيعات (عقود الجملة)</t>
        </is>
      </c>
      <c r="E301" s="16" t="inlineStr">
        <is>
          <t>WHT-4352</t>
        </is>
      </c>
      <c r="F301" s="16" t="inlineStr">
        <is>
          <t>VHC-1219</t>
        </is>
      </c>
      <c r="G301" s="16" t="n"/>
      <c r="H301" s="17" t="n">
        <v>2349</v>
      </c>
      <c r="I301" s="16" t="n"/>
      <c r="J301" s="16" t="n"/>
    </row>
    <row r="302">
      <c r="A302" s="16" t="n">
        <v>301</v>
      </c>
      <c r="B302" s="95" t="n">
        <v>46175</v>
      </c>
      <c r="C302" s="16" t="inlineStr">
        <is>
          <t>عصمت الله خان</t>
        </is>
      </c>
      <c r="D302" s="16" t="inlineStr">
        <is>
          <t>شيت المبيعات (عقود الجملة)</t>
        </is>
      </c>
      <c r="E302" s="16" t="inlineStr">
        <is>
          <t>WHT-4357</t>
        </is>
      </c>
      <c r="F302" s="16" t="inlineStr">
        <is>
          <t>VHC-1219</t>
        </is>
      </c>
      <c r="G302" s="16" t="n"/>
      <c r="H302" s="17" t="n">
        <v>2065</v>
      </c>
      <c r="I302" s="16" t="n"/>
      <c r="J302" s="16" t="n"/>
    </row>
    <row r="303">
      <c r="A303" s="16" t="n">
        <v>302</v>
      </c>
      <c r="B303" s="95" t="n">
        <v>46176</v>
      </c>
      <c r="C303" s="16" t="inlineStr">
        <is>
          <t>عصمت الله خان</t>
        </is>
      </c>
      <c r="D303" s="16" t="inlineStr">
        <is>
          <t>شيت المبيعات (عقود الجملة)</t>
        </is>
      </c>
      <c r="E303" s="16" t="inlineStr">
        <is>
          <t>WHT-4360</t>
        </is>
      </c>
      <c r="F303" s="16" t="inlineStr">
        <is>
          <t>VHC-1219</t>
        </is>
      </c>
      <c r="G303" s="16" t="n"/>
      <c r="H303" s="17" t="n">
        <v>1542.5</v>
      </c>
      <c r="I303" s="16" t="n"/>
      <c r="J303" s="16" t="n"/>
    </row>
    <row r="304">
      <c r="A304" s="16" t="n">
        <v>303</v>
      </c>
      <c r="B304" s="95" t="n">
        <v>46176</v>
      </c>
      <c r="C304" s="16" t="inlineStr">
        <is>
          <t>عماد حمدي</t>
        </is>
      </c>
      <c r="D304" s="16" t="inlineStr">
        <is>
          <t>شيت المبيعات (عقود الجملة)</t>
        </is>
      </c>
      <c r="E304" s="16" t="inlineStr">
        <is>
          <t>WHE-4358</t>
        </is>
      </c>
      <c r="F304" s="16" t="inlineStr">
        <is>
          <t>VHC-3010</t>
        </is>
      </c>
      <c r="G304" s="16" t="n"/>
      <c r="H304" s="17" t="n">
        <v>4810</v>
      </c>
      <c r="I304" s="16" t="n"/>
      <c r="J304" s="16" t="n"/>
    </row>
    <row r="305">
      <c r="A305" s="25" t="n">
        <v>304</v>
      </c>
      <c r="B305" s="96" t="n">
        <v>46186</v>
      </c>
      <c r="C305" s="25" t="inlineStr">
        <is>
          <t>عصمت الله خان</t>
        </is>
      </c>
      <c r="D305" s="25" t="inlineStr">
        <is>
          <t>النظام الجديد (السيارات)</t>
        </is>
      </c>
      <c r="E305" s="25" t="inlineStr">
        <is>
          <t>WS-INV-0038</t>
        </is>
      </c>
      <c r="F305" s="25" t="inlineStr">
        <is>
          <t>VHC-1219</t>
        </is>
      </c>
      <c r="G305" s="25" t="inlineStr">
        <is>
          <t>مشاتل طريق ملك عبدالله-الرياض</t>
        </is>
      </c>
      <c r="H305" s="27" t="n">
        <v>340.5</v>
      </c>
      <c r="I305" s="25" t="inlineStr">
        <is>
          <t>مكتمل</t>
        </is>
      </c>
      <c r="J305" s="25" t="n"/>
    </row>
    <row r="306">
      <c r="A306" s="25" t="n">
        <v>305</v>
      </c>
      <c r="B306" s="96" t="n">
        <v>46186</v>
      </c>
      <c r="C306" s="25" t="inlineStr">
        <is>
          <t>عصمت الله خان</t>
        </is>
      </c>
      <c r="D306" s="25" t="inlineStr">
        <is>
          <t>النظام الجديد (السيارات)</t>
        </is>
      </c>
      <c r="E306" s="25" t="inlineStr">
        <is>
          <t>WS-INV-0035</t>
        </is>
      </c>
      <c r="F306" s="25" t="inlineStr">
        <is>
          <t>VHC-1219</t>
        </is>
      </c>
      <c r="G306" s="25" t="inlineStr">
        <is>
          <t>مشاتل مخرج 15-الرياض</t>
        </is>
      </c>
      <c r="H306" s="27" t="n">
        <v>2135</v>
      </c>
      <c r="I306" s="25" t="inlineStr">
        <is>
          <t>مكتمل</t>
        </is>
      </c>
      <c r="J306" s="25" t="n"/>
    </row>
    <row r="307">
      <c r="A307" s="25" t="n">
        <v>306</v>
      </c>
      <c r="B307" s="96" t="n">
        <v>46186</v>
      </c>
      <c r="C307" s="25" t="inlineStr">
        <is>
          <t>عصمت الله خان</t>
        </is>
      </c>
      <c r="D307" s="25" t="inlineStr">
        <is>
          <t>النظام الجديد (السيارات)</t>
        </is>
      </c>
      <c r="E307" s="25" t="inlineStr">
        <is>
          <t>WS-INV-0034</t>
        </is>
      </c>
      <c r="F307" s="25" t="inlineStr">
        <is>
          <t>VHC-1219</t>
        </is>
      </c>
      <c r="G307" s="25" t="inlineStr">
        <is>
          <t>مشتل سالم-الرياض</t>
        </is>
      </c>
      <c r="H307" s="27" t="n">
        <v>105</v>
      </c>
      <c r="I307" s="25" t="inlineStr">
        <is>
          <t>مكتمل</t>
        </is>
      </c>
      <c r="J307" s="25" t="n"/>
    </row>
    <row r="308">
      <c r="A308" s="25" t="n">
        <v>307</v>
      </c>
      <c r="B308" s="96" t="n">
        <v>46186</v>
      </c>
      <c r="C308" s="25" t="inlineStr">
        <is>
          <t>عصمت الله خان</t>
        </is>
      </c>
      <c r="D308" s="25" t="inlineStr">
        <is>
          <t>النظام الجديد (السيارات)</t>
        </is>
      </c>
      <c r="E308" s="25" t="inlineStr">
        <is>
          <t>WS-INV-0002</t>
        </is>
      </c>
      <c r="F308" s="25" t="inlineStr">
        <is>
          <t>VHC-1219</t>
        </is>
      </c>
      <c r="G308" s="25" t="inlineStr">
        <is>
          <t>مشتل نسيم الصبا - الرياض</t>
        </is>
      </c>
      <c r="H308" s="27" t="n">
        <v>310</v>
      </c>
      <c r="I308" s="25" t="inlineStr">
        <is>
          <t>مكتمل</t>
        </is>
      </c>
      <c r="J308" s="25" t="n"/>
    </row>
    <row r="309">
      <c r="A309" s="25" t="n">
        <v>308</v>
      </c>
      <c r="B309" s="96" t="n">
        <v>46186</v>
      </c>
      <c r="C309" s="25" t="inlineStr">
        <is>
          <t>عصمت الله خان</t>
        </is>
      </c>
      <c r="D309" s="25" t="inlineStr">
        <is>
          <t>النظام الجديد (السيارات)</t>
        </is>
      </c>
      <c r="E309" s="25" t="inlineStr">
        <is>
          <t>WS-INV-0001</t>
        </is>
      </c>
      <c r="F309" s="25" t="inlineStr">
        <is>
          <t>VHC-1219</t>
        </is>
      </c>
      <c r="G309" s="25" t="inlineStr">
        <is>
          <t>مشتل عبدالقادر-الرياض</t>
        </is>
      </c>
      <c r="H309" s="27" t="n">
        <v>2007.5</v>
      </c>
      <c r="I309" s="25" t="inlineStr">
        <is>
          <t>مكتمل</t>
        </is>
      </c>
      <c r="J309" s="25" t="n"/>
    </row>
    <row r="310">
      <c r="A310" s="25" t="n">
        <v>309</v>
      </c>
      <c r="B310" s="96" t="n">
        <v>46187</v>
      </c>
      <c r="C310" s="25" t="inlineStr">
        <is>
          <t>عصمت الله خان</t>
        </is>
      </c>
      <c r="D310" s="25" t="inlineStr">
        <is>
          <t>النظام الجديد (السيارات)</t>
        </is>
      </c>
      <c r="E310" s="25" t="inlineStr">
        <is>
          <t>WS-INV-0048</t>
        </is>
      </c>
      <c r="F310" s="25" t="inlineStr">
        <is>
          <t>VHC-1219</t>
        </is>
      </c>
      <c r="G310" s="25" t="inlineStr">
        <is>
          <t>مشتل حي لبن - الرياض</t>
        </is>
      </c>
      <c r="H310" s="27" t="n">
        <v>2250</v>
      </c>
      <c r="I310" s="25" t="inlineStr">
        <is>
          <t>مكتمل</t>
        </is>
      </c>
      <c r="J310" s="25" t="n"/>
    </row>
    <row r="311">
      <c r="A311" s="25" t="n">
        <v>310</v>
      </c>
      <c r="B311" s="96" t="n">
        <v>46187</v>
      </c>
      <c r="C311" s="25" t="inlineStr">
        <is>
          <t>عصمت الله خان</t>
        </is>
      </c>
      <c r="D311" s="25" t="inlineStr">
        <is>
          <t>النظام الجديد (السيارات)</t>
        </is>
      </c>
      <c r="E311" s="25" t="inlineStr">
        <is>
          <t>WS-INV-0040</t>
        </is>
      </c>
      <c r="F311" s="25" t="inlineStr">
        <is>
          <t>VHC-1219</t>
        </is>
      </c>
      <c r="G311" s="25" t="inlineStr">
        <is>
          <t>مشاتل طريق مخرج 8-الرياض</t>
        </is>
      </c>
      <c r="H311" s="27" t="n">
        <v>1967</v>
      </c>
      <c r="I311" s="25" t="inlineStr">
        <is>
          <t>مكتمل</t>
        </is>
      </c>
      <c r="J311" s="25" t="n"/>
    </row>
    <row r="312">
      <c r="A312" s="25" t="n">
        <v>311</v>
      </c>
      <c r="B312" s="96" t="n">
        <v>46187</v>
      </c>
      <c r="C312" s="25" t="inlineStr">
        <is>
          <t>عصمت الله خان</t>
        </is>
      </c>
      <c r="D312" s="25" t="inlineStr">
        <is>
          <t>النظام الجديد (السيارات)</t>
        </is>
      </c>
      <c r="E312" s="25" t="inlineStr">
        <is>
          <t>WS-INV-0039</t>
        </is>
      </c>
      <c r="F312" s="25" t="inlineStr">
        <is>
          <t>VHC-1219</t>
        </is>
      </c>
      <c r="G312" s="25" t="inlineStr">
        <is>
          <t>مشاتل طريق خريص-الرياض</t>
        </is>
      </c>
      <c r="H312" s="27" t="n">
        <v>2310</v>
      </c>
      <c r="I312" s="25" t="inlineStr">
        <is>
          <t>مكتمل</t>
        </is>
      </c>
      <c r="J312" s="25" t="n"/>
    </row>
    <row r="313">
      <c r="A313" s="25" t="n">
        <v>312</v>
      </c>
      <c r="B313" s="96" t="n">
        <v>46189</v>
      </c>
      <c r="C313" s="25" t="inlineStr">
        <is>
          <t>عصمت الله خان</t>
        </is>
      </c>
      <c r="D313" s="25" t="inlineStr">
        <is>
          <t>النظام الجديد (السيارات)</t>
        </is>
      </c>
      <c r="E313" s="25" t="inlineStr">
        <is>
          <t>WS-INV-0056</t>
        </is>
      </c>
      <c r="F313" s="25" t="inlineStr">
        <is>
          <t>VHC-1219</t>
        </is>
      </c>
      <c r="G313" s="25" t="inlineStr">
        <is>
          <t>مشاتل طريق خريص-الرياض</t>
        </is>
      </c>
      <c r="H313" s="27" t="n">
        <v>952.5</v>
      </c>
      <c r="I313" s="25" t="inlineStr">
        <is>
          <t>مكتمل</t>
        </is>
      </c>
      <c r="J313" s="25" t="n"/>
    </row>
    <row r="314">
      <c r="A314" s="25" t="n">
        <v>313</v>
      </c>
      <c r="B314" s="96" t="n">
        <v>46190</v>
      </c>
      <c r="C314" s="25" t="inlineStr">
        <is>
          <t>عصمت الله خان</t>
        </is>
      </c>
      <c r="D314" s="25" t="inlineStr">
        <is>
          <t>النظام الجديد (السيارات)</t>
        </is>
      </c>
      <c r="E314" s="25" t="inlineStr">
        <is>
          <t>WS-INV-0063</t>
        </is>
      </c>
      <c r="F314" s="25" t="inlineStr">
        <is>
          <t>VHC-1219</t>
        </is>
      </c>
      <c r="G314" s="25" t="inlineStr">
        <is>
          <t>مشتل سالم-الرياض</t>
        </is>
      </c>
      <c r="H314" s="27" t="n">
        <v>767</v>
      </c>
      <c r="I314" s="25" t="inlineStr">
        <is>
          <t>مكتمل</t>
        </is>
      </c>
      <c r="J314" s="25" t="n"/>
    </row>
    <row r="315">
      <c r="A315" s="25" t="n">
        <v>314</v>
      </c>
      <c r="B315" s="96" t="n">
        <v>46191</v>
      </c>
      <c r="C315" s="25" t="inlineStr">
        <is>
          <t>عصمت الله خان</t>
        </is>
      </c>
      <c r="D315" s="25" t="inlineStr">
        <is>
          <t>النظام الجديد (السيارات)</t>
        </is>
      </c>
      <c r="E315" s="25" t="inlineStr">
        <is>
          <t>WS-INV-0072</t>
        </is>
      </c>
      <c r="F315" s="25" t="inlineStr">
        <is>
          <t>VHC-1219</t>
        </is>
      </c>
      <c r="G315" s="25" t="inlineStr">
        <is>
          <t>مشاتل مخرج 15-الرياض</t>
        </is>
      </c>
      <c r="H315" s="27" t="n">
        <v>1167</v>
      </c>
      <c r="I315" s="25" t="inlineStr">
        <is>
          <t>مكتمل</t>
        </is>
      </c>
      <c r="J315" s="25" t="n"/>
    </row>
    <row r="316">
      <c r="A316" s="25" t="n">
        <v>315</v>
      </c>
      <c r="B316" s="96" t="n">
        <v>46192</v>
      </c>
      <c r="C316" s="25" t="inlineStr">
        <is>
          <t>عماد حمدي</t>
        </is>
      </c>
      <c r="D316" s="25" t="inlineStr">
        <is>
          <t>النظام الجديد (السيارات)</t>
        </is>
      </c>
      <c r="E316" s="25" t="inlineStr">
        <is>
          <t>WS-INV-0074</t>
        </is>
      </c>
      <c r="F316" s="25" t="inlineStr">
        <is>
          <t>VHC-3010</t>
        </is>
      </c>
      <c r="G316" s="25" t="inlineStr">
        <is>
          <t>مشاتل اليوسف-الدمام</t>
        </is>
      </c>
      <c r="H316" s="27" t="n">
        <v>2054.75</v>
      </c>
      <c r="I316" s="25" t="inlineStr">
        <is>
          <t>مكتمل</t>
        </is>
      </c>
      <c r="J316" s="25" t="n"/>
    </row>
    <row r="317">
      <c r="A317" s="25" t="n">
        <v>316</v>
      </c>
      <c r="B317" s="96" t="n">
        <v>46193</v>
      </c>
      <c r="C317" s="25" t="inlineStr">
        <is>
          <t>عصمت الله خان</t>
        </is>
      </c>
      <c r="D317" s="25" t="inlineStr">
        <is>
          <t>النظام الجديد (السيارات)</t>
        </is>
      </c>
      <c r="E317" s="25" t="inlineStr">
        <is>
          <t>WS-INV-0082</t>
        </is>
      </c>
      <c r="F317" s="25" t="inlineStr">
        <is>
          <t>VHC-1219</t>
        </is>
      </c>
      <c r="G317" s="25" t="inlineStr">
        <is>
          <t>مشتل زهور الرياض - الرياض</t>
        </is>
      </c>
      <c r="H317" s="27" t="n">
        <v>0</v>
      </c>
      <c r="I317" s="25" t="inlineStr">
        <is>
          <t>مرتجع بالكامل</t>
        </is>
      </c>
      <c r="J317" s="25" t="inlineStr">
        <is>
          <t>فاتورة مرتجعة بالكامل – الصافي صفر</t>
        </is>
      </c>
    </row>
    <row r="318">
      <c r="A318" s="25" t="n">
        <v>317</v>
      </c>
      <c r="B318" s="96" t="n">
        <v>46193</v>
      </c>
      <c r="C318" s="25" t="inlineStr">
        <is>
          <t>عصمت الله خان</t>
        </is>
      </c>
      <c r="D318" s="25" t="inlineStr">
        <is>
          <t>النظام الجديد (السيارات)</t>
        </is>
      </c>
      <c r="E318" s="25" t="inlineStr">
        <is>
          <t>WS-INV-0079</t>
        </is>
      </c>
      <c r="F318" s="25" t="inlineStr">
        <is>
          <t>VHC-1219</t>
        </is>
      </c>
      <c r="G318" s="25" t="inlineStr">
        <is>
          <t>مشتل زهور الرياض - الرياض</t>
        </is>
      </c>
      <c r="H318" s="27" t="n">
        <v>0</v>
      </c>
      <c r="I318" s="25" t="inlineStr">
        <is>
          <t>مرتجع بالكامل</t>
        </is>
      </c>
      <c r="J318" s="25" t="inlineStr">
        <is>
          <t>فاتورة مرتجعة بالكامل – الصافي صفر</t>
        </is>
      </c>
    </row>
    <row r="319">
      <c r="A319" s="25" t="n">
        <v>318</v>
      </c>
      <c r="B319" s="96" t="n">
        <v>46194</v>
      </c>
      <c r="C319" s="25" t="inlineStr">
        <is>
          <t>عصمت الله خان</t>
        </is>
      </c>
      <c r="D319" s="25" t="inlineStr">
        <is>
          <t>النظام الجديد (السيارات)</t>
        </is>
      </c>
      <c r="E319" s="25" t="inlineStr">
        <is>
          <t>WS-INV-0086</t>
        </is>
      </c>
      <c r="F319" s="25" t="inlineStr">
        <is>
          <t>VHC-1219</t>
        </is>
      </c>
      <c r="G319" s="25" t="inlineStr">
        <is>
          <t>مشاتل الثمامة-الرياض</t>
        </is>
      </c>
      <c r="H319" s="27" t="n">
        <v>645</v>
      </c>
      <c r="I319" s="25" t="inlineStr">
        <is>
          <t>مكتمل</t>
        </is>
      </c>
      <c r="J319" s="25" t="n"/>
    </row>
    <row r="320">
      <c r="A320" s="25" t="n">
        <v>319</v>
      </c>
      <c r="B320" s="96" t="n">
        <v>46194</v>
      </c>
      <c r="C320" s="25" t="inlineStr">
        <is>
          <t>عصمت الله خان</t>
        </is>
      </c>
      <c r="D320" s="25" t="inlineStr">
        <is>
          <t>النظام الجديد (السيارات)</t>
        </is>
      </c>
      <c r="E320" s="25" t="inlineStr">
        <is>
          <t>WS-INV-0085</t>
        </is>
      </c>
      <c r="F320" s="25" t="inlineStr">
        <is>
          <t>VHC-1219</t>
        </is>
      </c>
      <c r="G320" s="25" t="inlineStr">
        <is>
          <t>مشاتل الثمامة-الرياض</t>
        </is>
      </c>
      <c r="H320" s="27" t="n">
        <v>0</v>
      </c>
      <c r="I320" s="25" t="inlineStr">
        <is>
          <t>مرتجع بالكامل</t>
        </is>
      </c>
      <c r="J320" s="25" t="inlineStr">
        <is>
          <t>فاتورة مرتجعة بالكامل – الصافي صفر</t>
        </is>
      </c>
    </row>
    <row r="321">
      <c r="A321" s="25" t="n">
        <v>320</v>
      </c>
      <c r="B321" s="96" t="n">
        <v>46194</v>
      </c>
      <c r="C321" s="25" t="inlineStr">
        <is>
          <t>عصمت الله خان</t>
        </is>
      </c>
      <c r="D321" s="25" t="inlineStr">
        <is>
          <t>النظام الجديد (السيارات)</t>
        </is>
      </c>
      <c r="E321" s="25" t="inlineStr">
        <is>
          <t>WS-INV-0084</t>
        </is>
      </c>
      <c r="F321" s="25" t="inlineStr">
        <is>
          <t>VHC-1219</t>
        </is>
      </c>
      <c r="G321" s="25" t="inlineStr">
        <is>
          <t>مشتل زهور الرياض - الرياض</t>
        </is>
      </c>
      <c r="H321" s="27" t="n">
        <v>1395</v>
      </c>
      <c r="I321" s="25" t="inlineStr">
        <is>
          <t>مكتمل</t>
        </is>
      </c>
      <c r="J321" s="25" t="n"/>
    </row>
    <row r="322">
      <c r="A322" s="25" t="n">
        <v>321</v>
      </c>
      <c r="B322" s="96" t="n">
        <v>46195</v>
      </c>
      <c r="C322" s="25" t="inlineStr">
        <is>
          <t>عصمت الله خان</t>
        </is>
      </c>
      <c r="D322" s="25" t="inlineStr">
        <is>
          <t>النظام الجديد (السيارات)</t>
        </is>
      </c>
      <c r="E322" s="25" t="inlineStr">
        <is>
          <t>WS-INV-0091</t>
        </is>
      </c>
      <c r="F322" s="25" t="inlineStr">
        <is>
          <t>VHC-1219</t>
        </is>
      </c>
      <c r="G322" s="25" t="inlineStr">
        <is>
          <t>مشتل نسيم الصبا - الرياض</t>
        </is>
      </c>
      <c r="H322" s="27" t="n">
        <v>420.3125</v>
      </c>
      <c r="I322" s="25" t="inlineStr">
        <is>
          <t>مكتمل</t>
        </is>
      </c>
      <c r="J322" s="25" t="n"/>
    </row>
    <row r="323">
      <c r="A323" s="25" t="n">
        <v>322</v>
      </c>
      <c r="B323" s="96" t="n">
        <v>46196</v>
      </c>
      <c r="C323" s="25" t="inlineStr">
        <is>
          <t>عصمت الله خان</t>
        </is>
      </c>
      <c r="D323" s="25" t="inlineStr">
        <is>
          <t>النظام الجديد (السيارات)</t>
        </is>
      </c>
      <c r="E323" s="25" t="inlineStr">
        <is>
          <t>WS-INV-0097</t>
        </is>
      </c>
      <c r="F323" s="25" t="inlineStr">
        <is>
          <t>VHC-1219</t>
        </is>
      </c>
      <c r="G323" s="25" t="inlineStr">
        <is>
          <t>مشتل حي لبن - الرياض</t>
        </is>
      </c>
      <c r="H323" s="27" t="n">
        <v>255.5</v>
      </c>
      <c r="I323" s="25" t="inlineStr">
        <is>
          <t>مكتمل</t>
        </is>
      </c>
      <c r="J323" s="25" t="n"/>
    </row>
    <row r="324">
      <c r="A324" s="25" t="n">
        <v>323</v>
      </c>
      <c r="B324" s="96" t="n">
        <v>46197</v>
      </c>
      <c r="C324" s="25" t="inlineStr">
        <is>
          <t>عصمت الله خان</t>
        </is>
      </c>
      <c r="D324" s="25" t="inlineStr">
        <is>
          <t>النظام الجديد (السيارات)</t>
        </is>
      </c>
      <c r="E324" s="25" t="inlineStr">
        <is>
          <t>WS-INV-0103</t>
        </is>
      </c>
      <c r="F324" s="25" t="inlineStr">
        <is>
          <t>VHC-1219</t>
        </is>
      </c>
      <c r="G324" s="25" t="inlineStr">
        <is>
          <t>مشاتل طريق ملك عبدالله-الرياض</t>
        </is>
      </c>
      <c r="H324" s="27" t="n">
        <v>745.04375</v>
      </c>
      <c r="I324" s="25" t="inlineStr">
        <is>
          <t>مكتمل</t>
        </is>
      </c>
      <c r="J324" s="25" t="n"/>
    </row>
    <row r="325">
      <c r="A325" s="25" t="n">
        <v>324</v>
      </c>
      <c r="B325" s="96" t="n">
        <v>46198</v>
      </c>
      <c r="C325" s="25" t="inlineStr">
        <is>
          <t>عصمت الله خان</t>
        </is>
      </c>
      <c r="D325" s="25" t="inlineStr">
        <is>
          <t>النظام الجديد (السيارات)</t>
        </is>
      </c>
      <c r="E325" s="25" t="inlineStr">
        <is>
          <t>WS-INV-0106</t>
        </is>
      </c>
      <c r="F325" s="25" t="inlineStr">
        <is>
          <t>VHC-1219</t>
        </is>
      </c>
      <c r="G325" s="25" t="inlineStr">
        <is>
          <t>مشاتل العليا-الرياض</t>
        </is>
      </c>
      <c r="H325" s="27" t="n">
        <v>980.75</v>
      </c>
      <c r="I325" s="25" t="inlineStr">
        <is>
          <t>مكتمل</t>
        </is>
      </c>
      <c r="J325" s="25" t="n"/>
    </row>
    <row r="326">
      <c r="A326" s="25" t="n">
        <v>325</v>
      </c>
      <c r="B326" s="96" t="n">
        <v>46200</v>
      </c>
      <c r="C326" s="25" t="inlineStr">
        <is>
          <t>عصمت الله خان</t>
        </is>
      </c>
      <c r="D326" s="25" t="inlineStr">
        <is>
          <t>النظام الجديد (السيارات)</t>
        </is>
      </c>
      <c r="E326" s="25" t="inlineStr">
        <is>
          <t>WS-INV-0111</t>
        </is>
      </c>
      <c r="F326" s="25" t="inlineStr">
        <is>
          <t>VHC-1219</t>
        </is>
      </c>
      <c r="G326" s="25" t="inlineStr">
        <is>
          <t>مشتل حي لبن - الرياض</t>
        </is>
      </c>
      <c r="H326" s="27" t="n">
        <v>445.06875</v>
      </c>
      <c r="I326" s="25" t="inlineStr">
        <is>
          <t>مكتمل</t>
        </is>
      </c>
      <c r="J326" s="25" t="n"/>
    </row>
    <row r="327">
      <c r="A327" s="25" t="n">
        <v>326</v>
      </c>
      <c r="B327" s="96" t="n">
        <v>46201</v>
      </c>
      <c r="C327" s="25" t="inlineStr">
        <is>
          <t>عصمت الله خان</t>
        </is>
      </c>
      <c r="D327" s="25" t="inlineStr">
        <is>
          <t>النظام الجديد (السيارات)</t>
        </is>
      </c>
      <c r="E327" s="25" t="inlineStr">
        <is>
          <t>WS-INV-0116</t>
        </is>
      </c>
      <c r="F327" s="25" t="inlineStr">
        <is>
          <t>VHC-1219</t>
        </is>
      </c>
      <c r="G327" s="25" t="inlineStr">
        <is>
          <t>مشتل سالم-الرياض</t>
        </is>
      </c>
      <c r="H327" s="27" t="n">
        <v>1560</v>
      </c>
      <c r="I327" s="25" t="inlineStr">
        <is>
          <t>مكتمل</t>
        </is>
      </c>
      <c r="J327" s="25" t="n"/>
    </row>
    <row r="328">
      <c r="A328" s="25" t="n">
        <v>327</v>
      </c>
      <c r="B328" s="96" t="n">
        <v>46202</v>
      </c>
      <c r="C328" s="25" t="inlineStr">
        <is>
          <t>عصمت الله خان</t>
        </is>
      </c>
      <c r="D328" s="25" t="inlineStr">
        <is>
          <t>النظام الجديد (السيارات)</t>
        </is>
      </c>
      <c r="E328" s="25" t="inlineStr">
        <is>
          <t>WS-INV-0119</t>
        </is>
      </c>
      <c r="F328" s="25" t="inlineStr">
        <is>
          <t>VHC-1219</t>
        </is>
      </c>
      <c r="G328" s="25" t="inlineStr">
        <is>
          <t>مشتل حي لبن - الرياض</t>
        </is>
      </c>
      <c r="H328" s="27" t="n">
        <v>1143</v>
      </c>
      <c r="I328" s="25" t="inlineStr">
        <is>
          <t>مكتمل</t>
        </is>
      </c>
      <c r="J328" s="25" t="n"/>
    </row>
    <row r="329">
      <c r="A329" s="25" t="n">
        <v>328</v>
      </c>
      <c r="B329" s="96" t="n">
        <v>46203</v>
      </c>
      <c r="C329" s="25" t="inlineStr">
        <is>
          <t>عصمت الله خان</t>
        </is>
      </c>
      <c r="D329" s="25" t="inlineStr">
        <is>
          <t>النظام الجديد (السيارات)</t>
        </is>
      </c>
      <c r="E329" s="25" t="inlineStr">
        <is>
          <t>WS-INV-0124</t>
        </is>
      </c>
      <c r="F329" s="25" t="inlineStr">
        <is>
          <t>VHC-1219</t>
        </is>
      </c>
      <c r="G329" s="25" t="inlineStr">
        <is>
          <t>مشاتل وردة الياسمين - الرياض</t>
        </is>
      </c>
      <c r="H329" s="27" t="n">
        <v>620</v>
      </c>
      <c r="I329" s="25" t="inlineStr">
        <is>
          <t>مكتمل</t>
        </is>
      </c>
      <c r="J329" s="25" t="n"/>
    </row>
    <row r="330">
      <c r="A330" s="25" t="n">
        <v>329</v>
      </c>
      <c r="B330" s="96" t="n">
        <v>46204</v>
      </c>
      <c r="C330" s="25" t="inlineStr">
        <is>
          <t>عصمت الله خان</t>
        </is>
      </c>
      <c r="D330" s="25" t="inlineStr">
        <is>
          <t>النظام الجديد (السيارات)</t>
        </is>
      </c>
      <c r="E330" s="25" t="inlineStr">
        <is>
          <t>WS-INV-0128</t>
        </is>
      </c>
      <c r="F330" s="25" t="inlineStr">
        <is>
          <t>VHC-1219</t>
        </is>
      </c>
      <c r="G330" s="25" t="inlineStr">
        <is>
          <t>مشتل نسيم الصبا - الرياض</t>
        </is>
      </c>
      <c r="H330" s="27" t="n">
        <v>1325</v>
      </c>
      <c r="I330" s="25" t="inlineStr">
        <is>
          <t>مكتمل</t>
        </is>
      </c>
      <c r="J330" s="25" t="n"/>
    </row>
    <row r="331">
      <c r="A331" s="25" t="n">
        <v>330</v>
      </c>
      <c r="B331" s="96" t="n">
        <v>46208</v>
      </c>
      <c r="C331" s="25" t="inlineStr">
        <is>
          <t>عصمت الله خان</t>
        </is>
      </c>
      <c r="D331" s="25" t="inlineStr">
        <is>
          <t>النظام الجديد (السيارات)</t>
        </is>
      </c>
      <c r="E331" s="25" t="inlineStr">
        <is>
          <t>WS-INV-0147</t>
        </is>
      </c>
      <c r="F331" s="25" t="inlineStr">
        <is>
          <t>VHC-1219</t>
        </is>
      </c>
      <c r="G331" s="25" t="inlineStr">
        <is>
          <t>مشاتل طريق خريص-الرياض</t>
        </is>
      </c>
      <c r="H331" s="27" t="n">
        <v>1245</v>
      </c>
      <c r="I331" s="25" t="inlineStr">
        <is>
          <t>مكتمل</t>
        </is>
      </c>
      <c r="J331" s="25" t="n"/>
    </row>
    <row r="332">
      <c r="A332" s="25" t="n">
        <v>331</v>
      </c>
      <c r="B332" s="96" t="n">
        <v>46208</v>
      </c>
      <c r="C332" s="25" t="inlineStr">
        <is>
          <t>عصمت الله خان</t>
        </is>
      </c>
      <c r="D332" s="25" t="inlineStr">
        <is>
          <t>النظام الجديد (السيارات)</t>
        </is>
      </c>
      <c r="E332" s="25" t="inlineStr">
        <is>
          <t>WS-INV-0143</t>
        </is>
      </c>
      <c r="F332" s="25" t="inlineStr">
        <is>
          <t>VHC-1219</t>
        </is>
      </c>
      <c r="G332" s="25" t="inlineStr">
        <is>
          <t>مشاتل مخرج 15-الرياض</t>
        </is>
      </c>
      <c r="H332" s="27" t="n">
        <v>1695</v>
      </c>
      <c r="I332" s="25" t="inlineStr">
        <is>
          <t>مكتمل</t>
        </is>
      </c>
      <c r="J332" s="25" t="n"/>
    </row>
    <row r="333">
      <c r="A333" s="25" t="n">
        <v>332</v>
      </c>
      <c r="B333" s="96" t="n">
        <v>46210</v>
      </c>
      <c r="C333" s="25" t="inlineStr">
        <is>
          <t>عماد حمدي</t>
        </is>
      </c>
      <c r="D333" s="25" t="inlineStr">
        <is>
          <t>النظام الجديد (السيارات)</t>
        </is>
      </c>
      <c r="E333" s="25" t="inlineStr">
        <is>
          <t>WS-INV-0154</t>
        </is>
      </c>
      <c r="F333" s="25" t="inlineStr">
        <is>
          <t>VHC-3010</t>
        </is>
      </c>
      <c r="G333" s="25" t="inlineStr">
        <is>
          <t>مشاتل زهور الاحساء-الدمام</t>
        </is>
      </c>
      <c r="H333" s="27" t="n">
        <v>1795</v>
      </c>
      <c r="I333" s="25" t="inlineStr">
        <is>
          <t>مكتمل</t>
        </is>
      </c>
      <c r="J333" s="25" t="n"/>
    </row>
    <row r="334">
      <c r="A334" s="25" t="n">
        <v>333</v>
      </c>
      <c r="B334" s="96" t="n">
        <v>46214</v>
      </c>
      <c r="C334" s="25" t="inlineStr">
        <is>
          <t>عصمت الله خان</t>
        </is>
      </c>
      <c r="D334" s="25" t="inlineStr">
        <is>
          <t>النظام الجديد (السيارات)</t>
        </is>
      </c>
      <c r="E334" s="25" t="inlineStr">
        <is>
          <t>WS-INV-0171</t>
        </is>
      </c>
      <c r="F334" s="25" t="inlineStr">
        <is>
          <t>VHC-1219</t>
        </is>
      </c>
      <c r="G334" s="25" t="inlineStr">
        <is>
          <t>مشاتل مخرج 22-الرياض</t>
        </is>
      </c>
      <c r="H334" s="27" t="n">
        <v>150</v>
      </c>
      <c r="I334" s="25" t="inlineStr">
        <is>
          <t>مكتمل</t>
        </is>
      </c>
      <c r="J334" s="25" t="n"/>
    </row>
    <row r="335">
      <c r="A335" s="25" t="n">
        <v>334</v>
      </c>
      <c r="B335" s="96" t="n">
        <v>46214</v>
      </c>
      <c r="C335" s="25" t="inlineStr">
        <is>
          <t>عصمت الله خان</t>
        </is>
      </c>
      <c r="D335" s="25" t="inlineStr">
        <is>
          <t>النظام الجديد (السيارات)</t>
        </is>
      </c>
      <c r="E335" s="25" t="inlineStr">
        <is>
          <t>WS-INV-0170</t>
        </is>
      </c>
      <c r="F335" s="25" t="inlineStr">
        <is>
          <t>VHC-1219</t>
        </is>
      </c>
      <c r="G335" s="25" t="inlineStr">
        <is>
          <t>مشتل عمر الخضير-الرياض</t>
        </is>
      </c>
      <c r="H335" s="27" t="n">
        <v>1070</v>
      </c>
      <c r="I335" s="25" t="inlineStr">
        <is>
          <t>مكتمل</t>
        </is>
      </c>
      <c r="J335" s="25" t="n"/>
    </row>
    <row r="336">
      <c r="A336" s="25" t="n">
        <v>335</v>
      </c>
      <c r="B336" s="96" t="n">
        <v>46214</v>
      </c>
      <c r="C336" s="25" t="inlineStr">
        <is>
          <t>عصمت الله خان</t>
        </is>
      </c>
      <c r="D336" s="25" t="inlineStr">
        <is>
          <t>النظام الجديد (السيارات)</t>
        </is>
      </c>
      <c r="E336" s="25" t="inlineStr">
        <is>
          <t>WS-INV-0169</t>
        </is>
      </c>
      <c r="F336" s="25" t="inlineStr">
        <is>
          <t>VHC-1219</t>
        </is>
      </c>
      <c r="G336" s="25" t="inlineStr">
        <is>
          <t>مشتل احمد بتشا-الرياض</t>
        </is>
      </c>
      <c r="H336" s="27" t="n">
        <v>769</v>
      </c>
      <c r="I336" s="25" t="inlineStr">
        <is>
          <t>مكتمل</t>
        </is>
      </c>
      <c r="J336" s="25" t="n"/>
    </row>
    <row r="337">
      <c r="A337" s="25" t="n">
        <v>336</v>
      </c>
      <c r="B337" s="96" t="n">
        <v>46216</v>
      </c>
      <c r="C337" s="25" t="inlineStr">
        <is>
          <t>عصمت الله خان</t>
        </is>
      </c>
      <c r="D337" s="25" t="inlineStr">
        <is>
          <t>النظام الجديد (السيارات)</t>
        </is>
      </c>
      <c r="E337" s="25" t="inlineStr">
        <is>
          <t>WS-INV-0178</t>
        </is>
      </c>
      <c r="F337" s="25" t="inlineStr">
        <is>
          <t>VHC-1219</t>
        </is>
      </c>
      <c r="G337" s="25" t="inlineStr">
        <is>
          <t>مشتل نسيم الصبا - الرياض</t>
        </is>
      </c>
      <c r="H337" s="27" t="n">
        <v>160</v>
      </c>
      <c r="I337" s="25" t="inlineStr">
        <is>
          <t>مكتمل</t>
        </is>
      </c>
      <c r="J337" s="25" t="n"/>
    </row>
    <row r="338">
      <c r="A338" s="25" t="n">
        <v>337</v>
      </c>
      <c r="B338" s="96" t="n">
        <v>46217</v>
      </c>
      <c r="C338" s="25" t="inlineStr">
        <is>
          <t>عصمت الله خان</t>
        </is>
      </c>
      <c r="D338" s="25" t="inlineStr">
        <is>
          <t>النظام الجديد (السيارات)</t>
        </is>
      </c>
      <c r="E338" s="25" t="inlineStr">
        <is>
          <t>WS-INV-0190</t>
        </is>
      </c>
      <c r="F338" s="25" t="inlineStr">
        <is>
          <t>VHC-1219</t>
        </is>
      </c>
      <c r="G338" s="25" t="inlineStr">
        <is>
          <t>مشتل سالم-الرياض</t>
        </is>
      </c>
      <c r="H338" s="27" t="n">
        <v>400</v>
      </c>
      <c r="I338" s="25" t="inlineStr">
        <is>
          <t>مكتمل</t>
        </is>
      </c>
      <c r="J338" s="25" t="n"/>
    </row>
    <row r="339">
      <c r="A339" s="25" t="n">
        <v>338</v>
      </c>
      <c r="B339" s="96" t="n">
        <v>46218</v>
      </c>
      <c r="C339" s="25" t="inlineStr">
        <is>
          <t>عماد حمدي</t>
        </is>
      </c>
      <c r="D339" s="25" t="inlineStr">
        <is>
          <t>النظام الجديد (السيارات)</t>
        </is>
      </c>
      <c r="E339" s="25" t="inlineStr">
        <is>
          <t>WS-INV-0196</t>
        </is>
      </c>
      <c r="F339" s="25" t="inlineStr">
        <is>
          <t>VHC-3010</t>
        </is>
      </c>
      <c r="G339" s="25" t="inlineStr">
        <is>
          <t>مشتل اسماعيل - الرياض</t>
        </is>
      </c>
      <c r="H339" s="27" t="n">
        <v>745</v>
      </c>
      <c r="I339" s="25" t="inlineStr">
        <is>
          <t>مكتمل</t>
        </is>
      </c>
      <c r="J339" s="25" t="n"/>
    </row>
    <row r="340">
      <c r="A340" s="25" t="n">
        <v>339</v>
      </c>
      <c r="B340" s="96" t="n">
        <v>46219</v>
      </c>
      <c r="C340" s="25" t="inlineStr">
        <is>
          <t>عصمت الله خان</t>
        </is>
      </c>
      <c r="D340" s="25" t="inlineStr">
        <is>
          <t>النظام الجديد (السيارات)</t>
        </is>
      </c>
      <c r="E340" s="25" t="inlineStr">
        <is>
          <t>WS-INV-0197</t>
        </is>
      </c>
      <c r="F340" s="25" t="inlineStr">
        <is>
          <t>VHC-1219</t>
        </is>
      </c>
      <c r="G340" s="25" t="inlineStr">
        <is>
          <t>مشتل زهور الرياض - الرياض</t>
        </is>
      </c>
      <c r="H340" s="27" t="n">
        <v>630</v>
      </c>
      <c r="I340" s="25" t="inlineStr">
        <is>
          <t>مكتمل</t>
        </is>
      </c>
      <c r="J340" s="25" t="n"/>
    </row>
    <row r="341">
      <c r="A341" s="25" t="n">
        <v>340</v>
      </c>
      <c r="B341" s="96" t="n">
        <v>46219</v>
      </c>
      <c r="C341" s="25" t="inlineStr">
        <is>
          <t>عماد حمدي</t>
        </is>
      </c>
      <c r="D341" s="25" t="inlineStr">
        <is>
          <t>النظام الجديد (السيارات)</t>
        </is>
      </c>
      <c r="E341" s="25" t="inlineStr">
        <is>
          <t>WS-INV-0198</t>
        </is>
      </c>
      <c r="F341" s="25" t="inlineStr">
        <is>
          <t>VHC-3010</t>
        </is>
      </c>
      <c r="G341" s="25" t="inlineStr">
        <is>
          <t>مشتل اسماعيل - الرياض</t>
        </is>
      </c>
      <c r="H341" s="27" t="n">
        <v>295</v>
      </c>
      <c r="I341" s="25" t="inlineStr">
        <is>
          <t>مكتمل</t>
        </is>
      </c>
      <c r="J341" s="25" t="n"/>
    </row>
    <row r="342">
      <c r="A342" s="25" t="n">
        <v>341</v>
      </c>
      <c r="B342" s="96" t="n">
        <v>46221</v>
      </c>
      <c r="C342" s="25" t="inlineStr">
        <is>
          <t>عصمت الله خان</t>
        </is>
      </c>
      <c r="D342" s="25" t="inlineStr">
        <is>
          <t>النظام الجديد (السيارات)</t>
        </is>
      </c>
      <c r="E342" s="25" t="inlineStr">
        <is>
          <t>WS-INV-0206</t>
        </is>
      </c>
      <c r="F342" s="25" t="inlineStr">
        <is>
          <t>VHC-1219</t>
        </is>
      </c>
      <c r="G342" s="25" t="inlineStr">
        <is>
          <t>مشتل نسيم الصبا - الرياض</t>
        </is>
      </c>
      <c r="H342" s="27" t="n">
        <v>590</v>
      </c>
      <c r="I342" s="25" t="inlineStr">
        <is>
          <t>مكتمل</t>
        </is>
      </c>
      <c r="J342" s="25" t="n"/>
    </row>
    <row r="343">
      <c r="A343" s="25" t="n">
        <v>342</v>
      </c>
      <c r="B343" s="96" t="n">
        <v>46221</v>
      </c>
      <c r="C343" s="25" t="inlineStr">
        <is>
          <t>عماد حمدي</t>
        </is>
      </c>
      <c r="D343" s="25" t="inlineStr">
        <is>
          <t>النظام الجديد (السيارات)</t>
        </is>
      </c>
      <c r="E343" s="25" t="inlineStr">
        <is>
          <t>WS-INV-0207</t>
        </is>
      </c>
      <c r="F343" s="25" t="inlineStr">
        <is>
          <t>VHC-3010</t>
        </is>
      </c>
      <c r="G343" s="25" t="inlineStr">
        <is>
          <t>مشتل اسماعيل - الرياض</t>
        </is>
      </c>
      <c r="H343" s="27" t="n">
        <v>285</v>
      </c>
      <c r="I343" s="25" t="inlineStr">
        <is>
          <t>مكتمل</t>
        </is>
      </c>
      <c r="J343" s="25" t="n"/>
    </row>
    <row r="344">
      <c r="A344" s="25" t="n">
        <v>343</v>
      </c>
      <c r="B344" s="96" t="n">
        <v>46222</v>
      </c>
      <c r="C344" s="25" t="inlineStr">
        <is>
          <t>عصمت الله خان</t>
        </is>
      </c>
      <c r="D344" s="25" t="inlineStr">
        <is>
          <t>النظام الجديد (السيارات)</t>
        </is>
      </c>
      <c r="E344" s="25" t="inlineStr">
        <is>
          <t>WS-INV-0215</t>
        </is>
      </c>
      <c r="F344" s="25" t="inlineStr">
        <is>
          <t>VHC-1219</t>
        </is>
      </c>
      <c r="G344" s="25" t="inlineStr">
        <is>
          <t>مشاتل العليا-الرياض</t>
        </is>
      </c>
      <c r="H344" s="27" t="n">
        <v>540</v>
      </c>
      <c r="I344" s="25" t="inlineStr">
        <is>
          <t>مكتمل</t>
        </is>
      </c>
      <c r="J344" s="25" t="n"/>
    </row>
    <row r="345">
      <c r="A345" s="25" t="n">
        <v>344</v>
      </c>
      <c r="B345" s="96" t="n">
        <v>46222</v>
      </c>
      <c r="C345" s="25" t="inlineStr">
        <is>
          <t>عماد حمدي</t>
        </is>
      </c>
      <c r="D345" s="25" t="inlineStr">
        <is>
          <t>النظام الجديد (السيارات)</t>
        </is>
      </c>
      <c r="E345" s="25" t="inlineStr">
        <is>
          <t>WS-INV-0216</t>
        </is>
      </c>
      <c r="F345" s="25" t="inlineStr">
        <is>
          <t>VHC-3010</t>
        </is>
      </c>
      <c r="G345" s="25" t="inlineStr">
        <is>
          <t>مشتل اسماعيل - الرياض</t>
        </is>
      </c>
      <c r="H345" s="27" t="n">
        <v>145</v>
      </c>
      <c r="I345" s="25" t="inlineStr">
        <is>
          <t>مكتمل</t>
        </is>
      </c>
      <c r="J345" s="25" t="n"/>
    </row>
    <row r="346">
      <c r="A346" s="25" t="n">
        <v>345</v>
      </c>
      <c r="B346" s="96" t="n">
        <v>46223</v>
      </c>
      <c r="C346" s="25" t="inlineStr">
        <is>
          <t>عماد حمدي</t>
        </is>
      </c>
      <c r="D346" s="25" t="inlineStr">
        <is>
          <t>النظام الجديد (السيارات)</t>
        </is>
      </c>
      <c r="E346" s="25" t="inlineStr">
        <is>
          <t>WS-INV-0217</t>
        </is>
      </c>
      <c r="F346" s="25" t="inlineStr">
        <is>
          <t>VHC-3010</t>
        </is>
      </c>
      <c r="G346" s="25" t="inlineStr">
        <is>
          <t>مشتل اسماعيل - الرياض</t>
        </is>
      </c>
      <c r="H346" s="27" t="n">
        <v>270</v>
      </c>
      <c r="I346" s="25" t="inlineStr">
        <is>
          <t>مكتمل</t>
        </is>
      </c>
      <c r="J346" s="25" t="n"/>
    </row>
    <row r="347">
      <c r="A347" s="25" t="n">
        <v>346</v>
      </c>
      <c r="B347" s="96" t="n">
        <v>46224</v>
      </c>
      <c r="C347" s="25" t="inlineStr">
        <is>
          <t>عصمت الله خان</t>
        </is>
      </c>
      <c r="D347" s="25" t="inlineStr">
        <is>
          <t>النظام الجديد (السيارات)</t>
        </is>
      </c>
      <c r="E347" s="25" t="inlineStr">
        <is>
          <t>WS-INV-0222</t>
        </is>
      </c>
      <c r="F347" s="25" t="inlineStr">
        <is>
          <t>VHC-1219</t>
        </is>
      </c>
      <c r="G347" s="25" t="inlineStr">
        <is>
          <t>مشتل زهور الرياض - الرياض</t>
        </is>
      </c>
      <c r="H347" s="27" t="n">
        <v>300</v>
      </c>
      <c r="I347" s="25" t="inlineStr">
        <is>
          <t>مكتمل</t>
        </is>
      </c>
      <c r="J347" s="25" t="n"/>
    </row>
    <row r="348">
      <c r="A348" s="25" t="n">
        <v>347</v>
      </c>
      <c r="B348" s="96" t="n">
        <v>46224</v>
      </c>
      <c r="C348" s="25" t="inlineStr">
        <is>
          <t>عماد حمدي</t>
        </is>
      </c>
      <c r="D348" s="25" t="inlineStr">
        <is>
          <t>النظام الجديد (السيارات)</t>
        </is>
      </c>
      <c r="E348" s="25" t="inlineStr">
        <is>
          <t>WS-INV-0223</t>
        </is>
      </c>
      <c r="F348" s="25" t="inlineStr">
        <is>
          <t>VHC-3010</t>
        </is>
      </c>
      <c r="G348" s="25" t="inlineStr">
        <is>
          <t>مشتل اسماعيل - الرياض</t>
        </is>
      </c>
      <c r="H348" s="27" t="n">
        <v>150</v>
      </c>
      <c r="I348" s="25" t="inlineStr">
        <is>
          <t>مكتمل</t>
        </is>
      </c>
      <c r="J348" s="25" t="n"/>
    </row>
    <row r="349">
      <c r="A349" s="25" t="n">
        <v>348</v>
      </c>
      <c r="B349" s="96" t="n">
        <v>46225</v>
      </c>
      <c r="C349" s="25" t="inlineStr">
        <is>
          <t>عصمت الله خان</t>
        </is>
      </c>
      <c r="D349" s="25" t="inlineStr">
        <is>
          <t>النظام الجديد (السيارات)</t>
        </is>
      </c>
      <c r="E349" s="25" t="inlineStr">
        <is>
          <t>WS-INV-0230</t>
        </is>
      </c>
      <c r="F349" s="25" t="inlineStr">
        <is>
          <t>VHC-1219</t>
        </is>
      </c>
      <c r="G349" s="25" t="inlineStr">
        <is>
          <t>مشتل عمر الخضير-الرياض</t>
        </is>
      </c>
      <c r="H349" s="27" t="n">
        <v>845</v>
      </c>
      <c r="I349" s="25" t="inlineStr">
        <is>
          <t>مكتمل</t>
        </is>
      </c>
      <c r="J349" s="25" t="n"/>
    </row>
    <row r="350">
      <c r="A350" s="25" t="n">
        <v>349</v>
      </c>
      <c r="B350" s="96" t="n">
        <v>46225</v>
      </c>
      <c r="C350" s="25" t="inlineStr">
        <is>
          <t>عماد حمدي</t>
        </is>
      </c>
      <c r="D350" s="25" t="inlineStr">
        <is>
          <t>النظام الجديد (السيارات)</t>
        </is>
      </c>
      <c r="E350" s="25" t="inlineStr">
        <is>
          <t>WS-INV-0231</t>
        </is>
      </c>
      <c r="F350" s="25" t="inlineStr">
        <is>
          <t>VHC-3010</t>
        </is>
      </c>
      <c r="G350" s="25" t="inlineStr">
        <is>
          <t>مشتل اسماعيل - الرياض</t>
        </is>
      </c>
      <c r="H350" s="27" t="n">
        <v>125</v>
      </c>
      <c r="I350" s="25" t="inlineStr">
        <is>
          <t>مكتمل</t>
        </is>
      </c>
      <c r="J350" s="25" t="n"/>
    </row>
    <row r="351">
      <c r="A351" s="25" t="n">
        <v>350</v>
      </c>
      <c r="B351" s="96" t="n">
        <v>46226</v>
      </c>
      <c r="C351" s="25" t="inlineStr">
        <is>
          <t>عصمت الله خان</t>
        </is>
      </c>
      <c r="D351" s="25" t="inlineStr">
        <is>
          <t>النظام الجديد (السيارات)</t>
        </is>
      </c>
      <c r="E351" s="25" t="inlineStr">
        <is>
          <t>WS-INV-0233</t>
        </is>
      </c>
      <c r="F351" s="25" t="inlineStr">
        <is>
          <t>VHC-1219</t>
        </is>
      </c>
      <c r="G351" s="25" t="inlineStr">
        <is>
          <t>مشتل زهور الرياض - الرياض</t>
        </is>
      </c>
      <c r="H351" s="27" t="n">
        <v>319</v>
      </c>
      <c r="I351" s="25" t="inlineStr">
        <is>
          <t>مكتمل</t>
        </is>
      </c>
      <c r="J351" s="25" t="n"/>
    </row>
    <row r="352">
      <c r="A352" s="25" t="n">
        <v>351</v>
      </c>
      <c r="B352" s="96" t="n">
        <v>46226</v>
      </c>
      <c r="C352" s="25" t="inlineStr">
        <is>
          <t>عماد حمدي</t>
        </is>
      </c>
      <c r="D352" s="25" t="inlineStr">
        <is>
          <t>النظام الجديد (السيارات)</t>
        </is>
      </c>
      <c r="E352" s="25" t="inlineStr">
        <is>
          <t>WS-INV-0234</t>
        </is>
      </c>
      <c r="F352" s="25" t="inlineStr">
        <is>
          <t>VHC-3010</t>
        </is>
      </c>
      <c r="G352" s="25" t="inlineStr">
        <is>
          <t>مشتل اسماعيل - الرياض</t>
        </is>
      </c>
      <c r="H352" s="27" t="n">
        <v>125</v>
      </c>
      <c r="I352" s="25" t="inlineStr">
        <is>
          <t>مكتمل</t>
        </is>
      </c>
      <c r="J352" s="25" t="n"/>
    </row>
    <row r="353">
      <c r="A353" s="25" t="n">
        <v>352</v>
      </c>
      <c r="B353" s="96" t="n">
        <v>46228</v>
      </c>
      <c r="C353" s="25" t="inlineStr">
        <is>
          <t>عصمت الله خان</t>
        </is>
      </c>
      <c r="D353" s="25" t="inlineStr">
        <is>
          <t>النظام الجديد (السيارات)</t>
        </is>
      </c>
      <c r="E353" s="25" t="inlineStr">
        <is>
          <t>WS-INV-0237</t>
        </is>
      </c>
      <c r="F353" s="25" t="inlineStr">
        <is>
          <t>VHC-1219</t>
        </is>
      </c>
      <c r="G353" s="25" t="inlineStr">
        <is>
          <t>مشاتل مخرج 22-الرياض</t>
        </is>
      </c>
      <c r="H353" s="27" t="n">
        <v>658</v>
      </c>
      <c r="I353" s="25" t="inlineStr">
        <is>
          <t>مكتمل</t>
        </is>
      </c>
      <c r="J353" s="25" t="n"/>
    </row>
    <row r="354">
      <c r="A354" s="25" t="n">
        <v>353</v>
      </c>
      <c r="B354" s="96" t="n">
        <v>46228</v>
      </c>
      <c r="C354" s="25" t="inlineStr">
        <is>
          <t>عماد حمدي</t>
        </is>
      </c>
      <c r="D354" s="25" t="inlineStr">
        <is>
          <t>النظام الجديد (السيارات)</t>
        </is>
      </c>
      <c r="E354" s="25" t="inlineStr">
        <is>
          <t>WS-INV-0238</t>
        </is>
      </c>
      <c r="F354" s="25" t="inlineStr">
        <is>
          <t>VHC-3010</t>
        </is>
      </c>
      <c r="G354" s="25" t="inlineStr">
        <is>
          <t>مشتل اسماعيل - الرياض</t>
        </is>
      </c>
      <c r="H354" s="27" t="n">
        <v>270</v>
      </c>
      <c r="I354" s="25" t="inlineStr">
        <is>
          <t>مكتمل</t>
        </is>
      </c>
      <c r="J354" s="25" t="n"/>
    </row>
    <row r="355">
      <c r="A355" s="25" t="n">
        <v>354</v>
      </c>
      <c r="B355" s="96" t="n">
        <v>46229</v>
      </c>
      <c r="C355" s="25" t="inlineStr">
        <is>
          <t>عصمت الله خان</t>
        </is>
      </c>
      <c r="D355" s="25" t="inlineStr">
        <is>
          <t>النظام الجديد (السيارات)</t>
        </is>
      </c>
      <c r="E355" s="25" t="inlineStr">
        <is>
          <t>WS-INV-0243</t>
        </is>
      </c>
      <c r="F355" s="25" t="inlineStr">
        <is>
          <t>VHC-1219</t>
        </is>
      </c>
      <c r="G355" s="25" t="inlineStr">
        <is>
          <t>مشتل حي لبن - الرياض</t>
        </is>
      </c>
      <c r="H355" s="27" t="n">
        <v>277</v>
      </c>
      <c r="I355" s="25" t="inlineStr">
        <is>
          <t>مكتمل</t>
        </is>
      </c>
      <c r="J355" s="25" t="n"/>
    </row>
    <row r="356">
      <c r="A356" s="25" t="n">
        <v>355</v>
      </c>
      <c r="B356" s="96" t="n">
        <v>46230</v>
      </c>
      <c r="C356" s="25" t="inlineStr">
        <is>
          <t>عصمت الله خان</t>
        </is>
      </c>
      <c r="D356" s="25" t="inlineStr">
        <is>
          <t>النظام الجديد (السيارات)</t>
        </is>
      </c>
      <c r="E356" s="25" t="inlineStr">
        <is>
          <t>WS-INV-0248</t>
        </is>
      </c>
      <c r="F356" s="25" t="inlineStr">
        <is>
          <t>VHC-1219</t>
        </is>
      </c>
      <c r="G356" s="25" t="inlineStr">
        <is>
          <t>مشاتل طريق خريص-الرياض</t>
        </is>
      </c>
      <c r="H356" s="27" t="n">
        <v>225</v>
      </c>
      <c r="I356" s="25" t="inlineStr">
        <is>
          <t>مكتمل</t>
        </is>
      </c>
      <c r="J356" s="25" t="n"/>
    </row>
    <row r="357">
      <c r="A357" s="25" t="n">
        <v>356</v>
      </c>
      <c r="B357" s="96" t="n">
        <v>46231</v>
      </c>
      <c r="C357" s="25" t="inlineStr">
        <is>
          <t>عصمت الله خان</t>
        </is>
      </c>
      <c r="D357" s="25" t="inlineStr">
        <is>
          <t>النظام الجديد (السيارات)</t>
        </is>
      </c>
      <c r="E357" s="25" t="inlineStr">
        <is>
          <t>WS-INV-0250</t>
        </is>
      </c>
      <c r="F357" s="25" t="inlineStr">
        <is>
          <t>VHC-1219</t>
        </is>
      </c>
      <c r="G357" s="25" t="inlineStr">
        <is>
          <t>مشتل افتخار-الرياض</t>
        </is>
      </c>
      <c r="H357" s="27" t="n">
        <v>440</v>
      </c>
      <c r="I357" s="25" t="inlineStr">
        <is>
          <t>مكتمل</t>
        </is>
      </c>
      <c r="J357" s="25" t="n"/>
    </row>
    <row r="358">
      <c r="A358" s="25" t="n">
        <v>357</v>
      </c>
      <c r="B358" s="96" t="n">
        <v>46232</v>
      </c>
      <c r="C358" s="25" t="inlineStr">
        <is>
          <t>عماد حمدي</t>
        </is>
      </c>
      <c r="D358" s="25" t="inlineStr">
        <is>
          <t>النظام الجديد (السيارات)</t>
        </is>
      </c>
      <c r="E358" s="25" t="inlineStr">
        <is>
          <t>WS-INV-0253</t>
        </is>
      </c>
      <c r="F358" s="25" t="inlineStr">
        <is>
          <t>VHC-3010</t>
        </is>
      </c>
      <c r="G358" s="25" t="inlineStr">
        <is>
          <t>كيان الوطن الصناعية ( اسماعيل ) - الرياض</t>
        </is>
      </c>
      <c r="H358" s="27" t="n">
        <v>125</v>
      </c>
      <c r="I358" s="25" t="inlineStr">
        <is>
          <t>مكتمل</t>
        </is>
      </c>
      <c r="J358" s="25" t="n"/>
    </row>
    <row r="359">
      <c r="A359" s="25" t="n">
        <v>358</v>
      </c>
      <c r="B359" s="96" t="n">
        <v>46233</v>
      </c>
      <c r="C359" s="25" t="inlineStr">
        <is>
          <t>عصمت الله خان</t>
        </is>
      </c>
      <c r="D359" s="25" t="inlineStr">
        <is>
          <t>النظام الجديد (السيارات)</t>
        </is>
      </c>
      <c r="E359" s="25" t="inlineStr">
        <is>
          <t>WS-INV-0254</t>
        </is>
      </c>
      <c r="F359" s="25" t="inlineStr">
        <is>
          <t>VHC-1219</t>
        </is>
      </c>
      <c r="G359" s="25" t="inlineStr">
        <is>
          <t>مشتل ظهرة البديعة - الرياض</t>
        </is>
      </c>
      <c r="H359" s="27" t="n">
        <v>450</v>
      </c>
      <c r="I359" s="25" t="inlineStr">
        <is>
          <t>مكتمل</t>
        </is>
      </c>
      <c r="J359" s="25" t="n"/>
    </row>
    <row r="360">
      <c r="A360" s="25" t="n">
        <v>359</v>
      </c>
      <c r="B360" s="96" t="n">
        <v>46233</v>
      </c>
      <c r="C360" s="25" t="inlineStr">
        <is>
          <t>عماد حمدي</t>
        </is>
      </c>
      <c r="D360" s="25" t="inlineStr">
        <is>
          <t>النظام الجديد (السيارات)</t>
        </is>
      </c>
      <c r="E360" s="25" t="inlineStr">
        <is>
          <t>WS-INV-0255</t>
        </is>
      </c>
      <c r="F360" s="25" t="inlineStr">
        <is>
          <t>VHC-3010</t>
        </is>
      </c>
      <c r="G360" s="25" t="inlineStr">
        <is>
          <t>مؤسسة فارس علي السالمي التجارية ( اسماعيل ) - الرياض</t>
        </is>
      </c>
      <c r="H360" s="27" t="n">
        <v>75</v>
      </c>
      <c r="I360" s="25" t="inlineStr">
        <is>
          <t>مكتمل</t>
        </is>
      </c>
      <c r="J360" s="25" t="n"/>
    </row>
    <row r="361">
      <c r="A361" s="9" t="n"/>
      <c r="B361" s="9" t="n"/>
      <c r="C361" s="9" t="n"/>
      <c r="D361" s="9" t="n"/>
      <c r="E361" s="9" t="n"/>
      <c r="F361" s="9" t="n"/>
      <c r="G361" s="9" t="inlineStr">
        <is>
          <t>الإجمالي</t>
        </is>
      </c>
      <c r="H361" s="10">
        <f>SUM(H2:H360)</f>
        <v/>
      </c>
      <c r="I361" s="9" t="n"/>
      <c r="J361" s="9" t="n"/>
    </row>
  </sheetData>
  <autoFilter ref="A1:J360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F24"/>
  <sheetViews>
    <sheetView rightToLeft="1" zoomScale="10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5" t="inlineStr">
        <is>
          <t>الشهر</t>
        </is>
      </c>
      <c r="B1" s="15" t="inlineStr">
        <is>
          <t>عصمت الله خان</t>
        </is>
      </c>
      <c r="C1" s="15" t="inlineStr">
        <is>
          <t>عماد حمدي</t>
        </is>
      </c>
      <c r="D1" s="15" t="inlineStr">
        <is>
          <t>م/ عادل أبو خالد</t>
        </is>
      </c>
      <c r="E1" s="15" t="inlineStr">
        <is>
          <t>الإجمالي</t>
        </is>
      </c>
      <c r="F1" s="15" t="inlineStr">
        <is>
          <t>منها: النظام الجديد (السيارات)</t>
        </is>
      </c>
    </row>
    <row r="2">
      <c r="A2" s="28" t="inlineStr">
        <is>
          <t>أكتوبر 2024</t>
        </is>
      </c>
      <c r="B2" s="28" t="n"/>
      <c r="C2" s="28" t="n"/>
      <c r="D2" s="28" t="n"/>
      <c r="E2" s="29" t="n">
        <v>103500</v>
      </c>
      <c r="F2" s="28" t="n">
        <v>0</v>
      </c>
    </row>
    <row r="3">
      <c r="A3" s="28" t="inlineStr">
        <is>
          <t>نوفمبر 2024</t>
        </is>
      </c>
      <c r="B3" s="28" t="n"/>
      <c r="C3" s="28" t="n"/>
      <c r="D3" s="28" t="n"/>
      <c r="E3" s="29" t="n">
        <v>137450</v>
      </c>
      <c r="F3" s="28" t="n">
        <v>0</v>
      </c>
    </row>
    <row r="4">
      <c r="A4" s="28" t="inlineStr">
        <is>
          <t>ديسمبر 2024</t>
        </is>
      </c>
      <c r="B4" s="28" t="n"/>
      <c r="C4" s="28" t="n"/>
      <c r="D4" s="28" t="n"/>
      <c r="E4" s="29" t="n">
        <v>95230</v>
      </c>
      <c r="F4" s="28" t="n">
        <v>0</v>
      </c>
    </row>
    <row r="5">
      <c r="A5" s="28" t="inlineStr">
        <is>
          <t>يناير 2025</t>
        </is>
      </c>
      <c r="B5" s="28" t="n"/>
      <c r="C5" s="28" t="n"/>
      <c r="D5" s="28" t="n"/>
      <c r="E5" s="29" t="n">
        <v>55300</v>
      </c>
      <c r="F5" s="28" t="n">
        <v>0</v>
      </c>
    </row>
    <row r="6">
      <c r="A6" s="28" t="inlineStr">
        <is>
          <t>فبراير 2025</t>
        </is>
      </c>
      <c r="B6" s="28" t="n"/>
      <c r="C6" s="28" t="n"/>
      <c r="D6" s="28" t="n"/>
      <c r="E6" s="29" t="n">
        <v>35920</v>
      </c>
      <c r="F6" s="28" t="n">
        <v>0</v>
      </c>
    </row>
    <row r="7">
      <c r="A7" s="28" t="inlineStr">
        <is>
          <t>مارس 2025</t>
        </is>
      </c>
      <c r="B7" s="28" t="n"/>
      <c r="C7" s="28" t="n"/>
      <c r="D7" s="28" t="n"/>
      <c r="E7" s="29" t="n">
        <v>15100</v>
      </c>
      <c r="F7" s="28" t="n">
        <v>0</v>
      </c>
    </row>
    <row r="8">
      <c r="A8" s="28" t="inlineStr">
        <is>
          <t>إبريل 2025</t>
        </is>
      </c>
      <c r="B8" s="28" t="n"/>
      <c r="C8" s="28" t="n"/>
      <c r="D8" s="28" t="n"/>
      <c r="E8" s="29" t="n">
        <v>90160</v>
      </c>
      <c r="F8" s="28" t="n">
        <v>0</v>
      </c>
    </row>
    <row r="9">
      <c r="A9" s="28" t="inlineStr">
        <is>
          <t>مايو 2025</t>
        </is>
      </c>
      <c r="B9" s="28" t="n"/>
      <c r="C9" s="28" t="n"/>
      <c r="D9" s="28" t="n"/>
      <c r="E9" s="29" t="n">
        <v>50310</v>
      </c>
      <c r="F9" s="28" t="n">
        <v>0</v>
      </c>
    </row>
    <row r="10">
      <c r="A10" s="28" t="inlineStr">
        <is>
          <t>يونيه 2025</t>
        </is>
      </c>
      <c r="B10" s="28" t="n"/>
      <c r="C10" s="28" t="n"/>
      <c r="D10" s="28" t="n"/>
      <c r="E10" s="29" t="n">
        <v>27718</v>
      </c>
      <c r="F10" s="28" t="n">
        <v>0</v>
      </c>
    </row>
    <row r="11">
      <c r="A11" s="16" t="inlineStr">
        <is>
          <t>07-2025</t>
        </is>
      </c>
      <c r="B11" s="17">
        <f>SUMIFS('الحركة المدمجة'!H:H,'الحركة المدمجة'!C:C,"عصمت الله خان",'الحركة المدمجة'!B:B,"&gt;="&amp;DATE(2025,7,1),'الحركة المدمجة'!B:B,"&lt;"&amp;DATE(2025,8,1))</f>
        <v/>
      </c>
      <c r="C11" s="17">
        <f>SUMIFS('الحركة المدمجة'!H:H,'الحركة المدمجة'!C:C,"عماد حمدي",'الحركة المدمجة'!B:B,"&gt;="&amp;DATE(2025,7,1),'الحركة المدمجة'!B:B,"&lt;"&amp;DATE(2025,8,1))</f>
        <v/>
      </c>
      <c r="D11" s="17">
        <f>SUMIFS('الحركة المدمجة'!H:H,'الحركة المدمجة'!C:C,"م/ عادل أبو خالد",'الحركة المدمجة'!B:B,"&gt;="&amp;DATE(2025,7,1),'الحركة المدمجة'!B:B,"&lt;"&amp;DATE(2025,8,1))</f>
        <v/>
      </c>
      <c r="E11" s="17">
        <f>SUM(B11:D11)</f>
        <v/>
      </c>
      <c r="F11" s="17">
        <f>SUMIFS('الحركة المدمجة'!H:H,'الحركة المدمجة'!D:D,"النظام الجديد (السيارات)",'الحركة المدمجة'!B:B,"&gt;="&amp;DATE(2025,7,1),'الحركة المدمجة'!B:B,"&lt;"&amp;DATE(2025,8,1))</f>
        <v/>
      </c>
    </row>
    <row r="12">
      <c r="A12" s="16" t="inlineStr">
        <is>
          <t>08-2025</t>
        </is>
      </c>
      <c r="B12" s="17">
        <f>SUMIFS('الحركة المدمجة'!H:H,'الحركة المدمجة'!C:C,"عصمت الله خان",'الحركة المدمجة'!B:B,"&gt;="&amp;DATE(2025,8,1),'الحركة المدمجة'!B:B,"&lt;"&amp;DATE(2025,9,1))</f>
        <v/>
      </c>
      <c r="C12" s="17">
        <f>SUMIFS('الحركة المدمجة'!H:H,'الحركة المدمجة'!C:C,"عماد حمدي",'الحركة المدمجة'!B:B,"&gt;="&amp;DATE(2025,8,1),'الحركة المدمجة'!B:B,"&lt;"&amp;DATE(2025,9,1))</f>
        <v/>
      </c>
      <c r="D12" s="17">
        <f>SUMIFS('الحركة المدمجة'!H:H,'الحركة المدمجة'!C:C,"م/ عادل أبو خالد",'الحركة المدمجة'!B:B,"&gt;="&amp;DATE(2025,8,1),'الحركة المدمجة'!B:B,"&lt;"&amp;DATE(2025,9,1))</f>
        <v/>
      </c>
      <c r="E12" s="17">
        <f>SUM(B12:D12)</f>
        <v/>
      </c>
      <c r="F12" s="17">
        <f>SUMIFS('الحركة المدمجة'!H:H,'الحركة المدمجة'!D:D,"النظام الجديد (السيارات)",'الحركة المدمجة'!B:B,"&gt;="&amp;DATE(2025,8,1),'الحركة المدمجة'!B:B,"&lt;"&amp;DATE(2025,9,1))</f>
        <v/>
      </c>
    </row>
    <row r="13">
      <c r="A13" s="16" t="inlineStr">
        <is>
          <t>09-2025</t>
        </is>
      </c>
      <c r="B13" s="17">
        <f>SUMIFS('الحركة المدمجة'!H:H,'الحركة المدمجة'!C:C,"عصمت الله خان",'الحركة المدمجة'!B:B,"&gt;="&amp;DATE(2025,9,1),'الحركة المدمجة'!B:B,"&lt;"&amp;DATE(2025,10,1))</f>
        <v/>
      </c>
      <c r="C13" s="17">
        <f>SUMIFS('الحركة المدمجة'!H:H,'الحركة المدمجة'!C:C,"عماد حمدي",'الحركة المدمجة'!B:B,"&gt;="&amp;DATE(2025,9,1),'الحركة المدمجة'!B:B,"&lt;"&amp;DATE(2025,10,1))</f>
        <v/>
      </c>
      <c r="D13" s="17">
        <f>SUMIFS('الحركة المدمجة'!H:H,'الحركة المدمجة'!C:C,"م/ عادل أبو خالد",'الحركة المدمجة'!B:B,"&gt;="&amp;DATE(2025,9,1),'الحركة المدمجة'!B:B,"&lt;"&amp;DATE(2025,10,1))</f>
        <v/>
      </c>
      <c r="E13" s="17">
        <f>SUM(B13:D13)</f>
        <v/>
      </c>
      <c r="F13" s="17">
        <f>SUMIFS('الحركة المدمجة'!H:H,'الحركة المدمجة'!D:D,"النظام الجديد (السيارات)",'الحركة المدمجة'!B:B,"&gt;="&amp;DATE(2025,9,1),'الحركة المدمجة'!B:B,"&lt;"&amp;DATE(2025,10,1))</f>
        <v/>
      </c>
    </row>
    <row r="14">
      <c r="A14" s="16" t="inlineStr">
        <is>
          <t>10-2025</t>
        </is>
      </c>
      <c r="B14" s="17">
        <f>SUMIFS('الحركة المدمجة'!H:H,'الحركة المدمجة'!C:C,"عصمت الله خان",'الحركة المدمجة'!B:B,"&gt;="&amp;DATE(2025,10,1),'الحركة المدمجة'!B:B,"&lt;"&amp;DATE(2025,11,1))</f>
        <v/>
      </c>
      <c r="C14" s="17">
        <f>SUMIFS('الحركة المدمجة'!H:H,'الحركة المدمجة'!C:C,"عماد حمدي",'الحركة المدمجة'!B:B,"&gt;="&amp;DATE(2025,10,1),'الحركة المدمجة'!B:B,"&lt;"&amp;DATE(2025,11,1))</f>
        <v/>
      </c>
      <c r="D14" s="17">
        <f>SUMIFS('الحركة المدمجة'!H:H,'الحركة المدمجة'!C:C,"م/ عادل أبو خالد",'الحركة المدمجة'!B:B,"&gt;="&amp;DATE(2025,10,1),'الحركة المدمجة'!B:B,"&lt;"&amp;DATE(2025,11,1))</f>
        <v/>
      </c>
      <c r="E14" s="17">
        <f>SUM(B14:D14)</f>
        <v/>
      </c>
      <c r="F14" s="17">
        <f>SUMIFS('الحركة المدمجة'!H:H,'الحركة المدمجة'!D:D,"النظام الجديد (السيارات)",'الحركة المدمجة'!B:B,"&gt;="&amp;DATE(2025,10,1),'الحركة المدمجة'!B:B,"&lt;"&amp;DATE(2025,11,1))</f>
        <v/>
      </c>
    </row>
    <row r="15">
      <c r="A15" s="16" t="inlineStr">
        <is>
          <t>11-2025</t>
        </is>
      </c>
      <c r="B15" s="17">
        <f>SUMIFS('الحركة المدمجة'!H:H,'الحركة المدمجة'!C:C,"عصمت الله خان",'الحركة المدمجة'!B:B,"&gt;="&amp;DATE(2025,11,1),'الحركة المدمجة'!B:B,"&lt;"&amp;DATE(2025,12,1))</f>
        <v/>
      </c>
      <c r="C15" s="17">
        <f>SUMIFS('الحركة المدمجة'!H:H,'الحركة المدمجة'!C:C,"عماد حمدي",'الحركة المدمجة'!B:B,"&gt;="&amp;DATE(2025,11,1),'الحركة المدمجة'!B:B,"&lt;"&amp;DATE(2025,12,1))</f>
        <v/>
      </c>
      <c r="D15" s="17">
        <f>SUMIFS('الحركة المدمجة'!H:H,'الحركة المدمجة'!C:C,"م/ عادل أبو خالد",'الحركة المدمجة'!B:B,"&gt;="&amp;DATE(2025,11,1),'الحركة المدمجة'!B:B,"&lt;"&amp;DATE(2025,12,1))</f>
        <v/>
      </c>
      <c r="E15" s="17">
        <f>SUM(B15:D15)</f>
        <v/>
      </c>
      <c r="F15" s="17">
        <f>SUMIFS('الحركة المدمجة'!H:H,'الحركة المدمجة'!D:D,"النظام الجديد (السيارات)",'الحركة المدمجة'!B:B,"&gt;="&amp;DATE(2025,11,1),'الحركة المدمجة'!B:B,"&lt;"&amp;DATE(2025,12,1))</f>
        <v/>
      </c>
    </row>
    <row r="16">
      <c r="A16" s="16" t="inlineStr">
        <is>
          <t>12-2025</t>
        </is>
      </c>
      <c r="B16" s="17">
        <f>SUMIFS('الحركة المدمجة'!H:H,'الحركة المدمجة'!C:C,"عصمت الله خان",'الحركة المدمجة'!B:B,"&gt;="&amp;DATE(2025,12,1),'الحركة المدمجة'!B:B,"&lt;"&amp;DATE(2026,1,1))</f>
        <v/>
      </c>
      <c r="C16" s="17">
        <f>SUMIFS('الحركة المدمجة'!H:H,'الحركة المدمجة'!C:C,"عماد حمدي",'الحركة المدمجة'!B:B,"&gt;="&amp;DATE(2025,12,1),'الحركة المدمجة'!B:B,"&lt;"&amp;DATE(2026,1,1))</f>
        <v/>
      </c>
      <c r="D16" s="17">
        <f>SUMIFS('الحركة المدمجة'!H:H,'الحركة المدمجة'!C:C,"م/ عادل أبو خالد",'الحركة المدمجة'!B:B,"&gt;="&amp;DATE(2025,12,1),'الحركة المدمجة'!B:B,"&lt;"&amp;DATE(2026,1,1))</f>
        <v/>
      </c>
      <c r="E16" s="17">
        <f>SUM(B16:D16)</f>
        <v/>
      </c>
      <c r="F16" s="17">
        <f>SUMIFS('الحركة المدمجة'!H:H,'الحركة المدمجة'!D:D,"النظام الجديد (السيارات)",'الحركة المدمجة'!B:B,"&gt;="&amp;DATE(2025,12,1),'الحركة المدمجة'!B:B,"&lt;"&amp;DATE(2026,1,1))</f>
        <v/>
      </c>
    </row>
    <row r="17">
      <c r="A17" s="16" t="inlineStr">
        <is>
          <t>01-2026</t>
        </is>
      </c>
      <c r="B17" s="17">
        <f>SUMIFS('الحركة المدمجة'!H:H,'الحركة المدمجة'!C:C,"عصمت الله خان",'الحركة المدمجة'!B:B,"&gt;="&amp;DATE(2026,1,1),'الحركة المدمجة'!B:B,"&lt;"&amp;DATE(2026,2,1))</f>
        <v/>
      </c>
      <c r="C17" s="17">
        <f>SUMIFS('الحركة المدمجة'!H:H,'الحركة المدمجة'!C:C,"عماد حمدي",'الحركة المدمجة'!B:B,"&gt;="&amp;DATE(2026,1,1),'الحركة المدمجة'!B:B,"&lt;"&amp;DATE(2026,2,1))</f>
        <v/>
      </c>
      <c r="D17" s="17">
        <f>SUMIFS('الحركة المدمجة'!H:H,'الحركة المدمجة'!C:C,"م/ عادل أبو خالد",'الحركة المدمجة'!B:B,"&gt;="&amp;DATE(2026,1,1),'الحركة المدمجة'!B:B,"&lt;"&amp;DATE(2026,2,1))</f>
        <v/>
      </c>
      <c r="E17" s="17">
        <f>SUM(B17:D17)</f>
        <v/>
      </c>
      <c r="F17" s="17">
        <f>SUMIFS('الحركة المدمجة'!H:H,'الحركة المدمجة'!D:D,"النظام الجديد (السيارات)",'الحركة المدمجة'!B:B,"&gt;="&amp;DATE(2026,1,1),'الحركة المدمجة'!B:B,"&lt;"&amp;DATE(2026,2,1))</f>
        <v/>
      </c>
    </row>
    <row r="18">
      <c r="A18" s="16" t="inlineStr">
        <is>
          <t>02-2026</t>
        </is>
      </c>
      <c r="B18" s="17">
        <f>SUMIFS('الحركة المدمجة'!H:H,'الحركة المدمجة'!C:C,"عصمت الله خان",'الحركة المدمجة'!B:B,"&gt;="&amp;DATE(2026,2,1),'الحركة المدمجة'!B:B,"&lt;"&amp;DATE(2026,3,1))</f>
        <v/>
      </c>
      <c r="C18" s="17">
        <f>SUMIFS('الحركة المدمجة'!H:H,'الحركة المدمجة'!C:C,"عماد حمدي",'الحركة المدمجة'!B:B,"&gt;="&amp;DATE(2026,2,1),'الحركة المدمجة'!B:B,"&lt;"&amp;DATE(2026,3,1))</f>
        <v/>
      </c>
      <c r="D18" s="17">
        <f>SUMIFS('الحركة المدمجة'!H:H,'الحركة المدمجة'!C:C,"م/ عادل أبو خالد",'الحركة المدمجة'!B:B,"&gt;="&amp;DATE(2026,2,1),'الحركة المدمجة'!B:B,"&lt;"&amp;DATE(2026,3,1))</f>
        <v/>
      </c>
      <c r="E18" s="17">
        <f>SUM(B18:D18)</f>
        <v/>
      </c>
      <c r="F18" s="17">
        <f>SUMIFS('الحركة المدمجة'!H:H,'الحركة المدمجة'!D:D,"النظام الجديد (السيارات)",'الحركة المدمجة'!B:B,"&gt;="&amp;DATE(2026,2,1),'الحركة المدمجة'!B:B,"&lt;"&amp;DATE(2026,3,1))</f>
        <v/>
      </c>
    </row>
    <row r="19">
      <c r="A19" s="16" t="inlineStr">
        <is>
          <t>03-2026</t>
        </is>
      </c>
      <c r="B19" s="17">
        <f>SUMIFS('الحركة المدمجة'!H:H,'الحركة المدمجة'!C:C,"عصمت الله خان",'الحركة المدمجة'!B:B,"&gt;="&amp;DATE(2026,3,1),'الحركة المدمجة'!B:B,"&lt;"&amp;DATE(2026,4,1))</f>
        <v/>
      </c>
      <c r="C19" s="17">
        <f>SUMIFS('الحركة المدمجة'!H:H,'الحركة المدمجة'!C:C,"عماد حمدي",'الحركة المدمجة'!B:B,"&gt;="&amp;DATE(2026,3,1),'الحركة المدمجة'!B:B,"&lt;"&amp;DATE(2026,4,1))</f>
        <v/>
      </c>
      <c r="D19" s="17">
        <f>SUMIFS('الحركة المدمجة'!H:H,'الحركة المدمجة'!C:C,"م/ عادل أبو خالد",'الحركة المدمجة'!B:B,"&gt;="&amp;DATE(2026,3,1),'الحركة المدمجة'!B:B,"&lt;"&amp;DATE(2026,4,1))</f>
        <v/>
      </c>
      <c r="E19" s="17">
        <f>SUM(B19:D19)</f>
        <v/>
      </c>
      <c r="F19" s="17">
        <f>SUMIFS('الحركة المدمجة'!H:H,'الحركة المدمجة'!D:D,"النظام الجديد (السيارات)",'الحركة المدمجة'!B:B,"&gt;="&amp;DATE(2026,3,1),'الحركة المدمجة'!B:B,"&lt;"&amp;DATE(2026,4,1))</f>
        <v/>
      </c>
    </row>
    <row r="20">
      <c r="A20" s="16" t="inlineStr">
        <is>
          <t>04-2026</t>
        </is>
      </c>
      <c r="B20" s="17">
        <f>SUMIFS('الحركة المدمجة'!H:H,'الحركة المدمجة'!C:C,"عصمت الله خان",'الحركة المدمجة'!B:B,"&gt;="&amp;DATE(2026,4,1),'الحركة المدمجة'!B:B,"&lt;"&amp;DATE(2026,5,1))</f>
        <v/>
      </c>
      <c r="C20" s="17">
        <f>SUMIFS('الحركة المدمجة'!H:H,'الحركة المدمجة'!C:C,"عماد حمدي",'الحركة المدمجة'!B:B,"&gt;="&amp;DATE(2026,4,1),'الحركة المدمجة'!B:B,"&lt;"&amp;DATE(2026,5,1))</f>
        <v/>
      </c>
      <c r="D20" s="17">
        <f>SUMIFS('الحركة المدمجة'!H:H,'الحركة المدمجة'!C:C,"م/ عادل أبو خالد",'الحركة المدمجة'!B:B,"&gt;="&amp;DATE(2026,4,1),'الحركة المدمجة'!B:B,"&lt;"&amp;DATE(2026,5,1))</f>
        <v/>
      </c>
      <c r="E20" s="17">
        <f>SUM(B20:D20)</f>
        <v/>
      </c>
      <c r="F20" s="17">
        <f>SUMIFS('الحركة المدمجة'!H:H,'الحركة المدمجة'!D:D,"النظام الجديد (السيارات)",'الحركة المدمجة'!B:B,"&gt;="&amp;DATE(2026,4,1),'الحركة المدمجة'!B:B,"&lt;"&amp;DATE(2026,5,1))</f>
        <v/>
      </c>
    </row>
    <row r="21">
      <c r="A21" s="16" t="inlineStr">
        <is>
          <t>05-2026</t>
        </is>
      </c>
      <c r="B21" s="17">
        <f>SUMIFS('الحركة المدمجة'!H:H,'الحركة المدمجة'!C:C,"عصمت الله خان",'الحركة المدمجة'!B:B,"&gt;="&amp;DATE(2026,5,1),'الحركة المدمجة'!B:B,"&lt;"&amp;DATE(2026,6,1))</f>
        <v/>
      </c>
      <c r="C21" s="17">
        <f>SUMIFS('الحركة المدمجة'!H:H,'الحركة المدمجة'!C:C,"عماد حمدي",'الحركة المدمجة'!B:B,"&gt;="&amp;DATE(2026,5,1),'الحركة المدمجة'!B:B,"&lt;"&amp;DATE(2026,6,1))</f>
        <v/>
      </c>
      <c r="D21" s="17">
        <f>SUMIFS('الحركة المدمجة'!H:H,'الحركة المدمجة'!C:C,"م/ عادل أبو خالد",'الحركة المدمجة'!B:B,"&gt;="&amp;DATE(2026,5,1),'الحركة المدمجة'!B:B,"&lt;"&amp;DATE(2026,6,1))</f>
        <v/>
      </c>
      <c r="E21" s="17">
        <f>SUM(B21:D21)</f>
        <v/>
      </c>
      <c r="F21" s="17">
        <f>SUMIFS('الحركة المدمجة'!H:H,'الحركة المدمجة'!D:D,"النظام الجديد (السيارات)",'الحركة المدمجة'!B:B,"&gt;="&amp;DATE(2026,5,1),'الحركة المدمجة'!B:B,"&lt;"&amp;DATE(2026,6,1))</f>
        <v/>
      </c>
    </row>
    <row r="22">
      <c r="A22" s="16" t="inlineStr">
        <is>
          <t>06-2026</t>
        </is>
      </c>
      <c r="B22" s="17">
        <f>SUMIFS('الحركة المدمجة'!H:H,'الحركة المدمجة'!C:C,"عصمت الله خان",'الحركة المدمجة'!B:B,"&gt;="&amp;DATE(2026,6,1),'الحركة المدمجة'!B:B,"&lt;"&amp;DATE(2026,7,1))</f>
        <v/>
      </c>
      <c r="C22" s="17">
        <f>SUMIFS('الحركة المدمجة'!H:H,'الحركة المدمجة'!C:C,"عماد حمدي",'الحركة المدمجة'!B:B,"&gt;="&amp;DATE(2026,6,1),'الحركة المدمجة'!B:B,"&lt;"&amp;DATE(2026,7,1))</f>
        <v/>
      </c>
      <c r="D22" s="17">
        <f>SUMIFS('الحركة المدمجة'!H:H,'الحركة المدمجة'!C:C,"م/ عادل أبو خالد",'الحركة المدمجة'!B:B,"&gt;="&amp;DATE(2026,6,1),'الحركة المدمجة'!B:B,"&lt;"&amp;DATE(2026,7,1))</f>
        <v/>
      </c>
      <c r="E22" s="17">
        <f>SUM(B22:D22)</f>
        <v/>
      </c>
      <c r="F22" s="17">
        <f>SUMIFS('الحركة المدمجة'!H:H,'الحركة المدمجة'!D:D,"النظام الجديد (السيارات)",'الحركة المدمجة'!B:B,"&gt;="&amp;DATE(2026,6,1),'الحركة المدمجة'!B:B,"&lt;"&amp;DATE(2026,7,1))</f>
        <v/>
      </c>
    </row>
    <row r="23">
      <c r="A23" s="16" t="inlineStr">
        <is>
          <t>07-2026</t>
        </is>
      </c>
      <c r="B23" s="17">
        <f>SUMIFS('الحركة المدمجة'!H:H,'الحركة المدمجة'!C:C,"عصمت الله خان",'الحركة المدمجة'!B:B,"&gt;="&amp;DATE(2026,7,1),'الحركة المدمجة'!B:B,"&lt;"&amp;DATE(2026,8,1))</f>
        <v/>
      </c>
      <c r="C23" s="17">
        <f>SUMIFS('الحركة المدمجة'!H:H,'الحركة المدمجة'!C:C,"عماد حمدي",'الحركة المدمجة'!B:B,"&gt;="&amp;DATE(2026,7,1),'الحركة المدمجة'!B:B,"&lt;"&amp;DATE(2026,8,1))</f>
        <v/>
      </c>
      <c r="D23" s="17">
        <f>SUMIFS('الحركة المدمجة'!H:H,'الحركة المدمجة'!C:C,"م/ عادل أبو خالد",'الحركة المدمجة'!B:B,"&gt;="&amp;DATE(2026,7,1),'الحركة المدمجة'!B:B,"&lt;"&amp;DATE(2026,8,1))</f>
        <v/>
      </c>
      <c r="E23" s="17">
        <f>SUM(B23:D23)</f>
        <v/>
      </c>
      <c r="F23" s="17">
        <f>SUMIFS('الحركة المدمجة'!H:H,'الحركة المدمجة'!D:D,"النظام الجديد (السيارات)",'الحركة المدمجة'!B:B,"&gt;="&amp;DATE(2026,7,1),'الحركة المدمجة'!B:B,"&lt;"&amp;DATE(2026,8,1))</f>
        <v/>
      </c>
    </row>
    <row r="24">
      <c r="A24" s="9" t="inlineStr">
        <is>
          <t>الإجمالي</t>
        </is>
      </c>
      <c r="B24" s="10">
        <f>SUM(B2:B23)</f>
        <v/>
      </c>
      <c r="C24" s="10">
        <f>SUM(C2:C23)</f>
        <v/>
      </c>
      <c r="D24" s="10">
        <f>SUM(D2:D23)</f>
        <v/>
      </c>
      <c r="E24" s="10">
        <f>SUM(E2:E23)</f>
        <v/>
      </c>
      <c r="F24" s="10">
        <f>SUM(F2:F23)</f>
        <v/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14"/>
  <sheetViews>
    <sheetView rightToLeft="1" zoomScale="10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</cols>
  <sheetData>
    <row r="1">
      <c r="A1" s="14" t="inlineStr">
        <is>
          <t>مبيعات مزرعة الرياض من 2024-10-01 إلى 2025-06-30</t>
        </is>
      </c>
    </row>
    <row r="2">
      <c r="A2" s="2" t="inlineStr">
        <is>
          <t>م</t>
        </is>
      </c>
      <c r="B2" s="2" t="inlineStr">
        <is>
          <t>البيان</t>
        </is>
      </c>
      <c r="C2" s="2" t="inlineStr">
        <is>
          <t>المبلغ</t>
        </is>
      </c>
    </row>
    <row r="3">
      <c r="A3" s="16" t="n">
        <v>1</v>
      </c>
      <c r="B3" s="16" t="inlineStr">
        <is>
          <t>مبيعات شهر أكتوبر 2024</t>
        </is>
      </c>
      <c r="C3" s="17" t="n">
        <v>103500</v>
      </c>
    </row>
    <row r="4">
      <c r="A4" s="16" t="n">
        <v>2</v>
      </c>
      <c r="B4" s="16" t="inlineStr">
        <is>
          <t>مبيعات شهر نوفمبر 2024</t>
        </is>
      </c>
      <c r="C4" s="17" t="n">
        <v>137450</v>
      </c>
    </row>
    <row r="5">
      <c r="A5" s="16" t="n">
        <v>3</v>
      </c>
      <c r="B5" s="16" t="inlineStr">
        <is>
          <t>مبيعات شهر ديسمبر 2024</t>
        </is>
      </c>
      <c r="C5" s="17" t="n">
        <v>95230</v>
      </c>
    </row>
    <row r="6">
      <c r="A6" s="16" t="n">
        <v>4</v>
      </c>
      <c r="B6" s="16" t="inlineStr">
        <is>
          <t>مبيعات شهر يناير 2025</t>
        </is>
      </c>
      <c r="C6" s="17" t="n">
        <v>55300</v>
      </c>
    </row>
    <row r="7">
      <c r="A7" s="16" t="n">
        <v>5</v>
      </c>
      <c r="B7" s="16" t="inlineStr">
        <is>
          <t>مبيعات شهر فبراير 2025</t>
        </is>
      </c>
      <c r="C7" s="17" t="n">
        <v>35920</v>
      </c>
    </row>
    <row r="8">
      <c r="A8" s="16" t="n">
        <v>6</v>
      </c>
      <c r="B8" s="16" t="inlineStr">
        <is>
          <t>مبيعات شهر مارس 2025</t>
        </is>
      </c>
      <c r="C8" s="17" t="n">
        <v>15100</v>
      </c>
    </row>
    <row r="9">
      <c r="A9" s="16" t="n">
        <v>7</v>
      </c>
      <c r="B9" s="16" t="inlineStr">
        <is>
          <t>مبيعات شهر إبريل 2025</t>
        </is>
      </c>
      <c r="C9" s="17" t="n">
        <v>90160</v>
      </c>
    </row>
    <row r="10">
      <c r="A10" s="16" t="n">
        <v>8</v>
      </c>
      <c r="B10" s="16" t="inlineStr">
        <is>
          <t>مبيعات شهر مايو 2025</t>
        </is>
      </c>
      <c r="C10" s="17" t="n">
        <v>50310</v>
      </c>
    </row>
    <row r="11">
      <c r="A11" s="16" t="n">
        <v>9</v>
      </c>
      <c r="B11" s="16" t="inlineStr">
        <is>
          <t>مبيعات شهر يونيه 2025</t>
        </is>
      </c>
      <c r="C11" s="17" t="n">
        <v>27718</v>
      </c>
    </row>
    <row r="12">
      <c r="A12" s="9" t="n"/>
      <c r="B12" s="9" t="inlineStr">
        <is>
          <t>إجمالي المبيعات</t>
        </is>
      </c>
      <c r="C12" s="10">
        <f>SUM(C3:C11)</f>
        <v/>
      </c>
    </row>
    <row r="13"/>
    <row r="14" ht="45" customHeight="1">
      <c r="A14" s="13" t="inlineStr">
        <is>
          <t>ملاحظات: الإجمالي 610,688.00 مطابق لمجموع الأشهر. المبيعات غير موزعة على المناديب. لا توجد بيانات مبيعات للفترة من 1-7-2025 إلى 29-7-2025.</t>
        </is>
      </c>
    </row>
  </sheetData>
  <mergeCells count="2">
    <mergeCell ref="A1:C1"/>
    <mergeCell ref="A14:C14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256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رقم العقد</t>
        </is>
      </c>
      <c r="D1" s="22" t="inlineStr">
        <is>
          <t>القيمة بشيت المحاسب</t>
        </is>
      </c>
      <c r="E1" s="22" t="inlineStr">
        <is>
          <t>القيمة المعتمدة</t>
        </is>
      </c>
      <c r="F1" s="22" t="inlineStr">
        <is>
          <t>الحالة</t>
        </is>
      </c>
      <c r="G1" s="22" t="inlineStr">
        <is>
          <t>المستندات المؤيدة</t>
        </is>
      </c>
      <c r="H1" s="22" t="inlineStr">
        <is>
          <t>ملاحظة</t>
        </is>
      </c>
      <c r="I1" s="2" t="inlineStr">
        <is>
          <t>المصدر</t>
        </is>
      </c>
    </row>
    <row r="2">
      <c r="A2" s="16" t="n">
        <v>1</v>
      </c>
      <c r="B2" s="95" t="n">
        <v>45868</v>
      </c>
      <c r="C2" s="16" t="inlineStr">
        <is>
          <t>WHT-1908</t>
        </is>
      </c>
      <c r="D2" s="17" t="n">
        <v>16658.75</v>
      </c>
      <c r="E2" s="17" t="n">
        <v>16658.75</v>
      </c>
      <c r="F2" s="16" t="inlineStr">
        <is>
          <t>صحيح</t>
        </is>
      </c>
      <c r="G2" s="16" t="inlineStr">
        <is>
          <t>سجل العقود</t>
        </is>
      </c>
      <c r="H2" s="16" t="inlineStr">
        <is>
          <t>بداية الفترة 30-7-2025</t>
        </is>
      </c>
      <c r="I2" s="16" t="inlineStr">
        <is>
          <t>شيت المبيعات (عقود الجملة)</t>
        </is>
      </c>
    </row>
    <row r="3">
      <c r="A3" s="16" t="n">
        <v>2</v>
      </c>
      <c r="B3" s="95" t="n">
        <v>45878</v>
      </c>
      <c r="C3" s="16" t="inlineStr">
        <is>
          <t>WHT-1892</t>
        </is>
      </c>
      <c r="D3" s="17" t="n">
        <v>150</v>
      </c>
      <c r="E3" s="17" t="n">
        <v>150</v>
      </c>
      <c r="F3" s="16" t="inlineStr">
        <is>
          <t>صحيح</t>
        </is>
      </c>
      <c r="G3" s="16" t="inlineStr">
        <is>
          <t>سجل العقود</t>
        </is>
      </c>
      <c r="H3" s="16" t="n"/>
      <c r="I3" s="16" t="inlineStr">
        <is>
          <t>شيت المبيعات (عقود الجملة)</t>
        </is>
      </c>
    </row>
    <row r="4">
      <c r="A4" s="16" t="n">
        <v>3</v>
      </c>
      <c r="B4" s="95" t="n">
        <v>45885</v>
      </c>
      <c r="C4" s="16" t="inlineStr">
        <is>
          <t>WHT-1934</t>
        </is>
      </c>
      <c r="D4" s="17" t="n">
        <v>162.5</v>
      </c>
      <c r="E4" s="17" t="n">
        <v>162.5</v>
      </c>
      <c r="F4" s="16" t="inlineStr">
        <is>
          <t>صحيح</t>
        </is>
      </c>
      <c r="G4" s="16" t="inlineStr">
        <is>
          <t>سجل العقود</t>
        </is>
      </c>
      <c r="H4" s="16" t="n"/>
      <c r="I4" s="16" t="inlineStr">
        <is>
          <t>شيت المبيعات (عقود الجملة)</t>
        </is>
      </c>
    </row>
    <row r="5">
      <c r="A5" s="16" t="n">
        <v>4</v>
      </c>
      <c r="B5" s="95" t="n">
        <v>45885</v>
      </c>
      <c r="C5" s="16" t="inlineStr">
        <is>
          <t>WHT-1937</t>
        </is>
      </c>
      <c r="D5" s="17" t="n">
        <v>50</v>
      </c>
      <c r="E5" s="17" t="n">
        <v>50</v>
      </c>
      <c r="F5" s="16" t="inlineStr">
        <is>
          <t>صحيح</t>
        </is>
      </c>
      <c r="G5" s="16" t="inlineStr">
        <is>
          <t>سجل العقود</t>
        </is>
      </c>
      <c r="H5" s="16" t="n"/>
      <c r="I5" s="16" t="inlineStr">
        <is>
          <t>شيت المبيعات (عقود الجملة)</t>
        </is>
      </c>
    </row>
    <row r="6">
      <c r="A6" s="16" t="n">
        <v>5</v>
      </c>
      <c r="B6" s="95" t="n">
        <v>45887</v>
      </c>
      <c r="C6" s="16" t="inlineStr">
        <is>
          <t>WHT-1952</t>
        </is>
      </c>
      <c r="D6" s="17" t="n">
        <v>450</v>
      </c>
      <c r="E6" s="17" t="n">
        <v>450</v>
      </c>
      <c r="F6" s="16" t="inlineStr">
        <is>
          <t>صحيح</t>
        </is>
      </c>
      <c r="G6" s="16" t="inlineStr">
        <is>
          <t>سجل العقود</t>
        </is>
      </c>
      <c r="H6" s="16" t="n"/>
      <c r="I6" s="16" t="inlineStr">
        <is>
          <t>شيت المبيعات (عقود الجملة)</t>
        </is>
      </c>
    </row>
    <row r="7">
      <c r="A7" s="16" t="n">
        <v>6</v>
      </c>
      <c r="B7" s="95" t="n">
        <v>45889</v>
      </c>
      <c r="C7" s="16" t="inlineStr">
        <is>
          <t>WHT-1970</t>
        </is>
      </c>
      <c r="D7" s="17" t="n">
        <v>125</v>
      </c>
      <c r="E7" s="17" t="n">
        <v>125</v>
      </c>
      <c r="F7" s="16" t="inlineStr">
        <is>
          <t>صحيح</t>
        </is>
      </c>
      <c r="G7" s="16" t="inlineStr">
        <is>
          <t>سجل العقود</t>
        </is>
      </c>
      <c r="H7" s="16" t="n"/>
      <c r="I7" s="16" t="inlineStr">
        <is>
          <t>شيت المبيعات (عقود الجملة)</t>
        </is>
      </c>
    </row>
    <row r="8">
      <c r="A8" s="16" t="n">
        <v>7</v>
      </c>
      <c r="B8" s="95" t="n">
        <v>45890</v>
      </c>
      <c r="C8" s="16" t="inlineStr">
        <is>
          <t>WHT-1999</t>
        </is>
      </c>
      <c r="D8" s="17" t="n">
        <v>800</v>
      </c>
      <c r="E8" s="17" t="n">
        <v>800</v>
      </c>
      <c r="F8" s="16" t="inlineStr">
        <is>
          <t>صحيح</t>
        </is>
      </c>
      <c r="G8" s="16" t="inlineStr">
        <is>
          <t>سجل العقود</t>
        </is>
      </c>
      <c r="H8" s="16" t="n"/>
      <c r="I8" s="16" t="inlineStr">
        <is>
          <t>شيت المبيعات (عقود الجملة)</t>
        </is>
      </c>
    </row>
    <row r="9">
      <c r="A9" s="16" t="n">
        <v>8</v>
      </c>
      <c r="B9" s="95" t="n">
        <v>45892</v>
      </c>
      <c r="C9" s="16" t="inlineStr">
        <is>
          <t>WHT-2007</t>
        </is>
      </c>
      <c r="D9" s="17" t="n">
        <v>155</v>
      </c>
      <c r="E9" s="17" t="n">
        <v>155</v>
      </c>
      <c r="F9" s="16" t="inlineStr">
        <is>
          <t>صحيح</t>
        </is>
      </c>
      <c r="G9" s="16" t="inlineStr">
        <is>
          <t>سجل العقود</t>
        </is>
      </c>
      <c r="H9" s="16" t="n"/>
      <c r="I9" s="16" t="inlineStr">
        <is>
          <t>شيت المبيعات (عقود الجملة)</t>
        </is>
      </c>
    </row>
    <row r="10">
      <c r="A10" s="16" t="n">
        <v>9</v>
      </c>
      <c r="B10" s="95" t="n">
        <v>45894</v>
      </c>
      <c r="C10" s="16" t="inlineStr">
        <is>
          <t>WHT-2030</t>
        </is>
      </c>
      <c r="D10" s="17" t="n">
        <v>350</v>
      </c>
      <c r="E10" s="17" t="n">
        <v>350</v>
      </c>
      <c r="F10" s="16" t="inlineStr">
        <is>
          <t>صحيح</t>
        </is>
      </c>
      <c r="G10" s="16" t="inlineStr">
        <is>
          <t>سجل العقود</t>
        </is>
      </c>
      <c r="H10" s="16" t="n"/>
      <c r="I10" s="16" t="inlineStr">
        <is>
          <t>شيت المبيعات (عقود الجملة)</t>
        </is>
      </c>
    </row>
    <row r="11">
      <c r="A11" s="16" t="n">
        <v>10</v>
      </c>
      <c r="B11" s="95" t="n">
        <v>45895</v>
      </c>
      <c r="C11" s="16" t="inlineStr">
        <is>
          <t>WHT-2040</t>
        </is>
      </c>
      <c r="D11" s="17" t="n">
        <v>205</v>
      </c>
      <c r="E11" s="17" t="n">
        <v>205</v>
      </c>
      <c r="F11" s="16" t="inlineStr">
        <is>
          <t>صحيح</t>
        </is>
      </c>
      <c r="G11" s="16" t="inlineStr">
        <is>
          <t>سجل العقود</t>
        </is>
      </c>
      <c r="H11" s="16" t="n"/>
      <c r="I11" s="16" t="inlineStr">
        <is>
          <t>شيت المبيعات (عقود الجملة)</t>
        </is>
      </c>
    </row>
    <row r="12">
      <c r="A12" s="16" t="n">
        <v>11</v>
      </c>
      <c r="B12" s="95" t="n">
        <v>45897</v>
      </c>
      <c r="C12" s="16" t="inlineStr">
        <is>
          <t>WHT-2065</t>
        </is>
      </c>
      <c r="D12" s="17" t="n">
        <v>62.5</v>
      </c>
      <c r="E12" s="17" t="n">
        <v>62.5</v>
      </c>
      <c r="F12" s="16" t="inlineStr">
        <is>
          <t>صحيح</t>
        </is>
      </c>
      <c r="G12" s="16" t="inlineStr">
        <is>
          <t>سجل العقود</t>
        </is>
      </c>
      <c r="H12" s="16" t="n"/>
      <c r="I12" s="16" t="inlineStr">
        <is>
          <t>شيت المبيعات (عقود الجملة)</t>
        </is>
      </c>
    </row>
    <row r="13">
      <c r="A13" s="16" t="n">
        <v>12</v>
      </c>
      <c r="B13" s="95" t="n">
        <v>45901</v>
      </c>
      <c r="C13" s="16" t="inlineStr">
        <is>
          <t>WHT-2084</t>
        </is>
      </c>
      <c r="D13" s="17" t="n">
        <v>202.5</v>
      </c>
      <c r="E13" s="17" t="n">
        <v>202.5</v>
      </c>
      <c r="F13" s="16" t="inlineStr">
        <is>
          <t>صحيح</t>
        </is>
      </c>
      <c r="G13" s="16" t="inlineStr">
        <is>
          <t>سجل العقود</t>
        </is>
      </c>
      <c r="H13" s="16" t="n"/>
      <c r="I13" s="16" t="inlineStr">
        <is>
          <t>شيت المبيعات (عقود الجملة)</t>
        </is>
      </c>
    </row>
    <row r="14">
      <c r="A14" s="16" t="n">
        <v>13</v>
      </c>
      <c r="B14" s="95" t="n">
        <v>45904</v>
      </c>
      <c r="C14" s="16" t="inlineStr">
        <is>
          <t>WHT-2112</t>
        </is>
      </c>
      <c r="D14" s="17" t="n">
        <v>517.5</v>
      </c>
      <c r="E14" s="17" t="n">
        <v>517.5</v>
      </c>
      <c r="F14" s="16" t="inlineStr">
        <is>
          <t>صحيح</t>
        </is>
      </c>
      <c r="G14" s="16" t="inlineStr">
        <is>
          <t>سجل العقود</t>
        </is>
      </c>
      <c r="H14" s="16" t="n"/>
      <c r="I14" s="16" t="inlineStr">
        <is>
          <t>شيت المبيعات (عقود الجملة)</t>
        </is>
      </c>
    </row>
    <row r="15">
      <c r="A15" s="16" t="n">
        <v>14</v>
      </c>
      <c r="B15" s="95" t="n">
        <v>45907</v>
      </c>
      <c r="C15" s="16" t="inlineStr">
        <is>
          <t>WHT-2144</t>
        </is>
      </c>
      <c r="D15" s="17" t="n">
        <v>650</v>
      </c>
      <c r="E15" s="17" t="n">
        <v>650</v>
      </c>
      <c r="F15" s="16" t="inlineStr">
        <is>
          <t>صحيح</t>
        </is>
      </c>
      <c r="G15" s="16" t="inlineStr">
        <is>
          <t>سجل العقود</t>
        </is>
      </c>
      <c r="H15" s="16" t="n"/>
      <c r="I15" s="16" t="inlineStr">
        <is>
          <t>شيت المبيعات (عقود الجملة)</t>
        </is>
      </c>
    </row>
    <row r="16">
      <c r="A16" s="16" t="n">
        <v>15</v>
      </c>
      <c r="B16" s="95" t="n">
        <v>45908</v>
      </c>
      <c r="C16" s="16" t="inlineStr">
        <is>
          <t>WHT-2146</t>
        </is>
      </c>
      <c r="D16" s="17" t="n">
        <v>95</v>
      </c>
      <c r="E16" s="17" t="n">
        <v>95</v>
      </c>
      <c r="F16" s="16" t="inlineStr">
        <is>
          <t>صحيح</t>
        </is>
      </c>
      <c r="G16" s="16" t="inlineStr">
        <is>
          <t>سجل العقود</t>
        </is>
      </c>
      <c r="H16" s="16" t="n"/>
      <c r="I16" s="16" t="inlineStr">
        <is>
          <t>شيت المبيعات (عقود الجملة)</t>
        </is>
      </c>
    </row>
    <row r="17">
      <c r="A17" s="16" t="n">
        <v>16</v>
      </c>
      <c r="B17" s="95" t="n">
        <v>45909</v>
      </c>
      <c r="C17" s="16" t="inlineStr">
        <is>
          <t>WHT-2150</t>
        </is>
      </c>
      <c r="D17" s="17" t="n">
        <v>242.5</v>
      </c>
      <c r="E17" s="17" t="n">
        <v>242.5</v>
      </c>
      <c r="F17" s="16" t="inlineStr">
        <is>
          <t>صحيح</t>
        </is>
      </c>
      <c r="G17" s="16" t="inlineStr">
        <is>
          <t>سجل العقود</t>
        </is>
      </c>
      <c r="H17" s="16" t="n"/>
      <c r="I17" s="16" t="inlineStr">
        <is>
          <t>شيت المبيعات (عقود الجملة)</t>
        </is>
      </c>
    </row>
    <row r="18">
      <c r="A18" s="16" t="n">
        <v>17</v>
      </c>
      <c r="B18" s="95" t="n">
        <v>45911</v>
      </c>
      <c r="C18" s="16" t="inlineStr">
        <is>
          <t>WHT-2162</t>
        </is>
      </c>
      <c r="D18" s="17" t="n">
        <v>1827.5</v>
      </c>
      <c r="E18" s="17" t="n">
        <v>1827.5</v>
      </c>
      <c r="F18" s="16" t="inlineStr">
        <is>
          <t>صحيح</t>
        </is>
      </c>
      <c r="G18" s="16" t="inlineStr">
        <is>
          <t>سجل العقود</t>
        </is>
      </c>
      <c r="H18" s="16" t="n"/>
      <c r="I18" s="16" t="inlineStr">
        <is>
          <t>شيت المبيعات (عقود الجملة)</t>
        </is>
      </c>
    </row>
    <row r="19">
      <c r="A19" s="16" t="n">
        <v>18</v>
      </c>
      <c r="B19" s="95" t="n">
        <v>45915</v>
      </c>
      <c r="C19" s="16" t="inlineStr">
        <is>
          <t>WHT-2187</t>
        </is>
      </c>
      <c r="D19" s="17" t="n">
        <v>2260</v>
      </c>
      <c r="E19" s="17" t="n">
        <v>2260</v>
      </c>
      <c r="F19" s="16" t="inlineStr">
        <is>
          <t>صحيح</t>
        </is>
      </c>
      <c r="G19" s="16" t="inlineStr">
        <is>
          <t>سجل العقود</t>
        </is>
      </c>
      <c r="H19" s="16" t="n"/>
      <c r="I19" s="16" t="inlineStr">
        <is>
          <t>شيت المبيعات (عقود الجملة)</t>
        </is>
      </c>
    </row>
    <row r="20">
      <c r="A20" s="16" t="n">
        <v>19</v>
      </c>
      <c r="B20" s="95" t="n">
        <v>45915</v>
      </c>
      <c r="C20" s="16" t="inlineStr">
        <is>
          <t>WHT-2199</t>
        </is>
      </c>
      <c r="D20" s="17" t="n">
        <v>1330</v>
      </c>
      <c r="E20" s="17" t="n">
        <v>1330</v>
      </c>
      <c r="F20" s="16" t="inlineStr">
        <is>
          <t>صحيح</t>
        </is>
      </c>
      <c r="G20" s="16" t="inlineStr">
        <is>
          <t>سجل العقود</t>
        </is>
      </c>
      <c r="H20" s="16" t="n"/>
      <c r="I20" s="16" t="inlineStr">
        <is>
          <t>شيت المبيعات (عقود الجملة)</t>
        </is>
      </c>
    </row>
    <row r="21">
      <c r="A21" s="16" t="n">
        <v>20</v>
      </c>
      <c r="B21" s="95" t="n">
        <v>45916</v>
      </c>
      <c r="C21" s="16" t="inlineStr">
        <is>
          <t>WHT-2216</t>
        </is>
      </c>
      <c r="D21" s="17" t="n">
        <v>160</v>
      </c>
      <c r="E21" s="17" t="n">
        <v>160</v>
      </c>
      <c r="F21" s="16" t="inlineStr">
        <is>
          <t>صحيح</t>
        </is>
      </c>
      <c r="G21" s="16" t="inlineStr">
        <is>
          <t>سجل العقود</t>
        </is>
      </c>
      <c r="H21" s="16" t="n"/>
      <c r="I21" s="16" t="inlineStr">
        <is>
          <t>شيت المبيعات (عقود الجملة)</t>
        </is>
      </c>
    </row>
    <row r="22">
      <c r="A22" s="16" t="n">
        <v>21</v>
      </c>
      <c r="B22" s="95" t="n">
        <v>45917</v>
      </c>
      <c r="C22" s="16" t="inlineStr">
        <is>
          <t>WHT-2228</t>
        </is>
      </c>
      <c r="D22" s="17" t="n">
        <v>180</v>
      </c>
      <c r="E22" s="17" t="n">
        <v>180</v>
      </c>
      <c r="F22" s="16" t="inlineStr">
        <is>
          <t>صحيح</t>
        </is>
      </c>
      <c r="G22" s="16" t="inlineStr">
        <is>
          <t>سجل العقود</t>
        </is>
      </c>
      <c r="H22" s="16" t="n"/>
      <c r="I22" s="16" t="inlineStr">
        <is>
          <t>شيت المبيعات (عقود الجملة)</t>
        </is>
      </c>
    </row>
    <row r="23">
      <c r="A23" s="16" t="n">
        <v>22</v>
      </c>
      <c r="B23" s="95" t="n">
        <v>45918</v>
      </c>
      <c r="C23" s="16" t="inlineStr">
        <is>
          <t>WHT-2244</t>
        </is>
      </c>
      <c r="D23" s="17" t="n">
        <v>1400</v>
      </c>
      <c r="E23" s="17" t="n">
        <v>1400</v>
      </c>
      <c r="F23" s="16" t="inlineStr">
        <is>
          <t>صحيح</t>
        </is>
      </c>
      <c r="G23" s="16" t="inlineStr">
        <is>
          <t>سجل العقود</t>
        </is>
      </c>
      <c r="H23" s="16" t="n"/>
      <c r="I23" s="16" t="inlineStr">
        <is>
          <t>شيت المبيعات (عقود الجملة)</t>
        </is>
      </c>
    </row>
    <row r="24">
      <c r="A24" s="16" t="n">
        <v>23</v>
      </c>
      <c r="B24" s="95" t="n">
        <v>45920</v>
      </c>
      <c r="C24" s="16" t="inlineStr">
        <is>
          <t>WHT-2259</t>
        </is>
      </c>
      <c r="D24" s="17" t="n">
        <v>1305</v>
      </c>
      <c r="E24" s="17" t="n">
        <v>1305</v>
      </c>
      <c r="F24" s="16" t="inlineStr">
        <is>
          <t>صحيح</t>
        </is>
      </c>
      <c r="G24" s="16" t="inlineStr">
        <is>
          <t>سجل العقود</t>
        </is>
      </c>
      <c r="H24" s="16" t="n"/>
      <c r="I24" s="16" t="inlineStr">
        <is>
          <t>شيت المبيعات (عقود الجملة)</t>
        </is>
      </c>
    </row>
    <row r="25">
      <c r="A25" s="16" t="n">
        <v>24</v>
      </c>
      <c r="B25" s="95" t="n">
        <v>45921</v>
      </c>
      <c r="C25" s="16" t="inlineStr">
        <is>
          <t>WHT-2261</t>
        </is>
      </c>
      <c r="D25" s="17" t="n">
        <v>1690</v>
      </c>
      <c r="E25" s="17" t="n">
        <v>1690</v>
      </c>
      <c r="F25" s="16" t="inlineStr">
        <is>
          <t>صحيح</t>
        </is>
      </c>
      <c r="G25" s="16" t="inlineStr">
        <is>
          <t>سجل العقود</t>
        </is>
      </c>
      <c r="H25" s="16" t="n"/>
      <c r="I25" s="16" t="inlineStr">
        <is>
          <t>شيت المبيعات (عقود الجملة)</t>
        </is>
      </c>
    </row>
    <row r="26">
      <c r="A26" s="16" t="n">
        <v>25</v>
      </c>
      <c r="B26" s="95" t="n">
        <v>45922</v>
      </c>
      <c r="C26" s="16" t="inlineStr">
        <is>
          <t>WHT-2268</t>
        </is>
      </c>
      <c r="D26" s="17" t="n">
        <v>8812.5</v>
      </c>
      <c r="E26" s="17" t="n">
        <v>8812.5</v>
      </c>
      <c r="F26" s="16" t="inlineStr">
        <is>
          <t>صحيح</t>
        </is>
      </c>
      <c r="G26" s="16" t="inlineStr">
        <is>
          <t>سجل العقود</t>
        </is>
      </c>
      <c r="H26" s="16" t="n"/>
      <c r="I26" s="16" t="inlineStr">
        <is>
          <t>شيت المبيعات (عقود الجملة)</t>
        </is>
      </c>
    </row>
    <row r="27">
      <c r="A27" s="16" t="n">
        <v>26</v>
      </c>
      <c r="B27" s="95" t="n">
        <v>45924</v>
      </c>
      <c r="C27" s="16" t="inlineStr">
        <is>
          <t>WHT-2290</t>
        </is>
      </c>
      <c r="D27" s="17" t="n">
        <v>4160</v>
      </c>
      <c r="E27" s="17" t="n">
        <v>4160</v>
      </c>
      <c r="F27" s="16" t="inlineStr">
        <is>
          <t>صحيح</t>
        </is>
      </c>
      <c r="G27" s="16" t="inlineStr">
        <is>
          <t>سجل العقود</t>
        </is>
      </c>
      <c r="H27" s="16" t="n"/>
      <c r="I27" s="16" t="inlineStr">
        <is>
          <t>شيت المبيعات (عقود الجملة)</t>
        </is>
      </c>
    </row>
    <row r="28">
      <c r="A28" s="16" t="n">
        <v>27</v>
      </c>
      <c r="B28" s="95" t="n">
        <v>45925</v>
      </c>
      <c r="C28" s="16" t="inlineStr">
        <is>
          <t>WHT-2292</t>
        </is>
      </c>
      <c r="D28" s="17" t="n">
        <v>8860</v>
      </c>
      <c r="E28" s="17" t="n">
        <v>8860</v>
      </c>
      <c r="F28" s="16" t="inlineStr">
        <is>
          <t>صحيح</t>
        </is>
      </c>
      <c r="G28" s="16" t="inlineStr">
        <is>
          <t>سجل العقود</t>
        </is>
      </c>
      <c r="H28" s="16" t="n"/>
      <c r="I28" s="16" t="inlineStr">
        <is>
          <t>شيت المبيعات (عقود الجملة)</t>
        </is>
      </c>
    </row>
    <row r="29">
      <c r="A29" s="16" t="n">
        <v>28</v>
      </c>
      <c r="B29" s="95" t="n">
        <v>45926</v>
      </c>
      <c r="C29" s="16" t="inlineStr">
        <is>
          <t>WHT-2296</t>
        </is>
      </c>
      <c r="D29" s="17" t="n">
        <v>14816</v>
      </c>
      <c r="E29" s="17" t="n">
        <v>14816</v>
      </c>
      <c r="F29" s="16" t="inlineStr">
        <is>
          <t>صحيح</t>
        </is>
      </c>
      <c r="G29" s="16" t="inlineStr">
        <is>
          <t>سجل العقود</t>
        </is>
      </c>
      <c r="H29" s="16" t="n"/>
      <c r="I29" s="16" t="inlineStr">
        <is>
          <t>شيت المبيعات (عقود الجملة)</t>
        </is>
      </c>
    </row>
    <row r="30">
      <c r="A30" s="16" t="n">
        <v>29</v>
      </c>
      <c r="B30" s="95" t="n">
        <v>45930</v>
      </c>
      <c r="C30" s="16" t="inlineStr">
        <is>
          <t>WHT-2331</t>
        </is>
      </c>
      <c r="D30" s="17" t="n">
        <v>2820</v>
      </c>
      <c r="E30" s="17" t="n">
        <v>2820</v>
      </c>
      <c r="F30" s="16" t="inlineStr">
        <is>
          <t>صحيح</t>
        </is>
      </c>
      <c r="G30" s="16" t="inlineStr">
        <is>
          <t>سجل العقود</t>
        </is>
      </c>
      <c r="H30" s="16" t="n"/>
      <c r="I30" s="16" t="inlineStr">
        <is>
          <t>شيت المبيعات (عقود الجملة)</t>
        </is>
      </c>
    </row>
    <row r="31">
      <c r="A31" s="16" t="n">
        <v>30</v>
      </c>
      <c r="B31" s="95" t="n">
        <v>45930</v>
      </c>
      <c r="C31" s="16" t="inlineStr">
        <is>
          <t>WHT-2344</t>
        </is>
      </c>
      <c r="D31" s="17" t="n">
        <v>2485</v>
      </c>
      <c r="E31" s="17" t="n">
        <v>2485</v>
      </c>
      <c r="F31" s="16" t="inlineStr">
        <is>
          <t>صحيح</t>
        </is>
      </c>
      <c r="G31" s="16" t="inlineStr">
        <is>
          <t>سجل العقود</t>
        </is>
      </c>
      <c r="H31" s="16" t="n"/>
      <c r="I31" s="16" t="inlineStr">
        <is>
          <t>شيت المبيعات (عقود الجملة)</t>
        </is>
      </c>
    </row>
    <row r="32">
      <c r="A32" s="30" t="n">
        <v>31</v>
      </c>
      <c r="B32" s="97" t="n">
        <v>45931</v>
      </c>
      <c r="C32" s="30" t="inlineStr">
        <is>
          <t>WHT-2348</t>
        </is>
      </c>
      <c r="D32" s="32" t="n">
        <v>0</v>
      </c>
      <c r="E32" s="32" t="n">
        <v>3920</v>
      </c>
      <c r="F32" s="30" t="inlineStr">
        <is>
          <t>مضاف</t>
        </is>
      </c>
      <c r="G32" s="30" t="inlineStr">
        <is>
          <t>سجل العقود</t>
        </is>
      </c>
      <c r="H32" s="30" t="inlineStr">
        <is>
          <t>موجود في سجل العقود وسقط من شيت المحاسب (المحاسب بدأ من 9-10 رغم إدراجه عقود أقدم)</t>
        </is>
      </c>
      <c r="I32" s="16" t="inlineStr">
        <is>
          <t>شيت المبيعات (عقود الجملة)</t>
        </is>
      </c>
    </row>
    <row r="33">
      <c r="A33" s="30" t="n">
        <v>32</v>
      </c>
      <c r="B33" s="97" t="n">
        <v>45932</v>
      </c>
      <c r="C33" s="30" t="inlineStr">
        <is>
          <t>WHT-2358</t>
        </is>
      </c>
      <c r="D33" s="32" t="n">
        <v>0</v>
      </c>
      <c r="E33" s="32" t="n">
        <v>4910</v>
      </c>
      <c r="F33" s="30" t="inlineStr">
        <is>
          <t>مضاف</t>
        </is>
      </c>
      <c r="G33" s="30" t="inlineStr">
        <is>
          <t>سجل العقود</t>
        </is>
      </c>
      <c r="H33" s="30" t="inlineStr">
        <is>
          <t>موجود في سجل العقود وسقط من شيت المحاسب (المحاسب بدأ من 9-10 رغم إدراجه عقود أقدم)</t>
        </is>
      </c>
      <c r="I33" s="16" t="inlineStr">
        <is>
          <t>شيت المبيعات (عقود الجملة)</t>
        </is>
      </c>
    </row>
    <row r="34">
      <c r="A34" s="30" t="n">
        <v>33</v>
      </c>
      <c r="B34" s="97" t="n">
        <v>45934</v>
      </c>
      <c r="C34" s="30" t="inlineStr">
        <is>
          <t>WHT-2378</t>
        </is>
      </c>
      <c r="D34" s="32" t="n">
        <v>0</v>
      </c>
      <c r="E34" s="32" t="n">
        <v>4760</v>
      </c>
      <c r="F34" s="30" t="inlineStr">
        <is>
          <t>مضاف</t>
        </is>
      </c>
      <c r="G34" s="30" t="inlineStr">
        <is>
          <t>سجل العقود</t>
        </is>
      </c>
      <c r="H34" s="30" t="inlineStr">
        <is>
          <t>موجود في سجل العقود وسقط من شيت المحاسب (المحاسب بدأ من 9-10 رغم إدراجه عقود أقدم)</t>
        </is>
      </c>
      <c r="I34" s="16" t="inlineStr">
        <is>
          <t>شيت المبيعات (عقود الجملة)</t>
        </is>
      </c>
    </row>
    <row r="35">
      <c r="A35" s="30" t="n">
        <v>34</v>
      </c>
      <c r="B35" s="97" t="n">
        <v>45935</v>
      </c>
      <c r="C35" s="30" t="inlineStr">
        <is>
          <t>WHT-2756</t>
        </is>
      </c>
      <c r="D35" s="32" t="n">
        <v>0</v>
      </c>
      <c r="E35" s="32" t="n">
        <v>3520</v>
      </c>
      <c r="F35" s="30" t="inlineStr">
        <is>
          <t>مضاف</t>
        </is>
      </c>
      <c r="G35" s="30" t="inlineStr">
        <is>
          <t>سجل العقود</t>
        </is>
      </c>
      <c r="H35" s="30" t="inlineStr">
        <is>
          <t>موجود في سجل العقود فقط (بدون فاتورة مبدئية وغير مسجل بالكشف) – يحتاج تأكيد</t>
        </is>
      </c>
      <c r="I35" s="16" t="inlineStr">
        <is>
          <t>شيت المبيعات (عقود الجملة)</t>
        </is>
      </c>
    </row>
    <row r="36">
      <c r="A36" s="30" t="n">
        <v>35</v>
      </c>
      <c r="B36" s="97" t="n">
        <v>45936</v>
      </c>
      <c r="C36" s="30" t="inlineStr">
        <is>
          <t>WHT-2758</t>
        </is>
      </c>
      <c r="D36" s="32" t="n">
        <v>0</v>
      </c>
      <c r="E36" s="32" t="n">
        <v>13290</v>
      </c>
      <c r="F36" s="30" t="inlineStr">
        <is>
          <t>مضاف</t>
        </is>
      </c>
      <c r="G36" s="30" t="inlineStr">
        <is>
          <t>سجل العقود</t>
        </is>
      </c>
      <c r="H36" s="30" t="inlineStr">
        <is>
          <t>موجود في سجل العقود فقط (بدون فاتورة مبدئية وغير مسجل بالكشف) – يحتاج تأكيد</t>
        </is>
      </c>
      <c r="I36" s="16" t="inlineStr">
        <is>
          <t>شيت المبيعات (عقود الجملة)</t>
        </is>
      </c>
    </row>
    <row r="37">
      <c r="A37" s="30" t="n">
        <v>36</v>
      </c>
      <c r="B37" s="97" t="n">
        <v>45938</v>
      </c>
      <c r="C37" s="30" t="inlineStr">
        <is>
          <t>WHT-2408</t>
        </is>
      </c>
      <c r="D37" s="32" t="n">
        <v>0</v>
      </c>
      <c r="E37" s="32" t="n">
        <v>7497.5</v>
      </c>
      <c r="F37" s="30" t="inlineStr">
        <is>
          <t>مضاف</t>
        </is>
      </c>
      <c r="G37" s="30" t="inlineStr">
        <is>
          <t>سجل العقود</t>
        </is>
      </c>
      <c r="H37" s="30" t="inlineStr">
        <is>
          <t>موجود في سجل العقود وسقط من شيت المحاسب (المحاسب بدأ من 9-10 رغم إدراجه عقود أقدم)</t>
        </is>
      </c>
      <c r="I37" s="16" t="inlineStr">
        <is>
          <t>شيت المبيعات (عقود الجملة)</t>
        </is>
      </c>
    </row>
    <row r="38">
      <c r="A38" s="16" t="n">
        <v>37</v>
      </c>
      <c r="B38" s="95" t="n">
        <v>45939</v>
      </c>
      <c r="C38" s="16" t="inlineStr">
        <is>
          <t>WHT-2423</t>
        </is>
      </c>
      <c r="D38" s="17" t="n">
        <v>5790</v>
      </c>
      <c r="E38" s="17" t="n">
        <v>5790</v>
      </c>
      <c r="F38" s="16" t="inlineStr">
        <is>
          <t>صحيح</t>
        </is>
      </c>
      <c r="G38" s="16" t="inlineStr">
        <is>
          <t>سجل العقود</t>
        </is>
      </c>
      <c r="H38" s="16" t="n"/>
      <c r="I38" s="16" t="inlineStr">
        <is>
          <t>شيت المبيعات (عقود الجملة)</t>
        </is>
      </c>
    </row>
    <row r="39">
      <c r="A39" s="16" t="n">
        <v>38</v>
      </c>
      <c r="B39" s="95" t="n">
        <v>45941</v>
      </c>
      <c r="C39" s="16" t="inlineStr">
        <is>
          <t>WHT-2437</t>
        </is>
      </c>
      <c r="D39" s="17" t="n">
        <v>10270</v>
      </c>
      <c r="E39" s="17" t="n">
        <v>10270</v>
      </c>
      <c r="F39" s="16" t="inlineStr">
        <is>
          <t>صحيح</t>
        </is>
      </c>
      <c r="G39" s="16" t="inlineStr">
        <is>
          <t>سجل العقود</t>
        </is>
      </c>
      <c r="H39" s="16" t="n"/>
      <c r="I39" s="16" t="inlineStr">
        <is>
          <t>شيت المبيعات (عقود الجملة)</t>
        </is>
      </c>
    </row>
    <row r="40">
      <c r="A40" s="16" t="n">
        <v>39</v>
      </c>
      <c r="B40" s="95" t="n">
        <v>45942</v>
      </c>
      <c r="C40" s="16" t="inlineStr">
        <is>
          <t>WHT-2454</t>
        </is>
      </c>
      <c r="D40" s="17" t="n">
        <v>6282.5</v>
      </c>
      <c r="E40" s="17" t="n">
        <v>6282.5</v>
      </c>
      <c r="F40" s="16" t="inlineStr">
        <is>
          <t>صحيح</t>
        </is>
      </c>
      <c r="G40" s="16" t="inlineStr">
        <is>
          <t>سجل العقود</t>
        </is>
      </c>
      <c r="H40" s="16" t="n"/>
      <c r="I40" s="16" t="inlineStr">
        <is>
          <t>شيت المبيعات (عقود الجملة)</t>
        </is>
      </c>
    </row>
    <row r="41">
      <c r="A41" s="16" t="n">
        <v>40</v>
      </c>
      <c r="B41" s="95" t="n">
        <v>45943</v>
      </c>
      <c r="C41" s="16" t="inlineStr">
        <is>
          <t>WHT-2471</t>
        </is>
      </c>
      <c r="D41" s="17" t="n">
        <v>3275</v>
      </c>
      <c r="E41" s="17" t="n">
        <v>3275</v>
      </c>
      <c r="F41" s="16" t="inlineStr">
        <is>
          <t>صحيح</t>
        </is>
      </c>
      <c r="G41" s="16" t="inlineStr">
        <is>
          <t>سجل العقود</t>
        </is>
      </c>
      <c r="H41" s="16" t="n"/>
      <c r="I41" s="16" t="inlineStr">
        <is>
          <t>شيت المبيعات (عقود الجملة)</t>
        </is>
      </c>
    </row>
    <row r="42">
      <c r="A42" s="16" t="n">
        <v>41</v>
      </c>
      <c r="B42" s="95" t="n">
        <v>45944</v>
      </c>
      <c r="C42" s="16" t="inlineStr">
        <is>
          <t>WHT-2483</t>
        </is>
      </c>
      <c r="D42" s="17" t="n">
        <v>6077.5</v>
      </c>
      <c r="E42" s="17" t="n">
        <v>6077.5</v>
      </c>
      <c r="F42" s="16" t="inlineStr">
        <is>
          <t>صحيح</t>
        </is>
      </c>
      <c r="G42" s="16" t="inlineStr">
        <is>
          <t>سجل العقود</t>
        </is>
      </c>
      <c r="H42" s="16" t="n"/>
      <c r="I42" s="16" t="inlineStr">
        <is>
          <t>شيت المبيعات (عقود الجملة)</t>
        </is>
      </c>
    </row>
    <row r="43">
      <c r="A43" s="16" t="n">
        <v>42</v>
      </c>
      <c r="B43" s="95" t="n">
        <v>45945</v>
      </c>
      <c r="C43" s="16" t="inlineStr">
        <is>
          <t>WHT-2501</t>
        </is>
      </c>
      <c r="D43" s="17" t="n">
        <v>6087.5</v>
      </c>
      <c r="E43" s="17" t="n">
        <v>6087.5</v>
      </c>
      <c r="F43" s="16" t="inlineStr">
        <is>
          <t>صحيح</t>
        </is>
      </c>
      <c r="G43" s="16" t="inlineStr">
        <is>
          <t>سجل العقود</t>
        </is>
      </c>
      <c r="H43" s="16" t="n"/>
      <c r="I43" s="16" t="inlineStr">
        <is>
          <t>شيت المبيعات (عقود الجملة)</t>
        </is>
      </c>
    </row>
    <row r="44">
      <c r="A44" s="16" t="n">
        <v>43</v>
      </c>
      <c r="B44" s="95" t="n">
        <v>45946</v>
      </c>
      <c r="C44" s="16" t="inlineStr">
        <is>
          <t>WHT-2511</t>
        </is>
      </c>
      <c r="D44" s="17" t="n">
        <v>3365</v>
      </c>
      <c r="E44" s="17" t="n">
        <v>3365</v>
      </c>
      <c r="F44" s="16" t="inlineStr">
        <is>
          <t>صحيح</t>
        </is>
      </c>
      <c r="G44" s="16" t="inlineStr">
        <is>
          <t>سجل العقود</t>
        </is>
      </c>
      <c r="H44" s="16" t="n"/>
      <c r="I44" s="16" t="inlineStr">
        <is>
          <t>شيت المبيعات (عقود الجملة)</t>
        </is>
      </c>
    </row>
    <row r="45">
      <c r="A45" s="16" t="n">
        <v>44</v>
      </c>
      <c r="B45" s="95" t="n">
        <v>45949</v>
      </c>
      <c r="C45" s="16" t="inlineStr">
        <is>
          <t>WHT-2541</t>
        </is>
      </c>
      <c r="D45" s="17" t="n">
        <v>8378.75</v>
      </c>
      <c r="E45" s="17" t="n">
        <v>8378.75</v>
      </c>
      <c r="F45" s="16" t="inlineStr">
        <is>
          <t>صحيح</t>
        </is>
      </c>
      <c r="G45" s="16" t="inlineStr">
        <is>
          <t>سجل العقود</t>
        </is>
      </c>
      <c r="H45" s="16" t="n"/>
      <c r="I45" s="16" t="inlineStr">
        <is>
          <t>شيت المبيعات (عقود الجملة)</t>
        </is>
      </c>
    </row>
    <row r="46">
      <c r="A46" s="16" t="n">
        <v>45</v>
      </c>
      <c r="B46" s="95" t="n">
        <v>45950</v>
      </c>
      <c r="C46" s="16" t="inlineStr">
        <is>
          <t>WHT-2549</t>
        </is>
      </c>
      <c r="D46" s="17" t="n">
        <v>6680</v>
      </c>
      <c r="E46" s="17" t="n">
        <v>6680</v>
      </c>
      <c r="F46" s="16" t="inlineStr">
        <is>
          <t>صحيح</t>
        </is>
      </c>
      <c r="G46" s="16" t="inlineStr">
        <is>
          <t>سجل العقود</t>
        </is>
      </c>
      <c r="H46" s="16" t="n"/>
      <c r="I46" s="16" t="inlineStr">
        <is>
          <t>شيت المبيعات (عقود الجملة)</t>
        </is>
      </c>
    </row>
    <row r="47">
      <c r="A47" s="16" t="n">
        <v>46</v>
      </c>
      <c r="B47" s="95" t="n">
        <v>45951</v>
      </c>
      <c r="C47" s="16" t="inlineStr">
        <is>
          <t>WHT-2585</t>
        </is>
      </c>
      <c r="D47" s="17" t="n">
        <v>2355</v>
      </c>
      <c r="E47" s="17" t="n">
        <v>2355</v>
      </c>
      <c r="F47" s="16" t="inlineStr">
        <is>
          <t>صحيح</t>
        </is>
      </c>
      <c r="G47" s="16" t="inlineStr">
        <is>
          <t>سجل العقود</t>
        </is>
      </c>
      <c r="H47" s="16" t="n"/>
      <c r="I47" s="16" t="inlineStr">
        <is>
          <t>شيت المبيعات (عقود الجملة)</t>
        </is>
      </c>
    </row>
    <row r="48">
      <c r="A48" s="16" t="n">
        <v>47</v>
      </c>
      <c r="B48" s="95" t="n">
        <v>45952</v>
      </c>
      <c r="C48" s="16" t="inlineStr">
        <is>
          <t>WHT-2596</t>
        </is>
      </c>
      <c r="D48" s="17" t="n">
        <v>4715</v>
      </c>
      <c r="E48" s="17" t="n">
        <v>4715</v>
      </c>
      <c r="F48" s="16" t="inlineStr">
        <is>
          <t>صحيح</t>
        </is>
      </c>
      <c r="G48" s="16" t="inlineStr">
        <is>
          <t>سجل العقود</t>
        </is>
      </c>
      <c r="H48" s="16" t="n"/>
      <c r="I48" s="16" t="inlineStr">
        <is>
          <t>شيت المبيعات (عقود الجملة)</t>
        </is>
      </c>
    </row>
    <row r="49">
      <c r="A49" s="16" t="n">
        <v>48</v>
      </c>
      <c r="B49" s="95" t="n">
        <v>45953</v>
      </c>
      <c r="C49" s="16" t="inlineStr">
        <is>
          <t>WHT-2607</t>
        </is>
      </c>
      <c r="D49" s="17" t="n">
        <v>5998.75</v>
      </c>
      <c r="E49" s="17" t="n">
        <v>5998.75</v>
      </c>
      <c r="F49" s="16" t="inlineStr">
        <is>
          <t>صحيح</t>
        </is>
      </c>
      <c r="G49" s="16" t="inlineStr">
        <is>
          <t>سجل العقود</t>
        </is>
      </c>
      <c r="H49" s="16" t="n"/>
      <c r="I49" s="16" t="inlineStr">
        <is>
          <t>شيت المبيعات (عقود الجملة)</t>
        </is>
      </c>
    </row>
    <row r="50">
      <c r="A50" s="16" t="n">
        <v>49</v>
      </c>
      <c r="B50" s="95" t="n">
        <v>45955</v>
      </c>
      <c r="C50" s="16" t="inlineStr">
        <is>
          <t>WHT-2628</t>
        </is>
      </c>
      <c r="D50" s="17" t="n">
        <v>4885</v>
      </c>
      <c r="E50" s="17" t="n">
        <v>4885</v>
      </c>
      <c r="F50" s="16" t="inlineStr">
        <is>
          <t>صحيح</t>
        </is>
      </c>
      <c r="G50" s="16" t="inlineStr">
        <is>
          <t>سجل العقود</t>
        </is>
      </c>
      <c r="H50" s="16" t="n"/>
      <c r="I50" s="16" t="inlineStr">
        <is>
          <t>شيت المبيعات (عقود الجملة)</t>
        </is>
      </c>
    </row>
    <row r="51">
      <c r="A51" s="16" t="n">
        <v>50</v>
      </c>
      <c r="B51" s="95" t="n">
        <v>45956</v>
      </c>
      <c r="C51" s="16" t="inlineStr">
        <is>
          <t>WHT-2645</t>
        </is>
      </c>
      <c r="D51" s="17" t="n">
        <v>3245</v>
      </c>
      <c r="E51" s="17" t="n">
        <v>3245</v>
      </c>
      <c r="F51" s="16" t="inlineStr">
        <is>
          <t>صحيح</t>
        </is>
      </c>
      <c r="G51" s="16" t="inlineStr">
        <is>
          <t>فاتورة مبدئية 25، سجل العقود</t>
        </is>
      </c>
      <c r="H51" s="16" t="n"/>
      <c r="I51" s="16" t="inlineStr">
        <is>
          <t>شيت المبيعات (عقود الجملة)</t>
        </is>
      </c>
    </row>
    <row r="52">
      <c r="A52" s="16" t="n">
        <v>51</v>
      </c>
      <c r="B52" s="95" t="n">
        <v>45957</v>
      </c>
      <c r="C52" s="16" t="inlineStr">
        <is>
          <t>WHT-2660</t>
        </is>
      </c>
      <c r="D52" s="17" t="n">
        <v>4420</v>
      </c>
      <c r="E52" s="17" t="n">
        <v>4420</v>
      </c>
      <c r="F52" s="16" t="inlineStr">
        <is>
          <t>صحيح</t>
        </is>
      </c>
      <c r="G52" s="16" t="inlineStr">
        <is>
          <t>فاتورة مبدئية 27، سجل العقود</t>
        </is>
      </c>
      <c r="H52" s="16" t="n"/>
      <c r="I52" s="16" t="inlineStr">
        <is>
          <t>شيت المبيعات (عقود الجملة)</t>
        </is>
      </c>
    </row>
    <row r="53">
      <c r="A53" s="16" t="n">
        <v>52</v>
      </c>
      <c r="B53" s="95" t="n">
        <v>45958</v>
      </c>
      <c r="C53" s="16" t="inlineStr">
        <is>
          <t>WHT-2672</t>
        </is>
      </c>
      <c r="D53" s="17" t="n">
        <v>4645</v>
      </c>
      <c r="E53" s="17" t="n">
        <v>4645</v>
      </c>
      <c r="F53" s="16" t="inlineStr">
        <is>
          <t>صحيح</t>
        </is>
      </c>
      <c r="G53" s="16" t="inlineStr">
        <is>
          <t>فاتورة مبدئية 28، سجل العقود</t>
        </is>
      </c>
      <c r="H53" s="16" t="n"/>
      <c r="I53" s="16" t="inlineStr">
        <is>
          <t>شيت المبيعات (عقود الجملة)</t>
        </is>
      </c>
    </row>
    <row r="54">
      <c r="A54" s="16" t="n">
        <v>53</v>
      </c>
      <c r="B54" s="95" t="n">
        <v>45959</v>
      </c>
      <c r="C54" s="16" t="inlineStr">
        <is>
          <t>WHT-2682</t>
        </is>
      </c>
      <c r="D54" s="17" t="n">
        <v>2990</v>
      </c>
      <c r="E54" s="17" t="n">
        <v>2990</v>
      </c>
      <c r="F54" s="16" t="inlineStr">
        <is>
          <t>صحيح</t>
        </is>
      </c>
      <c r="G54" s="16" t="inlineStr">
        <is>
          <t>فاتورة مبدئية 29، سجل العقود</t>
        </is>
      </c>
      <c r="H54" s="16" t="n"/>
      <c r="I54" s="16" t="inlineStr">
        <is>
          <t>شيت المبيعات (عقود الجملة)</t>
        </is>
      </c>
    </row>
    <row r="55">
      <c r="A55" s="16" t="n">
        <v>54</v>
      </c>
      <c r="B55" s="95" t="n">
        <v>45960</v>
      </c>
      <c r="C55" s="16" t="inlineStr">
        <is>
          <t>WHT-2701</t>
        </is>
      </c>
      <c r="D55" s="17" t="n">
        <v>6225</v>
      </c>
      <c r="E55" s="17" t="n">
        <v>6225</v>
      </c>
      <c r="F55" s="16" t="inlineStr">
        <is>
          <t>صحيح</t>
        </is>
      </c>
      <c r="G55" s="16" t="inlineStr">
        <is>
          <t>فاتورة مبدئية 30، سجل العقود</t>
        </is>
      </c>
      <c r="H55" s="16" t="n"/>
      <c r="I55" s="16" t="inlineStr">
        <is>
          <t>شيت المبيعات (عقود الجملة)</t>
        </is>
      </c>
    </row>
    <row r="56">
      <c r="A56" s="16" t="n">
        <v>55</v>
      </c>
      <c r="B56" s="95" t="n">
        <v>45962</v>
      </c>
      <c r="C56" s="16" t="inlineStr">
        <is>
          <t>WHT-2714</t>
        </is>
      </c>
      <c r="D56" s="17" t="n">
        <v>8192.5</v>
      </c>
      <c r="E56" s="17" t="n">
        <v>8192.5</v>
      </c>
      <c r="F56" s="16" t="inlineStr">
        <is>
          <t>صحيح</t>
        </is>
      </c>
      <c r="G56" s="16" t="inlineStr">
        <is>
          <t>فاتورة مبدئية 32، سجل العقود، كشف الحساب</t>
        </is>
      </c>
      <c r="H56" s="16" t="n"/>
      <c r="I56" s="16" t="inlineStr">
        <is>
          <t>شيت المبيعات (عقود الجملة)</t>
        </is>
      </c>
    </row>
    <row r="57">
      <c r="A57" s="16" t="n">
        <v>56</v>
      </c>
      <c r="B57" s="95" t="n">
        <v>45963</v>
      </c>
      <c r="C57" s="16" t="inlineStr">
        <is>
          <t>WHT-2743</t>
        </is>
      </c>
      <c r="D57" s="17" t="n">
        <v>5930</v>
      </c>
      <c r="E57" s="17" t="n">
        <v>5930</v>
      </c>
      <c r="F57" s="16" t="inlineStr">
        <is>
          <t>صحيح</t>
        </is>
      </c>
      <c r="G57" s="16" t="inlineStr">
        <is>
          <t>فاتورة مبدئية 33، سجل العقود، كشف الحساب</t>
        </is>
      </c>
      <c r="H57" s="16" t="n"/>
      <c r="I57" s="16" t="inlineStr">
        <is>
          <t>شيت المبيعات (عقود الجملة)</t>
        </is>
      </c>
    </row>
    <row r="58">
      <c r="A58" s="16" t="n">
        <v>57</v>
      </c>
      <c r="B58" s="95" t="n">
        <v>45964</v>
      </c>
      <c r="C58" s="16" t="inlineStr">
        <is>
          <t>WHT-2752</t>
        </is>
      </c>
      <c r="D58" s="17" t="n">
        <v>5327.5</v>
      </c>
      <c r="E58" s="17" t="n">
        <v>5327.5</v>
      </c>
      <c r="F58" s="16" t="inlineStr">
        <is>
          <t>صحيح</t>
        </is>
      </c>
      <c r="G58" s="16" t="inlineStr">
        <is>
          <t>فاتورة مبدئية 34، سجل العقود، كشف الحساب</t>
        </is>
      </c>
      <c r="H58" s="16" t="n"/>
      <c r="I58" s="16" t="inlineStr">
        <is>
          <t>شيت المبيعات (عقود الجملة)</t>
        </is>
      </c>
    </row>
    <row r="59">
      <c r="A59" s="16" t="n">
        <v>58</v>
      </c>
      <c r="B59" s="95" t="n">
        <v>45966</v>
      </c>
      <c r="C59" s="16" t="inlineStr">
        <is>
          <t>WHT-2779</t>
        </is>
      </c>
      <c r="D59" s="17" t="n">
        <v>7530</v>
      </c>
      <c r="E59" s="17" t="n">
        <v>7530</v>
      </c>
      <c r="F59" s="16" t="inlineStr">
        <is>
          <t>صحيح</t>
        </is>
      </c>
      <c r="G59" s="16" t="inlineStr">
        <is>
          <t>فاتورة مبدئية 36، سجل العقود، كشف الحساب</t>
        </is>
      </c>
      <c r="H59" s="16" t="n"/>
      <c r="I59" s="16" t="inlineStr">
        <is>
          <t>شيت المبيعات (عقود الجملة)</t>
        </is>
      </c>
    </row>
    <row r="60">
      <c r="A60" s="16" t="n">
        <v>59</v>
      </c>
      <c r="B60" s="95" t="n">
        <v>45967</v>
      </c>
      <c r="C60" s="16" t="inlineStr">
        <is>
          <t>WHT-2790</t>
        </is>
      </c>
      <c r="D60" s="17" t="n">
        <v>7570</v>
      </c>
      <c r="E60" s="17" t="n">
        <v>7570</v>
      </c>
      <c r="F60" s="16" t="inlineStr">
        <is>
          <t>صحيح</t>
        </is>
      </c>
      <c r="G60" s="16" t="inlineStr">
        <is>
          <t>فاتورة مبدئية 38، سجل العقود، كشف الحساب</t>
        </is>
      </c>
      <c r="H60" s="16" t="n"/>
      <c r="I60" s="16" t="inlineStr">
        <is>
          <t>شيت المبيعات (عقود الجملة)</t>
        </is>
      </c>
    </row>
    <row r="61">
      <c r="A61" s="16" t="n">
        <v>60</v>
      </c>
      <c r="B61" s="95" t="n">
        <v>45969</v>
      </c>
      <c r="C61" s="16" t="inlineStr">
        <is>
          <t>WHT-2809</t>
        </is>
      </c>
      <c r="D61" s="17" t="n">
        <v>4826</v>
      </c>
      <c r="E61" s="17" t="n">
        <v>4826</v>
      </c>
      <c r="F61" s="16" t="inlineStr">
        <is>
          <t>صحيح</t>
        </is>
      </c>
      <c r="G61" s="16" t="inlineStr">
        <is>
          <t>فاتورة مبدئية 41، سجل العقود، كشف الحساب</t>
        </is>
      </c>
      <c r="H61" s="16" t="n"/>
      <c r="I61" s="16" t="inlineStr">
        <is>
          <t>شيت المبيعات (عقود الجملة)</t>
        </is>
      </c>
    </row>
    <row r="62">
      <c r="A62" s="16" t="n">
        <v>61</v>
      </c>
      <c r="B62" s="95" t="n">
        <v>45970</v>
      </c>
      <c r="C62" s="16" t="inlineStr">
        <is>
          <t>WHT-2819</t>
        </is>
      </c>
      <c r="D62" s="17" t="n">
        <v>5310</v>
      </c>
      <c r="E62" s="17" t="n">
        <v>5310</v>
      </c>
      <c r="F62" s="16" t="inlineStr">
        <is>
          <t>صحيح</t>
        </is>
      </c>
      <c r="G62" s="16" t="inlineStr">
        <is>
          <t>فاتورة مبدئية 42، سجل العقود، كشف الحساب</t>
        </is>
      </c>
      <c r="H62" s="16" t="n"/>
      <c r="I62" s="16" t="inlineStr">
        <is>
          <t>شيت المبيعات (عقود الجملة)</t>
        </is>
      </c>
    </row>
    <row r="63">
      <c r="A63" s="16" t="n">
        <v>62</v>
      </c>
      <c r="B63" s="95" t="n">
        <v>45971</v>
      </c>
      <c r="C63" s="16" t="inlineStr">
        <is>
          <t>WHT-2840</t>
        </is>
      </c>
      <c r="D63" s="17" t="n">
        <v>5745</v>
      </c>
      <c r="E63" s="17" t="n">
        <v>5745</v>
      </c>
      <c r="F63" s="16" t="inlineStr">
        <is>
          <t>صحيح</t>
        </is>
      </c>
      <c r="G63" s="16" t="inlineStr">
        <is>
          <t>فاتورة مبدئية 44، سجل العقود، كشف الحساب</t>
        </is>
      </c>
      <c r="H63" s="16" t="n"/>
      <c r="I63" s="16" t="inlineStr">
        <is>
          <t>شيت المبيعات (عقود الجملة)</t>
        </is>
      </c>
    </row>
    <row r="64">
      <c r="A64" s="16" t="n">
        <v>63</v>
      </c>
      <c r="B64" s="95" t="n">
        <v>45973</v>
      </c>
      <c r="C64" s="16" t="inlineStr">
        <is>
          <t>WHT-2870</t>
        </is>
      </c>
      <c r="D64" s="17" t="n">
        <v>3112.5</v>
      </c>
      <c r="E64" s="17" t="n">
        <v>3112.5</v>
      </c>
      <c r="F64" s="16" t="inlineStr">
        <is>
          <t>صحيح</t>
        </is>
      </c>
      <c r="G64" s="16" t="inlineStr">
        <is>
          <t>فاتورة مبدئية 48، سجل العقود، كشف الحساب</t>
        </is>
      </c>
      <c r="H64" s="16" t="n"/>
      <c r="I64" s="16" t="inlineStr">
        <is>
          <t>شيت المبيعات (عقود الجملة)</t>
        </is>
      </c>
    </row>
    <row r="65">
      <c r="A65" s="16" t="n">
        <v>64</v>
      </c>
      <c r="B65" s="95" t="n">
        <v>45974</v>
      </c>
      <c r="C65" s="16" t="inlineStr">
        <is>
          <t>WHT-2883</t>
        </is>
      </c>
      <c r="D65" s="17" t="n">
        <v>4600</v>
      </c>
      <c r="E65" s="17" t="n">
        <v>4600</v>
      </c>
      <c r="F65" s="16" t="inlineStr">
        <is>
          <t>صحيح</t>
        </is>
      </c>
      <c r="G65" s="16" t="inlineStr">
        <is>
          <t>فاتورة مبدئية 50، سجل العقود، كشف الحساب</t>
        </is>
      </c>
      <c r="H65" s="16" t="n"/>
      <c r="I65" s="16" t="inlineStr">
        <is>
          <t>شيت المبيعات (عقود الجملة)</t>
        </is>
      </c>
    </row>
    <row r="66">
      <c r="A66" s="16" t="n">
        <v>65</v>
      </c>
      <c r="B66" s="95" t="n">
        <v>45977</v>
      </c>
      <c r="C66" s="16" t="inlineStr">
        <is>
          <t>WHT-2897</t>
        </is>
      </c>
      <c r="D66" s="17" t="n">
        <v>900</v>
      </c>
      <c r="E66" s="17" t="n">
        <v>900</v>
      </c>
      <c r="F66" s="16" t="inlineStr">
        <is>
          <t>صحيح</t>
        </is>
      </c>
      <c r="G66" s="16" t="inlineStr">
        <is>
          <t>فاتورة مبدئية 51، سجل العقود، كشف الحساب</t>
        </is>
      </c>
      <c r="H66" s="16" t="n"/>
      <c r="I66" s="16" t="inlineStr">
        <is>
          <t>شيت المبيعات (عقود الجملة)</t>
        </is>
      </c>
    </row>
    <row r="67">
      <c r="A67" s="16" t="n">
        <v>66</v>
      </c>
      <c r="B67" s="95" t="n">
        <v>45978</v>
      </c>
      <c r="C67" s="16" t="inlineStr">
        <is>
          <t>WHT-2914</t>
        </is>
      </c>
      <c r="D67" s="17" t="n">
        <v>5520</v>
      </c>
      <c r="E67" s="17" t="n">
        <v>5520</v>
      </c>
      <c r="F67" s="16" t="inlineStr">
        <is>
          <t>صحيح</t>
        </is>
      </c>
      <c r="G67" s="16" t="inlineStr">
        <is>
          <t>فاتورة مبدئية 53، سجل العقود، كشف الحساب</t>
        </is>
      </c>
      <c r="H67" s="16" t="n"/>
      <c r="I67" s="16" t="inlineStr">
        <is>
          <t>شيت المبيعات (عقود الجملة)</t>
        </is>
      </c>
    </row>
    <row r="68">
      <c r="A68" s="16" t="n">
        <v>67</v>
      </c>
      <c r="B68" s="95" t="n">
        <v>45979</v>
      </c>
      <c r="C68" s="16" t="inlineStr">
        <is>
          <t>WHT-2951</t>
        </is>
      </c>
      <c r="D68" s="17" t="n">
        <v>5955</v>
      </c>
      <c r="E68" s="17" t="n">
        <v>5955</v>
      </c>
      <c r="F68" s="16" t="inlineStr">
        <is>
          <t>صحيح</t>
        </is>
      </c>
      <c r="G68" s="16" t="inlineStr">
        <is>
          <t>فاتورة مبدئية 56، سجل العقود، كشف الحساب</t>
        </is>
      </c>
      <c r="H68" s="16" t="n"/>
      <c r="I68" s="16" t="inlineStr">
        <is>
          <t>شيت المبيعات (عقود الجملة)</t>
        </is>
      </c>
    </row>
    <row r="69">
      <c r="A69" s="16" t="n">
        <v>68</v>
      </c>
      <c r="B69" s="95" t="n">
        <v>45980</v>
      </c>
      <c r="C69" s="16" t="inlineStr">
        <is>
          <t>WHT-2953</t>
        </is>
      </c>
      <c r="D69" s="17" t="n">
        <v>12742.5</v>
      </c>
      <c r="E69" s="17" t="n">
        <v>12742.5</v>
      </c>
      <c r="F69" s="16" t="inlineStr">
        <is>
          <t>صحيح</t>
        </is>
      </c>
      <c r="G69" s="16" t="inlineStr">
        <is>
          <t>فاتورة مبدئية 57/58، سجل العقود، كشف الحساب</t>
        </is>
      </c>
      <c r="H69" s="16" t="n"/>
      <c r="I69" s="16" t="inlineStr">
        <is>
          <t>شيت المبيعات (عقود الجملة)</t>
        </is>
      </c>
    </row>
    <row r="70">
      <c r="A70" s="16" t="n">
        <v>69</v>
      </c>
      <c r="B70" s="95" t="n">
        <v>45981</v>
      </c>
      <c r="C70" s="16" t="inlineStr">
        <is>
          <t>WHT-2955</t>
        </is>
      </c>
      <c r="D70" s="17" t="n">
        <v>8847.5</v>
      </c>
      <c r="E70" s="17" t="n">
        <v>8847.5</v>
      </c>
      <c r="F70" s="16" t="inlineStr">
        <is>
          <t>صحيح</t>
        </is>
      </c>
      <c r="G70" s="16" t="inlineStr">
        <is>
          <t>فاتورة مبدئية 59، سجل العقود، كشف الحساب</t>
        </is>
      </c>
      <c r="H70" s="16" t="n"/>
      <c r="I70" s="16" t="inlineStr">
        <is>
          <t>شيت المبيعات (عقود الجملة)</t>
        </is>
      </c>
    </row>
    <row r="71">
      <c r="A71" s="16" t="n">
        <v>70</v>
      </c>
      <c r="B71" s="95" t="n">
        <v>45983</v>
      </c>
      <c r="C71" s="16" t="inlineStr">
        <is>
          <t>WHT-2968</t>
        </is>
      </c>
      <c r="D71" s="17" t="n">
        <v>10135</v>
      </c>
      <c r="E71" s="17" t="n">
        <v>10135</v>
      </c>
      <c r="F71" s="16" t="inlineStr">
        <is>
          <t>صحيح</t>
        </is>
      </c>
      <c r="G71" s="16" t="inlineStr">
        <is>
          <t>فاتورة مبدئية 60، سجل العقود، كشف الحساب</t>
        </is>
      </c>
      <c r="H71" s="16" t="n"/>
      <c r="I71" s="16" t="inlineStr">
        <is>
          <t>شيت المبيعات (عقود الجملة)</t>
        </is>
      </c>
    </row>
    <row r="72">
      <c r="A72" s="16" t="n">
        <v>71</v>
      </c>
      <c r="B72" s="95" t="n">
        <v>45984</v>
      </c>
      <c r="C72" s="16" t="inlineStr">
        <is>
          <t>WHT-2980</t>
        </is>
      </c>
      <c r="D72" s="17" t="n">
        <v>8455</v>
      </c>
      <c r="E72" s="17" t="n">
        <v>8455</v>
      </c>
      <c r="F72" s="16" t="inlineStr">
        <is>
          <t>صحيح</t>
        </is>
      </c>
      <c r="G72" s="16" t="inlineStr">
        <is>
          <t>فاتورة مبدئية 63، سجل العقود، كشف الحساب</t>
        </is>
      </c>
      <c r="H72" s="16" t="n"/>
      <c r="I72" s="16" t="inlineStr">
        <is>
          <t>شيت المبيعات (عقود الجملة)</t>
        </is>
      </c>
    </row>
    <row r="73">
      <c r="A73" s="16" t="n">
        <v>72</v>
      </c>
      <c r="B73" s="95" t="n">
        <v>45985</v>
      </c>
      <c r="C73" s="16" t="inlineStr">
        <is>
          <t>WHT-2997</t>
        </is>
      </c>
      <c r="D73" s="17" t="n">
        <v>6210</v>
      </c>
      <c r="E73" s="17" t="n">
        <v>6210</v>
      </c>
      <c r="F73" s="16" t="inlineStr">
        <is>
          <t>صحيح</t>
        </is>
      </c>
      <c r="G73" s="16" t="inlineStr">
        <is>
          <t>فاتورة مبدئية 65، سجل العقود، كشف الحساب</t>
        </is>
      </c>
      <c r="H73" s="16" t="n"/>
      <c r="I73" s="16" t="inlineStr">
        <is>
          <t>شيت المبيعات (عقود الجملة)</t>
        </is>
      </c>
    </row>
    <row r="74">
      <c r="A74" s="16" t="n">
        <v>73</v>
      </c>
      <c r="B74" s="95" t="n">
        <v>45986</v>
      </c>
      <c r="C74" s="16" t="inlineStr">
        <is>
          <t>WHT-3009</t>
        </is>
      </c>
      <c r="D74" s="17" t="n">
        <v>4080</v>
      </c>
      <c r="E74" s="17" t="n">
        <v>4080</v>
      </c>
      <c r="F74" s="16" t="inlineStr">
        <is>
          <t>صحيح</t>
        </is>
      </c>
      <c r="G74" s="16" t="inlineStr">
        <is>
          <t>فاتورة مبدئية 66، سجل العقود، كشف الحساب</t>
        </is>
      </c>
      <c r="H74" s="16" t="n"/>
      <c r="I74" s="16" t="inlineStr">
        <is>
          <t>شيت المبيعات (عقود الجملة)</t>
        </is>
      </c>
    </row>
    <row r="75">
      <c r="A75" s="16" t="n">
        <v>74</v>
      </c>
      <c r="B75" s="95" t="n">
        <v>45988</v>
      </c>
      <c r="C75" s="16" t="inlineStr">
        <is>
          <t>WHT-3039</t>
        </is>
      </c>
      <c r="D75" s="17" t="n">
        <v>5737.5</v>
      </c>
      <c r="E75" s="17" t="n">
        <v>5737.5</v>
      </c>
      <c r="F75" s="16" t="inlineStr">
        <is>
          <t>صحيح</t>
        </is>
      </c>
      <c r="G75" s="16" t="inlineStr">
        <is>
          <t>فاتورة مبدئية 69، سجل العقود، كشف الحساب</t>
        </is>
      </c>
      <c r="H75" s="16" t="n"/>
      <c r="I75" s="16" t="inlineStr">
        <is>
          <t>شيت المبيعات (عقود الجملة)</t>
        </is>
      </c>
    </row>
    <row r="76">
      <c r="A76" s="16" t="n">
        <v>75</v>
      </c>
      <c r="B76" s="95" t="n">
        <v>45990</v>
      </c>
      <c r="C76" s="16" t="inlineStr">
        <is>
          <t>WHT-3053</t>
        </is>
      </c>
      <c r="D76" s="17" t="n">
        <v>8065</v>
      </c>
      <c r="E76" s="17" t="n">
        <v>8065</v>
      </c>
      <c r="F76" s="16" t="inlineStr">
        <is>
          <t>صحيح</t>
        </is>
      </c>
      <c r="G76" s="16" t="inlineStr">
        <is>
          <t>فاتورة مبدئية 71، سجل العقود، كشف الحساب</t>
        </is>
      </c>
      <c r="H76" s="16" t="n"/>
      <c r="I76" s="16" t="inlineStr">
        <is>
          <t>شيت المبيعات (عقود الجملة)</t>
        </is>
      </c>
    </row>
    <row r="77">
      <c r="A77" s="16" t="n">
        <v>76</v>
      </c>
      <c r="B77" s="95" t="n">
        <v>45991</v>
      </c>
      <c r="C77" s="16" t="inlineStr">
        <is>
          <t>WHT-3074</t>
        </is>
      </c>
      <c r="D77" s="17" t="n">
        <v>5075</v>
      </c>
      <c r="E77" s="17" t="n">
        <v>5075</v>
      </c>
      <c r="F77" s="16" t="inlineStr">
        <is>
          <t>صحيح</t>
        </is>
      </c>
      <c r="G77" s="16" t="inlineStr">
        <is>
          <t>فاتورة مبدئية 72، سجل العقود، كشف الحساب</t>
        </is>
      </c>
      <c r="H77" s="16" t="n"/>
      <c r="I77" s="16" t="inlineStr">
        <is>
          <t>شيت المبيعات (عقود الجملة)</t>
        </is>
      </c>
    </row>
    <row r="78">
      <c r="A78" s="16" t="n">
        <v>77</v>
      </c>
      <c r="B78" s="95" t="n">
        <v>45992</v>
      </c>
      <c r="C78" s="16" t="inlineStr">
        <is>
          <t>WHT-3090</t>
        </is>
      </c>
      <c r="D78" s="17" t="n">
        <v>6787.5</v>
      </c>
      <c r="E78" s="17" t="n">
        <v>6787.5</v>
      </c>
      <c r="F78" s="16" t="inlineStr">
        <is>
          <t>صحيح</t>
        </is>
      </c>
      <c r="G78" s="16" t="inlineStr">
        <is>
          <t>فاتورة مبدئية 74، سجل العقود، كشف الحساب</t>
        </is>
      </c>
      <c r="H78" s="16" t="n"/>
      <c r="I78" s="16" t="inlineStr">
        <is>
          <t>شيت المبيعات (عقود الجملة)</t>
        </is>
      </c>
    </row>
    <row r="79">
      <c r="A79" s="16" t="n">
        <v>78</v>
      </c>
      <c r="B79" s="95" t="n">
        <v>45993</v>
      </c>
      <c r="C79" s="16" t="inlineStr">
        <is>
          <t>WHT-3102</t>
        </is>
      </c>
      <c r="D79" s="17" t="n">
        <v>2772.5</v>
      </c>
      <c r="E79" s="17" t="n">
        <v>2772.5</v>
      </c>
      <c r="F79" s="16" t="inlineStr">
        <is>
          <t>صحيح</t>
        </is>
      </c>
      <c r="G79" s="16" t="inlineStr">
        <is>
          <t>فاتورة مبدئية 75، سجل العقود، كشف الحساب</t>
        </is>
      </c>
      <c r="H79" s="16" t="n"/>
      <c r="I79" s="16" t="inlineStr">
        <is>
          <t>شيت المبيعات (عقود الجملة)</t>
        </is>
      </c>
    </row>
    <row r="80">
      <c r="A80" s="16" t="n">
        <v>79</v>
      </c>
      <c r="B80" s="95" t="n">
        <v>45994</v>
      </c>
      <c r="C80" s="16" t="inlineStr">
        <is>
          <t>WHT-3117</t>
        </is>
      </c>
      <c r="D80" s="17" t="n">
        <v>4505</v>
      </c>
      <c r="E80" s="17" t="n">
        <v>4505</v>
      </c>
      <c r="F80" s="16" t="inlineStr">
        <is>
          <t>صحيح</t>
        </is>
      </c>
      <c r="G80" s="16" t="inlineStr">
        <is>
          <t>فاتورة مبدئية 76، سجل العقود، كشف الحساب</t>
        </is>
      </c>
      <c r="H80" s="16" t="n"/>
      <c r="I80" s="16" t="inlineStr">
        <is>
          <t>شيت المبيعات (عقود الجملة)</t>
        </is>
      </c>
    </row>
    <row r="81">
      <c r="A81" s="16" t="n">
        <v>80</v>
      </c>
      <c r="B81" s="95" t="n">
        <v>45995</v>
      </c>
      <c r="C81" s="16" t="inlineStr">
        <is>
          <t>WHT-3133</t>
        </is>
      </c>
      <c r="D81" s="17" t="n">
        <v>2880</v>
      </c>
      <c r="E81" s="17" t="n">
        <v>2880</v>
      </c>
      <c r="F81" s="16" t="inlineStr">
        <is>
          <t>صحيح</t>
        </is>
      </c>
      <c r="G81" s="16" t="inlineStr">
        <is>
          <t>فاتورة مبدئية 77، سجل العقود، كشف الحساب</t>
        </is>
      </c>
      <c r="H81" s="16" t="n"/>
      <c r="I81" s="16" t="inlineStr">
        <is>
          <t>شيت المبيعات (عقود الجملة)</t>
        </is>
      </c>
    </row>
    <row r="82">
      <c r="A82" s="16" t="n">
        <v>81</v>
      </c>
      <c r="B82" s="95" t="n">
        <v>45997</v>
      </c>
      <c r="C82" s="16" t="inlineStr">
        <is>
          <t>WHT-3150</t>
        </is>
      </c>
      <c r="D82" s="17" t="n">
        <v>7617.5</v>
      </c>
      <c r="E82" s="17" t="n">
        <v>7617.5</v>
      </c>
      <c r="F82" s="16" t="inlineStr">
        <is>
          <t>صحيح</t>
        </is>
      </c>
      <c r="G82" s="16" t="inlineStr">
        <is>
          <t>فاتورة مبدئية 79، سجل العقود، كشف الحساب</t>
        </is>
      </c>
      <c r="H82" s="16" t="n"/>
      <c r="I82" s="16" t="inlineStr">
        <is>
          <t>شيت المبيعات (عقود الجملة)</t>
        </is>
      </c>
    </row>
    <row r="83">
      <c r="A83" s="16" t="n">
        <v>82</v>
      </c>
      <c r="B83" s="95" t="n">
        <v>45998</v>
      </c>
      <c r="C83" s="16" t="inlineStr">
        <is>
          <t>WHT-3162</t>
        </is>
      </c>
      <c r="D83" s="17" t="n">
        <v>2637.5</v>
      </c>
      <c r="E83" s="17" t="n">
        <v>2637.5</v>
      </c>
      <c r="F83" s="16" t="inlineStr">
        <is>
          <t>صحيح</t>
        </is>
      </c>
      <c r="G83" s="16" t="inlineStr">
        <is>
          <t>فاتورة مبدئية 80، سجل العقود، كشف الحساب</t>
        </is>
      </c>
      <c r="H83" s="16" t="n"/>
      <c r="I83" s="16" t="inlineStr">
        <is>
          <t>شيت المبيعات (عقود الجملة)</t>
        </is>
      </c>
    </row>
    <row r="84">
      <c r="A84" s="16" t="n">
        <v>83</v>
      </c>
      <c r="B84" s="95" t="n">
        <v>45999</v>
      </c>
      <c r="C84" s="16" t="inlineStr">
        <is>
          <t>WHT-3173</t>
        </is>
      </c>
      <c r="D84" s="17" t="n">
        <v>2940</v>
      </c>
      <c r="E84" s="17" t="n">
        <v>2940</v>
      </c>
      <c r="F84" s="16" t="inlineStr">
        <is>
          <t>صحيح</t>
        </is>
      </c>
      <c r="G84" s="16" t="inlineStr">
        <is>
          <t>فاتورة مبدئية 81، سجل العقود، كشف الحساب</t>
        </is>
      </c>
      <c r="H84" s="16" t="n"/>
      <c r="I84" s="16" t="inlineStr">
        <is>
          <t>شيت المبيعات (عقود الجملة)</t>
        </is>
      </c>
    </row>
    <row r="85">
      <c r="A85" s="16" t="n">
        <v>84</v>
      </c>
      <c r="B85" s="95" t="n">
        <v>46000</v>
      </c>
      <c r="C85" s="16" t="inlineStr">
        <is>
          <t>WHT-3197</t>
        </is>
      </c>
      <c r="D85" s="17" t="n">
        <v>2546.25</v>
      </c>
      <c r="E85" s="17" t="n">
        <v>2546.25</v>
      </c>
      <c r="F85" s="16" t="inlineStr">
        <is>
          <t>صحيح</t>
        </is>
      </c>
      <c r="G85" s="16" t="inlineStr">
        <is>
          <t>فاتورة مبدئية 82، سجل العقود، كشف الحساب</t>
        </is>
      </c>
      <c r="H85" s="16" t="n"/>
      <c r="I85" s="16" t="inlineStr">
        <is>
          <t>شيت المبيعات (عقود الجملة)</t>
        </is>
      </c>
    </row>
    <row r="86">
      <c r="A86" s="16" t="n">
        <v>85</v>
      </c>
      <c r="B86" s="95" t="n">
        <v>46001</v>
      </c>
      <c r="C86" s="16" t="inlineStr">
        <is>
          <t>WHT-3208</t>
        </is>
      </c>
      <c r="D86" s="17" t="n">
        <v>2253.75</v>
      </c>
      <c r="E86" s="17" t="n">
        <v>2253.75</v>
      </c>
      <c r="F86" s="16" t="inlineStr">
        <is>
          <t>صحيح</t>
        </is>
      </c>
      <c r="G86" s="16" t="inlineStr">
        <is>
          <t>فاتورة مبدئية 83، سجل العقود، كشف الحساب</t>
        </is>
      </c>
      <c r="H86" s="16" t="n"/>
      <c r="I86" s="16" t="inlineStr">
        <is>
          <t>شيت المبيعات (عقود الجملة)</t>
        </is>
      </c>
    </row>
    <row r="87">
      <c r="A87" s="16" t="n">
        <v>86</v>
      </c>
      <c r="B87" s="95" t="n">
        <v>46002</v>
      </c>
      <c r="C87" s="16" t="inlineStr">
        <is>
          <t>WHT-3215</t>
        </is>
      </c>
      <c r="D87" s="17" t="n">
        <v>3075</v>
      </c>
      <c r="E87" s="17" t="n">
        <v>3075</v>
      </c>
      <c r="F87" s="16" t="inlineStr">
        <is>
          <t>صحيح</t>
        </is>
      </c>
      <c r="G87" s="16" t="inlineStr">
        <is>
          <t>فاتورة مبدئية 86، سجل العقود، كشف الحساب</t>
        </is>
      </c>
      <c r="H87" s="16" t="n"/>
      <c r="I87" s="16" t="inlineStr">
        <is>
          <t>شيت المبيعات (عقود الجملة)</t>
        </is>
      </c>
    </row>
    <row r="88">
      <c r="A88" s="16" t="n">
        <v>87</v>
      </c>
      <c r="B88" s="95" t="n">
        <v>46004</v>
      </c>
      <c r="C88" s="16" t="inlineStr">
        <is>
          <t>WHT-3228</t>
        </is>
      </c>
      <c r="D88" s="17" t="n">
        <v>1728.75</v>
      </c>
      <c r="E88" s="17" t="n">
        <v>1728.75</v>
      </c>
      <c r="F88" s="16" t="inlineStr">
        <is>
          <t>صحيح</t>
        </is>
      </c>
      <c r="G88" s="16" t="inlineStr">
        <is>
          <t>فاتورة مبدئية 87، سجل العقود، كشف الحساب</t>
        </is>
      </c>
      <c r="H88" s="16" t="n"/>
      <c r="I88" s="16" t="inlineStr">
        <is>
          <t>شيت المبيعات (عقود الجملة)</t>
        </is>
      </c>
    </row>
    <row r="89">
      <c r="A89" s="16" t="n">
        <v>88</v>
      </c>
      <c r="B89" s="95" t="n">
        <v>46005</v>
      </c>
      <c r="C89" s="16" t="inlineStr">
        <is>
          <t>WHT-3241</t>
        </is>
      </c>
      <c r="D89" s="17" t="n">
        <v>1057.5</v>
      </c>
      <c r="E89" s="17" t="n">
        <v>1057.5</v>
      </c>
      <c r="F89" s="16" t="inlineStr">
        <is>
          <t>صحيح</t>
        </is>
      </c>
      <c r="G89" s="16" t="inlineStr">
        <is>
          <t>فاتورة مبدئية 88، سجل العقود، كشف الحساب</t>
        </is>
      </c>
      <c r="H89" s="16" t="n"/>
      <c r="I89" s="16" t="inlineStr">
        <is>
          <t>شيت المبيعات (عقود الجملة)</t>
        </is>
      </c>
    </row>
    <row r="90">
      <c r="A90" s="16" t="n">
        <v>89</v>
      </c>
      <c r="B90" s="95" t="n">
        <v>46006</v>
      </c>
      <c r="C90" s="16" t="inlineStr">
        <is>
          <t>WHT-3253</t>
        </is>
      </c>
      <c r="D90" s="17" t="n">
        <v>5730</v>
      </c>
      <c r="E90" s="17" t="n">
        <v>5730</v>
      </c>
      <c r="F90" s="16" t="inlineStr">
        <is>
          <t>صحيح</t>
        </is>
      </c>
      <c r="G90" s="16" t="inlineStr">
        <is>
          <t>فاتورة مبدئية 91، سجل العقود، كشف الحساب</t>
        </is>
      </c>
      <c r="H90" s="16" t="n"/>
      <c r="I90" s="16" t="inlineStr">
        <is>
          <t>شيت المبيعات (عقود الجملة)</t>
        </is>
      </c>
    </row>
    <row r="91">
      <c r="A91" s="16" t="n">
        <v>90</v>
      </c>
      <c r="B91" s="95" t="n">
        <v>46007</v>
      </c>
      <c r="C91" s="16" t="inlineStr">
        <is>
          <t>WHT-3266</t>
        </is>
      </c>
      <c r="D91" s="17" t="n">
        <v>7080</v>
      </c>
      <c r="E91" s="17" t="n">
        <v>7080</v>
      </c>
      <c r="F91" s="16" t="inlineStr">
        <is>
          <t>صحيح</t>
        </is>
      </c>
      <c r="G91" s="16" t="inlineStr">
        <is>
          <t>فاتورة مبدئية 92، سجل العقود، كشف الحساب</t>
        </is>
      </c>
      <c r="H91" s="16" t="n"/>
      <c r="I91" s="16" t="inlineStr">
        <is>
          <t>شيت المبيعات (عقود الجملة)</t>
        </is>
      </c>
    </row>
    <row r="92">
      <c r="A92" s="16" t="n">
        <v>91</v>
      </c>
      <c r="B92" s="95" t="n">
        <v>46008</v>
      </c>
      <c r="C92" s="16" t="inlineStr">
        <is>
          <t>WHT-3270</t>
        </is>
      </c>
      <c r="D92" s="17" t="n">
        <v>1785</v>
      </c>
      <c r="E92" s="17" t="n">
        <v>1785</v>
      </c>
      <c r="F92" s="16" t="inlineStr">
        <is>
          <t>صحيح</t>
        </is>
      </c>
      <c r="G92" s="16" t="inlineStr">
        <is>
          <t>فاتورة مبدئية 93، سجل العقود، كشف الحساب</t>
        </is>
      </c>
      <c r="H92" s="16" t="n"/>
      <c r="I92" s="16" t="inlineStr">
        <is>
          <t>شيت المبيعات (عقود الجملة)</t>
        </is>
      </c>
    </row>
    <row r="93">
      <c r="A93" s="16" t="n">
        <v>92</v>
      </c>
      <c r="B93" s="95" t="n">
        <v>46011</v>
      </c>
      <c r="C93" s="16" t="inlineStr">
        <is>
          <t>WHT-3294</t>
        </is>
      </c>
      <c r="D93" s="17" t="n">
        <v>885</v>
      </c>
      <c r="E93" s="17" t="n">
        <v>885</v>
      </c>
      <c r="F93" s="16" t="inlineStr">
        <is>
          <t>صحيح</t>
        </is>
      </c>
      <c r="G93" s="16" t="inlineStr">
        <is>
          <t>فاتورة مبدئية 95، سجل العقود، كشف الحساب</t>
        </is>
      </c>
      <c r="H93" s="16" t="n"/>
      <c r="I93" s="16" t="inlineStr">
        <is>
          <t>شيت المبيعات (عقود الجملة)</t>
        </is>
      </c>
    </row>
    <row r="94">
      <c r="A94" s="16" t="n">
        <v>93</v>
      </c>
      <c r="B94" s="95" t="n">
        <v>46012</v>
      </c>
      <c r="C94" s="16" t="inlineStr">
        <is>
          <t>WHT-3303</t>
        </is>
      </c>
      <c r="D94" s="17" t="n">
        <v>970</v>
      </c>
      <c r="E94" s="17" t="n">
        <v>970</v>
      </c>
      <c r="F94" s="16" t="inlineStr">
        <is>
          <t>صحيح</t>
        </is>
      </c>
      <c r="G94" s="16" t="inlineStr">
        <is>
          <t>فاتورة مبدئية 96، سجل العقود، كشف الحساب</t>
        </is>
      </c>
      <c r="H94" s="16" t="n"/>
      <c r="I94" s="16" t="inlineStr">
        <is>
          <t>شيت المبيعات (عقود الجملة)</t>
        </is>
      </c>
    </row>
    <row r="95">
      <c r="A95" s="16" t="n">
        <v>94</v>
      </c>
      <c r="B95" s="95" t="n">
        <v>46013</v>
      </c>
      <c r="C95" s="16" t="inlineStr">
        <is>
          <t>WHT-3316</t>
        </is>
      </c>
      <c r="D95" s="17" t="n">
        <v>615</v>
      </c>
      <c r="E95" s="17" t="n">
        <v>615</v>
      </c>
      <c r="F95" s="16" t="inlineStr">
        <is>
          <t>صحيح</t>
        </is>
      </c>
      <c r="G95" s="16" t="inlineStr">
        <is>
          <t>فاتورة مبدئية 97، سجل العقود، كشف الحساب</t>
        </is>
      </c>
      <c r="H95" s="16" t="n"/>
      <c r="I95" s="16" t="inlineStr">
        <is>
          <t>شيت المبيعات (عقود الجملة)</t>
        </is>
      </c>
    </row>
    <row r="96">
      <c r="A96" s="16" t="n">
        <v>95</v>
      </c>
      <c r="B96" s="95" t="n">
        <v>46014</v>
      </c>
      <c r="C96" s="16" t="inlineStr">
        <is>
          <t>WHT-3329</t>
        </is>
      </c>
      <c r="D96" s="17" t="n">
        <v>1380</v>
      </c>
      <c r="E96" s="17" t="n">
        <v>1380</v>
      </c>
      <c r="F96" s="16" t="inlineStr">
        <is>
          <t>صحيح</t>
        </is>
      </c>
      <c r="G96" s="16" t="inlineStr">
        <is>
          <t>فاتورة مبدئية 98، سجل العقود، كشف الحساب</t>
        </is>
      </c>
      <c r="H96" s="16" t="n"/>
      <c r="I96" s="16" t="inlineStr">
        <is>
          <t>شيت المبيعات (عقود الجملة)</t>
        </is>
      </c>
    </row>
    <row r="97">
      <c r="A97" s="16" t="n">
        <v>96</v>
      </c>
      <c r="B97" s="95" t="n">
        <v>46015</v>
      </c>
      <c r="C97" s="16" t="inlineStr">
        <is>
          <t>WHT-3343</t>
        </is>
      </c>
      <c r="D97" s="17" t="n">
        <v>870</v>
      </c>
      <c r="E97" s="17" t="n">
        <v>870</v>
      </c>
      <c r="F97" s="16" t="inlineStr">
        <is>
          <t>صحيح</t>
        </is>
      </c>
      <c r="G97" s="16" t="inlineStr">
        <is>
          <t>سجل العقود، كشف الحساب</t>
        </is>
      </c>
      <c r="H97" s="16" t="n"/>
      <c r="I97" s="16" t="inlineStr">
        <is>
          <t>شيت المبيعات (عقود الجملة)</t>
        </is>
      </c>
    </row>
    <row r="98">
      <c r="A98" s="16" t="n">
        <v>97</v>
      </c>
      <c r="B98" s="95" t="n">
        <v>46016</v>
      </c>
      <c r="C98" s="16" t="inlineStr">
        <is>
          <t>WHT-3349</t>
        </is>
      </c>
      <c r="D98" s="17" t="n">
        <v>1541.25</v>
      </c>
      <c r="E98" s="17" t="n">
        <v>1541.25</v>
      </c>
      <c r="F98" s="16" t="inlineStr">
        <is>
          <t>صحيح</t>
        </is>
      </c>
      <c r="G98" s="16" t="inlineStr">
        <is>
          <t>سجل العقود، كشف الحساب</t>
        </is>
      </c>
      <c r="H98" s="16" t="n"/>
      <c r="I98" s="16" t="inlineStr">
        <is>
          <t>شيت المبيعات (عقود الجملة)</t>
        </is>
      </c>
    </row>
    <row r="99">
      <c r="A99" s="16" t="n">
        <v>98</v>
      </c>
      <c r="B99" s="95" t="n">
        <v>46018</v>
      </c>
      <c r="C99" s="16" t="inlineStr">
        <is>
          <t>WHT-3355</t>
        </is>
      </c>
      <c r="D99" s="17" t="n">
        <v>4845</v>
      </c>
      <c r="E99" s="17" t="n">
        <v>4845</v>
      </c>
      <c r="F99" s="16" t="inlineStr">
        <is>
          <t>صحيح</t>
        </is>
      </c>
      <c r="G99" s="16" t="inlineStr">
        <is>
          <t>فاتورة مبدئية 99، سجل العقود، كشف الحساب</t>
        </is>
      </c>
      <c r="H99" s="16" t="n"/>
      <c r="I99" s="16" t="inlineStr">
        <is>
          <t>شيت المبيعات (عقود الجملة)</t>
        </is>
      </c>
    </row>
    <row r="100">
      <c r="A100" s="16" t="n">
        <v>99</v>
      </c>
      <c r="B100" s="95" t="n">
        <v>46019</v>
      </c>
      <c r="C100" s="16" t="inlineStr">
        <is>
          <t>WHT-3368</t>
        </is>
      </c>
      <c r="D100" s="17" t="n">
        <v>1245</v>
      </c>
      <c r="E100" s="17" t="n">
        <v>1245</v>
      </c>
      <c r="F100" s="16" t="inlineStr">
        <is>
          <t>صحيح</t>
        </is>
      </c>
      <c r="G100" s="16" t="inlineStr">
        <is>
          <t>فاتورة مبدئية 101، كشف الحساب</t>
        </is>
      </c>
      <c r="H100" s="16" t="n"/>
      <c r="I100" s="16" t="inlineStr">
        <is>
          <t>شيت المبيعات (عقود الجملة)</t>
        </is>
      </c>
    </row>
    <row r="101">
      <c r="A101" s="16" t="n">
        <v>100</v>
      </c>
      <c r="B101" s="95" t="n">
        <v>46020</v>
      </c>
      <c r="C101" s="16" t="inlineStr">
        <is>
          <t>WHT-3379</t>
        </is>
      </c>
      <c r="D101" s="17" t="n">
        <v>1132.5</v>
      </c>
      <c r="E101" s="17" t="n">
        <v>1132.5</v>
      </c>
      <c r="F101" s="16" t="inlineStr">
        <is>
          <t>صحيح</t>
        </is>
      </c>
      <c r="G101" s="16" t="inlineStr">
        <is>
          <t>فاتورة مبدئية 102، كشف الحساب</t>
        </is>
      </c>
      <c r="H101" s="16" t="n"/>
      <c r="I101" s="16" t="inlineStr">
        <is>
          <t>شيت المبيعات (عقود الجملة)</t>
        </is>
      </c>
    </row>
    <row r="102">
      <c r="A102" s="16" t="n">
        <v>101</v>
      </c>
      <c r="B102" s="95" t="n">
        <v>46021</v>
      </c>
      <c r="C102" s="16" t="inlineStr">
        <is>
          <t>WHT-3404</t>
        </is>
      </c>
      <c r="D102" s="17" t="n">
        <v>2630</v>
      </c>
      <c r="E102" s="17" t="n">
        <v>2630</v>
      </c>
      <c r="F102" s="16" t="inlineStr">
        <is>
          <t>صحيح</t>
        </is>
      </c>
      <c r="G102" s="16" t="inlineStr">
        <is>
          <t>فاتورة مبدئية 105، كشف الحساب</t>
        </is>
      </c>
      <c r="H102" s="16" t="n"/>
      <c r="I102" s="16" t="inlineStr">
        <is>
          <t>شيت المبيعات (عقود الجملة)</t>
        </is>
      </c>
    </row>
    <row r="103">
      <c r="A103" s="16" t="n">
        <v>102</v>
      </c>
      <c r="B103" s="95" t="n">
        <v>46023</v>
      </c>
      <c r="C103" s="16" t="inlineStr">
        <is>
          <t>WHT-3426</t>
        </is>
      </c>
      <c r="D103" s="17" t="n">
        <v>790</v>
      </c>
      <c r="E103" s="17" t="n">
        <v>790</v>
      </c>
      <c r="F103" s="16" t="inlineStr">
        <is>
          <t>صحيح</t>
        </is>
      </c>
      <c r="G103" s="16" t="inlineStr">
        <is>
          <t>فاتورة مبدئية 107، سجل العقود، كشف الحساب</t>
        </is>
      </c>
      <c r="H103" s="16" t="n"/>
      <c r="I103" s="16" t="inlineStr">
        <is>
          <t>شيت المبيعات (عقود الجملة)</t>
        </is>
      </c>
    </row>
    <row r="104">
      <c r="A104" s="16" t="n">
        <v>103</v>
      </c>
      <c r="B104" s="95" t="n">
        <v>46025</v>
      </c>
      <c r="C104" s="16" t="inlineStr">
        <is>
          <t>WHT-3431</t>
        </is>
      </c>
      <c r="D104" s="17" t="n">
        <v>1412.5</v>
      </c>
      <c r="E104" s="17" t="n">
        <v>1412.5</v>
      </c>
      <c r="F104" s="16" t="inlineStr">
        <is>
          <t>صحيح</t>
        </is>
      </c>
      <c r="G104" s="16" t="inlineStr">
        <is>
          <t>فاتورة مبدئية 108، سجل العقود، كشف الحساب</t>
        </is>
      </c>
      <c r="H104" s="16" t="n"/>
      <c r="I104" s="16" t="inlineStr">
        <is>
          <t>شيت المبيعات (عقود الجملة)</t>
        </is>
      </c>
    </row>
    <row r="105">
      <c r="A105" s="16" t="n">
        <v>104</v>
      </c>
      <c r="B105" s="95" t="n">
        <v>46026</v>
      </c>
      <c r="C105" s="16" t="inlineStr">
        <is>
          <t>WHT-3448</t>
        </is>
      </c>
      <c r="D105" s="17" t="n">
        <v>42695</v>
      </c>
      <c r="E105" s="17" t="n">
        <v>42695</v>
      </c>
      <c r="F105" s="16" t="inlineStr">
        <is>
          <t>صحيح</t>
        </is>
      </c>
      <c r="G105" s="16" t="inlineStr">
        <is>
          <t>فاتورة مبدئية 109، سجل العقود، كشف الحساب</t>
        </is>
      </c>
      <c r="H105" s="16" t="n"/>
      <c r="I105" s="16" t="inlineStr">
        <is>
          <t>شيت المبيعات (عقود الجملة)</t>
        </is>
      </c>
    </row>
    <row r="106">
      <c r="A106" s="16" t="n">
        <v>105</v>
      </c>
      <c r="B106" s="95" t="n">
        <v>46027</v>
      </c>
      <c r="C106" s="16" t="inlineStr">
        <is>
          <t>WHT-3464</t>
        </is>
      </c>
      <c r="D106" s="17" t="n">
        <v>1972.5</v>
      </c>
      <c r="E106" s="17" t="n">
        <v>1972.5</v>
      </c>
      <c r="F106" s="16" t="inlineStr">
        <is>
          <t>صحيح</t>
        </is>
      </c>
      <c r="G106" s="16" t="inlineStr">
        <is>
          <t>فاتورة مبدئية 110، سجل العقود، كشف الحساب</t>
        </is>
      </c>
      <c r="H106" s="16" t="n"/>
      <c r="I106" s="16" t="inlineStr">
        <is>
          <t>شيت المبيعات (عقود الجملة)</t>
        </is>
      </c>
    </row>
    <row r="107">
      <c r="A107" s="16" t="n">
        <v>106</v>
      </c>
      <c r="B107" s="95" t="n">
        <v>46028</v>
      </c>
      <c r="C107" s="16" t="inlineStr">
        <is>
          <t>WHT-3488</t>
        </is>
      </c>
      <c r="D107" s="17" t="n">
        <v>3500</v>
      </c>
      <c r="E107" s="17" t="n">
        <v>3500</v>
      </c>
      <c r="F107" s="16" t="inlineStr">
        <is>
          <t>صحيح</t>
        </is>
      </c>
      <c r="G107" s="16" t="inlineStr">
        <is>
          <t>فاتورة مبدئية 112، سجل العقود، كشف الحساب</t>
        </is>
      </c>
      <c r="H107" s="16" t="n"/>
      <c r="I107" s="16" t="inlineStr">
        <is>
          <t>شيت المبيعات (عقود الجملة)</t>
        </is>
      </c>
    </row>
    <row r="108">
      <c r="A108" s="16" t="n">
        <v>107</v>
      </c>
      <c r="B108" s="95" t="n">
        <v>46029</v>
      </c>
      <c r="C108" s="16" t="inlineStr">
        <is>
          <t>WHT-3496</t>
        </is>
      </c>
      <c r="D108" s="17" t="n">
        <v>1095</v>
      </c>
      <c r="E108" s="17" t="n">
        <v>1095</v>
      </c>
      <c r="F108" s="16" t="inlineStr">
        <is>
          <t>صحيح</t>
        </is>
      </c>
      <c r="G108" s="16" t="inlineStr">
        <is>
          <t>فاتورة مبدئية 113، سجل العقود، كشف الحساب</t>
        </is>
      </c>
      <c r="H108" s="16" t="n"/>
      <c r="I108" s="16" t="inlineStr">
        <is>
          <t>شيت المبيعات (عقود الجملة)</t>
        </is>
      </c>
    </row>
    <row r="109">
      <c r="A109" s="16" t="n">
        <v>108</v>
      </c>
      <c r="B109" s="95" t="n">
        <v>46030</v>
      </c>
      <c r="C109" s="16" t="inlineStr">
        <is>
          <t>WHT-3503</t>
        </is>
      </c>
      <c r="D109" s="17" t="n">
        <v>2020</v>
      </c>
      <c r="E109" s="17" t="n">
        <v>2020</v>
      </c>
      <c r="F109" s="16" t="inlineStr">
        <is>
          <t>صحيح</t>
        </is>
      </c>
      <c r="G109" s="16" t="inlineStr">
        <is>
          <t>فاتورة مبدئية 114، سجل العقود، كشف الحساب</t>
        </is>
      </c>
      <c r="H109" s="16" t="n"/>
      <c r="I109" s="16" t="inlineStr">
        <is>
          <t>شيت المبيعات (عقود الجملة)</t>
        </is>
      </c>
    </row>
    <row r="110">
      <c r="A110" s="16" t="n">
        <v>109</v>
      </c>
      <c r="B110" s="95" t="n">
        <v>46032</v>
      </c>
      <c r="C110" s="16" t="inlineStr">
        <is>
          <t>WHT-3518</t>
        </is>
      </c>
      <c r="D110" s="17" t="n">
        <v>2175</v>
      </c>
      <c r="E110" s="17" t="n">
        <v>2175</v>
      </c>
      <c r="F110" s="16" t="inlineStr">
        <is>
          <t>صحيح</t>
        </is>
      </c>
      <c r="G110" s="16" t="inlineStr">
        <is>
          <t>فاتورة مبدئية 115، سجل العقود، كشف الحساب</t>
        </is>
      </c>
      <c r="H110" s="16" t="n"/>
      <c r="I110" s="16" t="inlineStr">
        <is>
          <t>شيت المبيعات (عقود الجملة)</t>
        </is>
      </c>
    </row>
    <row r="111">
      <c r="A111" s="16" t="n">
        <v>110</v>
      </c>
      <c r="B111" s="95" t="n">
        <v>46034</v>
      </c>
      <c r="C111" s="16" t="inlineStr">
        <is>
          <t>WHT-3543</t>
        </is>
      </c>
      <c r="D111" s="17" t="n">
        <v>5655</v>
      </c>
      <c r="E111" s="17" t="n">
        <v>5655</v>
      </c>
      <c r="F111" s="16" t="inlineStr">
        <is>
          <t>صحيح</t>
        </is>
      </c>
      <c r="G111" s="16" t="inlineStr">
        <is>
          <t>فاتورة مبدئية 116، سجل العقود، كشف الحساب</t>
        </is>
      </c>
      <c r="H111" s="16" t="n"/>
      <c r="I111" s="16" t="inlineStr">
        <is>
          <t>شيت المبيعات (عقود الجملة)</t>
        </is>
      </c>
    </row>
    <row r="112">
      <c r="A112" s="16" t="n">
        <v>111</v>
      </c>
      <c r="B112" s="95" t="n">
        <v>46035</v>
      </c>
      <c r="C112" s="16" t="inlineStr">
        <is>
          <t>WHT-3549</t>
        </is>
      </c>
      <c r="D112" s="17" t="n">
        <v>2130</v>
      </c>
      <c r="E112" s="17" t="n">
        <v>2130</v>
      </c>
      <c r="F112" s="16" t="inlineStr">
        <is>
          <t>صحيح</t>
        </is>
      </c>
      <c r="G112" s="16" t="inlineStr">
        <is>
          <t>فاتورة مبدئية 117، سجل العقود، كشف الحساب</t>
        </is>
      </c>
      <c r="H112" s="16" t="n"/>
      <c r="I112" s="16" t="inlineStr">
        <is>
          <t>شيت المبيعات (عقود الجملة)</t>
        </is>
      </c>
    </row>
    <row r="113">
      <c r="A113" s="16" t="n">
        <v>112</v>
      </c>
      <c r="B113" s="95" t="n">
        <v>46036</v>
      </c>
      <c r="C113" s="16" t="inlineStr">
        <is>
          <t>WHT-3560</t>
        </is>
      </c>
      <c r="D113" s="17" t="n">
        <v>2250</v>
      </c>
      <c r="E113" s="17" t="n">
        <v>2250</v>
      </c>
      <c r="F113" s="16" t="inlineStr">
        <is>
          <t>صحيح</t>
        </is>
      </c>
      <c r="G113" s="16" t="inlineStr">
        <is>
          <t>فاتورة مبدئية 118، سجل العقود، كشف الحساب</t>
        </is>
      </c>
      <c r="H113" s="16" t="n"/>
      <c r="I113" s="16" t="inlineStr">
        <is>
          <t>شيت المبيعات (عقود الجملة)</t>
        </is>
      </c>
    </row>
    <row r="114">
      <c r="A114" s="16" t="n">
        <v>113</v>
      </c>
      <c r="B114" s="95" t="n">
        <v>46037</v>
      </c>
      <c r="C114" s="16" t="inlineStr">
        <is>
          <t>WHT-3568</t>
        </is>
      </c>
      <c r="D114" s="17" t="n">
        <v>2205</v>
      </c>
      <c r="E114" s="17" t="n">
        <v>2205</v>
      </c>
      <c r="F114" s="16" t="inlineStr">
        <is>
          <t>صحيح</t>
        </is>
      </c>
      <c r="G114" s="16" t="inlineStr">
        <is>
          <t>فاتورة مبدئية 119، سجل العقود، كشف الحساب</t>
        </is>
      </c>
      <c r="H114" s="16" t="n"/>
      <c r="I114" s="16" t="inlineStr">
        <is>
          <t>شيت المبيعات (عقود الجملة)</t>
        </is>
      </c>
    </row>
    <row r="115">
      <c r="A115" s="16" t="n">
        <v>114</v>
      </c>
      <c r="B115" s="95" t="n">
        <v>46039</v>
      </c>
      <c r="C115" s="16" t="inlineStr">
        <is>
          <t>WHT-3580</t>
        </is>
      </c>
      <c r="D115" s="17" t="n">
        <v>3227.5</v>
      </c>
      <c r="E115" s="17" t="n">
        <v>3227.5</v>
      </c>
      <c r="F115" s="16" t="inlineStr">
        <is>
          <t>صحيح</t>
        </is>
      </c>
      <c r="G115" s="16" t="inlineStr">
        <is>
          <t>فاتورة مبدئية 121، سجل العقود، كشف الحساب</t>
        </is>
      </c>
      <c r="H115" s="16" t="n"/>
      <c r="I115" s="16" t="inlineStr">
        <is>
          <t>شيت المبيعات (عقود الجملة)</t>
        </is>
      </c>
    </row>
    <row r="116">
      <c r="A116" s="16" t="n">
        <v>115</v>
      </c>
      <c r="B116" s="95" t="n">
        <v>46040</v>
      </c>
      <c r="C116" s="16" t="inlineStr">
        <is>
          <t>WHT-3591</t>
        </is>
      </c>
      <c r="D116" s="17" t="n">
        <v>3225</v>
      </c>
      <c r="E116" s="17" t="n">
        <v>3225</v>
      </c>
      <c r="F116" s="16" t="inlineStr">
        <is>
          <t>صحيح</t>
        </is>
      </c>
      <c r="G116" s="16" t="inlineStr">
        <is>
          <t>فاتورة مبدئية 122، سجل العقود، كشف الحساب</t>
        </is>
      </c>
      <c r="H116" s="16" t="n"/>
      <c r="I116" s="16" t="inlineStr">
        <is>
          <t>شيت المبيعات (عقود الجملة)</t>
        </is>
      </c>
    </row>
    <row r="117">
      <c r="A117" s="16" t="n">
        <v>116</v>
      </c>
      <c r="B117" s="95" t="n">
        <v>46041</v>
      </c>
      <c r="C117" s="16" t="inlineStr">
        <is>
          <t>WHT-3603</t>
        </is>
      </c>
      <c r="D117" s="17" t="n">
        <v>2347.5</v>
      </c>
      <c r="E117" s="17" t="n">
        <v>2347.5</v>
      </c>
      <c r="F117" s="16" t="inlineStr">
        <is>
          <t>صحيح</t>
        </is>
      </c>
      <c r="G117" s="16" t="inlineStr">
        <is>
          <t>فاتورة مبدئية 123، سجل العقود، كشف الحساب</t>
        </is>
      </c>
      <c r="H117" s="16" t="n"/>
      <c r="I117" s="16" t="inlineStr">
        <is>
          <t>شيت المبيعات (عقود الجملة)</t>
        </is>
      </c>
    </row>
    <row r="118">
      <c r="A118" s="16" t="n">
        <v>117</v>
      </c>
      <c r="B118" s="95" t="n">
        <v>46044</v>
      </c>
      <c r="C118" s="16" t="inlineStr">
        <is>
          <t>WHT-3623</t>
        </is>
      </c>
      <c r="D118" s="17" t="n">
        <v>3382.5</v>
      </c>
      <c r="E118" s="17" t="n">
        <v>3382.5</v>
      </c>
      <c r="F118" s="16" t="inlineStr">
        <is>
          <t>صحيح</t>
        </is>
      </c>
      <c r="G118" s="16" t="inlineStr">
        <is>
          <t>فاتورة مبدئية 125، سجل العقود، كشف الحساب</t>
        </is>
      </c>
      <c r="H118" s="16" t="n"/>
      <c r="I118" s="16" t="inlineStr">
        <is>
          <t>شيت المبيعات (عقود الجملة)</t>
        </is>
      </c>
    </row>
    <row r="119">
      <c r="A119" s="16" t="n">
        <v>118</v>
      </c>
      <c r="B119" s="95" t="n">
        <v>46046</v>
      </c>
      <c r="C119" s="16" t="inlineStr">
        <is>
          <t>WHT-3629</t>
        </is>
      </c>
      <c r="D119" s="17" t="n">
        <v>2430</v>
      </c>
      <c r="E119" s="17" t="n">
        <v>2430</v>
      </c>
      <c r="F119" s="16" t="inlineStr">
        <is>
          <t>صحيح</t>
        </is>
      </c>
      <c r="G119" s="16" t="inlineStr">
        <is>
          <t>فاتورة مبدئية 126، سجل العقود، كشف الحساب</t>
        </is>
      </c>
      <c r="H119" s="16" t="n"/>
      <c r="I119" s="16" t="inlineStr">
        <is>
          <t>شيت المبيعات (عقود الجملة)</t>
        </is>
      </c>
    </row>
    <row r="120">
      <c r="A120" s="16" t="n">
        <v>119</v>
      </c>
      <c r="B120" s="95" t="n">
        <v>46047</v>
      </c>
      <c r="C120" s="16" t="inlineStr">
        <is>
          <t>WHT-3633</t>
        </is>
      </c>
      <c r="D120" s="17" t="n">
        <v>1852.5</v>
      </c>
      <c r="E120" s="17" t="n">
        <v>1852.5</v>
      </c>
      <c r="F120" s="16" t="inlineStr">
        <is>
          <t>صحيح</t>
        </is>
      </c>
      <c r="G120" s="16" t="inlineStr">
        <is>
          <t>فاتورة مبدئية 127، سجل العقود، كشف الحساب</t>
        </is>
      </c>
      <c r="H120" s="16" t="n"/>
      <c r="I120" s="16" t="inlineStr">
        <is>
          <t>شيت المبيعات (عقود الجملة)</t>
        </is>
      </c>
    </row>
    <row r="121">
      <c r="A121" s="16" t="n">
        <v>120</v>
      </c>
      <c r="B121" s="95" t="n">
        <v>46048</v>
      </c>
      <c r="C121" s="16" t="inlineStr">
        <is>
          <t>WHT-3654</t>
        </is>
      </c>
      <c r="D121" s="17" t="n">
        <v>2622.5</v>
      </c>
      <c r="E121" s="17" t="n">
        <v>2622.5</v>
      </c>
      <c r="F121" s="16" t="inlineStr">
        <is>
          <t>صحيح</t>
        </is>
      </c>
      <c r="G121" s="16" t="inlineStr">
        <is>
          <t>فاتورة مبدئية 128، سجل العقود، كشف الحساب</t>
        </is>
      </c>
      <c r="H121" s="16" t="n"/>
      <c r="I121" s="16" t="inlineStr">
        <is>
          <t>شيت المبيعات (عقود الجملة)</t>
        </is>
      </c>
    </row>
    <row r="122">
      <c r="A122" s="16" t="n">
        <v>121</v>
      </c>
      <c r="B122" s="95" t="n">
        <v>46049</v>
      </c>
      <c r="C122" s="16" t="inlineStr">
        <is>
          <t>WHT-3679</t>
        </is>
      </c>
      <c r="D122" s="17" t="n">
        <v>1172.5</v>
      </c>
      <c r="E122" s="17" t="n">
        <v>1172.5</v>
      </c>
      <c r="F122" s="16" t="inlineStr">
        <is>
          <t>صحيح</t>
        </is>
      </c>
      <c r="G122" s="16" t="inlineStr">
        <is>
          <t>فاتورة مبدئية 130، سجل العقود، كشف الحساب</t>
        </is>
      </c>
      <c r="H122" s="16" t="n"/>
      <c r="I122" s="16" t="inlineStr">
        <is>
          <t>شيت المبيعات (عقود الجملة)</t>
        </is>
      </c>
    </row>
    <row r="123">
      <c r="A123" s="16" t="n">
        <v>122</v>
      </c>
      <c r="B123" s="95" t="n">
        <v>46050</v>
      </c>
      <c r="C123" s="16" t="inlineStr">
        <is>
          <t>WHT-3687</t>
        </is>
      </c>
      <c r="D123" s="17" t="n">
        <v>6142.5</v>
      </c>
      <c r="E123" s="17" t="n">
        <v>6142.5</v>
      </c>
      <c r="F123" s="16" t="inlineStr">
        <is>
          <t>صحيح</t>
        </is>
      </c>
      <c r="G123" s="16" t="inlineStr">
        <is>
          <t>فاتورة مبدئية 131، سجل العقود، كشف الحساب</t>
        </is>
      </c>
      <c r="H123" s="16" t="n"/>
      <c r="I123" s="16" t="inlineStr">
        <is>
          <t>شيت المبيعات (عقود الجملة)</t>
        </is>
      </c>
    </row>
    <row r="124">
      <c r="A124" s="16" t="n">
        <v>123</v>
      </c>
      <c r="B124" s="95" t="n">
        <v>46051</v>
      </c>
      <c r="C124" s="16" t="inlineStr">
        <is>
          <t>WHT-3697</t>
        </is>
      </c>
      <c r="D124" s="17" t="n">
        <v>2850</v>
      </c>
      <c r="E124" s="17" t="n">
        <v>2850</v>
      </c>
      <c r="F124" s="16" t="inlineStr">
        <is>
          <t>صحيح</t>
        </is>
      </c>
      <c r="G124" s="16" t="inlineStr">
        <is>
          <t>فاتورة مبدئية 132، سجل العقود، كشف الحساب</t>
        </is>
      </c>
      <c r="H124" s="16" t="n"/>
      <c r="I124" s="16" t="inlineStr">
        <is>
          <t>شيت المبيعات (عقود الجملة)</t>
        </is>
      </c>
    </row>
    <row r="125">
      <c r="A125" s="16" t="n">
        <v>124</v>
      </c>
      <c r="B125" s="95" t="n">
        <v>46053</v>
      </c>
      <c r="C125" s="16" t="inlineStr">
        <is>
          <t>WHT-3700</t>
        </is>
      </c>
      <c r="D125" s="17" t="n">
        <v>5397.5</v>
      </c>
      <c r="E125" s="17" t="n">
        <v>5397.5</v>
      </c>
      <c r="F125" s="16" t="inlineStr">
        <is>
          <t>صحيح</t>
        </is>
      </c>
      <c r="G125" s="16" t="inlineStr">
        <is>
          <t>فاتورة مبدئية 133، سجل العقود، كشف الحساب</t>
        </is>
      </c>
      <c r="H125" s="16" t="n"/>
      <c r="I125" s="16" t="inlineStr">
        <is>
          <t>شيت المبيعات (عقود الجملة)</t>
        </is>
      </c>
    </row>
    <row r="126">
      <c r="A126" s="16" t="n">
        <v>125</v>
      </c>
      <c r="B126" s="95" t="n">
        <v>46054</v>
      </c>
      <c r="C126" s="16" t="inlineStr">
        <is>
          <t>WHT-3716</t>
        </is>
      </c>
      <c r="D126" s="17" t="n">
        <v>4575</v>
      </c>
      <c r="E126" s="17" t="n">
        <v>4575</v>
      </c>
      <c r="F126" s="16" t="inlineStr">
        <is>
          <t>صحيح</t>
        </is>
      </c>
      <c r="G126" s="16" t="inlineStr">
        <is>
          <t>فاتورة مبدئية 135، سجل العقود، كشف الحساب</t>
        </is>
      </c>
      <c r="H126" s="16" t="n"/>
      <c r="I126" s="16" t="inlineStr">
        <is>
          <t>شيت المبيعات (عقود الجملة)</t>
        </is>
      </c>
    </row>
    <row r="127">
      <c r="A127" s="16" t="n">
        <v>126</v>
      </c>
      <c r="B127" s="95" t="n">
        <v>46055</v>
      </c>
      <c r="C127" s="16" t="inlineStr">
        <is>
          <t>WHT-3732</t>
        </is>
      </c>
      <c r="D127" s="17" t="n">
        <v>4887.5</v>
      </c>
      <c r="E127" s="17" t="n">
        <v>4887.5</v>
      </c>
      <c r="F127" s="16" t="inlineStr">
        <is>
          <t>صحيح</t>
        </is>
      </c>
      <c r="G127" s="16" t="inlineStr">
        <is>
          <t>فاتورة مبدئية 136، سجل العقود، كشف الحساب</t>
        </is>
      </c>
      <c r="H127" s="16" t="n"/>
      <c r="I127" s="16" t="inlineStr">
        <is>
          <t>شيت المبيعات (عقود الجملة)</t>
        </is>
      </c>
    </row>
    <row r="128">
      <c r="A128" s="16" t="n">
        <v>127</v>
      </c>
      <c r="B128" s="95" t="n">
        <v>46056</v>
      </c>
      <c r="C128" s="16" t="inlineStr">
        <is>
          <t>WHT-3746</t>
        </is>
      </c>
      <c r="D128" s="17" t="n">
        <v>3750</v>
      </c>
      <c r="E128" s="17" t="n">
        <v>3750</v>
      </c>
      <c r="F128" s="16" t="inlineStr">
        <is>
          <t>صحيح</t>
        </is>
      </c>
      <c r="G128" s="16" t="inlineStr">
        <is>
          <t>فاتورة مبدئية 137، سجل العقود، كشف الحساب</t>
        </is>
      </c>
      <c r="H128" s="16" t="n"/>
      <c r="I128" s="16" t="inlineStr">
        <is>
          <t>شيت المبيعات (عقود الجملة)</t>
        </is>
      </c>
    </row>
    <row r="129">
      <c r="A129" s="16" t="n">
        <v>128</v>
      </c>
      <c r="B129" s="95" t="n">
        <v>46057</v>
      </c>
      <c r="C129" s="16" t="inlineStr">
        <is>
          <t>WHT-3755</t>
        </is>
      </c>
      <c r="D129" s="17" t="n">
        <v>5205</v>
      </c>
      <c r="E129" s="17" t="n">
        <v>5205</v>
      </c>
      <c r="F129" s="16" t="inlineStr">
        <is>
          <t>صحيح</t>
        </is>
      </c>
      <c r="G129" s="16" t="inlineStr">
        <is>
          <t>فاتورة مبدئية 139، سجل العقود، كشف الحساب</t>
        </is>
      </c>
      <c r="H129" s="16" t="n"/>
      <c r="I129" s="16" t="inlineStr">
        <is>
          <t>شيت المبيعات (عقود الجملة)</t>
        </is>
      </c>
    </row>
    <row r="130">
      <c r="A130" s="16" t="n">
        <v>129</v>
      </c>
      <c r="B130" s="95" t="n">
        <v>46058</v>
      </c>
      <c r="C130" s="16" t="inlineStr">
        <is>
          <t>WHT-3766</t>
        </is>
      </c>
      <c r="D130" s="17" t="n">
        <v>6875</v>
      </c>
      <c r="E130" s="17" t="n">
        <v>6875</v>
      </c>
      <c r="F130" s="16" t="inlineStr">
        <is>
          <t>صحيح</t>
        </is>
      </c>
      <c r="G130" s="16" t="inlineStr">
        <is>
          <t>فاتورة مبدئية 143، سجل العقود، كشف الحساب</t>
        </is>
      </c>
      <c r="H130" s="16" t="n"/>
      <c r="I130" s="16" t="inlineStr">
        <is>
          <t>شيت المبيعات (عقود الجملة)</t>
        </is>
      </c>
    </row>
    <row r="131">
      <c r="A131" s="16" t="n">
        <v>130</v>
      </c>
      <c r="B131" s="95" t="n">
        <v>46060</v>
      </c>
      <c r="C131" s="16" t="inlineStr">
        <is>
          <t>WHT-3775</t>
        </is>
      </c>
      <c r="D131" s="17" t="n">
        <v>5235</v>
      </c>
      <c r="E131" s="17" t="n">
        <v>5235</v>
      </c>
      <c r="F131" s="16" t="inlineStr">
        <is>
          <t>صحيح</t>
        </is>
      </c>
      <c r="G131" s="16" t="inlineStr">
        <is>
          <t>فاتورة مبدئية 144، سجل العقود، كشف الحساب</t>
        </is>
      </c>
      <c r="H131" s="16" t="n"/>
      <c r="I131" s="16" t="inlineStr">
        <is>
          <t>شيت المبيعات (عقود الجملة)</t>
        </is>
      </c>
    </row>
    <row r="132">
      <c r="A132" s="16" t="n">
        <v>131</v>
      </c>
      <c r="B132" s="95" t="n">
        <v>46061</v>
      </c>
      <c r="C132" s="16" t="inlineStr">
        <is>
          <t>WHT-3782</t>
        </is>
      </c>
      <c r="D132" s="17" t="n">
        <v>5725</v>
      </c>
      <c r="E132" s="17" t="n">
        <v>5725</v>
      </c>
      <c r="F132" s="16" t="inlineStr">
        <is>
          <t>صحيح</t>
        </is>
      </c>
      <c r="G132" s="16" t="inlineStr">
        <is>
          <t>فاتورة مبدئية 145، سجل العقود، كشف الحساب</t>
        </is>
      </c>
      <c r="H132" s="16" t="n"/>
      <c r="I132" s="16" t="inlineStr">
        <is>
          <t>شيت المبيعات (عقود الجملة)</t>
        </is>
      </c>
    </row>
    <row r="133">
      <c r="A133" s="16" t="n">
        <v>132</v>
      </c>
      <c r="B133" s="95" t="n">
        <v>46062</v>
      </c>
      <c r="C133" s="16" t="inlineStr">
        <is>
          <t>WHT-3786</t>
        </is>
      </c>
      <c r="D133" s="17" t="n">
        <v>6900</v>
      </c>
      <c r="E133" s="17" t="n">
        <v>6900</v>
      </c>
      <c r="F133" s="16" t="inlineStr">
        <is>
          <t>صحيح</t>
        </is>
      </c>
      <c r="G133" s="16" t="inlineStr">
        <is>
          <t>فاتورة مبدئية 147، سجل العقود، كشف الحساب</t>
        </is>
      </c>
      <c r="H133" s="16" t="n"/>
      <c r="I133" s="16" t="inlineStr">
        <is>
          <t>شيت المبيعات (عقود الجملة)</t>
        </is>
      </c>
    </row>
    <row r="134">
      <c r="A134" s="18" t="n">
        <v>133</v>
      </c>
      <c r="B134" s="98" t="n">
        <v>46063</v>
      </c>
      <c r="C134" s="18" t="inlineStr">
        <is>
          <t>WHT-3804</t>
        </is>
      </c>
      <c r="D134" s="19" t="n">
        <v>4472.5</v>
      </c>
      <c r="E134" s="19" t="n">
        <v>4472.5</v>
      </c>
      <c r="F134" s="18" t="inlineStr">
        <is>
          <t>صحيح (تصحيح رقم)</t>
        </is>
      </c>
      <c r="G134" s="18" t="inlineStr">
        <is>
          <t>فاتورة مبدئية 148، سجل العقود</t>
        </is>
      </c>
      <c r="H134" s="18" t="inlineStr">
        <is>
          <t>رقم العقد مكرر في شيت المحاسب – الصحيح WHT-3804</t>
        </is>
      </c>
      <c r="I134" s="16" t="inlineStr">
        <is>
          <t>شيت المبيعات (عقود الجملة)</t>
        </is>
      </c>
    </row>
    <row r="135">
      <c r="A135" s="16" t="n">
        <v>134</v>
      </c>
      <c r="B135" s="95" t="n">
        <v>46064</v>
      </c>
      <c r="C135" s="16" t="inlineStr">
        <is>
          <t>WHT-3814</t>
        </is>
      </c>
      <c r="D135" s="17" t="n">
        <v>6267.5</v>
      </c>
      <c r="E135" s="17" t="n">
        <v>6267.5</v>
      </c>
      <c r="F135" s="16" t="inlineStr">
        <is>
          <t>صحيح</t>
        </is>
      </c>
      <c r="G135" s="16" t="inlineStr">
        <is>
          <t>فاتورة مبدئية 150، سجل العقود، كشف الحساب</t>
        </is>
      </c>
      <c r="H135" s="16" t="n"/>
      <c r="I135" s="16" t="inlineStr">
        <is>
          <t>شيت المبيعات (عقود الجملة)</t>
        </is>
      </c>
    </row>
    <row r="136">
      <c r="A136" s="16" t="n">
        <v>135</v>
      </c>
      <c r="B136" s="95" t="n">
        <v>46065</v>
      </c>
      <c r="C136" s="16" t="inlineStr">
        <is>
          <t>WHT-3828</t>
        </is>
      </c>
      <c r="D136" s="17" t="n">
        <v>5862.5</v>
      </c>
      <c r="E136" s="17" t="n">
        <v>5862.5</v>
      </c>
      <c r="F136" s="16" t="inlineStr">
        <is>
          <t>صحيح</t>
        </is>
      </c>
      <c r="G136" s="16" t="inlineStr">
        <is>
          <t>فاتورة مبدئية 151، سجل العقود، كشف الحساب</t>
        </is>
      </c>
      <c r="H136" s="16" t="n"/>
      <c r="I136" s="16" t="inlineStr">
        <is>
          <t>شيت المبيعات (عقود الجملة)</t>
        </is>
      </c>
    </row>
    <row r="137">
      <c r="A137" s="16" t="n">
        <v>136</v>
      </c>
      <c r="B137" s="95" t="n">
        <v>46067</v>
      </c>
      <c r="C137" s="16" t="inlineStr">
        <is>
          <t>WHT-3837</t>
        </is>
      </c>
      <c r="D137" s="17" t="n">
        <v>7380</v>
      </c>
      <c r="E137" s="17" t="n">
        <v>7380</v>
      </c>
      <c r="F137" s="16" t="inlineStr">
        <is>
          <t>صحيح</t>
        </is>
      </c>
      <c r="G137" s="16" t="inlineStr">
        <is>
          <t>فاتورة مبدئية 153، سجل العقود، كشف الحساب</t>
        </is>
      </c>
      <c r="H137" s="16" t="n"/>
      <c r="I137" s="16" t="inlineStr">
        <is>
          <t>شيت المبيعات (عقود الجملة)</t>
        </is>
      </c>
    </row>
    <row r="138">
      <c r="A138" s="16" t="n">
        <v>137</v>
      </c>
      <c r="B138" s="95" t="n">
        <v>46068</v>
      </c>
      <c r="C138" s="16" t="inlineStr">
        <is>
          <t>WHT-3851</t>
        </is>
      </c>
      <c r="D138" s="17" t="n">
        <v>5520</v>
      </c>
      <c r="E138" s="17" t="n">
        <v>5520</v>
      </c>
      <c r="F138" s="16" t="inlineStr">
        <is>
          <t>صحيح</t>
        </is>
      </c>
      <c r="G138" s="16" t="inlineStr">
        <is>
          <t>فاتورة مبدئية 155، سجل العقود، كشف الحساب</t>
        </is>
      </c>
      <c r="H138" s="16" t="n"/>
      <c r="I138" s="16" t="inlineStr">
        <is>
          <t>شيت المبيعات (عقود الجملة)</t>
        </is>
      </c>
    </row>
    <row r="139">
      <c r="A139" s="16" t="n">
        <v>138</v>
      </c>
      <c r="B139" s="95" t="n">
        <v>46069</v>
      </c>
      <c r="C139" s="16" t="inlineStr">
        <is>
          <t>WHT-3857</t>
        </is>
      </c>
      <c r="D139" s="17" t="n">
        <v>5447.75</v>
      </c>
      <c r="E139" s="17" t="n">
        <v>5447.75</v>
      </c>
      <c r="F139" s="16" t="inlineStr">
        <is>
          <t>صحيح</t>
        </is>
      </c>
      <c r="G139" s="16" t="inlineStr">
        <is>
          <t>فاتورة مبدئية 156، سجل العقود، كشف الحساب</t>
        </is>
      </c>
      <c r="H139" s="16" t="n"/>
      <c r="I139" s="16" t="inlineStr">
        <is>
          <t>شيت المبيعات (عقود الجملة)</t>
        </is>
      </c>
    </row>
    <row r="140">
      <c r="A140" s="16" t="n">
        <v>139</v>
      </c>
      <c r="B140" s="95" t="n">
        <v>46070</v>
      </c>
      <c r="C140" s="16" t="inlineStr">
        <is>
          <t>WHT-3864</t>
        </is>
      </c>
      <c r="D140" s="17" t="n">
        <v>6536.25</v>
      </c>
      <c r="E140" s="17" t="n">
        <v>6536.25</v>
      </c>
      <c r="F140" s="16" t="inlineStr">
        <is>
          <t>صحيح</t>
        </is>
      </c>
      <c r="G140" s="16" t="inlineStr">
        <is>
          <t>فاتورة مبدئية 157، سجل العقود، كشف الحساب</t>
        </is>
      </c>
      <c r="H140" s="16" t="n"/>
      <c r="I140" s="16" t="inlineStr">
        <is>
          <t>شيت المبيعات (عقود الجملة)</t>
        </is>
      </c>
    </row>
    <row r="141">
      <c r="A141" s="16" t="n">
        <v>140</v>
      </c>
      <c r="B141" s="95" t="n">
        <v>46071</v>
      </c>
      <c r="C141" s="16" t="inlineStr">
        <is>
          <t>WHT-3875</t>
        </is>
      </c>
      <c r="D141" s="17" t="n">
        <v>4275</v>
      </c>
      <c r="E141" s="17" t="n">
        <v>4275</v>
      </c>
      <c r="F141" s="16" t="inlineStr">
        <is>
          <t>صحيح</t>
        </is>
      </c>
      <c r="G141" s="16" t="inlineStr">
        <is>
          <t>فاتورة مبدئية 159، سجل العقود، كشف الحساب</t>
        </is>
      </c>
      <c r="H141" s="16" t="n"/>
      <c r="I141" s="16" t="inlineStr">
        <is>
          <t>شيت المبيعات (عقود الجملة)</t>
        </is>
      </c>
    </row>
    <row r="142">
      <c r="A142" s="16" t="n">
        <v>141</v>
      </c>
      <c r="B142" s="95" t="n">
        <v>46073</v>
      </c>
      <c r="C142" s="16" t="inlineStr">
        <is>
          <t>WHT-3885</t>
        </is>
      </c>
      <c r="D142" s="17" t="n">
        <v>5175</v>
      </c>
      <c r="E142" s="17" t="n">
        <v>5175</v>
      </c>
      <c r="F142" s="16" t="inlineStr">
        <is>
          <t>صحيح</t>
        </is>
      </c>
      <c r="G142" s="16" t="inlineStr">
        <is>
          <t>فاتورة مبدئية 161، سجل العقود، كشف الحساب</t>
        </is>
      </c>
      <c r="H142" s="16" t="n"/>
      <c r="I142" s="16" t="inlineStr">
        <is>
          <t>شيت المبيعات (عقود الجملة)</t>
        </is>
      </c>
    </row>
    <row r="143">
      <c r="A143" s="16" t="n">
        <v>142</v>
      </c>
      <c r="B143" s="95" t="n">
        <v>46074</v>
      </c>
      <c r="C143" s="16" t="inlineStr">
        <is>
          <t>WHT-3905</t>
        </is>
      </c>
      <c r="D143" s="17" t="n">
        <v>4030</v>
      </c>
      <c r="E143" s="17" t="n">
        <v>4030</v>
      </c>
      <c r="F143" s="16" t="inlineStr">
        <is>
          <t>صحيح</t>
        </is>
      </c>
      <c r="G143" s="16" t="inlineStr">
        <is>
          <t>فاتورة مبدئية 162، سجل العقود، كشف الحساب</t>
        </is>
      </c>
      <c r="H143" s="16" t="n"/>
      <c r="I143" s="16" t="inlineStr">
        <is>
          <t>شيت المبيعات (عقود الجملة)</t>
        </is>
      </c>
    </row>
    <row r="144">
      <c r="A144" s="16" t="n">
        <v>143</v>
      </c>
      <c r="B144" s="95" t="n">
        <v>46075</v>
      </c>
      <c r="C144" s="16" t="inlineStr">
        <is>
          <t>WHT-3909</t>
        </is>
      </c>
      <c r="D144" s="17" t="n">
        <v>2787.5</v>
      </c>
      <c r="E144" s="17" t="n">
        <v>2787.5</v>
      </c>
      <c r="F144" s="16" t="inlineStr">
        <is>
          <t>صحيح</t>
        </is>
      </c>
      <c r="G144" s="16" t="inlineStr">
        <is>
          <t>فاتورة مبدئية 163، سجل العقود، كشف الحساب</t>
        </is>
      </c>
      <c r="H144" s="16" t="n"/>
      <c r="I144" s="16" t="inlineStr">
        <is>
          <t>شيت المبيعات (عقود الجملة)</t>
        </is>
      </c>
    </row>
    <row r="145">
      <c r="A145" s="16" t="n">
        <v>144</v>
      </c>
      <c r="B145" s="95" t="n">
        <v>46076</v>
      </c>
      <c r="C145" s="16" t="inlineStr">
        <is>
          <t>WHT-3918</t>
        </is>
      </c>
      <c r="D145" s="17" t="n">
        <v>3787.5</v>
      </c>
      <c r="E145" s="17" t="n">
        <v>3787.5</v>
      </c>
      <c r="F145" s="16" t="inlineStr">
        <is>
          <t>صحيح</t>
        </is>
      </c>
      <c r="G145" s="16" t="inlineStr">
        <is>
          <t>فاتورة مبدئية 165، سجل العقود، كشف الحساب</t>
        </is>
      </c>
      <c r="H145" s="16" t="n"/>
      <c r="I145" s="16" t="inlineStr">
        <is>
          <t>شيت المبيعات (عقود الجملة)</t>
        </is>
      </c>
    </row>
    <row r="146">
      <c r="A146" s="16" t="n">
        <v>145</v>
      </c>
      <c r="B146" s="95" t="n">
        <v>46077</v>
      </c>
      <c r="C146" s="16" t="inlineStr">
        <is>
          <t>WHT-3924</t>
        </is>
      </c>
      <c r="D146" s="17" t="n">
        <v>2020</v>
      </c>
      <c r="E146" s="17" t="n">
        <v>2020</v>
      </c>
      <c r="F146" s="16" t="inlineStr">
        <is>
          <t>صحيح</t>
        </is>
      </c>
      <c r="G146" s="16" t="inlineStr">
        <is>
          <t>فاتورة مبدئية 167، سجل العقود، كشف الحساب</t>
        </is>
      </c>
      <c r="H146" s="16" t="n"/>
      <c r="I146" s="16" t="inlineStr">
        <is>
          <t>شيت المبيعات (عقود الجملة)</t>
        </is>
      </c>
    </row>
    <row r="147">
      <c r="A147" s="16" t="n">
        <v>146</v>
      </c>
      <c r="B147" s="95" t="n">
        <v>46078</v>
      </c>
      <c r="C147" s="16" t="inlineStr">
        <is>
          <t>WHT-3934</t>
        </is>
      </c>
      <c r="D147" s="17" t="n">
        <v>2790</v>
      </c>
      <c r="E147" s="17" t="n">
        <v>2790</v>
      </c>
      <c r="F147" s="16" t="inlineStr">
        <is>
          <t>صحيح</t>
        </is>
      </c>
      <c r="G147" s="16" t="inlineStr">
        <is>
          <t>فاتورة مبدئية 169، سجل العقود، كشف الحساب</t>
        </is>
      </c>
      <c r="H147" s="16" t="n"/>
      <c r="I147" s="16" t="inlineStr">
        <is>
          <t>شيت المبيعات (عقود الجملة)</t>
        </is>
      </c>
    </row>
    <row r="148">
      <c r="A148" s="16" t="n">
        <v>147</v>
      </c>
      <c r="B148" s="95" t="n">
        <v>46081</v>
      </c>
      <c r="C148" s="16" t="inlineStr">
        <is>
          <t>WHT-3946</t>
        </is>
      </c>
      <c r="D148" s="17" t="n">
        <v>2575</v>
      </c>
      <c r="E148" s="17" t="n">
        <v>2575</v>
      </c>
      <c r="F148" s="16" t="inlineStr">
        <is>
          <t>صحيح</t>
        </is>
      </c>
      <c r="G148" s="16" t="inlineStr">
        <is>
          <t>فاتورة مبدئية 170، سجل العقود، كشف الحساب</t>
        </is>
      </c>
      <c r="H148" s="16" t="n"/>
      <c r="I148" s="16" t="inlineStr">
        <is>
          <t>شيت المبيعات (عقود الجملة)</t>
        </is>
      </c>
    </row>
    <row r="149">
      <c r="A149" s="16" t="n">
        <v>148</v>
      </c>
      <c r="B149" s="95" t="n">
        <v>46082</v>
      </c>
      <c r="C149" s="16" t="inlineStr">
        <is>
          <t>WHT-3951</t>
        </is>
      </c>
      <c r="D149" s="17" t="n">
        <v>3205</v>
      </c>
      <c r="E149" s="17" t="n">
        <v>3205</v>
      </c>
      <c r="F149" s="16" t="inlineStr">
        <is>
          <t>صحيح</t>
        </is>
      </c>
      <c r="G149" s="16" t="inlineStr">
        <is>
          <t>فاتورة مبدئية 171، سجل العقود، كشف الحساب</t>
        </is>
      </c>
      <c r="H149" s="16" t="n"/>
      <c r="I149" s="16" t="inlineStr">
        <is>
          <t>شيت المبيعات (عقود الجملة)</t>
        </is>
      </c>
    </row>
    <row r="150">
      <c r="A150" s="16" t="n">
        <v>149</v>
      </c>
      <c r="B150" s="95" t="n">
        <v>46083</v>
      </c>
      <c r="C150" s="16" t="inlineStr">
        <is>
          <t>WHT-3955</t>
        </is>
      </c>
      <c r="D150" s="17" t="n">
        <v>1665</v>
      </c>
      <c r="E150" s="17" t="n">
        <v>1665</v>
      </c>
      <c r="F150" s="16" t="inlineStr">
        <is>
          <t>صحيح</t>
        </is>
      </c>
      <c r="G150" s="16" t="inlineStr">
        <is>
          <t>فاتورة مبدئية 172، سجل العقود، كشف الحساب</t>
        </is>
      </c>
      <c r="H150" s="16" t="n"/>
      <c r="I150" s="16" t="inlineStr">
        <is>
          <t>شيت المبيعات (عقود الجملة)</t>
        </is>
      </c>
    </row>
    <row r="151">
      <c r="A151" s="16" t="n">
        <v>150</v>
      </c>
      <c r="B151" s="95" t="n">
        <v>46086</v>
      </c>
      <c r="C151" s="16" t="inlineStr">
        <is>
          <t>WHT-3966</t>
        </is>
      </c>
      <c r="D151" s="17" t="n">
        <v>1320</v>
      </c>
      <c r="E151" s="17" t="n">
        <v>1320</v>
      </c>
      <c r="F151" s="16" t="inlineStr">
        <is>
          <t>صحيح</t>
        </is>
      </c>
      <c r="G151" s="16" t="inlineStr">
        <is>
          <t>فاتورة مبدئية 175، سجل العقود، كشف الحساب</t>
        </is>
      </c>
      <c r="H151" s="16" t="n"/>
      <c r="I151" s="16" t="inlineStr">
        <is>
          <t>شيت المبيعات (عقود الجملة)</t>
        </is>
      </c>
    </row>
    <row r="152">
      <c r="A152" s="16" t="n">
        <v>151</v>
      </c>
      <c r="B152" s="95" t="n">
        <v>46088</v>
      </c>
      <c r="C152" s="16" t="inlineStr">
        <is>
          <t>WHT-3968</t>
        </is>
      </c>
      <c r="D152" s="17" t="n">
        <v>1910</v>
      </c>
      <c r="E152" s="17" t="n">
        <v>1910</v>
      </c>
      <c r="F152" s="16" t="inlineStr">
        <is>
          <t>صحيح</t>
        </is>
      </c>
      <c r="G152" s="16" t="inlineStr">
        <is>
          <t>فاتورة مبدئية 176، سجل العقود، كشف الحساب</t>
        </is>
      </c>
      <c r="H152" s="16" t="n"/>
      <c r="I152" s="16" t="inlineStr">
        <is>
          <t>شيت المبيعات (عقود الجملة)</t>
        </is>
      </c>
    </row>
    <row r="153">
      <c r="A153" s="16" t="n">
        <v>152</v>
      </c>
      <c r="B153" s="95" t="n">
        <v>46089</v>
      </c>
      <c r="C153" s="16" t="inlineStr">
        <is>
          <t>WHT-3978</t>
        </is>
      </c>
      <c r="D153" s="17" t="n">
        <v>2537.5</v>
      </c>
      <c r="E153" s="17" t="n">
        <v>2537.5</v>
      </c>
      <c r="F153" s="16" t="inlineStr">
        <is>
          <t>صحيح</t>
        </is>
      </c>
      <c r="G153" s="16" t="inlineStr">
        <is>
          <t>فاتورة مبدئية 177، سجل العقود، كشف الحساب</t>
        </is>
      </c>
      <c r="H153" s="16" t="n"/>
      <c r="I153" s="16" t="inlineStr">
        <is>
          <t>شيت المبيعات (عقود الجملة)</t>
        </is>
      </c>
    </row>
    <row r="154">
      <c r="A154" s="16" t="n">
        <v>153</v>
      </c>
      <c r="B154" s="95" t="n">
        <v>46090</v>
      </c>
      <c r="C154" s="16" t="inlineStr">
        <is>
          <t>WHT-3988</t>
        </is>
      </c>
      <c r="D154" s="17" t="n">
        <v>1762.5</v>
      </c>
      <c r="E154" s="17" t="n">
        <v>1762.5</v>
      </c>
      <c r="F154" s="16" t="inlineStr">
        <is>
          <t>صحيح</t>
        </is>
      </c>
      <c r="G154" s="16" t="inlineStr">
        <is>
          <t>فاتورة مبدئية 178، سجل العقود، كشف الحساب</t>
        </is>
      </c>
      <c r="H154" s="16" t="n"/>
      <c r="I154" s="16" t="inlineStr">
        <is>
          <t>شيت المبيعات (عقود الجملة)</t>
        </is>
      </c>
    </row>
    <row r="155">
      <c r="A155" s="16" t="n">
        <v>154</v>
      </c>
      <c r="B155" s="95" t="n">
        <v>46091</v>
      </c>
      <c r="C155" s="16" t="inlineStr">
        <is>
          <t>WHT-3993</t>
        </is>
      </c>
      <c r="D155" s="17" t="n">
        <v>1261.25</v>
      </c>
      <c r="E155" s="17" t="n">
        <v>1261.25</v>
      </c>
      <c r="F155" s="16" t="inlineStr">
        <is>
          <t>صحيح</t>
        </is>
      </c>
      <c r="G155" s="16" t="inlineStr">
        <is>
          <t>فاتورة مبدئية 180، سجل العقود، كشف الحساب</t>
        </is>
      </c>
      <c r="H155" s="16" t="n"/>
      <c r="I155" s="16" t="inlineStr">
        <is>
          <t>شيت المبيعات (عقود الجملة)</t>
        </is>
      </c>
    </row>
    <row r="156">
      <c r="A156" s="16" t="n">
        <v>155</v>
      </c>
      <c r="B156" s="95" t="n">
        <v>46092</v>
      </c>
      <c r="C156" s="16" t="inlineStr">
        <is>
          <t>WHT-3999</t>
        </is>
      </c>
      <c r="D156" s="17" t="n">
        <v>3133.75</v>
      </c>
      <c r="E156" s="17" t="n">
        <v>3133.75</v>
      </c>
      <c r="F156" s="16" t="inlineStr">
        <is>
          <t>صحيح</t>
        </is>
      </c>
      <c r="G156" s="16" t="inlineStr">
        <is>
          <t>فاتورة مبدئية 181، سجل العقود، كشف الحساب</t>
        </is>
      </c>
      <c r="H156" s="16" t="n"/>
      <c r="I156" s="16" t="inlineStr">
        <is>
          <t>شيت المبيعات (عقود الجملة)</t>
        </is>
      </c>
    </row>
    <row r="157">
      <c r="A157" s="16" t="n">
        <v>156</v>
      </c>
      <c r="B157" s="95" t="n">
        <v>46093</v>
      </c>
      <c r="C157" s="16" t="inlineStr">
        <is>
          <t>WHT-4010</t>
        </is>
      </c>
      <c r="D157" s="17" t="n">
        <v>1870</v>
      </c>
      <c r="E157" s="17" t="n">
        <v>1870</v>
      </c>
      <c r="F157" s="16" t="inlineStr">
        <is>
          <t>صحيح</t>
        </is>
      </c>
      <c r="G157" s="16" t="inlineStr">
        <is>
          <t>فاتورة مبدئية 182، سجل العقود، كشف الحساب</t>
        </is>
      </c>
      <c r="H157" s="16" t="n"/>
      <c r="I157" s="16" t="inlineStr">
        <is>
          <t>شيت المبيعات (عقود الجملة)</t>
        </is>
      </c>
    </row>
    <row r="158">
      <c r="A158" s="16" t="n">
        <v>157</v>
      </c>
      <c r="B158" s="95" t="n">
        <v>46094</v>
      </c>
      <c r="C158" s="16" t="inlineStr">
        <is>
          <t>WHT-4015</t>
        </is>
      </c>
      <c r="D158" s="17" t="n">
        <v>2212.5</v>
      </c>
      <c r="E158" s="17" t="n">
        <v>2212.5</v>
      </c>
      <c r="F158" s="16" t="inlineStr">
        <is>
          <t>صحيح</t>
        </is>
      </c>
      <c r="G158" s="16" t="inlineStr">
        <is>
          <t>فاتورة مبدئية 183، سجل العقود، كشف الحساب</t>
        </is>
      </c>
      <c r="H158" s="16" t="n"/>
      <c r="I158" s="16" t="inlineStr">
        <is>
          <t>شيت المبيعات (عقود الجملة)</t>
        </is>
      </c>
    </row>
    <row r="159">
      <c r="A159" s="16" t="n">
        <v>158</v>
      </c>
      <c r="B159" s="95" t="n">
        <v>46095</v>
      </c>
      <c r="C159" s="16" t="inlineStr">
        <is>
          <t>WHT-4018</t>
        </is>
      </c>
      <c r="D159" s="17" t="n">
        <v>3240</v>
      </c>
      <c r="E159" s="17" t="n">
        <v>3240</v>
      </c>
      <c r="F159" s="16" t="inlineStr">
        <is>
          <t>صحيح</t>
        </is>
      </c>
      <c r="G159" s="16" t="inlineStr">
        <is>
          <t>فاتورة مبدئية 185، سجل العقود، كشف الحساب</t>
        </is>
      </c>
      <c r="H159" s="16" t="n"/>
      <c r="I159" s="16" t="inlineStr">
        <is>
          <t>شيت المبيعات (عقود الجملة)</t>
        </is>
      </c>
    </row>
    <row r="160">
      <c r="A160" s="16" t="n">
        <v>159</v>
      </c>
      <c r="B160" s="95" t="n">
        <v>46096</v>
      </c>
      <c r="C160" s="16" t="inlineStr">
        <is>
          <t>WHT-4022</t>
        </is>
      </c>
      <c r="D160" s="17" t="n">
        <v>2180</v>
      </c>
      <c r="E160" s="17" t="n">
        <v>2180</v>
      </c>
      <c r="F160" s="16" t="inlineStr">
        <is>
          <t>صحيح</t>
        </is>
      </c>
      <c r="G160" s="16" t="inlineStr">
        <is>
          <t>فاتورة مبدئية 186، سجل العقود، كشف الحساب</t>
        </is>
      </c>
      <c r="H160" s="16" t="n"/>
      <c r="I160" s="16" t="inlineStr">
        <is>
          <t>شيت المبيعات (عقود الجملة)</t>
        </is>
      </c>
    </row>
    <row r="161">
      <c r="A161" s="16" t="n">
        <v>160</v>
      </c>
      <c r="B161" s="95" t="n">
        <v>46097</v>
      </c>
      <c r="C161" s="16" t="inlineStr">
        <is>
          <t>WHT-4034</t>
        </is>
      </c>
      <c r="D161" s="17" t="n">
        <v>1117.5</v>
      </c>
      <c r="E161" s="17" t="n">
        <v>1117.5</v>
      </c>
      <c r="F161" s="16" t="inlineStr">
        <is>
          <t>صحيح</t>
        </is>
      </c>
      <c r="G161" s="16" t="inlineStr">
        <is>
          <t>فاتورة مبدئية 187، سجل العقود، كشف الحساب</t>
        </is>
      </c>
      <c r="H161" s="16" t="n"/>
      <c r="I161" s="16" t="inlineStr">
        <is>
          <t>شيت المبيعات (عقود الجملة)</t>
        </is>
      </c>
    </row>
    <row r="162">
      <c r="A162" s="16" t="n">
        <v>161</v>
      </c>
      <c r="B162" s="95" t="n">
        <v>46098</v>
      </c>
      <c r="C162" s="16" t="inlineStr">
        <is>
          <t>WHT-4048</t>
        </is>
      </c>
      <c r="D162" s="17" t="n">
        <v>1710</v>
      </c>
      <c r="E162" s="17" t="n">
        <v>1710</v>
      </c>
      <c r="F162" s="16" t="inlineStr">
        <is>
          <t>صحيح</t>
        </is>
      </c>
      <c r="G162" s="16" t="inlineStr">
        <is>
          <t>فاتورة مبدئية 188، سجل العقود، كشف الحساب</t>
        </is>
      </c>
      <c r="H162" s="16" t="n"/>
      <c r="I162" s="16" t="inlineStr">
        <is>
          <t>شيت المبيعات (عقود الجملة)</t>
        </is>
      </c>
    </row>
    <row r="163">
      <c r="A163" s="16" t="n">
        <v>162</v>
      </c>
      <c r="B163" s="95" t="n">
        <v>46100</v>
      </c>
      <c r="C163" s="16" t="inlineStr">
        <is>
          <t>WHT-4052</t>
        </is>
      </c>
      <c r="D163" s="17" t="n">
        <v>3332.5</v>
      </c>
      <c r="E163" s="17" t="n">
        <v>3332.5</v>
      </c>
      <c r="F163" s="16" t="inlineStr">
        <is>
          <t>صحيح</t>
        </is>
      </c>
      <c r="G163" s="16" t="inlineStr">
        <is>
          <t>فاتورة مبدئية 190، سجل العقود، كشف الحساب</t>
        </is>
      </c>
      <c r="H163" s="16" t="n"/>
      <c r="I163" s="16" t="inlineStr">
        <is>
          <t>شيت المبيعات (عقود الجملة)</t>
        </is>
      </c>
    </row>
    <row r="164">
      <c r="A164" s="18" t="n">
        <v>163</v>
      </c>
      <c r="B164" s="98" t="n">
        <v>46106</v>
      </c>
      <c r="C164" s="18" t="inlineStr">
        <is>
          <t>WHT-4062</t>
        </is>
      </c>
      <c r="D164" s="19" t="n">
        <v>636.25</v>
      </c>
      <c r="E164" s="19" t="n">
        <v>636.25</v>
      </c>
      <c r="F164" s="18" t="inlineStr">
        <is>
          <t>صحيح (تصحيح رقم)</t>
        </is>
      </c>
      <c r="G164" s="18" t="inlineStr">
        <is>
          <t>فاتورة مبدئية 191، سجل العقود</t>
        </is>
      </c>
      <c r="H164" s="18" t="inlineStr">
        <is>
          <t>رقم العقد مكرر في شيت المحاسب – الصحيح WHT-4062</t>
        </is>
      </c>
      <c r="I164" s="16" t="inlineStr">
        <is>
          <t>شيت المبيعات (عقود الجملة)</t>
        </is>
      </c>
    </row>
    <row r="165">
      <c r="A165" s="16" t="n">
        <v>164</v>
      </c>
      <c r="B165" s="95" t="n">
        <v>46107</v>
      </c>
      <c r="C165" s="16" t="inlineStr">
        <is>
          <t>WHT-4065</t>
        </is>
      </c>
      <c r="D165" s="17" t="n">
        <v>543.75</v>
      </c>
      <c r="E165" s="17" t="n">
        <v>543.75</v>
      </c>
      <c r="F165" s="16" t="inlineStr">
        <is>
          <t>صحيح</t>
        </is>
      </c>
      <c r="G165" s="16" t="inlineStr">
        <is>
          <t>فاتورة مبدئية 192، سجل العقود، كشف الحساب</t>
        </is>
      </c>
      <c r="H165" s="16" t="n"/>
      <c r="I165" s="16" t="inlineStr">
        <is>
          <t>شيت المبيعات (عقود الجملة)</t>
        </is>
      </c>
    </row>
    <row r="166">
      <c r="A166" s="16" t="n">
        <v>165</v>
      </c>
      <c r="B166" s="95" t="n">
        <v>46110</v>
      </c>
      <c r="C166" s="16" t="inlineStr">
        <is>
          <t>WHT-4075</t>
        </is>
      </c>
      <c r="D166" s="17" t="n">
        <v>1140</v>
      </c>
      <c r="E166" s="17" t="n">
        <v>1140</v>
      </c>
      <c r="F166" s="16" t="inlineStr">
        <is>
          <t>صحيح</t>
        </is>
      </c>
      <c r="G166" s="16" t="inlineStr">
        <is>
          <t>فاتورة مبدئية 193، سجل العقود، كشف الحساب</t>
        </is>
      </c>
      <c r="H166" s="16" t="n"/>
      <c r="I166" s="16" t="inlineStr">
        <is>
          <t>شيت المبيعات (عقود الجملة)</t>
        </is>
      </c>
    </row>
    <row r="167">
      <c r="A167" s="16" t="n">
        <v>166</v>
      </c>
      <c r="B167" s="95" t="n">
        <v>46111</v>
      </c>
      <c r="C167" s="16" t="inlineStr">
        <is>
          <t>WHT-4086</t>
        </is>
      </c>
      <c r="D167" s="17" t="n">
        <v>255</v>
      </c>
      <c r="E167" s="17" t="n">
        <v>255</v>
      </c>
      <c r="F167" s="16" t="inlineStr">
        <is>
          <t>صحيح</t>
        </is>
      </c>
      <c r="G167" s="16" t="inlineStr">
        <is>
          <t>فاتورة مبدئية 194، سجل العقود، كشف الحساب</t>
        </is>
      </c>
      <c r="H167" s="16" t="n"/>
      <c r="I167" s="16" t="inlineStr">
        <is>
          <t>شيت المبيعات (عقود الجملة)</t>
        </is>
      </c>
    </row>
    <row r="168">
      <c r="A168" s="16" t="n">
        <v>167</v>
      </c>
      <c r="B168" s="95" t="n">
        <v>46112</v>
      </c>
      <c r="C168" s="16" t="inlineStr">
        <is>
          <t>WHT-4092</t>
        </is>
      </c>
      <c r="D168" s="17" t="n">
        <v>1306.75</v>
      </c>
      <c r="E168" s="17" t="n">
        <v>1306.75</v>
      </c>
      <c r="F168" s="16" t="inlineStr">
        <is>
          <t>صحيح</t>
        </is>
      </c>
      <c r="G168" s="16" t="inlineStr">
        <is>
          <t>فاتورة مبدئية 195، سجل العقود، كشف الحساب</t>
        </is>
      </c>
      <c r="H168" s="16" t="n"/>
      <c r="I168" s="16" t="inlineStr">
        <is>
          <t>شيت المبيعات (عقود الجملة)</t>
        </is>
      </c>
    </row>
    <row r="169">
      <c r="A169" s="16" t="n">
        <v>168</v>
      </c>
      <c r="B169" s="95" t="n">
        <v>46113</v>
      </c>
      <c r="C169" s="16" t="inlineStr">
        <is>
          <t>WHT-4097</t>
        </is>
      </c>
      <c r="D169" s="17" t="n">
        <v>675</v>
      </c>
      <c r="E169" s="17" t="n">
        <v>675</v>
      </c>
      <c r="F169" s="16" t="inlineStr">
        <is>
          <t>صحيح</t>
        </is>
      </c>
      <c r="G169" s="16" t="inlineStr">
        <is>
          <t>فاتورة مبدئية 196، سجل العقود، كشف الحساب</t>
        </is>
      </c>
      <c r="H169" s="16" t="n"/>
      <c r="I169" s="16" t="inlineStr">
        <is>
          <t>شيت المبيعات (عقود الجملة)</t>
        </is>
      </c>
    </row>
    <row r="170">
      <c r="A170" s="16" t="n">
        <v>169</v>
      </c>
      <c r="B170" s="95" t="n">
        <v>46114</v>
      </c>
      <c r="C170" s="16" t="inlineStr">
        <is>
          <t>WHT-4103</t>
        </is>
      </c>
      <c r="D170" s="17" t="n">
        <v>590</v>
      </c>
      <c r="E170" s="17" t="n">
        <v>590</v>
      </c>
      <c r="F170" s="16" t="inlineStr">
        <is>
          <t>صحيح</t>
        </is>
      </c>
      <c r="G170" s="16" t="inlineStr">
        <is>
          <t>فاتورة مبدئية 197، سجل العقود، كشف الحساب</t>
        </is>
      </c>
      <c r="H170" s="16" t="n"/>
      <c r="I170" s="16" t="inlineStr">
        <is>
          <t>شيت المبيعات (عقود الجملة)</t>
        </is>
      </c>
    </row>
    <row r="171">
      <c r="A171" s="16" t="n">
        <v>170</v>
      </c>
      <c r="B171" s="95" t="n">
        <v>46116</v>
      </c>
      <c r="C171" s="16" t="inlineStr">
        <is>
          <t>WHT-4108</t>
        </is>
      </c>
      <c r="D171" s="17" t="n">
        <v>722.5</v>
      </c>
      <c r="E171" s="17" t="n">
        <v>722.5</v>
      </c>
      <c r="F171" s="16" t="inlineStr">
        <is>
          <t>صحيح</t>
        </is>
      </c>
      <c r="G171" s="16" t="inlineStr">
        <is>
          <t>فاتورة مبدئية 198، سجل العقود، كشف الحساب</t>
        </is>
      </c>
      <c r="H171" s="16" t="n"/>
      <c r="I171" s="16" t="inlineStr">
        <is>
          <t>شيت المبيعات (عقود الجملة)</t>
        </is>
      </c>
    </row>
    <row r="172">
      <c r="A172" s="16" t="n">
        <v>171</v>
      </c>
      <c r="B172" s="95" t="n">
        <v>46117</v>
      </c>
      <c r="C172" s="16" t="inlineStr">
        <is>
          <t>WHT-4112</t>
        </is>
      </c>
      <c r="D172" s="17" t="n">
        <v>2030</v>
      </c>
      <c r="E172" s="17" t="n">
        <v>2030</v>
      </c>
      <c r="F172" s="16" t="inlineStr">
        <is>
          <t>صحيح</t>
        </is>
      </c>
      <c r="G172" s="16" t="inlineStr">
        <is>
          <t>فاتورة مبدئية 199، سجل العقود، كشف الحساب</t>
        </is>
      </c>
      <c r="H172" s="16" t="n"/>
      <c r="I172" s="16" t="inlineStr">
        <is>
          <t>شيت المبيعات (عقود الجملة)</t>
        </is>
      </c>
    </row>
    <row r="173">
      <c r="A173" s="16" t="n">
        <v>172</v>
      </c>
      <c r="B173" s="95" t="n">
        <v>46118</v>
      </c>
      <c r="C173" s="16" t="inlineStr">
        <is>
          <t>WHT-4128</t>
        </is>
      </c>
      <c r="D173" s="17" t="n">
        <v>2650</v>
      </c>
      <c r="E173" s="17" t="n">
        <v>2650</v>
      </c>
      <c r="F173" s="16" t="inlineStr">
        <is>
          <t>صحيح</t>
        </is>
      </c>
      <c r="G173" s="16" t="inlineStr">
        <is>
          <t>فاتورة مبدئية 200، سجل العقود، كشف الحساب</t>
        </is>
      </c>
      <c r="H173" s="16" t="n"/>
      <c r="I173" s="16" t="inlineStr">
        <is>
          <t>شيت المبيعات (عقود الجملة)</t>
        </is>
      </c>
    </row>
    <row r="174">
      <c r="A174" s="16" t="n">
        <v>173</v>
      </c>
      <c r="B174" s="95" t="n">
        <v>46119</v>
      </c>
      <c r="C174" s="16" t="inlineStr">
        <is>
          <t>WHT-4134</t>
        </is>
      </c>
      <c r="D174" s="17" t="n">
        <v>1000</v>
      </c>
      <c r="E174" s="17" t="n">
        <v>1000</v>
      </c>
      <c r="F174" s="16" t="inlineStr">
        <is>
          <t>صحيح</t>
        </is>
      </c>
      <c r="G174" s="16" t="inlineStr">
        <is>
          <t>فاتورة مبدئية 202، سجل العقود، كشف الحساب</t>
        </is>
      </c>
      <c r="H174" s="16" t="n"/>
      <c r="I174" s="16" t="inlineStr">
        <is>
          <t>شيت المبيعات (عقود الجملة)</t>
        </is>
      </c>
    </row>
    <row r="175">
      <c r="A175" s="16" t="n">
        <v>174</v>
      </c>
      <c r="B175" s="95" t="n">
        <v>46121</v>
      </c>
      <c r="C175" s="16" t="inlineStr">
        <is>
          <t>WHT-4149</t>
        </is>
      </c>
      <c r="D175" s="17" t="n">
        <v>500</v>
      </c>
      <c r="E175" s="17" t="n">
        <v>500</v>
      </c>
      <c r="F175" s="16" t="inlineStr">
        <is>
          <t>صحيح</t>
        </is>
      </c>
      <c r="G175" s="16" t="inlineStr">
        <is>
          <t>فاتورة مبدئية 203، سجل العقود، كشف الحساب</t>
        </is>
      </c>
      <c r="H175" s="16" t="n"/>
      <c r="I175" s="16" t="inlineStr">
        <is>
          <t>شيت المبيعات (عقود الجملة)</t>
        </is>
      </c>
    </row>
    <row r="176">
      <c r="A176" s="16" t="n">
        <v>175</v>
      </c>
      <c r="B176" s="95" t="n">
        <v>46123</v>
      </c>
      <c r="C176" s="16" t="inlineStr">
        <is>
          <t>WHT-4152</t>
        </is>
      </c>
      <c r="D176" s="17" t="n">
        <v>1335</v>
      </c>
      <c r="E176" s="17" t="n">
        <v>1335</v>
      </c>
      <c r="F176" s="16" t="inlineStr">
        <is>
          <t>صحيح</t>
        </is>
      </c>
      <c r="G176" s="16" t="inlineStr">
        <is>
          <t>فاتورة مبدئية 204، سجل العقود، كشف الحساب</t>
        </is>
      </c>
      <c r="H176" s="16" t="n"/>
      <c r="I176" s="16" t="inlineStr">
        <is>
          <t>شيت المبيعات (عقود الجملة)</t>
        </is>
      </c>
    </row>
    <row r="177">
      <c r="A177" s="16" t="n">
        <v>176</v>
      </c>
      <c r="B177" s="95" t="n">
        <v>46127</v>
      </c>
      <c r="C177" s="16" t="inlineStr">
        <is>
          <t>WHT-4181</t>
        </is>
      </c>
      <c r="D177" s="17" t="n">
        <v>1195</v>
      </c>
      <c r="E177" s="17" t="n">
        <v>1195</v>
      </c>
      <c r="F177" s="16" t="inlineStr">
        <is>
          <t>صحيح</t>
        </is>
      </c>
      <c r="G177" s="16" t="inlineStr">
        <is>
          <t>فاتورة مبدئية 206، سجل العقود، كشف الحساب</t>
        </is>
      </c>
      <c r="H177" s="16" t="n"/>
      <c r="I177" s="16" t="inlineStr">
        <is>
          <t>شيت المبيعات (عقود الجملة)</t>
        </is>
      </c>
    </row>
    <row r="178">
      <c r="A178" s="16" t="n">
        <v>177</v>
      </c>
      <c r="B178" s="95" t="n">
        <v>46130</v>
      </c>
      <c r="C178" s="16" t="inlineStr">
        <is>
          <t>WHT-4187</t>
        </is>
      </c>
      <c r="D178" s="17" t="n">
        <v>2850</v>
      </c>
      <c r="E178" s="17" t="n">
        <v>2850</v>
      </c>
      <c r="F178" s="16" t="inlineStr">
        <is>
          <t>صحيح</t>
        </is>
      </c>
      <c r="G178" s="16" t="inlineStr">
        <is>
          <t>فاتورة مبدئية 209، سجل العقود، كشف الحساب</t>
        </is>
      </c>
      <c r="H178" s="16" t="n"/>
      <c r="I178" s="16" t="inlineStr">
        <is>
          <t>شيت المبيعات (عقود الجملة)</t>
        </is>
      </c>
    </row>
    <row r="179">
      <c r="A179" s="16" t="n">
        <v>178</v>
      </c>
      <c r="B179" s="95" t="n">
        <v>46131</v>
      </c>
      <c r="C179" s="16" t="inlineStr">
        <is>
          <t>WHT-4191</t>
        </is>
      </c>
      <c r="D179" s="17" t="n">
        <v>1400</v>
      </c>
      <c r="E179" s="17" t="n">
        <v>1400</v>
      </c>
      <c r="F179" s="16" t="inlineStr">
        <is>
          <t>صحيح</t>
        </is>
      </c>
      <c r="G179" s="16" t="inlineStr">
        <is>
          <t>فاتورة مبدئية 210، سجل العقود، كشف الحساب</t>
        </is>
      </c>
      <c r="H179" s="16" t="n"/>
      <c r="I179" s="16" t="inlineStr">
        <is>
          <t>شيت المبيعات (عقود الجملة)</t>
        </is>
      </c>
    </row>
    <row r="180">
      <c r="A180" s="16" t="n">
        <v>179</v>
      </c>
      <c r="B180" s="95" t="n">
        <v>46132</v>
      </c>
      <c r="C180" s="16" t="inlineStr">
        <is>
          <t>WHT-4193</t>
        </is>
      </c>
      <c r="D180" s="17" t="n">
        <v>1390</v>
      </c>
      <c r="E180" s="17" t="n">
        <v>1390</v>
      </c>
      <c r="F180" s="16" t="inlineStr">
        <is>
          <t>صحيح</t>
        </is>
      </c>
      <c r="G180" s="16" t="inlineStr">
        <is>
          <t>فاتورة مبدئية 212، سجل العقود، كشف الحساب</t>
        </is>
      </c>
      <c r="H180" s="16" t="n"/>
      <c r="I180" s="16" t="inlineStr">
        <is>
          <t>شيت المبيعات (عقود الجملة)</t>
        </is>
      </c>
    </row>
    <row r="181">
      <c r="A181" s="16" t="n">
        <v>180</v>
      </c>
      <c r="B181" s="95" t="n">
        <v>46133</v>
      </c>
      <c r="C181" s="16" t="inlineStr">
        <is>
          <t>WHT-4198</t>
        </is>
      </c>
      <c r="D181" s="17" t="n">
        <v>555</v>
      </c>
      <c r="E181" s="17" t="n">
        <v>555</v>
      </c>
      <c r="F181" s="16" t="inlineStr">
        <is>
          <t>صحيح</t>
        </is>
      </c>
      <c r="G181" s="16" t="inlineStr">
        <is>
          <t>فاتورة مبدئية 213، سجل العقود، كشف الحساب</t>
        </is>
      </c>
      <c r="H181" s="16" t="n"/>
      <c r="I181" s="16" t="inlineStr">
        <is>
          <t>شيت المبيعات (عقود الجملة)</t>
        </is>
      </c>
    </row>
    <row r="182">
      <c r="A182" s="16" t="n">
        <v>181</v>
      </c>
      <c r="B182" s="95" t="n">
        <v>46134</v>
      </c>
      <c r="C182" s="16" t="inlineStr">
        <is>
          <t>WHT-4207</t>
        </is>
      </c>
      <c r="D182" s="17" t="n">
        <v>2160</v>
      </c>
      <c r="E182" s="17" t="n">
        <v>2160</v>
      </c>
      <c r="F182" s="16" t="inlineStr">
        <is>
          <t>صحيح</t>
        </is>
      </c>
      <c r="G182" s="16" t="inlineStr">
        <is>
          <t>فاتورة مبدئية 216، سجل العقود، كشف الحساب</t>
        </is>
      </c>
      <c r="H182" s="16" t="n"/>
      <c r="I182" s="16" t="inlineStr">
        <is>
          <t>شيت المبيعات (عقود الجملة)</t>
        </is>
      </c>
    </row>
    <row r="183">
      <c r="A183" s="16" t="n">
        <v>182</v>
      </c>
      <c r="B183" s="95" t="n">
        <v>46137</v>
      </c>
      <c r="C183" s="16" t="inlineStr">
        <is>
          <t>WHT-4214</t>
        </is>
      </c>
      <c r="D183" s="17" t="n">
        <v>2157.5</v>
      </c>
      <c r="E183" s="17" t="n">
        <v>2157.5</v>
      </c>
      <c r="F183" s="16" t="inlineStr">
        <is>
          <t>صحيح</t>
        </is>
      </c>
      <c r="G183" s="16" t="inlineStr">
        <is>
          <t>فاتورة مبدئية 218، سجل العقود، كشف الحساب</t>
        </is>
      </c>
      <c r="H183" s="16" t="n"/>
      <c r="I183" s="16" t="inlineStr">
        <is>
          <t>شيت المبيعات (عقود الجملة)</t>
        </is>
      </c>
    </row>
    <row r="184">
      <c r="A184" s="16" t="n">
        <v>183</v>
      </c>
      <c r="B184" s="95" t="n">
        <v>46138</v>
      </c>
      <c r="C184" s="16" t="inlineStr">
        <is>
          <t>WHT-4219</t>
        </is>
      </c>
      <c r="D184" s="17" t="n">
        <v>1835</v>
      </c>
      <c r="E184" s="17" t="n">
        <v>1835</v>
      </c>
      <c r="F184" s="16" t="inlineStr">
        <is>
          <t>صحيح</t>
        </is>
      </c>
      <c r="G184" s="16" t="inlineStr">
        <is>
          <t>فاتورة مبدئية 220، سجل العقود، كشف الحساب</t>
        </is>
      </c>
      <c r="H184" s="16" t="n"/>
      <c r="I184" s="16" t="inlineStr">
        <is>
          <t>شيت المبيعات (عقود الجملة)</t>
        </is>
      </c>
    </row>
    <row r="185">
      <c r="A185" s="16" t="n">
        <v>184</v>
      </c>
      <c r="B185" s="95" t="n">
        <v>46139</v>
      </c>
      <c r="C185" s="16" t="inlineStr">
        <is>
          <t>WHT-4226</t>
        </is>
      </c>
      <c r="D185" s="17" t="n">
        <v>1327.5</v>
      </c>
      <c r="E185" s="17" t="n">
        <v>1327.5</v>
      </c>
      <c r="F185" s="16" t="inlineStr">
        <is>
          <t>صحيح</t>
        </is>
      </c>
      <c r="G185" s="16" t="inlineStr">
        <is>
          <t>فاتورة مبدئية 221، سجل العقود، كشف الحساب</t>
        </is>
      </c>
      <c r="H185" s="16" t="n"/>
      <c r="I185" s="16" t="inlineStr">
        <is>
          <t>شيت المبيعات (عقود الجملة)</t>
        </is>
      </c>
    </row>
    <row r="186">
      <c r="A186" s="16" t="n">
        <v>185</v>
      </c>
      <c r="B186" s="95" t="n">
        <v>46141</v>
      </c>
      <c r="C186" s="16" t="inlineStr">
        <is>
          <t>WHT-4230</t>
        </is>
      </c>
      <c r="D186" s="17" t="n">
        <v>757.5</v>
      </c>
      <c r="E186" s="17" t="n">
        <v>757.5</v>
      </c>
      <c r="F186" s="16" t="inlineStr">
        <is>
          <t>صحيح</t>
        </is>
      </c>
      <c r="G186" s="16" t="inlineStr">
        <is>
          <t>فاتورة مبدئية 222، سجل العقود، كشف الحساب</t>
        </is>
      </c>
      <c r="H186" s="16" t="n"/>
      <c r="I186" s="16" t="inlineStr">
        <is>
          <t>شيت المبيعات (عقود الجملة)</t>
        </is>
      </c>
    </row>
    <row r="187">
      <c r="A187" s="16" t="n">
        <v>186</v>
      </c>
      <c r="B187" s="95" t="n">
        <v>46141</v>
      </c>
      <c r="C187" s="16" t="inlineStr">
        <is>
          <t>WHT-4234</t>
        </is>
      </c>
      <c r="D187" s="17" t="n">
        <v>1350</v>
      </c>
      <c r="E187" s="17" t="n">
        <v>1350</v>
      </c>
      <c r="F187" s="16" t="inlineStr">
        <is>
          <t>صحيح</t>
        </is>
      </c>
      <c r="G187" s="16" t="inlineStr">
        <is>
          <t>فاتورة مبدئية 224، سجل العقود، كشف الحساب</t>
        </is>
      </c>
      <c r="H187" s="16" t="n"/>
      <c r="I187" s="16" t="inlineStr">
        <is>
          <t>شيت المبيعات (عقود الجملة)</t>
        </is>
      </c>
    </row>
    <row r="188">
      <c r="A188" s="18" t="n">
        <v>187</v>
      </c>
      <c r="B188" s="98" t="n">
        <v>46142</v>
      </c>
      <c r="C188" s="18" t="inlineStr">
        <is>
          <t>WHT-4243</t>
        </is>
      </c>
      <c r="D188" s="19" t="n">
        <v>1350</v>
      </c>
      <c r="E188" s="19" t="n">
        <v>1350</v>
      </c>
      <c r="F188" s="18" t="inlineStr">
        <is>
          <t>صحيح (تصحيح رقم)</t>
        </is>
      </c>
      <c r="G188" s="18" t="inlineStr">
        <is>
          <t>فاتورة مبدئية 225، سجل العقود</t>
        </is>
      </c>
      <c r="H188" s="18" t="inlineStr">
        <is>
          <t>رقم العقد مكرر في شيت المحاسب – الصحيح WHT-4243</t>
        </is>
      </c>
      <c r="I188" s="16" t="inlineStr">
        <is>
          <t>شيت المبيعات (عقود الجملة)</t>
        </is>
      </c>
    </row>
    <row r="189">
      <c r="A189" s="16" t="n">
        <v>188</v>
      </c>
      <c r="B189" s="95" t="n">
        <v>46144</v>
      </c>
      <c r="C189" s="16" t="inlineStr">
        <is>
          <t>WHT-4247</t>
        </is>
      </c>
      <c r="D189" s="17" t="n">
        <v>895</v>
      </c>
      <c r="E189" s="17" t="n">
        <v>895</v>
      </c>
      <c r="F189" s="16" t="inlineStr">
        <is>
          <t>صحيح</t>
        </is>
      </c>
      <c r="G189" s="16" t="inlineStr">
        <is>
          <t>فاتورة مبدئية 226، سجل العقود، كشف الحساب</t>
        </is>
      </c>
      <c r="H189" s="16" t="n"/>
      <c r="I189" s="16" t="inlineStr">
        <is>
          <t>شيت المبيعات (عقود الجملة)</t>
        </is>
      </c>
    </row>
    <row r="190">
      <c r="A190" s="16" t="n">
        <v>189</v>
      </c>
      <c r="B190" s="95" t="n">
        <v>46145</v>
      </c>
      <c r="C190" s="16" t="inlineStr">
        <is>
          <t>WHT-4260</t>
        </is>
      </c>
      <c r="D190" s="17" t="n">
        <v>1950</v>
      </c>
      <c r="E190" s="17" t="n">
        <v>1950</v>
      </c>
      <c r="F190" s="16" t="inlineStr">
        <is>
          <t>صحيح</t>
        </is>
      </c>
      <c r="G190" s="16" t="inlineStr">
        <is>
          <t>فاتورة مبدئية 228، سجل العقود، كشف الحساب</t>
        </is>
      </c>
      <c r="H190" s="16" t="n"/>
      <c r="I190" s="16" t="inlineStr">
        <is>
          <t>شيت المبيعات (عقود الجملة)</t>
        </is>
      </c>
    </row>
    <row r="191">
      <c r="A191" s="16" t="n">
        <v>190</v>
      </c>
      <c r="B191" s="95" t="n">
        <v>46146</v>
      </c>
      <c r="C191" s="16" t="inlineStr">
        <is>
          <t>WHT-4270</t>
        </is>
      </c>
      <c r="D191" s="17" t="n">
        <v>2895</v>
      </c>
      <c r="E191" s="17" t="n">
        <v>2895</v>
      </c>
      <c r="F191" s="16" t="inlineStr">
        <is>
          <t>صحيح</t>
        </is>
      </c>
      <c r="G191" s="16" t="inlineStr">
        <is>
          <t>فاتورة مبدئية 230، سجل العقود، كشف الحساب</t>
        </is>
      </c>
      <c r="H191" s="16" t="n"/>
      <c r="I191" s="16" t="inlineStr">
        <is>
          <t>شيت المبيعات (عقود الجملة)</t>
        </is>
      </c>
    </row>
    <row r="192">
      <c r="A192" s="16" t="n">
        <v>191</v>
      </c>
      <c r="B192" s="95" t="n">
        <v>46147</v>
      </c>
      <c r="C192" s="16" t="inlineStr">
        <is>
          <t>WHT-4276</t>
        </is>
      </c>
      <c r="D192" s="17" t="n">
        <v>2880</v>
      </c>
      <c r="E192" s="17" t="n">
        <v>2880</v>
      </c>
      <c r="F192" s="16" t="inlineStr">
        <is>
          <t>صحيح</t>
        </is>
      </c>
      <c r="G192" s="16" t="inlineStr">
        <is>
          <t>فاتورة مبدئية 232، سجل العقود، كشف الحساب</t>
        </is>
      </c>
      <c r="H192" s="16" t="n"/>
      <c r="I192" s="16" t="inlineStr">
        <is>
          <t>شيت المبيعات (عقود الجملة)</t>
        </is>
      </c>
    </row>
    <row r="193">
      <c r="A193" s="16" t="n">
        <v>192</v>
      </c>
      <c r="B193" s="95" t="n">
        <v>46148</v>
      </c>
      <c r="C193" s="16" t="inlineStr">
        <is>
          <t>WHT-4285</t>
        </is>
      </c>
      <c r="D193" s="17" t="n">
        <v>3330</v>
      </c>
      <c r="E193" s="17" t="n">
        <v>3330</v>
      </c>
      <c r="F193" s="16" t="inlineStr">
        <is>
          <t>صحيح</t>
        </is>
      </c>
      <c r="G193" s="16" t="inlineStr">
        <is>
          <t>فاتورة مبدئية 234، سجل العقود، كشف الحساب</t>
        </is>
      </c>
      <c r="H193" s="16" t="n"/>
      <c r="I193" s="16" t="inlineStr">
        <is>
          <t>شيت المبيعات (عقود الجملة)</t>
        </is>
      </c>
    </row>
    <row r="194">
      <c r="A194" s="16" t="n">
        <v>193</v>
      </c>
      <c r="B194" s="95" t="n">
        <v>46149</v>
      </c>
      <c r="C194" s="16" t="inlineStr">
        <is>
          <t>WHT-4287</t>
        </is>
      </c>
      <c r="D194" s="17" t="n">
        <v>3060</v>
      </c>
      <c r="E194" s="17" t="n">
        <v>3060</v>
      </c>
      <c r="F194" s="16" t="inlineStr">
        <is>
          <t>صحيح</t>
        </is>
      </c>
      <c r="G194" s="16" t="inlineStr">
        <is>
          <t>فاتورة مبدئية 236، سجل العقود، كشف الحساب</t>
        </is>
      </c>
      <c r="H194" s="16" t="n"/>
      <c r="I194" s="16" t="inlineStr">
        <is>
          <t>شيت المبيعات (عقود الجملة)</t>
        </is>
      </c>
    </row>
    <row r="195">
      <c r="A195" s="16" t="n">
        <v>194</v>
      </c>
      <c r="B195" s="95" t="n">
        <v>46151</v>
      </c>
      <c r="C195" s="16" t="inlineStr">
        <is>
          <t>WHT-4289</t>
        </is>
      </c>
      <c r="D195" s="17" t="n">
        <v>4337.5</v>
      </c>
      <c r="E195" s="17" t="n">
        <v>4337.5</v>
      </c>
      <c r="F195" s="16" t="inlineStr">
        <is>
          <t>صحيح</t>
        </is>
      </c>
      <c r="G195" s="16" t="inlineStr">
        <is>
          <t>فاتورة مبدئية 237، سجل العقود، كشف الحساب</t>
        </is>
      </c>
      <c r="H195" s="16" t="n"/>
      <c r="I195" s="16" t="inlineStr">
        <is>
          <t>شيت المبيعات (عقود الجملة)</t>
        </is>
      </c>
    </row>
    <row r="196">
      <c r="A196" s="16" t="n">
        <v>195</v>
      </c>
      <c r="B196" s="95" t="n">
        <v>46152</v>
      </c>
      <c r="C196" s="16" t="inlineStr">
        <is>
          <t>WHT-4299</t>
        </is>
      </c>
      <c r="D196" s="17" t="n">
        <v>2415</v>
      </c>
      <c r="E196" s="17" t="n">
        <v>2415</v>
      </c>
      <c r="F196" s="16" t="inlineStr">
        <is>
          <t>صحيح</t>
        </is>
      </c>
      <c r="G196" s="16" t="inlineStr">
        <is>
          <t>فاتورة مبدئية 240، سجل العقود، كشف الحساب</t>
        </is>
      </c>
      <c r="H196" s="16" t="n"/>
      <c r="I196" s="16" t="inlineStr">
        <is>
          <t>شيت المبيعات (عقود الجملة)</t>
        </is>
      </c>
    </row>
    <row r="197">
      <c r="A197" s="16" t="n">
        <v>196</v>
      </c>
      <c r="B197" s="95" t="n">
        <v>46153</v>
      </c>
      <c r="C197" s="16" t="inlineStr">
        <is>
          <t>WHT-4303</t>
        </is>
      </c>
      <c r="D197" s="17" t="n">
        <v>3225</v>
      </c>
      <c r="E197" s="17" t="n">
        <v>3225</v>
      </c>
      <c r="F197" s="16" t="inlineStr">
        <is>
          <t>صحيح</t>
        </is>
      </c>
      <c r="G197" s="16" t="inlineStr">
        <is>
          <t>فاتورة مبدئية 241، سجل العقود، كشف الحساب</t>
        </is>
      </c>
      <c r="H197" s="16" t="n"/>
      <c r="I197" s="16" t="inlineStr">
        <is>
          <t>شيت المبيعات (عقود الجملة)</t>
        </is>
      </c>
    </row>
    <row r="198">
      <c r="A198" s="16" t="n">
        <v>197</v>
      </c>
      <c r="B198" s="95" t="n">
        <v>46154</v>
      </c>
      <c r="C198" s="16" t="inlineStr">
        <is>
          <t>WHT-4307</t>
        </is>
      </c>
      <c r="D198" s="17" t="n">
        <v>2448.75</v>
      </c>
      <c r="E198" s="17" t="n">
        <v>2448.75</v>
      </c>
      <c r="F198" s="16" t="inlineStr">
        <is>
          <t>صحيح</t>
        </is>
      </c>
      <c r="G198" s="16" t="inlineStr">
        <is>
          <t>فاتورة مبدئية 244، سجل العقود، كشف الحساب</t>
        </is>
      </c>
      <c r="H198" s="16" t="n"/>
      <c r="I198" s="16" t="inlineStr">
        <is>
          <t>شيت المبيعات (عقود الجملة)</t>
        </is>
      </c>
    </row>
    <row r="199">
      <c r="A199" s="16" t="n">
        <v>198</v>
      </c>
      <c r="B199" s="95" t="n">
        <v>46155</v>
      </c>
      <c r="C199" s="16" t="inlineStr">
        <is>
          <t>WHT-4309</t>
        </is>
      </c>
      <c r="D199" s="17" t="n">
        <v>2531</v>
      </c>
      <c r="E199" s="17" t="n">
        <v>2531</v>
      </c>
      <c r="F199" s="16" t="inlineStr">
        <is>
          <t>صحيح</t>
        </is>
      </c>
      <c r="G199" s="16" t="inlineStr">
        <is>
          <t>فاتورة مبدئية 245، سجل العقود، كشف الحساب</t>
        </is>
      </c>
      <c r="H199" s="16" t="n"/>
      <c r="I199" s="16" t="inlineStr">
        <is>
          <t>شيت المبيعات (عقود الجملة)</t>
        </is>
      </c>
    </row>
    <row r="200">
      <c r="A200" s="16" t="n">
        <v>199</v>
      </c>
      <c r="B200" s="95" t="n">
        <v>46156</v>
      </c>
      <c r="C200" s="16" t="inlineStr">
        <is>
          <t>WHT-4313</t>
        </is>
      </c>
      <c r="D200" s="17" t="n">
        <v>3370</v>
      </c>
      <c r="E200" s="17" t="n">
        <v>3370</v>
      </c>
      <c r="F200" s="16" t="inlineStr">
        <is>
          <t>صحيح</t>
        </is>
      </c>
      <c r="G200" s="16" t="inlineStr">
        <is>
          <t>فاتورة مبدئية 246، سجل العقود، كشف الحساب</t>
        </is>
      </c>
      <c r="H200" s="16" t="n"/>
      <c r="I200" s="16" t="inlineStr">
        <is>
          <t>شيت المبيعات (عقود الجملة)</t>
        </is>
      </c>
    </row>
    <row r="201">
      <c r="A201" s="16" t="n">
        <v>200</v>
      </c>
      <c r="B201" s="95" t="n">
        <v>46158</v>
      </c>
      <c r="C201" s="16" t="inlineStr">
        <is>
          <t>WHT-4317</t>
        </is>
      </c>
      <c r="D201" s="17" t="n">
        <v>3525</v>
      </c>
      <c r="E201" s="17" t="n">
        <v>3525</v>
      </c>
      <c r="F201" s="16" t="inlineStr">
        <is>
          <t>صحيح</t>
        </is>
      </c>
      <c r="G201" s="16" t="inlineStr">
        <is>
          <t>فاتورة مبدئية 248، سجل العقود، كشف الحساب</t>
        </is>
      </c>
      <c r="H201" s="16" t="n"/>
      <c r="I201" s="16" t="inlineStr">
        <is>
          <t>شيت المبيعات (عقود الجملة)</t>
        </is>
      </c>
    </row>
    <row r="202">
      <c r="A202" s="16" t="n">
        <v>201</v>
      </c>
      <c r="B202" s="95" t="n">
        <v>46159</v>
      </c>
      <c r="C202" s="16" t="inlineStr">
        <is>
          <t>WHT-4322</t>
        </is>
      </c>
      <c r="D202" s="17" t="n">
        <v>2892</v>
      </c>
      <c r="E202" s="17" t="n">
        <v>2892</v>
      </c>
      <c r="F202" s="16" t="inlineStr">
        <is>
          <t>صحيح</t>
        </is>
      </c>
      <c r="G202" s="16" t="inlineStr">
        <is>
          <t>فاتورة مبدئية 249، سجل العقود، كشف الحساب</t>
        </is>
      </c>
      <c r="H202" s="16" t="n"/>
      <c r="I202" s="16" t="inlineStr">
        <is>
          <t>شيت المبيعات (عقود الجملة)</t>
        </is>
      </c>
    </row>
    <row r="203">
      <c r="A203" s="16" t="n">
        <v>202</v>
      </c>
      <c r="B203" s="95" t="n">
        <v>46160</v>
      </c>
      <c r="C203" s="16" t="inlineStr">
        <is>
          <t>WHT-4326</t>
        </is>
      </c>
      <c r="D203" s="17" t="n">
        <v>2145</v>
      </c>
      <c r="E203" s="17" t="n">
        <v>2145</v>
      </c>
      <c r="F203" s="16" t="inlineStr">
        <is>
          <t>صحيح</t>
        </is>
      </c>
      <c r="G203" s="16" t="inlineStr">
        <is>
          <t>فاتورة مبدئية 251، سجل العقود، كشف الحساب</t>
        </is>
      </c>
      <c r="H203" s="16" t="n"/>
      <c r="I203" s="16" t="inlineStr">
        <is>
          <t>شيت المبيعات (عقود الجملة)</t>
        </is>
      </c>
    </row>
    <row r="204">
      <c r="A204" s="16" t="n">
        <v>203</v>
      </c>
      <c r="B204" s="95" t="n">
        <v>46166</v>
      </c>
      <c r="C204" s="16" t="inlineStr">
        <is>
          <t>WHT-4340</t>
        </is>
      </c>
      <c r="D204" s="17" t="n">
        <v>1570</v>
      </c>
      <c r="E204" s="17" t="n">
        <v>1570</v>
      </c>
      <c r="F204" s="16" t="inlineStr">
        <is>
          <t>صحيح</t>
        </is>
      </c>
      <c r="G204" s="16" t="inlineStr">
        <is>
          <t>فاتورة مبدئية 253، سجل العقود، كشف الحساب</t>
        </is>
      </c>
      <c r="H204" s="16" t="n"/>
      <c r="I204" s="16" t="inlineStr">
        <is>
          <t>شيت المبيعات (عقود الجملة)</t>
        </is>
      </c>
    </row>
    <row r="205">
      <c r="A205" s="16" t="n">
        <v>204</v>
      </c>
      <c r="B205" s="95" t="n">
        <v>46167</v>
      </c>
      <c r="C205" s="16" t="inlineStr">
        <is>
          <t>WHT-4342</t>
        </is>
      </c>
      <c r="D205" s="17" t="n">
        <v>2950</v>
      </c>
      <c r="E205" s="17" t="n">
        <v>2950</v>
      </c>
      <c r="F205" s="16" t="inlineStr">
        <is>
          <t>صحيح</t>
        </is>
      </c>
      <c r="G205" s="16" t="inlineStr">
        <is>
          <t>فاتورة مبدئية 254، سجل العقود، كشف الحساب</t>
        </is>
      </c>
      <c r="H205" s="16" t="n"/>
      <c r="I205" s="16" t="inlineStr">
        <is>
          <t>شيت المبيعات (عقود الجملة)</t>
        </is>
      </c>
    </row>
    <row r="206">
      <c r="A206" s="16" t="n">
        <v>205</v>
      </c>
      <c r="B206" s="95" t="n">
        <v>46167</v>
      </c>
      <c r="C206" s="16" t="inlineStr">
        <is>
          <t>WHT-4346</t>
        </is>
      </c>
      <c r="D206" s="17" t="n">
        <v>4417.5</v>
      </c>
      <c r="E206" s="17" t="n">
        <v>4417.5</v>
      </c>
      <c r="F206" s="16" t="inlineStr">
        <is>
          <t>صحيح</t>
        </is>
      </c>
      <c r="G206" s="16" t="inlineStr">
        <is>
          <t>فاتورة مبدئية 256، سجل العقود، كشف الحساب</t>
        </is>
      </c>
      <c r="H206" s="16" t="n"/>
      <c r="I206" s="16" t="inlineStr">
        <is>
          <t>شيت المبيعات (عقود الجملة)</t>
        </is>
      </c>
    </row>
    <row r="207">
      <c r="A207" s="16" t="n">
        <v>206</v>
      </c>
      <c r="B207" s="95" t="n">
        <v>46168</v>
      </c>
      <c r="C207" s="16" t="inlineStr">
        <is>
          <t>WHT-4347</t>
        </is>
      </c>
      <c r="D207" s="17" t="n">
        <v>4420</v>
      </c>
      <c r="E207" s="17" t="n">
        <v>4420</v>
      </c>
      <c r="F207" s="16" t="inlineStr">
        <is>
          <t>صحيح</t>
        </is>
      </c>
      <c r="G207" s="16" t="inlineStr">
        <is>
          <t>فاتورة مبدئية 257، سجل العقود، كشف الحساب</t>
        </is>
      </c>
      <c r="H207" s="16" t="n"/>
      <c r="I207" s="16" t="inlineStr">
        <is>
          <t>شيت المبيعات (عقود الجملة)</t>
        </is>
      </c>
    </row>
    <row r="208">
      <c r="A208" s="16" t="n">
        <v>207</v>
      </c>
      <c r="B208" s="95" t="n">
        <v>46172</v>
      </c>
      <c r="C208" s="16" t="inlineStr">
        <is>
          <t>WHT-4348</t>
        </is>
      </c>
      <c r="D208" s="17" t="n">
        <v>2765</v>
      </c>
      <c r="E208" s="17" t="n">
        <v>2765</v>
      </c>
      <c r="F208" s="16" t="inlineStr">
        <is>
          <t>صحيح</t>
        </is>
      </c>
      <c r="G208" s="16" t="inlineStr">
        <is>
          <t>فاتورة مبدئية 258، سجل العقود، كشف الحساب</t>
        </is>
      </c>
      <c r="H208" s="16" t="n"/>
      <c r="I208" s="16" t="inlineStr">
        <is>
          <t>شيت المبيعات (عقود الجملة)</t>
        </is>
      </c>
    </row>
    <row r="209">
      <c r="A209" s="16" t="n">
        <v>208</v>
      </c>
      <c r="B209" s="95" t="n">
        <v>46173</v>
      </c>
      <c r="C209" s="16" t="inlineStr">
        <is>
          <t>WHT-4349</t>
        </is>
      </c>
      <c r="D209" s="17" t="n">
        <v>1395</v>
      </c>
      <c r="E209" s="17" t="n">
        <v>1395</v>
      </c>
      <c r="F209" s="16" t="inlineStr">
        <is>
          <t>صحيح</t>
        </is>
      </c>
      <c r="G209" s="16" t="inlineStr">
        <is>
          <t>فاتورة مبدئية 259، سجل العقود، كشف الحساب</t>
        </is>
      </c>
      <c r="H209" s="16" t="n"/>
      <c r="I209" s="16" t="inlineStr">
        <is>
          <t>شيت المبيعات (عقود الجملة)</t>
        </is>
      </c>
    </row>
    <row r="210">
      <c r="A210" s="16" t="n">
        <v>209</v>
      </c>
      <c r="B210" s="95" t="n">
        <v>46174</v>
      </c>
      <c r="C210" s="16" t="inlineStr">
        <is>
          <t>WHT-4352</t>
        </is>
      </c>
      <c r="D210" s="17" t="n">
        <v>2349</v>
      </c>
      <c r="E210" s="17" t="n">
        <v>2349</v>
      </c>
      <c r="F210" s="16" t="inlineStr">
        <is>
          <t>صحيح</t>
        </is>
      </c>
      <c r="G210" s="16" t="inlineStr">
        <is>
          <t>فاتورة مبدئية 260، سجل العقود، كشف الحساب</t>
        </is>
      </c>
      <c r="H210" s="16" t="n"/>
      <c r="I210" s="16" t="inlineStr">
        <is>
          <t>شيت المبيعات (عقود الجملة)</t>
        </is>
      </c>
    </row>
    <row r="211">
      <c r="A211" s="16" t="n">
        <v>210</v>
      </c>
      <c r="B211" s="95" t="n">
        <v>46175</v>
      </c>
      <c r="C211" s="16" t="inlineStr">
        <is>
          <t>WHT-4357</t>
        </is>
      </c>
      <c r="D211" s="17" t="n">
        <v>2065</v>
      </c>
      <c r="E211" s="17" t="n">
        <v>2065</v>
      </c>
      <c r="F211" s="16" t="inlineStr">
        <is>
          <t>صحيح</t>
        </is>
      </c>
      <c r="G211" s="16" t="inlineStr">
        <is>
          <t>فاتورة مبدئية 261، سجل العقود، كشف الحساب</t>
        </is>
      </c>
      <c r="H211" s="16" t="n"/>
      <c r="I211" s="16" t="inlineStr">
        <is>
          <t>شيت المبيعات (عقود الجملة)</t>
        </is>
      </c>
    </row>
    <row r="212">
      <c r="A212" s="16" t="n">
        <v>211</v>
      </c>
      <c r="B212" s="95" t="n">
        <v>46176</v>
      </c>
      <c r="C212" s="16" t="inlineStr">
        <is>
          <t>WHT-4360</t>
        </is>
      </c>
      <c r="D212" s="17" t="n">
        <v>1542.5</v>
      </c>
      <c r="E212" s="17" t="n">
        <v>1542.5</v>
      </c>
      <c r="F212" s="16" t="inlineStr">
        <is>
          <t>صحيح</t>
        </is>
      </c>
      <c r="G212" s="16" t="inlineStr">
        <is>
          <t>فاتورة مبدئية 263، كشف الحساب</t>
        </is>
      </c>
      <c r="H212" s="16" t="n"/>
      <c r="I212" s="16" t="inlineStr">
        <is>
          <t>شيت المبيعات (عقود الجملة)</t>
        </is>
      </c>
    </row>
    <row r="213">
      <c r="A213" s="25" t="n">
        <v>212</v>
      </c>
      <c r="B213" s="96" t="n">
        <v>46186</v>
      </c>
      <c r="C213" s="25" t="inlineStr">
        <is>
          <t>WS-INV-0038</t>
        </is>
      </c>
      <c r="D213" s="27" t="n">
        <v>340.5</v>
      </c>
      <c r="E213" s="27" t="n">
        <v>340.5</v>
      </c>
      <c r="F213" s="25" t="inlineStr">
        <is>
          <t>النظام الجديد</t>
        </is>
      </c>
      <c r="G213" s="25" t="inlineStr">
        <is>
          <t>النظام الجديد – سيارة 1219 – مشاتل طريق ملك عبدالله-الرياض</t>
        </is>
      </c>
      <c r="H213" s="25" t="n"/>
      <c r="I213" s="25" t="inlineStr">
        <is>
          <t>النظام الجديد (سيارة 1219)</t>
        </is>
      </c>
    </row>
    <row r="214">
      <c r="A214" s="25" t="n">
        <v>213</v>
      </c>
      <c r="B214" s="96" t="n">
        <v>46186</v>
      </c>
      <c r="C214" s="25" t="inlineStr">
        <is>
          <t>WS-INV-0035</t>
        </is>
      </c>
      <c r="D214" s="27" t="n">
        <v>2135</v>
      </c>
      <c r="E214" s="27" t="n">
        <v>2135</v>
      </c>
      <c r="F214" s="25" t="inlineStr">
        <is>
          <t>النظام الجديد</t>
        </is>
      </c>
      <c r="G214" s="25" t="inlineStr">
        <is>
          <t>النظام الجديد – سيارة 1219 – مشاتل مخرج 15-الرياض</t>
        </is>
      </c>
      <c r="H214" s="25" t="n"/>
      <c r="I214" s="25" t="inlineStr">
        <is>
          <t>النظام الجديد (سيارة 1219)</t>
        </is>
      </c>
    </row>
    <row r="215">
      <c r="A215" s="25" t="n">
        <v>214</v>
      </c>
      <c r="B215" s="96" t="n">
        <v>46186</v>
      </c>
      <c r="C215" s="25" t="inlineStr">
        <is>
          <t>WS-INV-0034</t>
        </is>
      </c>
      <c r="D215" s="27" t="n">
        <v>105</v>
      </c>
      <c r="E215" s="27" t="n">
        <v>105</v>
      </c>
      <c r="F215" s="25" t="inlineStr">
        <is>
          <t>النظام الجديد</t>
        </is>
      </c>
      <c r="G215" s="25" t="inlineStr">
        <is>
          <t>النظام الجديد – سيارة 1219 – مشتل سالم-الرياض</t>
        </is>
      </c>
      <c r="H215" s="25" t="n"/>
      <c r="I215" s="25" t="inlineStr">
        <is>
          <t>النظام الجديد (سيارة 1219)</t>
        </is>
      </c>
    </row>
    <row r="216">
      <c r="A216" s="25" t="n">
        <v>215</v>
      </c>
      <c r="B216" s="96" t="n">
        <v>46186</v>
      </c>
      <c r="C216" s="25" t="inlineStr">
        <is>
          <t>WS-INV-0002</t>
        </is>
      </c>
      <c r="D216" s="27" t="n">
        <v>310</v>
      </c>
      <c r="E216" s="27" t="n">
        <v>310</v>
      </c>
      <c r="F216" s="25" t="inlineStr">
        <is>
          <t>النظام الجديد</t>
        </is>
      </c>
      <c r="G216" s="25" t="inlineStr">
        <is>
          <t>النظام الجديد – سيارة 1219 – مشتل نسيم الصبا - الرياض</t>
        </is>
      </c>
      <c r="H216" s="25" t="n"/>
      <c r="I216" s="25" t="inlineStr">
        <is>
          <t>النظام الجديد (سيارة 1219)</t>
        </is>
      </c>
    </row>
    <row r="217">
      <c r="A217" s="25" t="n">
        <v>216</v>
      </c>
      <c r="B217" s="96" t="n">
        <v>46186</v>
      </c>
      <c r="C217" s="25" t="inlineStr">
        <is>
          <t>WS-INV-0001</t>
        </is>
      </c>
      <c r="D217" s="27" t="n">
        <v>2007.5</v>
      </c>
      <c r="E217" s="27" t="n">
        <v>2007.5</v>
      </c>
      <c r="F217" s="25" t="inlineStr">
        <is>
          <t>النظام الجديد</t>
        </is>
      </c>
      <c r="G217" s="25" t="inlineStr">
        <is>
          <t>النظام الجديد – سيارة 1219 – مشتل عبدالقادر-الرياض</t>
        </is>
      </c>
      <c r="H217" s="25" t="n"/>
      <c r="I217" s="25" t="inlineStr">
        <is>
          <t>النظام الجديد (سيارة 1219)</t>
        </is>
      </c>
    </row>
    <row r="218">
      <c r="A218" s="25" t="n">
        <v>217</v>
      </c>
      <c r="B218" s="96" t="n">
        <v>46187</v>
      </c>
      <c r="C218" s="25" t="inlineStr">
        <is>
          <t>WS-INV-0048</t>
        </is>
      </c>
      <c r="D218" s="27" t="n">
        <v>2250</v>
      </c>
      <c r="E218" s="27" t="n">
        <v>2250</v>
      </c>
      <c r="F218" s="25" t="inlineStr">
        <is>
          <t>النظام الجديد</t>
        </is>
      </c>
      <c r="G218" s="25" t="inlineStr">
        <is>
          <t>النظام الجديد – سيارة 1219 – مشتل حي لبن - الرياض</t>
        </is>
      </c>
      <c r="H218" s="25" t="n"/>
      <c r="I218" s="25" t="inlineStr">
        <is>
          <t>النظام الجديد (سيارة 1219)</t>
        </is>
      </c>
    </row>
    <row r="219">
      <c r="A219" s="25" t="n">
        <v>218</v>
      </c>
      <c r="B219" s="96" t="n">
        <v>46187</v>
      </c>
      <c r="C219" s="25" t="inlineStr">
        <is>
          <t>WS-INV-0040</t>
        </is>
      </c>
      <c r="D219" s="27" t="n">
        <v>1967</v>
      </c>
      <c r="E219" s="27" t="n">
        <v>1967</v>
      </c>
      <c r="F219" s="25" t="inlineStr">
        <is>
          <t>النظام الجديد</t>
        </is>
      </c>
      <c r="G219" s="25" t="inlineStr">
        <is>
          <t>النظام الجديد – سيارة 1219 – مشاتل طريق مخرج 8-الرياض</t>
        </is>
      </c>
      <c r="H219" s="25" t="n"/>
      <c r="I219" s="25" t="inlineStr">
        <is>
          <t>النظام الجديد (سيارة 1219)</t>
        </is>
      </c>
    </row>
    <row r="220">
      <c r="A220" s="25" t="n">
        <v>219</v>
      </c>
      <c r="B220" s="96" t="n">
        <v>46187</v>
      </c>
      <c r="C220" s="25" t="inlineStr">
        <is>
          <t>WS-INV-0039</t>
        </is>
      </c>
      <c r="D220" s="27" t="n">
        <v>2310</v>
      </c>
      <c r="E220" s="27" t="n">
        <v>2310</v>
      </c>
      <c r="F220" s="25" t="inlineStr">
        <is>
          <t>النظام الجديد</t>
        </is>
      </c>
      <c r="G220" s="25" t="inlineStr">
        <is>
          <t>النظام الجديد – سيارة 1219 – مشاتل طريق خريص-الرياض</t>
        </is>
      </c>
      <c r="H220" s="25" t="n"/>
      <c r="I220" s="25" t="inlineStr">
        <is>
          <t>النظام الجديد (سيارة 1219)</t>
        </is>
      </c>
    </row>
    <row r="221">
      <c r="A221" s="25" t="n">
        <v>220</v>
      </c>
      <c r="B221" s="96" t="n">
        <v>46189</v>
      </c>
      <c r="C221" s="25" t="inlineStr">
        <is>
          <t>WS-INV-0056</t>
        </is>
      </c>
      <c r="D221" s="27" t="n">
        <v>952.5</v>
      </c>
      <c r="E221" s="27" t="n">
        <v>952.5</v>
      </c>
      <c r="F221" s="25" t="inlineStr">
        <is>
          <t>النظام الجديد</t>
        </is>
      </c>
      <c r="G221" s="25" t="inlineStr">
        <is>
          <t>النظام الجديد – سيارة 1219 – مشاتل طريق خريص-الرياض</t>
        </is>
      </c>
      <c r="H221" s="25" t="n"/>
      <c r="I221" s="25" t="inlineStr">
        <is>
          <t>النظام الجديد (سيارة 1219)</t>
        </is>
      </c>
    </row>
    <row r="222">
      <c r="A222" s="25" t="n">
        <v>221</v>
      </c>
      <c r="B222" s="96" t="n">
        <v>46190</v>
      </c>
      <c r="C222" s="25" t="inlineStr">
        <is>
          <t>WS-INV-0063</t>
        </is>
      </c>
      <c r="D222" s="27" t="n">
        <v>767</v>
      </c>
      <c r="E222" s="27" t="n">
        <v>767</v>
      </c>
      <c r="F222" s="25" t="inlineStr">
        <is>
          <t>النظام الجديد</t>
        </is>
      </c>
      <c r="G222" s="25" t="inlineStr">
        <is>
          <t>النظام الجديد – سيارة 1219 – مشتل سالم-الرياض</t>
        </is>
      </c>
      <c r="H222" s="25" t="n"/>
      <c r="I222" s="25" t="inlineStr">
        <is>
          <t>النظام الجديد (سيارة 1219)</t>
        </is>
      </c>
    </row>
    <row r="223">
      <c r="A223" s="25" t="n">
        <v>222</v>
      </c>
      <c r="B223" s="96" t="n">
        <v>46191</v>
      </c>
      <c r="C223" s="25" t="inlineStr">
        <is>
          <t>WS-INV-0072</t>
        </is>
      </c>
      <c r="D223" s="27" t="n">
        <v>1167</v>
      </c>
      <c r="E223" s="27" t="n">
        <v>1167</v>
      </c>
      <c r="F223" s="25" t="inlineStr">
        <is>
          <t>النظام الجديد</t>
        </is>
      </c>
      <c r="G223" s="25" t="inlineStr">
        <is>
          <t>النظام الجديد – سيارة 1219 – مشاتل مخرج 15-الرياض</t>
        </is>
      </c>
      <c r="H223" s="25" t="n"/>
      <c r="I223" s="25" t="inlineStr">
        <is>
          <t>النظام الجديد (سيارة 1219)</t>
        </is>
      </c>
    </row>
    <row r="224">
      <c r="A224" s="34" t="n">
        <v>223</v>
      </c>
      <c r="B224" s="99" t="n">
        <v>46193</v>
      </c>
      <c r="C224" s="34" t="inlineStr">
        <is>
          <t>WS-INV-0082</t>
        </is>
      </c>
      <c r="D224" s="36" t="n">
        <v>1688.2</v>
      </c>
      <c r="E224" s="36" t="n">
        <v>0</v>
      </c>
      <c r="F224" s="34" t="inlineStr">
        <is>
          <t>مرتجع بالكامل</t>
        </is>
      </c>
      <c r="G224" s="34" t="inlineStr">
        <is>
          <t>النظام الجديد – سيارة 1219 – مشتل زهور الرياض - الرياض</t>
        </is>
      </c>
      <c r="H224" s="34" t="inlineStr">
        <is>
          <t>فاتورة مرتجعة بالكامل – الصافي صفر (المحاسب لم يخصمها)</t>
        </is>
      </c>
      <c r="I224" s="34" t="inlineStr">
        <is>
          <t>النظام الجديد (سيارة 1219)</t>
        </is>
      </c>
    </row>
    <row r="225">
      <c r="A225" s="34" t="n">
        <v>224</v>
      </c>
      <c r="B225" s="99" t="n">
        <v>46193</v>
      </c>
      <c r="C225" s="34" t="inlineStr">
        <is>
          <t>WS-INV-0079</t>
        </is>
      </c>
      <c r="D225" s="36" t="n">
        <v>1688.2</v>
      </c>
      <c r="E225" s="36" t="n">
        <v>0</v>
      </c>
      <c r="F225" s="34" t="inlineStr">
        <is>
          <t>مرتجع بالكامل</t>
        </is>
      </c>
      <c r="G225" s="34" t="inlineStr">
        <is>
          <t>النظام الجديد – سيارة 1219 – مشتل زهور الرياض - الرياض</t>
        </is>
      </c>
      <c r="H225" s="34" t="inlineStr">
        <is>
          <t>فاتورة مرتجعة بالكامل – الصافي صفر (المحاسب لم يخصمها)</t>
        </is>
      </c>
      <c r="I225" s="34" t="inlineStr">
        <is>
          <t>النظام الجديد (سيارة 1219)</t>
        </is>
      </c>
    </row>
    <row r="226">
      <c r="A226" s="25" t="n">
        <v>225</v>
      </c>
      <c r="B226" s="96" t="n">
        <v>46194</v>
      </c>
      <c r="C226" s="25" t="inlineStr">
        <is>
          <t>WS-INV-0086</t>
        </is>
      </c>
      <c r="D226" s="27" t="n">
        <v>645</v>
      </c>
      <c r="E226" s="27" t="n">
        <v>645</v>
      </c>
      <c r="F226" s="25" t="inlineStr">
        <is>
          <t>النظام الجديد</t>
        </is>
      </c>
      <c r="G226" s="25" t="inlineStr">
        <is>
          <t>النظام الجديد – سيارة 1219 – مشاتل الثمامة-الرياض</t>
        </is>
      </c>
      <c r="H226" s="25" t="n"/>
      <c r="I226" s="25" t="inlineStr">
        <is>
          <t>النظام الجديد (سيارة 1219)</t>
        </is>
      </c>
    </row>
    <row r="227">
      <c r="A227" s="34" t="n">
        <v>226</v>
      </c>
      <c r="B227" s="99" t="n">
        <v>46194</v>
      </c>
      <c r="C227" s="34" t="inlineStr">
        <is>
          <t>WS-INV-0085</t>
        </is>
      </c>
      <c r="D227" s="36" t="n">
        <v>747.5</v>
      </c>
      <c r="E227" s="36" t="n">
        <v>0</v>
      </c>
      <c r="F227" s="34" t="inlineStr">
        <is>
          <t>مرتجع بالكامل</t>
        </is>
      </c>
      <c r="G227" s="34" t="inlineStr">
        <is>
          <t>النظام الجديد – سيارة 1219 – مشاتل الثمامة-الرياض</t>
        </is>
      </c>
      <c r="H227" s="34" t="inlineStr">
        <is>
          <t>فاتورة مرتجعة بالكامل – الصافي صفر (المحاسب لم يخصمها)</t>
        </is>
      </c>
      <c r="I227" s="34" t="inlineStr">
        <is>
          <t>النظام الجديد (سيارة 1219)</t>
        </is>
      </c>
    </row>
    <row r="228">
      <c r="A228" s="25" t="n">
        <v>227</v>
      </c>
      <c r="B228" s="96" t="n">
        <v>46194</v>
      </c>
      <c r="C228" s="25" t="inlineStr">
        <is>
          <t>WS-INV-0084</t>
        </is>
      </c>
      <c r="D228" s="27" t="n">
        <v>1395</v>
      </c>
      <c r="E228" s="27" t="n">
        <v>1395</v>
      </c>
      <c r="F228" s="25" t="inlineStr">
        <is>
          <t>النظام الجديد</t>
        </is>
      </c>
      <c r="G228" s="25" t="inlineStr">
        <is>
          <t>النظام الجديد – سيارة 1219 – مشتل زهور الرياض - الرياض</t>
        </is>
      </c>
      <c r="H228" s="25" t="n"/>
      <c r="I228" s="25" t="inlineStr">
        <is>
          <t>النظام الجديد (سيارة 1219)</t>
        </is>
      </c>
    </row>
    <row r="229">
      <c r="A229" s="25" t="n">
        <v>228</v>
      </c>
      <c r="B229" s="96" t="n">
        <v>46195</v>
      </c>
      <c r="C229" s="25" t="inlineStr">
        <is>
          <t>WS-INV-0091</t>
        </is>
      </c>
      <c r="D229" s="27" t="n">
        <v>420.3125</v>
      </c>
      <c r="E229" s="27" t="n">
        <v>420.3125</v>
      </c>
      <c r="F229" s="25" t="inlineStr">
        <is>
          <t>النظام الجديد</t>
        </is>
      </c>
      <c r="G229" s="25" t="inlineStr">
        <is>
          <t>النظام الجديد – سيارة 1219 – مشتل نسيم الصبا - الرياض</t>
        </is>
      </c>
      <c r="H229" s="25" t="n"/>
      <c r="I229" s="25" t="inlineStr">
        <is>
          <t>النظام الجديد (سيارة 1219)</t>
        </is>
      </c>
    </row>
    <row r="230">
      <c r="A230" s="25" t="n">
        <v>229</v>
      </c>
      <c r="B230" s="96" t="n">
        <v>46196</v>
      </c>
      <c r="C230" s="25" t="inlineStr">
        <is>
          <t>WS-INV-0097</t>
        </is>
      </c>
      <c r="D230" s="27" t="n">
        <v>255.5</v>
      </c>
      <c r="E230" s="27" t="n">
        <v>255.5</v>
      </c>
      <c r="F230" s="25" t="inlineStr">
        <is>
          <t>النظام الجديد</t>
        </is>
      </c>
      <c r="G230" s="25" t="inlineStr">
        <is>
          <t>النظام الجديد – سيارة 1219 – مشتل حي لبن - الرياض</t>
        </is>
      </c>
      <c r="H230" s="25" t="n"/>
      <c r="I230" s="25" t="inlineStr">
        <is>
          <t>النظام الجديد (سيارة 1219)</t>
        </is>
      </c>
    </row>
    <row r="231">
      <c r="A231" s="25" t="n">
        <v>230</v>
      </c>
      <c r="B231" s="96" t="n">
        <v>46197</v>
      </c>
      <c r="C231" s="25" t="inlineStr">
        <is>
          <t>WS-INV-0103</t>
        </is>
      </c>
      <c r="D231" s="27" t="n">
        <v>745.04375</v>
      </c>
      <c r="E231" s="27" t="n">
        <v>745.04375</v>
      </c>
      <c r="F231" s="25" t="inlineStr">
        <is>
          <t>النظام الجديد</t>
        </is>
      </c>
      <c r="G231" s="25" t="inlineStr">
        <is>
          <t>النظام الجديد – سيارة 1219 – مشاتل طريق ملك عبدالله-الرياض</t>
        </is>
      </c>
      <c r="H231" s="25" t="n"/>
      <c r="I231" s="25" t="inlineStr">
        <is>
          <t>النظام الجديد (سيارة 1219)</t>
        </is>
      </c>
    </row>
    <row r="232">
      <c r="A232" s="25" t="n">
        <v>231</v>
      </c>
      <c r="B232" s="96" t="n">
        <v>46198</v>
      </c>
      <c r="C232" s="25" t="inlineStr">
        <is>
          <t>WS-INV-0106</t>
        </is>
      </c>
      <c r="D232" s="27" t="n">
        <v>980.75</v>
      </c>
      <c r="E232" s="27" t="n">
        <v>980.75</v>
      </c>
      <c r="F232" s="25" t="inlineStr">
        <is>
          <t>النظام الجديد</t>
        </is>
      </c>
      <c r="G232" s="25" t="inlineStr">
        <is>
          <t>النظام الجديد – سيارة 1219 – مشاتل العليا-الرياض</t>
        </is>
      </c>
      <c r="H232" s="25" t="n"/>
      <c r="I232" s="25" t="inlineStr">
        <is>
          <t>النظام الجديد (سيارة 1219)</t>
        </is>
      </c>
    </row>
    <row r="233">
      <c r="A233" s="25" t="n">
        <v>232</v>
      </c>
      <c r="B233" s="96" t="n">
        <v>46200</v>
      </c>
      <c r="C233" s="25" t="inlineStr">
        <is>
          <t>WS-INV-0111</t>
        </is>
      </c>
      <c r="D233" s="27" t="n">
        <v>445.06875</v>
      </c>
      <c r="E233" s="27" t="n">
        <v>445.06875</v>
      </c>
      <c r="F233" s="25" t="inlineStr">
        <is>
          <t>النظام الجديد</t>
        </is>
      </c>
      <c r="G233" s="25" t="inlineStr">
        <is>
          <t>النظام الجديد – سيارة 1219 – مشتل حي لبن - الرياض</t>
        </is>
      </c>
      <c r="H233" s="25" t="n"/>
      <c r="I233" s="25" t="inlineStr">
        <is>
          <t>النظام الجديد (سيارة 1219)</t>
        </is>
      </c>
    </row>
    <row r="234">
      <c r="A234" s="25" t="n">
        <v>233</v>
      </c>
      <c r="B234" s="96" t="n">
        <v>46201</v>
      </c>
      <c r="C234" s="25" t="inlineStr">
        <is>
          <t>WS-INV-0116</t>
        </is>
      </c>
      <c r="D234" s="27" t="n">
        <v>1560</v>
      </c>
      <c r="E234" s="27" t="n">
        <v>1560</v>
      </c>
      <c r="F234" s="25" t="inlineStr">
        <is>
          <t>النظام الجديد</t>
        </is>
      </c>
      <c r="G234" s="25" t="inlineStr">
        <is>
          <t>النظام الجديد – سيارة 1219 – مشتل سالم-الرياض</t>
        </is>
      </c>
      <c r="H234" s="25" t="n"/>
      <c r="I234" s="25" t="inlineStr">
        <is>
          <t>النظام الجديد (سيارة 1219)</t>
        </is>
      </c>
    </row>
    <row r="235">
      <c r="A235" s="25" t="n">
        <v>234</v>
      </c>
      <c r="B235" s="96" t="n">
        <v>46202</v>
      </c>
      <c r="C235" s="25" t="inlineStr">
        <is>
          <t>WS-INV-0119</t>
        </is>
      </c>
      <c r="D235" s="27" t="n">
        <v>1143</v>
      </c>
      <c r="E235" s="27" t="n">
        <v>1143</v>
      </c>
      <c r="F235" s="25" t="inlineStr">
        <is>
          <t>النظام الجديد</t>
        </is>
      </c>
      <c r="G235" s="25" t="inlineStr">
        <is>
          <t>النظام الجديد – سيارة 1219 – مشتل حي لبن - الرياض</t>
        </is>
      </c>
      <c r="H235" s="25" t="n"/>
      <c r="I235" s="25" t="inlineStr">
        <is>
          <t>النظام الجديد (سيارة 1219)</t>
        </is>
      </c>
    </row>
    <row r="236">
      <c r="A236" s="25" t="n">
        <v>235</v>
      </c>
      <c r="B236" s="96" t="n">
        <v>46203</v>
      </c>
      <c r="C236" s="25" t="inlineStr">
        <is>
          <t>WS-INV-0124</t>
        </is>
      </c>
      <c r="D236" s="27" t="n">
        <v>620</v>
      </c>
      <c r="E236" s="27" t="n">
        <v>620</v>
      </c>
      <c r="F236" s="25" t="inlineStr">
        <is>
          <t>النظام الجديد</t>
        </is>
      </c>
      <c r="G236" s="25" t="inlineStr">
        <is>
          <t>النظام الجديد – سيارة 1219 – مشاتل وردة الياسمين - الرياض</t>
        </is>
      </c>
      <c r="H236" s="25" t="n"/>
      <c r="I236" s="25" t="inlineStr">
        <is>
          <t>النظام الجديد (سيارة 1219)</t>
        </is>
      </c>
    </row>
    <row r="237">
      <c r="A237" s="25" t="n">
        <v>236</v>
      </c>
      <c r="B237" s="96" t="n">
        <v>46204</v>
      </c>
      <c r="C237" s="25" t="inlineStr">
        <is>
          <t>WS-INV-0128</t>
        </is>
      </c>
      <c r="D237" s="27" t="n">
        <v>1325</v>
      </c>
      <c r="E237" s="27" t="n">
        <v>1325</v>
      </c>
      <c r="F237" s="25" t="inlineStr">
        <is>
          <t>النظام الجديد</t>
        </is>
      </c>
      <c r="G237" s="25" t="inlineStr">
        <is>
          <t>النظام الجديد – سيارة 1219 – مشتل نسيم الصبا - الرياض</t>
        </is>
      </c>
      <c r="H237" s="25" t="n"/>
      <c r="I237" s="25" t="inlineStr">
        <is>
          <t>النظام الجديد (سيارة 1219)</t>
        </is>
      </c>
    </row>
    <row r="238">
      <c r="A238" s="25" t="n">
        <v>237</v>
      </c>
      <c r="B238" s="96" t="n">
        <v>46208</v>
      </c>
      <c r="C238" s="25" t="inlineStr">
        <is>
          <t>WS-INV-0147</t>
        </is>
      </c>
      <c r="D238" s="27" t="n">
        <v>1245</v>
      </c>
      <c r="E238" s="27" t="n">
        <v>1245</v>
      </c>
      <c r="F238" s="25" t="inlineStr">
        <is>
          <t>النظام الجديد</t>
        </is>
      </c>
      <c r="G238" s="25" t="inlineStr">
        <is>
          <t>النظام الجديد – سيارة 1219 – مشاتل طريق خريص-الرياض</t>
        </is>
      </c>
      <c r="H238" s="25" t="n"/>
      <c r="I238" s="25" t="inlineStr">
        <is>
          <t>النظام الجديد (سيارة 1219)</t>
        </is>
      </c>
    </row>
    <row r="239">
      <c r="A239" s="25" t="n">
        <v>238</v>
      </c>
      <c r="B239" s="96" t="n">
        <v>46208</v>
      </c>
      <c r="C239" s="25" t="inlineStr">
        <is>
          <t>WS-INV-0143</t>
        </is>
      </c>
      <c r="D239" s="27" t="n">
        <v>1695</v>
      </c>
      <c r="E239" s="27" t="n">
        <v>1695</v>
      </c>
      <c r="F239" s="25" t="inlineStr">
        <is>
          <t>النظام الجديد</t>
        </is>
      </c>
      <c r="G239" s="25" t="inlineStr">
        <is>
          <t>النظام الجديد – سيارة 1219 – مشاتل مخرج 15-الرياض</t>
        </is>
      </c>
      <c r="H239" s="25" t="n"/>
      <c r="I239" s="25" t="inlineStr">
        <is>
          <t>النظام الجديد (سيارة 1219)</t>
        </is>
      </c>
    </row>
    <row r="240">
      <c r="A240" s="25" t="n">
        <v>239</v>
      </c>
      <c r="B240" s="96" t="n">
        <v>46214</v>
      </c>
      <c r="C240" s="25" t="inlineStr">
        <is>
          <t>WS-INV-0171</t>
        </is>
      </c>
      <c r="D240" s="27" t="n">
        <v>150</v>
      </c>
      <c r="E240" s="27" t="n">
        <v>150</v>
      </c>
      <c r="F240" s="25" t="inlineStr">
        <is>
          <t>النظام الجديد</t>
        </is>
      </c>
      <c r="G240" s="25" t="inlineStr">
        <is>
          <t>النظام الجديد – سيارة 1219 – مشاتل مخرج 22-الرياض</t>
        </is>
      </c>
      <c r="H240" s="25" t="n"/>
      <c r="I240" s="25" t="inlineStr">
        <is>
          <t>النظام الجديد (سيارة 1219)</t>
        </is>
      </c>
    </row>
    <row r="241">
      <c r="A241" s="25" t="n">
        <v>240</v>
      </c>
      <c r="B241" s="96" t="n">
        <v>46214</v>
      </c>
      <c r="C241" s="25" t="inlineStr">
        <is>
          <t>WS-INV-0170</t>
        </is>
      </c>
      <c r="D241" s="27" t="n">
        <v>1070</v>
      </c>
      <c r="E241" s="27" t="n">
        <v>1070</v>
      </c>
      <c r="F241" s="25" t="inlineStr">
        <is>
          <t>النظام الجديد</t>
        </is>
      </c>
      <c r="G241" s="25" t="inlineStr">
        <is>
          <t>النظام الجديد – سيارة 1219 – مشتل عمر الخضير-الرياض</t>
        </is>
      </c>
      <c r="H241" s="25" t="n"/>
      <c r="I241" s="25" t="inlineStr">
        <is>
          <t>النظام الجديد (سيارة 1219)</t>
        </is>
      </c>
    </row>
    <row r="242">
      <c r="A242" s="25" t="n">
        <v>241</v>
      </c>
      <c r="B242" s="96" t="n">
        <v>46214</v>
      </c>
      <c r="C242" s="25" t="inlineStr">
        <is>
          <t>WS-INV-0169</t>
        </is>
      </c>
      <c r="D242" s="27" t="n">
        <v>769</v>
      </c>
      <c r="E242" s="27" t="n">
        <v>769</v>
      </c>
      <c r="F242" s="25" t="inlineStr">
        <is>
          <t>النظام الجديد</t>
        </is>
      </c>
      <c r="G242" s="25" t="inlineStr">
        <is>
          <t>النظام الجديد – سيارة 1219 – مشتل احمد بتشا-الرياض</t>
        </is>
      </c>
      <c r="H242" s="25" t="n"/>
      <c r="I242" s="25" t="inlineStr">
        <is>
          <t>النظام الجديد (سيارة 1219)</t>
        </is>
      </c>
    </row>
    <row r="243">
      <c r="A243" s="25" t="n">
        <v>242</v>
      </c>
      <c r="B243" s="96" t="n">
        <v>46216</v>
      </c>
      <c r="C243" s="25" t="inlineStr">
        <is>
          <t>WS-INV-0178</t>
        </is>
      </c>
      <c r="D243" s="27" t="n">
        <v>160</v>
      </c>
      <c r="E243" s="27" t="n">
        <v>160</v>
      </c>
      <c r="F243" s="25" t="inlineStr">
        <is>
          <t>النظام الجديد</t>
        </is>
      </c>
      <c r="G243" s="25" t="inlineStr">
        <is>
          <t>النظام الجديد – سيارة 1219 – مشتل نسيم الصبا - الرياض</t>
        </is>
      </c>
      <c r="H243" s="25" t="n"/>
      <c r="I243" s="25" t="inlineStr">
        <is>
          <t>النظام الجديد (سيارة 1219)</t>
        </is>
      </c>
    </row>
    <row r="244">
      <c r="A244" s="25" t="n">
        <v>243</v>
      </c>
      <c r="B244" s="96" t="n">
        <v>46217</v>
      </c>
      <c r="C244" s="25" t="inlineStr">
        <is>
          <t>WS-INV-0190</t>
        </is>
      </c>
      <c r="D244" s="27" t="n">
        <v>400</v>
      </c>
      <c r="E244" s="27" t="n">
        <v>400</v>
      </c>
      <c r="F244" s="25" t="inlineStr">
        <is>
          <t>النظام الجديد</t>
        </is>
      </c>
      <c r="G244" s="25" t="inlineStr">
        <is>
          <t>النظام الجديد – سيارة 1219 – مشتل سالم-الرياض</t>
        </is>
      </c>
      <c r="H244" s="25" t="n"/>
      <c r="I244" s="25" t="inlineStr">
        <is>
          <t>النظام الجديد (سيارة 1219)</t>
        </is>
      </c>
    </row>
    <row r="245">
      <c r="A245" s="25" t="n">
        <v>244</v>
      </c>
      <c r="B245" s="96" t="n">
        <v>46219</v>
      </c>
      <c r="C245" s="25" t="inlineStr">
        <is>
          <t>WS-INV-0197</t>
        </is>
      </c>
      <c r="D245" s="27" t="n">
        <v>630</v>
      </c>
      <c r="E245" s="27" t="n">
        <v>630</v>
      </c>
      <c r="F245" s="25" t="inlineStr">
        <is>
          <t>النظام الجديد</t>
        </is>
      </c>
      <c r="G245" s="25" t="inlineStr">
        <is>
          <t>النظام الجديد – سيارة 1219 – مشتل زهور الرياض - الرياض</t>
        </is>
      </c>
      <c r="H245" s="25" t="n"/>
      <c r="I245" s="25" t="inlineStr">
        <is>
          <t>النظام الجديد (سيارة 1219)</t>
        </is>
      </c>
    </row>
    <row r="246">
      <c r="A246" s="25" t="n">
        <v>245</v>
      </c>
      <c r="B246" s="96" t="n">
        <v>46221</v>
      </c>
      <c r="C246" s="25" t="inlineStr">
        <is>
          <t>WS-INV-0206</t>
        </is>
      </c>
      <c r="D246" s="27" t="n">
        <v>590</v>
      </c>
      <c r="E246" s="27" t="n">
        <v>590</v>
      </c>
      <c r="F246" s="25" t="inlineStr">
        <is>
          <t>النظام الجديد</t>
        </is>
      </c>
      <c r="G246" s="25" t="inlineStr">
        <is>
          <t>النظام الجديد – سيارة 1219 – مشتل نسيم الصبا - الرياض</t>
        </is>
      </c>
      <c r="H246" s="25" t="n"/>
      <c r="I246" s="25" t="inlineStr">
        <is>
          <t>النظام الجديد (سيارة 1219)</t>
        </is>
      </c>
    </row>
    <row r="247">
      <c r="A247" s="25" t="n">
        <v>246</v>
      </c>
      <c r="B247" s="96" t="n">
        <v>46222</v>
      </c>
      <c r="C247" s="25" t="inlineStr">
        <is>
          <t>WS-INV-0215</t>
        </is>
      </c>
      <c r="D247" s="27" t="n">
        <v>540</v>
      </c>
      <c r="E247" s="27" t="n">
        <v>540</v>
      </c>
      <c r="F247" s="25" t="inlineStr">
        <is>
          <t>النظام الجديد</t>
        </is>
      </c>
      <c r="G247" s="25" t="inlineStr">
        <is>
          <t>النظام الجديد – سيارة 1219 – مشاتل العليا-الرياض</t>
        </is>
      </c>
      <c r="H247" s="25" t="n"/>
      <c r="I247" s="25" t="inlineStr">
        <is>
          <t>النظام الجديد (سيارة 1219)</t>
        </is>
      </c>
    </row>
    <row r="248">
      <c r="A248" s="25" t="n">
        <v>247</v>
      </c>
      <c r="B248" s="96" t="n">
        <v>46224</v>
      </c>
      <c r="C248" s="25" t="inlineStr">
        <is>
          <t>WS-INV-0222</t>
        </is>
      </c>
      <c r="D248" s="27" t="n">
        <v>300</v>
      </c>
      <c r="E248" s="27" t="n">
        <v>300</v>
      </c>
      <c r="F248" s="25" t="inlineStr">
        <is>
          <t>النظام الجديد</t>
        </is>
      </c>
      <c r="G248" s="25" t="inlineStr">
        <is>
          <t>النظام الجديد – سيارة 1219 – مشتل زهور الرياض - الرياض</t>
        </is>
      </c>
      <c r="H248" s="25" t="n"/>
      <c r="I248" s="25" t="inlineStr">
        <is>
          <t>النظام الجديد (سيارة 1219)</t>
        </is>
      </c>
    </row>
    <row r="249">
      <c r="A249" s="25" t="n">
        <v>248</v>
      </c>
      <c r="B249" s="96" t="n">
        <v>46225</v>
      </c>
      <c r="C249" s="25" t="inlineStr">
        <is>
          <t>WS-INV-0230</t>
        </is>
      </c>
      <c r="D249" s="27" t="n">
        <v>845</v>
      </c>
      <c r="E249" s="27" t="n">
        <v>845</v>
      </c>
      <c r="F249" s="25" t="inlineStr">
        <is>
          <t>النظام الجديد</t>
        </is>
      </c>
      <c r="G249" s="25" t="inlineStr">
        <is>
          <t>النظام الجديد – سيارة 1219 – مشتل عمر الخضير-الرياض</t>
        </is>
      </c>
      <c r="H249" s="25" t="n"/>
      <c r="I249" s="25" t="inlineStr">
        <is>
          <t>النظام الجديد (سيارة 1219)</t>
        </is>
      </c>
    </row>
    <row r="250">
      <c r="A250" s="25" t="n">
        <v>249</v>
      </c>
      <c r="B250" s="96" t="n">
        <v>46226</v>
      </c>
      <c r="C250" s="25" t="inlineStr">
        <is>
          <t>WS-INV-0233</t>
        </is>
      </c>
      <c r="D250" s="27" t="n">
        <v>319</v>
      </c>
      <c r="E250" s="27" t="n">
        <v>319</v>
      </c>
      <c r="F250" s="25" t="inlineStr">
        <is>
          <t>النظام الجديد</t>
        </is>
      </c>
      <c r="G250" s="25" t="inlineStr">
        <is>
          <t>النظام الجديد – سيارة 1219 – مشتل زهور الرياض - الرياض</t>
        </is>
      </c>
      <c r="H250" s="25" t="n"/>
      <c r="I250" s="25" t="inlineStr">
        <is>
          <t>النظام الجديد (سيارة 1219)</t>
        </is>
      </c>
    </row>
    <row r="251">
      <c r="A251" s="25" t="n">
        <v>250</v>
      </c>
      <c r="B251" s="96" t="n">
        <v>46228</v>
      </c>
      <c r="C251" s="25" t="inlineStr">
        <is>
          <t>WS-INV-0237</t>
        </is>
      </c>
      <c r="D251" s="27" t="n">
        <v>658</v>
      </c>
      <c r="E251" s="27" t="n">
        <v>658</v>
      </c>
      <c r="F251" s="25" t="inlineStr">
        <is>
          <t>النظام الجديد</t>
        </is>
      </c>
      <c r="G251" s="25" t="inlineStr">
        <is>
          <t>النظام الجديد – سيارة 1219 – مشاتل مخرج 22-الرياض</t>
        </is>
      </c>
      <c r="H251" s="25" t="n"/>
      <c r="I251" s="25" t="inlineStr">
        <is>
          <t>النظام الجديد (سيارة 1219)</t>
        </is>
      </c>
    </row>
    <row r="252">
      <c r="A252" s="25" t="n">
        <v>251</v>
      </c>
      <c r="B252" s="96" t="n">
        <v>46229</v>
      </c>
      <c r="C252" s="25" t="inlineStr">
        <is>
          <t>WS-INV-0243</t>
        </is>
      </c>
      <c r="D252" s="27" t="n">
        <v>277</v>
      </c>
      <c r="E252" s="27" t="n">
        <v>277</v>
      </c>
      <c r="F252" s="25" t="inlineStr">
        <is>
          <t>النظام الجديد</t>
        </is>
      </c>
      <c r="G252" s="25" t="inlineStr">
        <is>
          <t>النظام الجديد – سيارة 1219 – مشتل حي لبن - الرياض</t>
        </is>
      </c>
      <c r="H252" s="25" t="n"/>
      <c r="I252" s="25" t="inlineStr">
        <is>
          <t>النظام الجديد (سيارة 1219)</t>
        </is>
      </c>
    </row>
    <row r="253">
      <c r="A253" s="25" t="n">
        <v>252</v>
      </c>
      <c r="B253" s="96" t="n">
        <v>46230</v>
      </c>
      <c r="C253" s="25" t="inlineStr">
        <is>
          <t>WS-INV-0248</t>
        </is>
      </c>
      <c r="D253" s="27" t="n">
        <v>225</v>
      </c>
      <c r="E253" s="27" t="n">
        <v>225</v>
      </c>
      <c r="F253" s="25" t="inlineStr">
        <is>
          <t>النظام الجديد</t>
        </is>
      </c>
      <c r="G253" s="25" t="inlineStr">
        <is>
          <t>النظام الجديد – سيارة 1219 – مشاتل طريق خريص-الرياض</t>
        </is>
      </c>
      <c r="H253" s="25" t="n"/>
      <c r="I253" s="25" t="inlineStr">
        <is>
          <t>النظام الجديد (سيارة 1219)</t>
        </is>
      </c>
    </row>
    <row r="254">
      <c r="A254" s="25" t="n">
        <v>253</v>
      </c>
      <c r="B254" s="96" t="n">
        <v>46231</v>
      </c>
      <c r="C254" s="25" t="inlineStr">
        <is>
          <t>WS-INV-0250</t>
        </is>
      </c>
      <c r="D254" s="27" t="n">
        <v>440</v>
      </c>
      <c r="E254" s="27" t="n">
        <v>440</v>
      </c>
      <c r="F254" s="25" t="inlineStr">
        <is>
          <t>النظام الجديد</t>
        </is>
      </c>
      <c r="G254" s="25" t="inlineStr">
        <is>
          <t>النظام الجديد – سيارة 1219 – مشتل افتخار-الرياض</t>
        </is>
      </c>
      <c r="H254" s="25" t="n"/>
      <c r="I254" s="25" t="inlineStr">
        <is>
          <t>النظام الجديد (سيارة 1219)</t>
        </is>
      </c>
    </row>
    <row r="255">
      <c r="A255" s="25" t="n">
        <v>254</v>
      </c>
      <c r="B255" s="96" t="n">
        <v>46233</v>
      </c>
      <c r="C255" s="25" t="inlineStr">
        <is>
          <t>WS-INV-0254</t>
        </is>
      </c>
      <c r="D255" s="27" t="n">
        <v>450</v>
      </c>
      <c r="E255" s="27" t="n">
        <v>450</v>
      </c>
      <c r="F255" s="25" t="inlineStr">
        <is>
          <t>النظام الجديد</t>
        </is>
      </c>
      <c r="G255" s="25" t="inlineStr">
        <is>
          <t>النظام الجديد – سيارة 1219 – مشتل ظهرة البديعة - الرياض</t>
        </is>
      </c>
      <c r="H255" s="25" t="n"/>
      <c r="I255" s="25" t="inlineStr">
        <is>
          <t>النظام الجديد (سيارة 1219)</t>
        </is>
      </c>
    </row>
    <row r="256">
      <c r="A256" s="9" t="n"/>
      <c r="B256" s="9" t="n"/>
      <c r="C256" s="9" t="inlineStr">
        <is>
          <t>الإجمالي</t>
        </is>
      </c>
      <c r="D256" s="10">
        <f>SUM(D2:D255)</f>
        <v/>
      </c>
      <c r="E256" s="10">
        <f>SUM(E2:E255)</f>
        <v/>
      </c>
      <c r="F256" s="9" t="n"/>
      <c r="G256" s="9" t="n"/>
      <c r="H256" s="9" t="n"/>
      <c r="I256" s="9" t="n"/>
    </row>
  </sheetData>
  <autoFilter ref="A1:I255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60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رقم العقد</t>
        </is>
      </c>
      <c r="D1" s="22" t="inlineStr">
        <is>
          <t>القيمة بشيت المحاسب</t>
        </is>
      </c>
      <c r="E1" s="22" t="inlineStr">
        <is>
          <t>القيمة المعتمدة</t>
        </is>
      </c>
      <c r="F1" s="22" t="inlineStr">
        <is>
          <t>الحالة</t>
        </is>
      </c>
      <c r="G1" s="22" t="inlineStr">
        <is>
          <t>المستندات المؤيدة</t>
        </is>
      </c>
      <c r="H1" s="22" t="inlineStr">
        <is>
          <t>ملاحظة</t>
        </is>
      </c>
      <c r="I1" s="2" t="inlineStr">
        <is>
          <t>المصدر</t>
        </is>
      </c>
    </row>
    <row r="2">
      <c r="A2" s="16" t="n">
        <v>1</v>
      </c>
      <c r="B2" s="95" t="n">
        <v>45983</v>
      </c>
      <c r="C2" s="16" t="inlineStr">
        <is>
          <t>WHE-2973</t>
        </is>
      </c>
      <c r="D2" s="17" t="n">
        <v>6315</v>
      </c>
      <c r="E2" s="17" t="n">
        <v>6315</v>
      </c>
      <c r="F2" s="16" t="inlineStr">
        <is>
          <t>صحيح</t>
        </is>
      </c>
      <c r="G2" s="16" t="inlineStr">
        <is>
          <t>فاتورة مبدئية 62، سجل العقود، كشف الحساب</t>
        </is>
      </c>
      <c r="H2" s="16" t="n"/>
      <c r="I2" s="16" t="inlineStr">
        <is>
          <t>شيت المبيعات (عقود الجملة)</t>
        </is>
      </c>
    </row>
    <row r="3">
      <c r="A3" s="16" t="n">
        <v>2</v>
      </c>
      <c r="B3" s="95" t="n">
        <v>45987</v>
      </c>
      <c r="C3" s="16" t="inlineStr">
        <is>
          <t>WHE-3011</t>
        </is>
      </c>
      <c r="D3" s="17" t="n">
        <v>8300.5</v>
      </c>
      <c r="E3" s="17" t="n">
        <v>8300.5</v>
      </c>
      <c r="F3" s="16" t="inlineStr">
        <is>
          <t>صحيح</t>
        </is>
      </c>
      <c r="G3" s="16" t="inlineStr">
        <is>
          <t>فاتورة مبدئية 67، سجل العقود، كشف الحساب</t>
        </is>
      </c>
      <c r="H3" s="16" t="n"/>
      <c r="I3" s="16" t="inlineStr">
        <is>
          <t>شيت المبيعات (عقود الجملة)</t>
        </is>
      </c>
    </row>
    <row r="4">
      <c r="A4" s="16" t="n">
        <v>3</v>
      </c>
      <c r="B4" s="95" t="n">
        <v>45989</v>
      </c>
      <c r="C4" s="16" t="inlineStr">
        <is>
          <t>WHE-3041</t>
        </is>
      </c>
      <c r="D4" s="17" t="n">
        <v>7387.5</v>
      </c>
      <c r="E4" s="17" t="n">
        <v>7387.5</v>
      </c>
      <c r="F4" s="16" t="inlineStr">
        <is>
          <t>صحيح</t>
        </is>
      </c>
      <c r="G4" s="16" t="inlineStr">
        <is>
          <t>فاتورة مبدئية 70، سجل العقود، كشف الحساب</t>
        </is>
      </c>
      <c r="H4" s="16" t="n"/>
      <c r="I4" s="16" t="inlineStr">
        <is>
          <t>شيت المبيعات (عقود الجملة)</t>
        </is>
      </c>
    </row>
    <row r="5">
      <c r="A5" s="16" t="n">
        <v>4</v>
      </c>
      <c r="B5" s="95" t="n">
        <v>45991</v>
      </c>
      <c r="C5" s="16" t="inlineStr">
        <is>
          <t>WHE-3076</t>
        </is>
      </c>
      <c r="D5" s="17" t="n">
        <v>8400</v>
      </c>
      <c r="E5" s="17" t="n">
        <v>8400</v>
      </c>
      <c r="F5" s="16" t="inlineStr">
        <is>
          <t>صحيح</t>
        </is>
      </c>
      <c r="G5" s="16" t="inlineStr">
        <is>
          <t>فاتورة مبدئية 73، سجل العقود، كشف الحساب</t>
        </is>
      </c>
      <c r="H5" s="16" t="n"/>
      <c r="I5" s="16" t="inlineStr">
        <is>
          <t>شيت المبيعات (عقود الجملة)</t>
        </is>
      </c>
    </row>
    <row r="6">
      <c r="A6" s="16" t="n">
        <v>5</v>
      </c>
      <c r="B6" s="95" t="n">
        <v>46002</v>
      </c>
      <c r="C6" s="16" t="inlineStr">
        <is>
          <t>WHE-3212</t>
        </is>
      </c>
      <c r="D6" s="17" t="n">
        <v>10731.25</v>
      </c>
      <c r="E6" s="17" t="n">
        <v>10731.25</v>
      </c>
      <c r="F6" s="16" t="inlineStr">
        <is>
          <t>صحيح</t>
        </is>
      </c>
      <c r="G6" s="16" t="inlineStr">
        <is>
          <t>فاتورة مبدئية 85، سجل العقود، كشف الحساب</t>
        </is>
      </c>
      <c r="H6" s="16" t="n"/>
      <c r="I6" s="16" t="inlineStr">
        <is>
          <t>شيت المبيعات (عقود الجملة)</t>
        </is>
      </c>
    </row>
    <row r="7">
      <c r="A7" s="16" t="n">
        <v>6</v>
      </c>
      <c r="B7" s="95" t="n">
        <v>46006</v>
      </c>
      <c r="C7" s="16" t="inlineStr">
        <is>
          <t>WHE-3245</t>
        </is>
      </c>
      <c r="D7" s="17" t="n">
        <v>4845.5</v>
      </c>
      <c r="E7" s="17" t="n">
        <v>4845.5</v>
      </c>
      <c r="F7" s="16" t="inlineStr">
        <is>
          <t>صحيح</t>
        </is>
      </c>
      <c r="G7" s="16" t="inlineStr">
        <is>
          <t>فاتورة مبدئية 90، سجل العقود، كشف الحساب</t>
        </is>
      </c>
      <c r="H7" s="16" t="n"/>
      <c r="I7" s="16" t="inlineStr">
        <is>
          <t>شيت المبيعات (عقود الجملة)</t>
        </is>
      </c>
    </row>
    <row r="8">
      <c r="A8" s="16" t="n">
        <v>7</v>
      </c>
      <c r="B8" s="95" t="n">
        <v>46008</v>
      </c>
      <c r="C8" s="16" t="inlineStr">
        <is>
          <t>WHE-3274</t>
        </is>
      </c>
      <c r="D8" s="17" t="n">
        <v>6818.5</v>
      </c>
      <c r="E8" s="17" t="n">
        <v>6818.5</v>
      </c>
      <c r="F8" s="16" t="inlineStr">
        <is>
          <t>صحيح</t>
        </is>
      </c>
      <c r="G8" s="16" t="inlineStr">
        <is>
          <t>فاتورة مبدئية 94، سجل العقود، كشف الحساب</t>
        </is>
      </c>
      <c r="H8" s="16" t="n"/>
      <c r="I8" s="16" t="inlineStr">
        <is>
          <t>شيت المبيعات (عقود الجملة)</t>
        </is>
      </c>
    </row>
    <row r="9">
      <c r="A9" s="16" t="n">
        <v>8</v>
      </c>
      <c r="B9" s="95" t="n">
        <v>46021</v>
      </c>
      <c r="C9" s="16" t="inlineStr">
        <is>
          <t>WHE-3402</t>
        </is>
      </c>
      <c r="D9" s="17" t="n">
        <v>6097.5</v>
      </c>
      <c r="E9" s="17" t="n">
        <v>6097.5</v>
      </c>
      <c r="F9" s="16" t="inlineStr">
        <is>
          <t>صحيح</t>
        </is>
      </c>
      <c r="G9" s="16" t="inlineStr">
        <is>
          <t>فاتورة مبدئية 104، كشف الحساب</t>
        </is>
      </c>
      <c r="H9" s="16" t="n"/>
      <c r="I9" s="16" t="inlineStr">
        <is>
          <t>شيت المبيعات (عقود الجملة)</t>
        </is>
      </c>
    </row>
    <row r="10">
      <c r="A10" s="16" t="n">
        <v>9</v>
      </c>
      <c r="B10" s="95" t="n">
        <v>46024</v>
      </c>
      <c r="C10" s="16" t="inlineStr">
        <is>
          <t>WHE-3424</t>
        </is>
      </c>
      <c r="D10" s="17" t="n">
        <v>6577.5</v>
      </c>
      <c r="E10" s="17" t="n">
        <v>6577.5</v>
      </c>
      <c r="F10" s="16" t="inlineStr">
        <is>
          <t>صحيح</t>
        </is>
      </c>
      <c r="G10" s="16" t="inlineStr">
        <is>
          <t>فاتورة مبدئية 106، سجل العقود، كشف الحساب</t>
        </is>
      </c>
      <c r="H10" s="16" t="n"/>
      <c r="I10" s="16" t="inlineStr">
        <is>
          <t>شيت المبيعات (عقود الجملة)</t>
        </is>
      </c>
    </row>
    <row r="11">
      <c r="A11" s="16" t="n">
        <v>10</v>
      </c>
      <c r="B11" s="95" t="n">
        <v>46027</v>
      </c>
      <c r="C11" s="16" t="inlineStr">
        <is>
          <t>WHE-3475</t>
        </is>
      </c>
      <c r="D11" s="17" t="n">
        <v>8985</v>
      </c>
      <c r="E11" s="17" t="n">
        <v>8985</v>
      </c>
      <c r="F11" s="16" t="inlineStr">
        <is>
          <t>صحيح</t>
        </is>
      </c>
      <c r="G11" s="16" t="inlineStr">
        <is>
          <t>فاتورة مبدئية 111، سجل العقود، كشف الحساب</t>
        </is>
      </c>
      <c r="H11" s="16" t="n"/>
      <c r="I11" s="16" t="inlineStr">
        <is>
          <t>شيت المبيعات (عقود الجملة)</t>
        </is>
      </c>
    </row>
    <row r="12">
      <c r="A12" s="16" t="n">
        <v>11</v>
      </c>
      <c r="B12" s="95" t="n">
        <v>46037</v>
      </c>
      <c r="C12" s="16" t="inlineStr">
        <is>
          <t>WHE-3570</t>
        </is>
      </c>
      <c r="D12" s="17" t="n">
        <v>8562.5</v>
      </c>
      <c r="E12" s="17" t="n">
        <v>8562.5</v>
      </c>
      <c r="F12" s="16" t="inlineStr">
        <is>
          <t>صحيح</t>
        </is>
      </c>
      <c r="G12" s="16" t="inlineStr">
        <is>
          <t>فاتورة مبدئية 120، سجل العقود، كشف الحساب</t>
        </is>
      </c>
      <c r="H12" s="16" t="n"/>
      <c r="I12" s="16" t="inlineStr">
        <is>
          <t>شيت المبيعات (عقود الجملة)</t>
        </is>
      </c>
    </row>
    <row r="13">
      <c r="A13" s="16" t="n">
        <v>12</v>
      </c>
      <c r="B13" s="95" t="n">
        <v>46042</v>
      </c>
      <c r="C13" s="16" t="inlineStr">
        <is>
          <t>WHE-3615</t>
        </is>
      </c>
      <c r="D13" s="17" t="n">
        <v>6699.5</v>
      </c>
      <c r="E13" s="17" t="n">
        <v>6699.5</v>
      </c>
      <c r="F13" s="16" t="inlineStr">
        <is>
          <t>صحيح</t>
        </is>
      </c>
      <c r="G13" s="16" t="inlineStr">
        <is>
          <t>فاتورة مبدئية 124، سجل العقود، كشف الحساب</t>
        </is>
      </c>
      <c r="H13" s="16" t="n"/>
      <c r="I13" s="16" t="inlineStr">
        <is>
          <t>شيت المبيعات (عقود الجملة)</t>
        </is>
      </c>
    </row>
    <row r="14">
      <c r="A14" s="16" t="n">
        <v>13</v>
      </c>
      <c r="B14" s="95" t="n">
        <v>46048</v>
      </c>
      <c r="C14" s="16" t="inlineStr">
        <is>
          <t>WHE-3657</t>
        </is>
      </c>
      <c r="D14" s="17" t="n">
        <v>4881.25</v>
      </c>
      <c r="E14" s="17" t="n">
        <v>4881.25</v>
      </c>
      <c r="F14" s="16" t="inlineStr">
        <is>
          <t>صحيح</t>
        </is>
      </c>
      <c r="G14" s="16" t="inlineStr">
        <is>
          <t>فاتورة مبدئية 129، سجل العقود، كشف الحساب</t>
        </is>
      </c>
      <c r="H14" s="16" t="n"/>
      <c r="I14" s="16" t="inlineStr">
        <is>
          <t>شيت المبيعات (عقود الجملة)</t>
        </is>
      </c>
    </row>
    <row r="15">
      <c r="A15" s="16" t="n">
        <v>14</v>
      </c>
      <c r="B15" s="95" t="n">
        <v>46053</v>
      </c>
      <c r="C15" s="16" t="inlineStr">
        <is>
          <t>WHE-3702</t>
        </is>
      </c>
      <c r="D15" s="17" t="n">
        <v>4311.25</v>
      </c>
      <c r="E15" s="17" t="n">
        <v>4311.25</v>
      </c>
      <c r="F15" s="16" t="inlineStr">
        <is>
          <t>صحيح</t>
        </is>
      </c>
      <c r="G15" s="16" t="inlineStr">
        <is>
          <t>فاتورة مبدئية 134، سجل العقود، كشف الحساب</t>
        </is>
      </c>
      <c r="H15" s="16" t="n"/>
      <c r="I15" s="16" t="inlineStr">
        <is>
          <t>شيت المبيعات (عقود الجملة)</t>
        </is>
      </c>
    </row>
    <row r="16">
      <c r="A16" s="16" t="n">
        <v>15</v>
      </c>
      <c r="B16" s="95" t="n">
        <v>46056</v>
      </c>
      <c r="C16" s="16" t="inlineStr">
        <is>
          <t>WHE-3748</t>
        </is>
      </c>
      <c r="D16" s="17" t="n">
        <v>5237.5</v>
      </c>
      <c r="E16" s="17" t="n">
        <v>5237.5</v>
      </c>
      <c r="F16" s="16" t="inlineStr">
        <is>
          <t>صحيح</t>
        </is>
      </c>
      <c r="G16" s="16" t="inlineStr">
        <is>
          <t>فاتورة مبدئية 138، سجل العقود، كشف الحساب</t>
        </is>
      </c>
      <c r="H16" s="16" t="n"/>
      <c r="I16" s="16" t="inlineStr">
        <is>
          <t>شيت المبيعات (عقود الجملة)</t>
        </is>
      </c>
    </row>
    <row r="17">
      <c r="A17" s="16" t="n">
        <v>16</v>
      </c>
      <c r="B17" s="95" t="n">
        <v>46058</v>
      </c>
      <c r="C17" s="16" t="inlineStr">
        <is>
          <t>WHE-3764</t>
        </is>
      </c>
      <c r="D17" s="17" t="n">
        <v>7425</v>
      </c>
      <c r="E17" s="17" t="n">
        <v>7425</v>
      </c>
      <c r="F17" s="16" t="inlineStr">
        <is>
          <t>صحيح</t>
        </is>
      </c>
      <c r="G17" s="16" t="inlineStr">
        <is>
          <t>فاتورة مبدئية 142، سجل العقود، كشف الحساب</t>
        </is>
      </c>
      <c r="H17" s="16" t="n"/>
      <c r="I17" s="16" t="inlineStr">
        <is>
          <t>شيت المبيعات (عقود الجملة)</t>
        </is>
      </c>
    </row>
    <row r="18">
      <c r="A18" s="16" t="n">
        <v>17</v>
      </c>
      <c r="B18" s="95" t="n">
        <v>46062</v>
      </c>
      <c r="C18" s="16" t="inlineStr">
        <is>
          <t>WHE-3784</t>
        </is>
      </c>
      <c r="D18" s="17" t="n">
        <v>6660</v>
      </c>
      <c r="E18" s="17" t="n">
        <v>6660</v>
      </c>
      <c r="F18" s="16" t="inlineStr">
        <is>
          <t>صحيح</t>
        </is>
      </c>
      <c r="G18" s="16" t="inlineStr">
        <is>
          <t>فاتورة مبدئية 146، سجل العقود، كشف الحساب</t>
        </is>
      </c>
      <c r="H18" s="16" t="n"/>
      <c r="I18" s="16" t="inlineStr">
        <is>
          <t>شيت المبيعات (عقود الجملة)</t>
        </is>
      </c>
    </row>
    <row r="19">
      <c r="A19" s="16" t="n">
        <v>18</v>
      </c>
      <c r="B19" s="95" t="n">
        <v>46065</v>
      </c>
      <c r="C19" s="16" t="inlineStr">
        <is>
          <t>WHE-3834</t>
        </is>
      </c>
      <c r="D19" s="17" t="n">
        <v>4628.75</v>
      </c>
      <c r="E19" s="17" t="n">
        <v>4628.75</v>
      </c>
      <c r="F19" s="16" t="inlineStr">
        <is>
          <t>صحيح</t>
        </is>
      </c>
      <c r="G19" s="16" t="inlineStr">
        <is>
          <t>فاتورة مبدئية 152، سجل العقود، كشف الحساب</t>
        </is>
      </c>
      <c r="H19" s="16" t="n"/>
      <c r="I19" s="16" t="inlineStr">
        <is>
          <t>شيت المبيعات (عقود الجملة)</t>
        </is>
      </c>
    </row>
    <row r="20">
      <c r="A20" s="16" t="n">
        <v>19</v>
      </c>
      <c r="B20" s="95" t="n">
        <v>46068</v>
      </c>
      <c r="C20" s="16" t="inlineStr">
        <is>
          <t>WHE-3842</t>
        </is>
      </c>
      <c r="D20" s="17" t="n">
        <v>9600</v>
      </c>
      <c r="E20" s="17" t="n">
        <v>9600</v>
      </c>
      <c r="F20" s="16" t="inlineStr">
        <is>
          <t>صحيح</t>
        </is>
      </c>
      <c r="G20" s="16" t="inlineStr">
        <is>
          <t>فاتورة مبدئية 154، سجل العقود، كشف الحساب</t>
        </is>
      </c>
      <c r="H20" s="16" t="n"/>
      <c r="I20" s="16" t="inlineStr">
        <is>
          <t>شيت المبيعات (عقود الجملة)</t>
        </is>
      </c>
    </row>
    <row r="21">
      <c r="A21" s="16" t="n">
        <v>20</v>
      </c>
      <c r="B21" s="95" t="n">
        <v>46071</v>
      </c>
      <c r="C21" s="16" t="inlineStr">
        <is>
          <t>WHE-3869</t>
        </is>
      </c>
      <c r="D21" s="17" t="n">
        <v>5768.75</v>
      </c>
      <c r="E21" s="17" t="n">
        <v>5768.75</v>
      </c>
      <c r="F21" s="16" t="inlineStr">
        <is>
          <t>صحيح</t>
        </is>
      </c>
      <c r="G21" s="16" t="inlineStr">
        <is>
          <t>فاتورة مبدئية 158، سجل العقود، كشف الحساب</t>
        </is>
      </c>
      <c r="H21" s="16" t="n"/>
      <c r="I21" s="16" t="inlineStr">
        <is>
          <t>شيت المبيعات (عقود الجملة)</t>
        </is>
      </c>
    </row>
    <row r="22">
      <c r="A22" s="16" t="n">
        <v>21</v>
      </c>
      <c r="B22" s="95" t="n">
        <v>46075</v>
      </c>
      <c r="C22" s="16" t="inlineStr">
        <is>
          <t>WHE-3912</t>
        </is>
      </c>
      <c r="D22" s="17" t="n">
        <v>4952.5</v>
      </c>
      <c r="E22" s="17" t="n">
        <v>4952.5</v>
      </c>
      <c r="F22" s="16" t="inlineStr">
        <is>
          <t>صحيح</t>
        </is>
      </c>
      <c r="G22" s="16" t="inlineStr">
        <is>
          <t>فاتورة مبدئية 164، سجل العقود، كشف الحساب</t>
        </is>
      </c>
      <c r="H22" s="16" t="n"/>
      <c r="I22" s="16" t="inlineStr">
        <is>
          <t>شيت المبيعات (عقود الجملة)</t>
        </is>
      </c>
    </row>
    <row r="23">
      <c r="A23" s="16" t="n">
        <v>22</v>
      </c>
      <c r="B23" s="95" t="n">
        <v>46084</v>
      </c>
      <c r="C23" s="16" t="inlineStr">
        <is>
          <t>WHE-3936</t>
        </is>
      </c>
      <c r="D23" s="17" t="n">
        <v>5331.25</v>
      </c>
      <c r="E23" s="17" t="n">
        <v>5331.25</v>
      </c>
      <c r="F23" s="16" t="inlineStr">
        <is>
          <t>صحيح</t>
        </is>
      </c>
      <c r="G23" s="16" t="inlineStr">
        <is>
          <t>فاتورة مبدئية 168، سجل العقود، كشف الحساب</t>
        </is>
      </c>
      <c r="H23" s="16" t="n"/>
      <c r="I23" s="16" t="inlineStr">
        <is>
          <t>شيت المبيعات (عقود الجملة)</t>
        </is>
      </c>
    </row>
    <row r="24">
      <c r="A24" s="16" t="n">
        <v>23</v>
      </c>
      <c r="B24" s="95" t="n">
        <v>46085</v>
      </c>
      <c r="C24" s="16" t="inlineStr">
        <is>
          <t>WHE-3962</t>
        </is>
      </c>
      <c r="D24" s="17" t="n">
        <v>5463.75</v>
      </c>
      <c r="E24" s="17" t="n">
        <v>5463.75</v>
      </c>
      <c r="F24" s="16" t="inlineStr">
        <is>
          <t>صحيح</t>
        </is>
      </c>
      <c r="G24" s="16" t="inlineStr">
        <is>
          <t>فاتورة مبدئية 173، سجل العقود، كشف الحساب</t>
        </is>
      </c>
      <c r="H24" s="16" t="n"/>
      <c r="I24" s="16" t="inlineStr">
        <is>
          <t>شيت المبيعات (عقود الجملة)</t>
        </is>
      </c>
    </row>
    <row r="25">
      <c r="A25" s="16" t="n">
        <v>24</v>
      </c>
      <c r="B25" s="95" t="n">
        <v>46090</v>
      </c>
      <c r="C25" s="16" t="inlineStr">
        <is>
          <t>WHE-3990</t>
        </is>
      </c>
      <c r="D25" s="17" t="n">
        <v>6240</v>
      </c>
      <c r="E25" s="17" t="n">
        <v>6240</v>
      </c>
      <c r="F25" s="16" t="inlineStr">
        <is>
          <t>صحيح</t>
        </is>
      </c>
      <c r="G25" s="16" t="inlineStr">
        <is>
          <t>فاتورة مبدئية 179، سجل العقود، كشف الحساب</t>
        </is>
      </c>
      <c r="H25" s="16" t="n"/>
      <c r="I25" s="16" t="inlineStr">
        <is>
          <t>شيت المبيعات (عقود الجملة)</t>
        </is>
      </c>
    </row>
    <row r="26">
      <c r="A26" s="16" t="n">
        <v>25</v>
      </c>
      <c r="B26" s="95" t="n">
        <v>46095</v>
      </c>
      <c r="C26" s="16" t="inlineStr">
        <is>
          <t>WHE-4016</t>
        </is>
      </c>
      <c r="D26" s="17" t="n">
        <v>6700</v>
      </c>
      <c r="E26" s="17" t="n">
        <v>6700</v>
      </c>
      <c r="F26" s="16" t="inlineStr">
        <is>
          <t>صحيح</t>
        </is>
      </c>
      <c r="G26" s="16" t="inlineStr">
        <is>
          <t>فاتورة مبدئية 184، سجل العقود</t>
        </is>
      </c>
      <c r="H26" s="16" t="n"/>
      <c r="I26" s="16" t="inlineStr">
        <is>
          <t>شيت المبيعات (عقود الجملة)</t>
        </is>
      </c>
    </row>
    <row r="27">
      <c r="A27" s="16" t="n">
        <v>26</v>
      </c>
      <c r="B27" s="95" t="n">
        <v>46100</v>
      </c>
      <c r="C27" s="16" t="inlineStr">
        <is>
          <t>WHE-4051</t>
        </is>
      </c>
      <c r="D27" s="17" t="n">
        <v>1355</v>
      </c>
      <c r="E27" s="17" t="n">
        <v>1355</v>
      </c>
      <c r="F27" s="16" t="inlineStr">
        <is>
          <t>صحيح</t>
        </is>
      </c>
      <c r="G27" s="16" t="inlineStr">
        <is>
          <t>فاتورة مبدئية 189، سجل العقود، كشف الحساب</t>
        </is>
      </c>
      <c r="H27" s="16" t="n"/>
      <c r="I27" s="16" t="inlineStr">
        <is>
          <t>شيت المبيعات (عقود الجملة)</t>
        </is>
      </c>
    </row>
    <row r="28">
      <c r="A28" s="16" t="n">
        <v>27</v>
      </c>
      <c r="B28" s="95" t="n">
        <v>46119</v>
      </c>
      <c r="C28" s="16" t="inlineStr">
        <is>
          <t>WHE-4130</t>
        </is>
      </c>
      <c r="D28" s="17" t="n">
        <v>2147.5</v>
      </c>
      <c r="E28" s="17" t="n">
        <v>2147.5</v>
      </c>
      <c r="F28" s="16" t="inlineStr">
        <is>
          <t>صحيح</t>
        </is>
      </c>
      <c r="G28" s="16" t="inlineStr">
        <is>
          <t>فاتورة مبدئية 201، سجل العقود، كشف الحساب</t>
        </is>
      </c>
      <c r="H28" s="16" t="n"/>
      <c r="I28" s="16" t="inlineStr">
        <is>
          <t>شيت المبيعات (عقود الجملة)</t>
        </is>
      </c>
    </row>
    <row r="29">
      <c r="A29" s="16" t="n">
        <v>28</v>
      </c>
      <c r="B29" s="95" t="n">
        <v>46125</v>
      </c>
      <c r="C29" s="16" t="inlineStr">
        <is>
          <t>WHE-4158</t>
        </is>
      </c>
      <c r="D29" s="17" t="n">
        <v>3217.5</v>
      </c>
      <c r="E29" s="17" t="n">
        <v>3217.5</v>
      </c>
      <c r="F29" s="16" t="inlineStr">
        <is>
          <t>صحيح</t>
        </is>
      </c>
      <c r="G29" s="16" t="inlineStr">
        <is>
          <t>فاتورة مبدئية 205، سجل العقود، كشف الحساب</t>
        </is>
      </c>
      <c r="H29" s="16" t="n"/>
      <c r="I29" s="16" t="inlineStr">
        <is>
          <t>شيت المبيعات (عقود الجملة)</t>
        </is>
      </c>
    </row>
    <row r="30">
      <c r="A30" s="16" t="n">
        <v>29</v>
      </c>
      <c r="B30" s="95" t="n">
        <v>46128</v>
      </c>
      <c r="C30" s="16" t="inlineStr">
        <is>
          <t>WHE-4185</t>
        </is>
      </c>
      <c r="D30" s="17" t="n">
        <v>880</v>
      </c>
      <c r="E30" s="17" t="n">
        <v>880</v>
      </c>
      <c r="F30" s="16" t="inlineStr">
        <is>
          <t>صحيح</t>
        </is>
      </c>
      <c r="G30" s="16" t="inlineStr">
        <is>
          <t>فاتورة مبدئية 207، سجل العقود، كشف الحساب</t>
        </is>
      </c>
      <c r="H30" s="16" t="n"/>
      <c r="I30" s="16" t="inlineStr">
        <is>
          <t>شيت المبيعات (عقود الجملة)</t>
        </is>
      </c>
    </row>
    <row r="31">
      <c r="A31" s="16" t="n">
        <v>30</v>
      </c>
      <c r="B31" s="95" t="n">
        <v>46130</v>
      </c>
      <c r="C31" s="16" t="inlineStr">
        <is>
          <t>WHE-4186</t>
        </is>
      </c>
      <c r="D31" s="17" t="n">
        <v>2070</v>
      </c>
      <c r="E31" s="17" t="n">
        <v>2070</v>
      </c>
      <c r="F31" s="16" t="inlineStr">
        <is>
          <t>صحيح</t>
        </is>
      </c>
      <c r="G31" s="16" t="inlineStr">
        <is>
          <t>فاتورة مبدئية 208، سجل العقود، كشف الحساب</t>
        </is>
      </c>
      <c r="H31" s="16" t="n"/>
      <c r="I31" s="16" t="inlineStr">
        <is>
          <t>شيت المبيعات (عقود الجملة)</t>
        </is>
      </c>
    </row>
    <row r="32">
      <c r="A32" s="16" t="n">
        <v>31</v>
      </c>
      <c r="B32" s="95" t="n">
        <v>46132</v>
      </c>
      <c r="C32" s="16" t="inlineStr">
        <is>
          <t>WHE-4192</t>
        </is>
      </c>
      <c r="D32" s="17" t="n">
        <v>3100</v>
      </c>
      <c r="E32" s="17" t="n">
        <v>3100</v>
      </c>
      <c r="F32" s="16" t="inlineStr">
        <is>
          <t>صحيح</t>
        </is>
      </c>
      <c r="G32" s="16" t="inlineStr">
        <is>
          <t>فاتورة مبدئية 211، سجل العقود، كشف الحساب</t>
        </is>
      </c>
      <c r="H32" s="16" t="n"/>
      <c r="I32" s="16" t="inlineStr">
        <is>
          <t>شيت المبيعات (عقود الجملة)</t>
        </is>
      </c>
    </row>
    <row r="33">
      <c r="A33" s="16" t="n">
        <v>32</v>
      </c>
      <c r="B33" s="95" t="n">
        <v>46134</v>
      </c>
      <c r="C33" s="16" t="inlineStr">
        <is>
          <t>WHE-4199</t>
        </is>
      </c>
      <c r="D33" s="17" t="n">
        <v>2602.5</v>
      </c>
      <c r="E33" s="17" t="n">
        <v>2602.5</v>
      </c>
      <c r="F33" s="16" t="inlineStr">
        <is>
          <t>صحيح</t>
        </is>
      </c>
      <c r="G33" s="16" t="inlineStr">
        <is>
          <t>فاتورة مبدئية 214، سجل العقود، كشف الحساب</t>
        </is>
      </c>
      <c r="H33" s="16" t="n"/>
      <c r="I33" s="16" t="inlineStr">
        <is>
          <t>شيت المبيعات (عقود الجملة)</t>
        </is>
      </c>
    </row>
    <row r="34">
      <c r="A34" s="16" t="n">
        <v>33</v>
      </c>
      <c r="B34" s="95" t="n">
        <v>46134</v>
      </c>
      <c r="C34" s="16" t="inlineStr">
        <is>
          <t>WHE-4204</t>
        </is>
      </c>
      <c r="D34" s="17" t="n">
        <v>1180</v>
      </c>
      <c r="E34" s="17" t="n">
        <v>1180</v>
      </c>
      <c r="F34" s="16" t="inlineStr">
        <is>
          <t>صحيح</t>
        </is>
      </c>
      <c r="G34" s="16" t="inlineStr">
        <is>
          <t>فاتورة مبدئية 215، سجل العقود، كشف الحساب</t>
        </is>
      </c>
      <c r="H34" s="16" t="n"/>
      <c r="I34" s="16" t="inlineStr">
        <is>
          <t>شيت المبيعات (عقود الجملة)</t>
        </is>
      </c>
    </row>
    <row r="35">
      <c r="A35" s="16" t="n">
        <v>34</v>
      </c>
      <c r="B35" s="95" t="n">
        <v>46137</v>
      </c>
      <c r="C35" s="16" t="inlineStr">
        <is>
          <t>WHE-4210</t>
        </is>
      </c>
      <c r="D35" s="17" t="n">
        <v>6711.25</v>
      </c>
      <c r="E35" s="17" t="n">
        <v>6711.25</v>
      </c>
      <c r="F35" s="16" t="inlineStr">
        <is>
          <t>صحيح</t>
        </is>
      </c>
      <c r="G35" s="16" t="inlineStr">
        <is>
          <t>فاتورة مبدئية 217، سجل العقود، كشف الحساب</t>
        </is>
      </c>
      <c r="H35" s="16" t="n"/>
      <c r="I35" s="16" t="inlineStr">
        <is>
          <t>شيت المبيعات (عقود الجملة)</t>
        </is>
      </c>
    </row>
    <row r="36">
      <c r="A36" s="16" t="n">
        <v>35</v>
      </c>
      <c r="B36" s="95" t="n">
        <v>46139</v>
      </c>
      <c r="C36" s="16" t="inlineStr">
        <is>
          <t>WHE-4218</t>
        </is>
      </c>
      <c r="D36" s="17" t="n">
        <v>810</v>
      </c>
      <c r="E36" s="17" t="n">
        <v>810</v>
      </c>
      <c r="F36" s="16" t="inlineStr">
        <is>
          <t>صحيح</t>
        </is>
      </c>
      <c r="G36" s="16" t="inlineStr">
        <is>
          <t>فاتورة مبدئية 219، سجل العقود، كشف الحساب</t>
        </is>
      </c>
      <c r="H36" s="16" t="n"/>
      <c r="I36" s="16" t="inlineStr">
        <is>
          <t>شيت المبيعات (عقود الجملة)</t>
        </is>
      </c>
    </row>
    <row r="37">
      <c r="A37" s="16" t="n">
        <v>36</v>
      </c>
      <c r="B37" s="95" t="n">
        <v>46141</v>
      </c>
      <c r="C37" s="16" t="inlineStr">
        <is>
          <t>WHE-4232</t>
        </is>
      </c>
      <c r="D37" s="17" t="n">
        <v>612.5</v>
      </c>
      <c r="E37" s="17" t="n">
        <v>612.5</v>
      </c>
      <c r="F37" s="16" t="inlineStr">
        <is>
          <t>صحيح</t>
        </is>
      </c>
      <c r="G37" s="16" t="inlineStr">
        <is>
          <t>فاتورة مبدئية 223، سجل العقود، كشف الحساب</t>
        </is>
      </c>
      <c r="H37" s="16" t="n"/>
      <c r="I37" s="16" t="inlineStr">
        <is>
          <t>شيت المبيعات (عقود الجملة)</t>
        </is>
      </c>
    </row>
    <row r="38">
      <c r="A38" s="16" t="n">
        <v>37</v>
      </c>
      <c r="B38" s="95" t="n">
        <v>46146</v>
      </c>
      <c r="C38" s="16" t="inlineStr">
        <is>
          <t>WHE-4261</t>
        </is>
      </c>
      <c r="D38" s="17" t="n">
        <v>4200</v>
      </c>
      <c r="E38" s="17" t="n">
        <v>4200</v>
      </c>
      <c r="F38" s="16" t="inlineStr">
        <is>
          <t>صحيح</t>
        </is>
      </c>
      <c r="G38" s="16" t="inlineStr">
        <is>
          <t>فاتورة مبدئية 229، سجل العقود، كشف الحساب</t>
        </is>
      </c>
      <c r="H38" s="16" t="n"/>
      <c r="I38" s="16" t="inlineStr">
        <is>
          <t>شيت المبيعات (عقود الجملة)</t>
        </is>
      </c>
    </row>
    <row r="39">
      <c r="A39" s="16" t="n">
        <v>38</v>
      </c>
      <c r="B39" s="95" t="n">
        <v>46148</v>
      </c>
      <c r="C39" s="16" t="inlineStr">
        <is>
          <t>WHE-4278</t>
        </is>
      </c>
      <c r="D39" s="17" t="n">
        <v>3328.75</v>
      </c>
      <c r="E39" s="17" t="n">
        <v>3328.75</v>
      </c>
      <c r="F39" s="16" t="inlineStr">
        <is>
          <t>صحيح</t>
        </is>
      </c>
      <c r="G39" s="16" t="inlineStr">
        <is>
          <t>فاتورة مبدئية 233، سجل العقود، كشف الحساب</t>
        </is>
      </c>
      <c r="H39" s="16" t="n"/>
      <c r="I39" s="16" t="inlineStr">
        <is>
          <t>شيت المبيعات (عقود الجملة)</t>
        </is>
      </c>
    </row>
    <row r="40">
      <c r="A40" s="16" t="n">
        <v>39</v>
      </c>
      <c r="B40" s="95" t="n">
        <v>46149</v>
      </c>
      <c r="C40" s="16" t="inlineStr">
        <is>
          <t>WHE-4286</t>
        </is>
      </c>
      <c r="D40" s="17" t="n">
        <v>6000</v>
      </c>
      <c r="E40" s="17" t="n">
        <v>6000</v>
      </c>
      <c r="F40" s="16" t="inlineStr">
        <is>
          <t>صحيح</t>
        </is>
      </c>
      <c r="G40" s="16" t="inlineStr">
        <is>
          <t>فاتورة مبدئية 235، سجل العقود، كشف الحساب</t>
        </is>
      </c>
      <c r="H40" s="16" t="n"/>
      <c r="I40" s="16" t="inlineStr">
        <is>
          <t>شيت المبيعات (عقود الجملة)</t>
        </is>
      </c>
    </row>
    <row r="41">
      <c r="A41" s="16" t="n">
        <v>40</v>
      </c>
      <c r="B41" s="95" t="n">
        <v>46151</v>
      </c>
      <c r="C41" s="16" t="inlineStr">
        <is>
          <t>WHE-4290</t>
        </is>
      </c>
      <c r="D41" s="17" t="n">
        <v>877.5</v>
      </c>
      <c r="E41" s="17" t="n">
        <v>877.5</v>
      </c>
      <c r="F41" s="16" t="inlineStr">
        <is>
          <t>صحيح</t>
        </is>
      </c>
      <c r="G41" s="16" t="inlineStr">
        <is>
          <t>فاتورة مبدئية 238، سجل العقود، كشف الحساب</t>
        </is>
      </c>
      <c r="H41" s="16" t="n"/>
      <c r="I41" s="16" t="inlineStr">
        <is>
          <t>شيت المبيعات (عقود الجملة)</t>
        </is>
      </c>
    </row>
    <row r="42">
      <c r="A42" s="16" t="n">
        <v>41</v>
      </c>
      <c r="B42" s="95" t="n">
        <v>46154</v>
      </c>
      <c r="C42" s="16" t="inlineStr">
        <is>
          <t>WHE-4304</t>
        </is>
      </c>
      <c r="D42" s="17" t="n">
        <v>3955</v>
      </c>
      <c r="E42" s="17" t="n">
        <v>3955</v>
      </c>
      <c r="F42" s="16" t="inlineStr">
        <is>
          <t>صحيح</t>
        </is>
      </c>
      <c r="G42" s="16" t="inlineStr">
        <is>
          <t>فاتورة مبدئية 242، سجل العقود، كشف الحساب</t>
        </is>
      </c>
      <c r="H42" s="16" t="n"/>
      <c r="I42" s="16" t="inlineStr">
        <is>
          <t>شيت المبيعات (عقود الجملة)</t>
        </is>
      </c>
    </row>
    <row r="43">
      <c r="A43" s="16" t="n">
        <v>42</v>
      </c>
      <c r="B43" s="95" t="n">
        <v>46156</v>
      </c>
      <c r="C43" s="16" t="inlineStr">
        <is>
          <t>WHE-4314</t>
        </is>
      </c>
      <c r="D43" s="17" t="n">
        <v>6455</v>
      </c>
      <c r="E43" s="17" t="n">
        <v>6455</v>
      </c>
      <c r="F43" s="16" t="inlineStr">
        <is>
          <t>صحيح</t>
        </is>
      </c>
      <c r="G43" s="16" t="inlineStr">
        <is>
          <t>فاتورة مبدئية 247، سجل العقود، كشف الحساب</t>
        </is>
      </c>
      <c r="H43" s="16" t="n"/>
      <c r="I43" s="16" t="inlineStr">
        <is>
          <t>شيت المبيعات (عقود الجملة)</t>
        </is>
      </c>
    </row>
    <row r="44">
      <c r="A44" s="16" t="n">
        <v>43</v>
      </c>
      <c r="B44" s="95" t="n">
        <v>46161</v>
      </c>
      <c r="C44" s="16" t="inlineStr">
        <is>
          <t>WHE-4327</t>
        </is>
      </c>
      <c r="D44" s="17" t="n">
        <v>5890</v>
      </c>
      <c r="E44" s="17" t="n">
        <v>5890</v>
      </c>
      <c r="F44" s="16" t="inlineStr">
        <is>
          <t>صحيح</t>
        </is>
      </c>
      <c r="G44" s="16" t="inlineStr">
        <is>
          <t>فاتورة مبدئية 252، سجل العقود، كشف الحساب</t>
        </is>
      </c>
      <c r="H44" s="16" t="n"/>
      <c r="I44" s="16" t="inlineStr">
        <is>
          <t>شيت المبيعات (عقود الجملة)</t>
        </is>
      </c>
    </row>
    <row r="45">
      <c r="A45" s="16" t="n">
        <v>44</v>
      </c>
      <c r="B45" s="95" t="n">
        <v>46167</v>
      </c>
      <c r="C45" s="16" t="inlineStr">
        <is>
          <t>WHE-4343</t>
        </is>
      </c>
      <c r="D45" s="17" t="n">
        <v>8328</v>
      </c>
      <c r="E45" s="17" t="n">
        <v>8328</v>
      </c>
      <c r="F45" s="16" t="inlineStr">
        <is>
          <t>صحيح</t>
        </is>
      </c>
      <c r="G45" s="16" t="inlineStr">
        <is>
          <t>فاتورة مبدئية 255، سجل العقود، كشف الحساب</t>
        </is>
      </c>
      <c r="H45" s="16" t="n"/>
      <c r="I45" s="16" t="inlineStr">
        <is>
          <t>شيت المبيعات (عقود الجملة)</t>
        </is>
      </c>
    </row>
    <row r="46">
      <c r="A46" s="16" t="n">
        <v>45</v>
      </c>
      <c r="B46" s="95" t="n">
        <v>46176</v>
      </c>
      <c r="C46" s="16" t="inlineStr">
        <is>
          <t>WHE-4358</t>
        </is>
      </c>
      <c r="D46" s="17" t="n">
        <v>4810</v>
      </c>
      <c r="E46" s="17" t="n">
        <v>4810</v>
      </c>
      <c r="F46" s="16" t="inlineStr">
        <is>
          <t>صحيح</t>
        </is>
      </c>
      <c r="G46" s="16" t="inlineStr">
        <is>
          <t>فاتورة مبدئية 262، كشف الحساب</t>
        </is>
      </c>
      <c r="H46" s="16" t="n"/>
      <c r="I46" s="16" t="inlineStr">
        <is>
          <t>شيت المبيعات (عقود الجملة)</t>
        </is>
      </c>
    </row>
    <row r="47">
      <c r="A47" s="25" t="n">
        <v>46</v>
      </c>
      <c r="B47" s="96" t="n">
        <v>46192</v>
      </c>
      <c r="C47" s="25" t="inlineStr">
        <is>
          <t>WS-INV-0074</t>
        </is>
      </c>
      <c r="D47" s="27" t="n">
        <v>2054.75</v>
      </c>
      <c r="E47" s="27" t="n">
        <v>2054.75</v>
      </c>
      <c r="F47" s="25" t="inlineStr">
        <is>
          <t>النظام الجديد</t>
        </is>
      </c>
      <c r="G47" s="25" t="inlineStr">
        <is>
          <t>النظام الجديد – سيارة 3010 – مشاتل اليوسف-الدمام</t>
        </is>
      </c>
      <c r="H47" s="25" t="n"/>
      <c r="I47" s="25" t="inlineStr">
        <is>
          <t>النظام الجديد (سيارة 3010)</t>
        </is>
      </c>
    </row>
    <row r="48">
      <c r="A48" s="25" t="n">
        <v>47</v>
      </c>
      <c r="B48" s="96" t="n">
        <v>46210</v>
      </c>
      <c r="C48" s="25" t="inlineStr">
        <is>
          <t>WS-INV-0154</t>
        </is>
      </c>
      <c r="D48" s="27" t="n">
        <v>1795</v>
      </c>
      <c r="E48" s="27" t="n">
        <v>1795</v>
      </c>
      <c r="F48" s="25" t="inlineStr">
        <is>
          <t>النظام الجديد</t>
        </is>
      </c>
      <c r="G48" s="25" t="inlineStr">
        <is>
          <t>النظام الجديد – سيارة 3010 – مشاتل زهور الاحساء-الدمام</t>
        </is>
      </c>
      <c r="H48" s="25" t="n"/>
      <c r="I48" s="25" t="inlineStr">
        <is>
          <t>النظام الجديد (سيارة 3010)</t>
        </is>
      </c>
    </row>
    <row r="49">
      <c r="A49" s="25" t="n">
        <v>48</v>
      </c>
      <c r="B49" s="96" t="n">
        <v>46218</v>
      </c>
      <c r="C49" s="25" t="inlineStr">
        <is>
          <t>WS-INV-0196</t>
        </is>
      </c>
      <c r="D49" s="27" t="n">
        <v>745</v>
      </c>
      <c r="E49" s="27" t="n">
        <v>745</v>
      </c>
      <c r="F49" s="25" t="inlineStr">
        <is>
          <t>النظام الجديد</t>
        </is>
      </c>
      <c r="G49" s="25" t="inlineStr">
        <is>
          <t>النظام الجديد – سيارة 3010 – مشتل اسماعيل - الرياض</t>
        </is>
      </c>
      <c r="H49" s="25" t="n"/>
      <c r="I49" s="25" t="inlineStr">
        <is>
          <t>النظام الجديد (سيارة 3010)</t>
        </is>
      </c>
    </row>
    <row r="50">
      <c r="A50" s="25" t="n">
        <v>49</v>
      </c>
      <c r="B50" s="96" t="n">
        <v>46219</v>
      </c>
      <c r="C50" s="25" t="inlineStr">
        <is>
          <t>WS-INV-0198</t>
        </is>
      </c>
      <c r="D50" s="27" t="n">
        <v>295</v>
      </c>
      <c r="E50" s="27" t="n">
        <v>295</v>
      </c>
      <c r="F50" s="25" t="inlineStr">
        <is>
          <t>النظام الجديد</t>
        </is>
      </c>
      <c r="G50" s="25" t="inlineStr">
        <is>
          <t>النظام الجديد – سيارة 3010 – مشتل اسماعيل - الرياض</t>
        </is>
      </c>
      <c r="H50" s="25" t="n"/>
      <c r="I50" s="25" t="inlineStr">
        <is>
          <t>النظام الجديد (سيارة 3010)</t>
        </is>
      </c>
    </row>
    <row r="51">
      <c r="A51" s="25" t="n">
        <v>50</v>
      </c>
      <c r="B51" s="96" t="n">
        <v>46221</v>
      </c>
      <c r="C51" s="25" t="inlineStr">
        <is>
          <t>WS-INV-0207</t>
        </is>
      </c>
      <c r="D51" s="27" t="n">
        <v>285</v>
      </c>
      <c r="E51" s="27" t="n">
        <v>285</v>
      </c>
      <c r="F51" s="25" t="inlineStr">
        <is>
          <t>النظام الجديد</t>
        </is>
      </c>
      <c r="G51" s="25" t="inlineStr">
        <is>
          <t>النظام الجديد – سيارة 3010 – مشتل اسماعيل - الرياض</t>
        </is>
      </c>
      <c r="H51" s="25" t="n"/>
      <c r="I51" s="25" t="inlineStr">
        <is>
          <t>النظام الجديد (سيارة 3010)</t>
        </is>
      </c>
    </row>
    <row r="52">
      <c r="A52" s="25" t="n">
        <v>51</v>
      </c>
      <c r="B52" s="96" t="n">
        <v>46222</v>
      </c>
      <c r="C52" s="25" t="inlineStr">
        <is>
          <t>WS-INV-0216</t>
        </is>
      </c>
      <c r="D52" s="27" t="n">
        <v>145</v>
      </c>
      <c r="E52" s="27" t="n">
        <v>145</v>
      </c>
      <c r="F52" s="25" t="inlineStr">
        <is>
          <t>النظام الجديد</t>
        </is>
      </c>
      <c r="G52" s="25" t="inlineStr">
        <is>
          <t>النظام الجديد – سيارة 3010 – مشتل اسماعيل - الرياض</t>
        </is>
      </c>
      <c r="H52" s="25" t="n"/>
      <c r="I52" s="25" t="inlineStr">
        <is>
          <t>النظام الجديد (سيارة 3010)</t>
        </is>
      </c>
    </row>
    <row r="53">
      <c r="A53" s="25" t="n">
        <v>52</v>
      </c>
      <c r="B53" s="96" t="n">
        <v>46223</v>
      </c>
      <c r="C53" s="25" t="inlineStr">
        <is>
          <t>WS-INV-0217</t>
        </is>
      </c>
      <c r="D53" s="27" t="n">
        <v>270</v>
      </c>
      <c r="E53" s="27" t="n">
        <v>270</v>
      </c>
      <c r="F53" s="25" t="inlineStr">
        <is>
          <t>النظام الجديد</t>
        </is>
      </c>
      <c r="G53" s="25" t="inlineStr">
        <is>
          <t>النظام الجديد – سيارة 3010 – مشتل اسماعيل - الرياض</t>
        </is>
      </c>
      <c r="H53" s="25" t="n"/>
      <c r="I53" s="25" t="inlineStr">
        <is>
          <t>النظام الجديد (سيارة 3010)</t>
        </is>
      </c>
    </row>
    <row r="54">
      <c r="A54" s="25" t="n">
        <v>53</v>
      </c>
      <c r="B54" s="96" t="n">
        <v>46224</v>
      </c>
      <c r="C54" s="25" t="inlineStr">
        <is>
          <t>WS-INV-0223</t>
        </is>
      </c>
      <c r="D54" s="27" t="n">
        <v>150</v>
      </c>
      <c r="E54" s="27" t="n">
        <v>150</v>
      </c>
      <c r="F54" s="25" t="inlineStr">
        <is>
          <t>النظام الجديد</t>
        </is>
      </c>
      <c r="G54" s="25" t="inlineStr">
        <is>
          <t>النظام الجديد – سيارة 3010 – مشتل اسماعيل - الرياض</t>
        </is>
      </c>
      <c r="H54" s="25" t="n"/>
      <c r="I54" s="25" t="inlineStr">
        <is>
          <t>النظام الجديد (سيارة 3010)</t>
        </is>
      </c>
    </row>
    <row r="55">
      <c r="A55" s="25" t="n">
        <v>54</v>
      </c>
      <c r="B55" s="96" t="n">
        <v>46225</v>
      </c>
      <c r="C55" s="25" t="inlineStr">
        <is>
          <t>WS-INV-0231</t>
        </is>
      </c>
      <c r="D55" s="27" t="n">
        <v>125</v>
      </c>
      <c r="E55" s="27" t="n">
        <v>125</v>
      </c>
      <c r="F55" s="25" t="inlineStr">
        <is>
          <t>النظام الجديد</t>
        </is>
      </c>
      <c r="G55" s="25" t="inlineStr">
        <is>
          <t>النظام الجديد – سيارة 3010 – مشتل اسماعيل - الرياض</t>
        </is>
      </c>
      <c r="H55" s="25" t="n"/>
      <c r="I55" s="25" t="inlineStr">
        <is>
          <t>النظام الجديد (سيارة 3010)</t>
        </is>
      </c>
    </row>
    <row r="56">
      <c r="A56" s="25" t="n">
        <v>55</v>
      </c>
      <c r="B56" s="96" t="n">
        <v>46226</v>
      </c>
      <c r="C56" s="25" t="inlineStr">
        <is>
          <t>WS-INV-0234</t>
        </is>
      </c>
      <c r="D56" s="27" t="n">
        <v>125</v>
      </c>
      <c r="E56" s="27" t="n">
        <v>125</v>
      </c>
      <c r="F56" s="25" t="inlineStr">
        <is>
          <t>النظام الجديد</t>
        </is>
      </c>
      <c r="G56" s="25" t="inlineStr">
        <is>
          <t>النظام الجديد – سيارة 3010 – مشتل اسماعيل - الرياض</t>
        </is>
      </c>
      <c r="H56" s="25" t="n"/>
      <c r="I56" s="25" t="inlineStr">
        <is>
          <t>النظام الجديد (سيارة 3010)</t>
        </is>
      </c>
    </row>
    <row r="57">
      <c r="A57" s="25" t="n">
        <v>56</v>
      </c>
      <c r="B57" s="96" t="n">
        <v>46228</v>
      </c>
      <c r="C57" s="25" t="inlineStr">
        <is>
          <t>WS-INV-0238</t>
        </is>
      </c>
      <c r="D57" s="27" t="n">
        <v>270</v>
      </c>
      <c r="E57" s="27" t="n">
        <v>270</v>
      </c>
      <c r="F57" s="25" t="inlineStr">
        <is>
          <t>النظام الجديد</t>
        </is>
      </c>
      <c r="G57" s="25" t="inlineStr">
        <is>
          <t>النظام الجديد – سيارة 3010 – مشتل اسماعيل - الرياض</t>
        </is>
      </c>
      <c r="H57" s="25" t="n"/>
      <c r="I57" s="25" t="inlineStr">
        <is>
          <t>النظام الجديد (سيارة 3010)</t>
        </is>
      </c>
    </row>
    <row r="58">
      <c r="A58" s="25" t="n">
        <v>57</v>
      </c>
      <c r="B58" s="96" t="n">
        <v>46232</v>
      </c>
      <c r="C58" s="25" t="inlineStr">
        <is>
          <t>WS-INV-0253</t>
        </is>
      </c>
      <c r="D58" s="27" t="n">
        <v>125</v>
      </c>
      <c r="E58" s="27" t="n">
        <v>125</v>
      </c>
      <c r="F58" s="25" t="inlineStr">
        <is>
          <t>النظام الجديد</t>
        </is>
      </c>
      <c r="G58" s="25" t="inlineStr">
        <is>
          <t>النظام الجديد – سيارة 3010 – كيان الوطن الصناعية ( اسماعيل ) - الرياض</t>
        </is>
      </c>
      <c r="H58" s="25" t="n"/>
      <c r="I58" s="25" t="inlineStr">
        <is>
          <t>النظام الجديد (سيارة 3010)</t>
        </is>
      </c>
    </row>
    <row r="59">
      <c r="A59" s="25" t="n">
        <v>58</v>
      </c>
      <c r="B59" s="96" t="n">
        <v>46233</v>
      </c>
      <c r="C59" s="25" t="inlineStr">
        <is>
          <t>WS-INV-0255</t>
        </is>
      </c>
      <c r="D59" s="27" t="n">
        <v>75</v>
      </c>
      <c r="E59" s="27" t="n">
        <v>75</v>
      </c>
      <c r="F59" s="25" t="inlineStr">
        <is>
          <t>النظام الجديد</t>
        </is>
      </c>
      <c r="G59" s="25" t="inlineStr">
        <is>
          <t>النظام الجديد – سيارة 3010 – مؤسسة فارس علي السالمي التجارية ( اسماعيل ) - الرياض</t>
        </is>
      </c>
      <c r="H59" s="25" t="n"/>
      <c r="I59" s="25" t="inlineStr">
        <is>
          <t>النظام الجديد (سيارة 3010)</t>
        </is>
      </c>
    </row>
    <row r="60">
      <c r="A60" s="9" t="n"/>
      <c r="B60" s="9" t="n"/>
      <c r="C60" s="9" t="inlineStr">
        <is>
          <t>الإجمالي</t>
        </is>
      </c>
      <c r="D60" s="10">
        <f>SUM(D2:D59)</f>
        <v/>
      </c>
      <c r="E60" s="10">
        <f>SUM(E2:E59)</f>
        <v/>
      </c>
      <c r="F60" s="9" t="n"/>
      <c r="G60" s="9" t="n"/>
      <c r="H60" s="9" t="n"/>
      <c r="I60" s="9" t="n"/>
    </row>
  </sheetData>
  <autoFilter ref="A1:I59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49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رقم العقد</t>
        </is>
      </c>
      <c r="D1" s="22" t="inlineStr">
        <is>
          <t>القيمة بشيت المحاسب</t>
        </is>
      </c>
      <c r="E1" s="22" t="inlineStr">
        <is>
          <t>القيمة المعتمدة</t>
        </is>
      </c>
      <c r="F1" s="22" t="inlineStr">
        <is>
          <t>الحالة</t>
        </is>
      </c>
      <c r="G1" s="22" t="inlineStr">
        <is>
          <t>المستندات المؤيدة</t>
        </is>
      </c>
      <c r="H1" s="22" t="inlineStr">
        <is>
          <t>ملاحظة</t>
        </is>
      </c>
      <c r="I1" s="2" t="inlineStr">
        <is>
          <t>المصدر</t>
        </is>
      </c>
    </row>
    <row r="2">
      <c r="A2" s="16" t="n">
        <v>1</v>
      </c>
      <c r="B2" s="95" t="n">
        <v>45868</v>
      </c>
      <c r="C2" s="16" t="inlineStr">
        <is>
          <t>WHK-1909</t>
        </is>
      </c>
      <c r="D2" s="17" t="n">
        <v>11570</v>
      </c>
      <c r="E2" s="17" t="n">
        <v>11570</v>
      </c>
      <c r="F2" s="16" t="inlineStr">
        <is>
          <t>صحيح</t>
        </is>
      </c>
      <c r="G2" s="16" t="inlineStr">
        <is>
          <t>لا يوجد مستند مؤيد</t>
        </is>
      </c>
      <c r="H2" s="16" t="inlineStr">
        <is>
          <t>بداية الفترة 30-7-2025</t>
        </is>
      </c>
      <c r="I2" s="16" t="inlineStr">
        <is>
          <t>شيت المبيعات (عقود الجملة)</t>
        </is>
      </c>
    </row>
    <row r="3">
      <c r="A3" s="16" t="n">
        <v>2</v>
      </c>
      <c r="B3" s="95" t="n">
        <v>45909</v>
      </c>
      <c r="C3" s="16" t="inlineStr">
        <is>
          <t>WHK-2148</t>
        </is>
      </c>
      <c r="D3" s="17" t="n">
        <v>3320</v>
      </c>
      <c r="E3" s="17" t="n">
        <v>3320</v>
      </c>
      <c r="F3" s="16" t="inlineStr">
        <is>
          <t>صحيح</t>
        </is>
      </c>
      <c r="G3" s="16" t="inlineStr">
        <is>
          <t>لا يوجد مستند مؤيد</t>
        </is>
      </c>
      <c r="H3" s="16" t="n"/>
      <c r="I3" s="16" t="inlineStr">
        <is>
          <t>شيت المبيعات (عقود الجملة)</t>
        </is>
      </c>
    </row>
    <row r="4">
      <c r="A4" s="16" t="n">
        <v>3</v>
      </c>
      <c r="B4" s="95" t="n">
        <v>45923</v>
      </c>
      <c r="C4" s="16" t="inlineStr">
        <is>
          <t>WHK-2271</t>
        </is>
      </c>
      <c r="D4" s="17" t="n">
        <v>2400</v>
      </c>
      <c r="E4" s="17" t="n">
        <v>2400</v>
      </c>
      <c r="F4" s="16" t="inlineStr">
        <is>
          <t>صحيح</t>
        </is>
      </c>
      <c r="G4" s="16" t="inlineStr">
        <is>
          <t>لا يوجد مستند مؤيد</t>
        </is>
      </c>
      <c r="H4" s="16" t="n"/>
      <c r="I4" s="16" t="inlineStr">
        <is>
          <t>شيت المبيعات (عقود الجملة)</t>
        </is>
      </c>
    </row>
    <row r="5">
      <c r="A5" s="16" t="n">
        <v>4</v>
      </c>
      <c r="B5" s="95" t="n">
        <v>45924</v>
      </c>
      <c r="C5" s="16" t="inlineStr">
        <is>
          <t>WHK-2283</t>
        </is>
      </c>
      <c r="D5" s="17" t="n">
        <v>2800</v>
      </c>
      <c r="E5" s="17" t="n">
        <v>2800</v>
      </c>
      <c r="F5" s="16" t="inlineStr">
        <is>
          <t>صحيح</t>
        </is>
      </c>
      <c r="G5" s="16" t="inlineStr">
        <is>
          <t>لا يوجد مستند مؤيد</t>
        </is>
      </c>
      <c r="H5" s="16" t="n"/>
      <c r="I5" s="16" t="inlineStr">
        <is>
          <t>شيت المبيعات (عقود الجملة)</t>
        </is>
      </c>
    </row>
    <row r="6">
      <c r="A6" s="16" t="n">
        <v>5</v>
      </c>
      <c r="B6" s="95" t="n">
        <v>45929</v>
      </c>
      <c r="C6" s="16" t="inlineStr">
        <is>
          <t>WHK-2328</t>
        </is>
      </c>
      <c r="D6" s="17" t="n">
        <v>4550</v>
      </c>
      <c r="E6" s="17" t="n">
        <v>4550</v>
      </c>
      <c r="F6" s="16" t="inlineStr">
        <is>
          <t>صحيح</t>
        </is>
      </c>
      <c r="G6" s="16" t="inlineStr">
        <is>
          <t>لا يوجد مستند مؤيد</t>
        </is>
      </c>
      <c r="H6" s="16" t="n"/>
      <c r="I6" s="16" t="inlineStr">
        <is>
          <t>شيت المبيعات (عقود الجملة)</t>
        </is>
      </c>
    </row>
    <row r="7">
      <c r="A7" s="28" t="n">
        <v>6</v>
      </c>
      <c r="B7" s="100" t="n">
        <v>45935</v>
      </c>
      <c r="C7" s="28" t="inlineStr">
        <is>
          <t>WHK-2364</t>
        </is>
      </c>
      <c r="D7" s="29" t="n">
        <v>440000</v>
      </c>
      <c r="E7" s="29">
        <f>'مطابقة كميات عقد عرعر'!E11</f>
        <v/>
      </c>
      <c r="F7" s="28" t="inlineStr">
        <is>
          <t>معدّل</t>
        </is>
      </c>
      <c r="G7" s="28" t="inlineStr">
        <is>
          <t>كشف الحساب</t>
        </is>
      </c>
      <c r="H7" s="28" t="inlineStr">
        <is>
          <t>عقد عرعر: الكميات الفعلية (205,750 من الرياض + 69,625 من تبوك) × 0.50 = 137,687.50 – بدل قيمة العقد 440,000. مشتريات الجزيرة خاصة ببساتين الرياض.</t>
        </is>
      </c>
      <c r="I7" s="16" t="inlineStr">
        <is>
          <t>شيت المبيعات (عقود الجملة)</t>
        </is>
      </c>
    </row>
    <row r="8">
      <c r="A8" s="16" t="n">
        <v>7</v>
      </c>
      <c r="B8" s="95" t="n">
        <v>45938</v>
      </c>
      <c r="C8" s="16" t="inlineStr">
        <is>
          <t>WHK-2411</t>
        </is>
      </c>
      <c r="D8" s="17" t="n">
        <v>4200</v>
      </c>
      <c r="E8" s="17" t="n">
        <v>4200</v>
      </c>
      <c r="F8" s="16" t="inlineStr">
        <is>
          <t>صحيح</t>
        </is>
      </c>
      <c r="G8" s="16" t="inlineStr">
        <is>
          <t>لا يوجد مستند مؤيد</t>
        </is>
      </c>
      <c r="H8" s="16" t="n"/>
      <c r="I8" s="16" t="inlineStr">
        <is>
          <t>شيت المبيعات (عقود الجملة)</t>
        </is>
      </c>
    </row>
    <row r="9">
      <c r="A9" s="16" t="n">
        <v>8</v>
      </c>
      <c r="B9" s="95" t="n">
        <v>45939</v>
      </c>
      <c r="C9" s="16" t="inlineStr">
        <is>
          <t>WHK-2425</t>
        </is>
      </c>
      <c r="D9" s="17" t="n">
        <v>11000</v>
      </c>
      <c r="E9" s="17" t="n">
        <v>11000</v>
      </c>
      <c r="F9" s="16" t="inlineStr">
        <is>
          <t>صحيح</t>
        </is>
      </c>
      <c r="G9" s="16" t="inlineStr">
        <is>
          <t>لا يوجد مستند مؤيد</t>
        </is>
      </c>
      <c r="H9" s="16" t="n"/>
      <c r="I9" s="16" t="inlineStr">
        <is>
          <t>شيت المبيعات (عقود الجملة)</t>
        </is>
      </c>
    </row>
    <row r="10">
      <c r="A10" s="16" t="n">
        <v>9</v>
      </c>
      <c r="B10" s="95" t="n">
        <v>45941</v>
      </c>
      <c r="C10" s="16" t="inlineStr">
        <is>
          <t>WHK-2434</t>
        </is>
      </c>
      <c r="D10" s="17" t="n">
        <v>70250</v>
      </c>
      <c r="E10" s="17" t="n">
        <v>70250</v>
      </c>
      <c r="F10" s="16" t="inlineStr">
        <is>
          <t>صحيح</t>
        </is>
      </c>
      <c r="G10" s="16" t="inlineStr">
        <is>
          <t>لا يوجد مستند مؤيد</t>
        </is>
      </c>
      <c r="H10" s="16" t="n"/>
      <c r="I10" s="16" t="inlineStr">
        <is>
          <t>شيت المبيعات (عقود الجملة)</t>
        </is>
      </c>
    </row>
    <row r="11">
      <c r="A11" s="16" t="n">
        <v>10</v>
      </c>
      <c r="B11" s="95" t="n">
        <v>45943</v>
      </c>
      <c r="C11" s="16" t="inlineStr">
        <is>
          <t>WHK-2465</t>
        </is>
      </c>
      <c r="D11" s="17" t="n">
        <v>1750</v>
      </c>
      <c r="E11" s="17" t="n">
        <v>1750</v>
      </c>
      <c r="F11" s="16" t="inlineStr">
        <is>
          <t>صحيح</t>
        </is>
      </c>
      <c r="G11" s="16" t="inlineStr">
        <is>
          <t>لا يوجد مستند مؤيد</t>
        </is>
      </c>
      <c r="H11" s="16" t="n"/>
      <c r="I11" s="16" t="inlineStr">
        <is>
          <t>شيت المبيعات (عقود الجملة)</t>
        </is>
      </c>
    </row>
    <row r="12">
      <c r="A12" s="16" t="n">
        <v>11</v>
      </c>
      <c r="B12" s="95" t="n">
        <v>45944</v>
      </c>
      <c r="C12" s="16" t="inlineStr">
        <is>
          <t>WHK-2480</t>
        </is>
      </c>
      <c r="D12" s="17" t="n">
        <v>412.5</v>
      </c>
      <c r="E12" s="17" t="n">
        <v>412.5</v>
      </c>
      <c r="F12" s="16" t="inlineStr">
        <is>
          <t>صحيح</t>
        </is>
      </c>
      <c r="G12" s="16" t="inlineStr">
        <is>
          <t>لا يوجد مستند مؤيد</t>
        </is>
      </c>
      <c r="H12" s="16" t="n"/>
      <c r="I12" s="16" t="inlineStr">
        <is>
          <t>شيت المبيعات (عقود الجملة)</t>
        </is>
      </c>
    </row>
    <row r="13">
      <c r="A13" s="16" t="n">
        <v>12</v>
      </c>
      <c r="B13" s="95" t="n">
        <v>45945</v>
      </c>
      <c r="C13" s="16" t="inlineStr">
        <is>
          <t>WHK-2498</t>
        </is>
      </c>
      <c r="D13" s="17" t="n">
        <v>17055</v>
      </c>
      <c r="E13" s="17" t="n">
        <v>17055</v>
      </c>
      <c r="F13" s="16" t="inlineStr">
        <is>
          <t>صحيح</t>
        </is>
      </c>
      <c r="G13" s="16" t="inlineStr">
        <is>
          <t>لا يوجد مستند مؤيد</t>
        </is>
      </c>
      <c r="H13" s="16" t="n"/>
      <c r="I13" s="16" t="inlineStr">
        <is>
          <t>شيت المبيعات (عقود الجملة)</t>
        </is>
      </c>
    </row>
    <row r="14">
      <c r="A14" s="16" t="n">
        <v>13</v>
      </c>
      <c r="B14" s="95" t="n">
        <v>45946</v>
      </c>
      <c r="C14" s="16" t="inlineStr">
        <is>
          <t>WHK-2509</t>
        </is>
      </c>
      <c r="D14" s="17" t="n">
        <v>3150</v>
      </c>
      <c r="E14" s="17" t="n">
        <v>3150</v>
      </c>
      <c r="F14" s="16" t="inlineStr">
        <is>
          <t>صحيح</t>
        </is>
      </c>
      <c r="G14" s="16" t="inlineStr">
        <is>
          <t>لا يوجد مستند مؤيد</t>
        </is>
      </c>
      <c r="H14" s="16" t="n"/>
      <c r="I14" s="16" t="inlineStr">
        <is>
          <t>شيت المبيعات (عقود الجملة)</t>
        </is>
      </c>
    </row>
    <row r="15">
      <c r="A15" s="16" t="n">
        <v>14</v>
      </c>
      <c r="B15" s="95" t="n">
        <v>45948</v>
      </c>
      <c r="C15" s="16" t="inlineStr">
        <is>
          <t>WHK-2515</t>
        </is>
      </c>
      <c r="D15" s="17" t="n">
        <v>6975</v>
      </c>
      <c r="E15" s="17" t="n">
        <v>6975</v>
      </c>
      <c r="F15" s="16" t="inlineStr">
        <is>
          <t>صحيح</t>
        </is>
      </c>
      <c r="G15" s="16" t="inlineStr">
        <is>
          <t>لا يوجد مستند مؤيد</t>
        </is>
      </c>
      <c r="H15" s="16" t="n"/>
      <c r="I15" s="16" t="inlineStr">
        <is>
          <t>شيت المبيعات (عقود الجملة)</t>
        </is>
      </c>
    </row>
    <row r="16">
      <c r="A16" s="16" t="n">
        <v>15</v>
      </c>
      <c r="B16" s="95" t="n">
        <v>45951</v>
      </c>
      <c r="C16" s="16" t="inlineStr">
        <is>
          <t>WHK-2563</t>
        </is>
      </c>
      <c r="D16" s="17" t="n">
        <v>2925</v>
      </c>
      <c r="E16" s="17" t="n">
        <v>2925</v>
      </c>
      <c r="F16" s="16" t="inlineStr">
        <is>
          <t>صحيح</t>
        </is>
      </c>
      <c r="G16" s="16" t="inlineStr">
        <is>
          <t>لا يوجد مستند مؤيد</t>
        </is>
      </c>
      <c r="H16" s="16" t="n"/>
      <c r="I16" s="16" t="inlineStr">
        <is>
          <t>شيت المبيعات (عقود الجملة)</t>
        </is>
      </c>
    </row>
    <row r="17">
      <c r="A17" s="16" t="n">
        <v>16</v>
      </c>
      <c r="B17" s="95" t="n">
        <v>45952</v>
      </c>
      <c r="C17" s="16" t="inlineStr">
        <is>
          <t>WHK-2583</t>
        </is>
      </c>
      <c r="D17" s="17" t="n">
        <v>4125</v>
      </c>
      <c r="E17" s="17" t="n">
        <v>4125</v>
      </c>
      <c r="F17" s="16" t="inlineStr">
        <is>
          <t>صحيح</t>
        </is>
      </c>
      <c r="G17" s="16" t="inlineStr">
        <is>
          <t>لا يوجد مستند مؤيد</t>
        </is>
      </c>
      <c r="H17" s="16" t="n"/>
      <c r="I17" s="16" t="inlineStr">
        <is>
          <t>شيت المبيعات (عقود الجملة)</t>
        </is>
      </c>
    </row>
    <row r="18">
      <c r="A18" s="16" t="n">
        <v>17</v>
      </c>
      <c r="B18" s="95" t="n">
        <v>45953</v>
      </c>
      <c r="C18" s="16" t="inlineStr">
        <is>
          <t>WHK-2605</t>
        </is>
      </c>
      <c r="D18" s="17" t="n">
        <v>1331.25</v>
      </c>
      <c r="E18" s="17" t="n">
        <v>1331.25</v>
      </c>
      <c r="F18" s="16" t="inlineStr">
        <is>
          <t>صحيح</t>
        </is>
      </c>
      <c r="G18" s="16" t="inlineStr">
        <is>
          <t>لا يوجد مستند مؤيد</t>
        </is>
      </c>
      <c r="H18" s="16" t="n"/>
      <c r="I18" s="16" t="inlineStr">
        <is>
          <t>شيت المبيعات (عقود الجملة)</t>
        </is>
      </c>
    </row>
    <row r="19">
      <c r="A19" s="16" t="n">
        <v>18</v>
      </c>
      <c r="B19" s="95" t="n">
        <v>45955</v>
      </c>
      <c r="C19" s="16" t="inlineStr">
        <is>
          <t>WHK-2626</t>
        </is>
      </c>
      <c r="D19" s="17" t="n">
        <v>2150</v>
      </c>
      <c r="E19" s="17" t="n">
        <v>2150</v>
      </c>
      <c r="F19" s="16" t="inlineStr">
        <is>
          <t>صحيح</t>
        </is>
      </c>
      <c r="G19" s="16" t="inlineStr">
        <is>
          <t>لا يوجد مستند مؤيد</t>
        </is>
      </c>
      <c r="H19" s="16" t="n"/>
      <c r="I19" s="16" t="inlineStr">
        <is>
          <t>شيت المبيعات (عقود الجملة)</t>
        </is>
      </c>
    </row>
    <row r="20">
      <c r="A20" s="16" t="n">
        <v>19</v>
      </c>
      <c r="B20" s="95" t="n">
        <v>45956</v>
      </c>
      <c r="C20" s="16" t="inlineStr">
        <is>
          <t>WHK-2639</t>
        </is>
      </c>
      <c r="D20" s="17" t="n">
        <v>1125</v>
      </c>
      <c r="E20" s="17" t="n">
        <v>1125</v>
      </c>
      <c r="F20" s="16" t="inlineStr">
        <is>
          <t>صحيح</t>
        </is>
      </c>
      <c r="G20" s="16" t="inlineStr">
        <is>
          <t>لا يوجد مستند مؤيد</t>
        </is>
      </c>
      <c r="H20" s="16" t="n"/>
      <c r="I20" s="16" t="inlineStr">
        <is>
          <t>شيت المبيعات (عقود الجملة)</t>
        </is>
      </c>
    </row>
    <row r="21">
      <c r="A21" s="16" t="n">
        <v>20</v>
      </c>
      <c r="B21" s="95" t="n">
        <v>45957</v>
      </c>
      <c r="C21" s="16" t="inlineStr">
        <is>
          <t>WHK-2656</t>
        </is>
      </c>
      <c r="D21" s="17" t="n">
        <v>900</v>
      </c>
      <c r="E21" s="17" t="n">
        <v>900</v>
      </c>
      <c r="F21" s="16" t="inlineStr">
        <is>
          <t>صحيح</t>
        </is>
      </c>
      <c r="G21" s="16" t="inlineStr">
        <is>
          <t>فاتورة مبدئية 26</t>
        </is>
      </c>
      <c r="H21" s="16" t="n"/>
      <c r="I21" s="16" t="inlineStr">
        <is>
          <t>شيت المبيعات (عقود الجملة)</t>
        </is>
      </c>
    </row>
    <row r="22">
      <c r="A22" s="16" t="n">
        <v>21</v>
      </c>
      <c r="B22" s="95" t="n">
        <v>45963</v>
      </c>
      <c r="C22" s="16" t="inlineStr">
        <is>
          <t>WHK-2712</t>
        </is>
      </c>
      <c r="D22" s="17" t="n">
        <v>1125</v>
      </c>
      <c r="E22" s="17" t="n">
        <v>1125</v>
      </c>
      <c r="F22" s="16" t="inlineStr">
        <is>
          <t>صحيح</t>
        </is>
      </c>
      <c r="G22" s="16" t="inlineStr">
        <is>
          <t>فاتورة مبدئية 31، كشف الحساب</t>
        </is>
      </c>
      <c r="H22" s="16" t="n"/>
      <c r="I22" s="16" t="inlineStr">
        <is>
          <t>شيت المبيعات (عقود الجملة)</t>
        </is>
      </c>
    </row>
    <row r="23">
      <c r="A23" s="16" t="n">
        <v>22</v>
      </c>
      <c r="B23" s="95" t="n">
        <v>45966</v>
      </c>
      <c r="C23" s="16" t="inlineStr">
        <is>
          <t>WHK-2776</t>
        </is>
      </c>
      <c r="D23" s="17" t="n">
        <v>752.5</v>
      </c>
      <c r="E23" s="17" t="n">
        <v>752.5</v>
      </c>
      <c r="F23" s="16" t="inlineStr">
        <is>
          <t>صحيح</t>
        </is>
      </c>
      <c r="G23" s="16" t="inlineStr">
        <is>
          <t>فاتورة مبدئية 35، كشف الحساب</t>
        </is>
      </c>
      <c r="H23" s="16" t="n"/>
      <c r="I23" s="16" t="inlineStr">
        <is>
          <t>شيت المبيعات (عقود الجملة)</t>
        </is>
      </c>
    </row>
    <row r="24">
      <c r="A24" s="16" t="n">
        <v>23</v>
      </c>
      <c r="B24" s="95" t="n">
        <v>45967</v>
      </c>
      <c r="C24" s="16" t="inlineStr">
        <is>
          <t>WHK-2787</t>
        </is>
      </c>
      <c r="D24" s="17" t="n">
        <v>337.5</v>
      </c>
      <c r="E24" s="17" t="n">
        <v>337.5</v>
      </c>
      <c r="F24" s="16" t="inlineStr">
        <is>
          <t>صحيح</t>
        </is>
      </c>
      <c r="G24" s="16" t="inlineStr">
        <is>
          <t>فاتورة مبدئية 37، كشف الحساب</t>
        </is>
      </c>
      <c r="H24" s="16" t="n"/>
      <c r="I24" s="16" t="inlineStr">
        <is>
          <t>شيت المبيعات (عقود الجملة)</t>
        </is>
      </c>
    </row>
    <row r="25">
      <c r="A25" s="16" t="n">
        <v>24</v>
      </c>
      <c r="B25" s="95" t="n">
        <v>45969</v>
      </c>
      <c r="C25" s="16" t="inlineStr">
        <is>
          <t>WHK-2804</t>
        </is>
      </c>
      <c r="D25" s="17" t="n">
        <v>14850</v>
      </c>
      <c r="E25" s="17" t="n">
        <v>14850</v>
      </c>
      <c r="F25" s="16" t="inlineStr">
        <is>
          <t>صحيح</t>
        </is>
      </c>
      <c r="G25" s="16" t="inlineStr">
        <is>
          <t>كشف الحساب</t>
        </is>
      </c>
      <c r="H25" s="16" t="n"/>
      <c r="I25" s="16" t="inlineStr">
        <is>
          <t>شيت المبيعات (عقود الجملة)</t>
        </is>
      </c>
    </row>
    <row r="26">
      <c r="A26" s="16" t="n">
        <v>25</v>
      </c>
      <c r="B26" s="95" t="n">
        <v>45971</v>
      </c>
      <c r="C26" s="16" t="inlineStr">
        <is>
          <t>WHK-2835</t>
        </is>
      </c>
      <c r="D26" s="17" t="n">
        <v>9047.5</v>
      </c>
      <c r="E26" s="17" t="n">
        <v>9047.5</v>
      </c>
      <c r="F26" s="16" t="inlineStr">
        <is>
          <t>صحيح</t>
        </is>
      </c>
      <c r="G26" s="16" t="inlineStr">
        <is>
          <t>فاتورة مبدئية 43، كشف الحساب</t>
        </is>
      </c>
      <c r="H26" s="16" t="n"/>
      <c r="I26" s="16" t="inlineStr">
        <is>
          <t>شيت المبيعات (عقود الجملة)</t>
        </is>
      </c>
    </row>
    <row r="27">
      <c r="A27" s="16" t="n">
        <v>26</v>
      </c>
      <c r="B27" s="95" t="n">
        <v>45972</v>
      </c>
      <c r="C27" s="16" t="inlineStr">
        <is>
          <t>WHK-2853</t>
        </is>
      </c>
      <c r="D27" s="17" t="n">
        <v>7500</v>
      </c>
      <c r="E27" s="17" t="n">
        <v>7500</v>
      </c>
      <c r="F27" s="16" t="inlineStr">
        <is>
          <t>صحيح</t>
        </is>
      </c>
      <c r="G27" s="16" t="inlineStr">
        <is>
          <t>فاتورة مبدئية 46، كشف الحساب</t>
        </is>
      </c>
      <c r="H27" s="16" t="n"/>
      <c r="I27" s="16" t="inlineStr">
        <is>
          <t>شيت المبيعات (عقود الجملة)</t>
        </is>
      </c>
    </row>
    <row r="28">
      <c r="A28" s="16" t="n">
        <v>27</v>
      </c>
      <c r="B28" s="95" t="n">
        <v>45973</v>
      </c>
      <c r="C28" s="16" t="inlineStr">
        <is>
          <t>WHK-2868</t>
        </is>
      </c>
      <c r="D28" s="17" t="n">
        <v>1500</v>
      </c>
      <c r="E28" s="17" t="n">
        <v>1500</v>
      </c>
      <c r="F28" s="16" t="inlineStr">
        <is>
          <t>صحيح</t>
        </is>
      </c>
      <c r="G28" s="16" t="inlineStr">
        <is>
          <t>فاتورة مبدئية 47، كشف الحساب</t>
        </is>
      </c>
      <c r="H28" s="16" t="n"/>
      <c r="I28" s="16" t="inlineStr">
        <is>
          <t>شيت المبيعات (عقود الجملة)</t>
        </is>
      </c>
    </row>
    <row r="29">
      <c r="A29" s="16" t="n">
        <v>28</v>
      </c>
      <c r="B29" s="95" t="n">
        <v>45974</v>
      </c>
      <c r="C29" s="16" t="inlineStr">
        <is>
          <t>WHK-2881</t>
        </is>
      </c>
      <c r="D29" s="17" t="n">
        <v>1759.5</v>
      </c>
      <c r="E29" s="17" t="n">
        <v>1759.5</v>
      </c>
      <c r="F29" s="16" t="inlineStr">
        <is>
          <t>صحيح</t>
        </is>
      </c>
      <c r="G29" s="16" t="inlineStr">
        <is>
          <t>فاتورة مبدئية 49، كشف الحساب</t>
        </is>
      </c>
      <c r="H29" s="16" t="n"/>
      <c r="I29" s="16" t="inlineStr">
        <is>
          <t>شيت المبيعات (عقود الجملة)</t>
        </is>
      </c>
    </row>
    <row r="30">
      <c r="A30" s="16" t="n">
        <v>29</v>
      </c>
      <c r="B30" s="95" t="n">
        <v>45978</v>
      </c>
      <c r="C30" s="16" t="inlineStr">
        <is>
          <t>WHK-2912</t>
        </is>
      </c>
      <c r="D30" s="17" t="n">
        <v>2650</v>
      </c>
      <c r="E30" s="17" t="n">
        <v>2650</v>
      </c>
      <c r="F30" s="16" t="inlineStr">
        <is>
          <t>صحيح</t>
        </is>
      </c>
      <c r="G30" s="16" t="inlineStr">
        <is>
          <t>فاتورة مبدئية 52، كشف الحساب</t>
        </is>
      </c>
      <c r="H30" s="16" t="n"/>
      <c r="I30" s="16" t="inlineStr">
        <is>
          <t>شيت المبيعات (عقود الجملة)</t>
        </is>
      </c>
    </row>
    <row r="31">
      <c r="A31" s="16" t="n">
        <v>30</v>
      </c>
      <c r="B31" s="95" t="n">
        <v>45981</v>
      </c>
      <c r="C31" s="16" t="inlineStr">
        <is>
          <t>WHK-2948</t>
        </is>
      </c>
      <c r="D31" s="17" t="n">
        <v>1535</v>
      </c>
      <c r="E31" s="17" t="n">
        <v>1535</v>
      </c>
      <c r="F31" s="16" t="inlineStr">
        <is>
          <t>صحيح</t>
        </is>
      </c>
      <c r="G31" s="16" t="inlineStr">
        <is>
          <t>فاتورة مبدئية 55، كشف الحساب</t>
        </is>
      </c>
      <c r="H31" s="16" t="n"/>
      <c r="I31" s="16" t="inlineStr">
        <is>
          <t>شيت المبيعات (عقود الجملة)</t>
        </is>
      </c>
    </row>
    <row r="32">
      <c r="A32" s="16" t="n">
        <v>31</v>
      </c>
      <c r="B32" s="95" t="n">
        <v>45984</v>
      </c>
      <c r="C32" s="16" t="inlineStr">
        <is>
          <t>WHK-2971</t>
        </is>
      </c>
      <c r="D32" s="17" t="n">
        <v>6090</v>
      </c>
      <c r="E32" s="17" t="n">
        <v>6090</v>
      </c>
      <c r="F32" s="16" t="inlineStr">
        <is>
          <t>صحيح</t>
        </is>
      </c>
      <c r="G32" s="16" t="inlineStr">
        <is>
          <t>فاتورة مبدئية 61، كشف الحساب</t>
        </is>
      </c>
      <c r="H32" s="16" t="n"/>
      <c r="I32" s="16" t="inlineStr">
        <is>
          <t>شيت المبيعات (عقود الجملة)</t>
        </is>
      </c>
    </row>
    <row r="33">
      <c r="A33" s="16" t="n">
        <v>32</v>
      </c>
      <c r="B33" s="95" t="n">
        <v>45985</v>
      </c>
      <c r="C33" s="16" t="inlineStr">
        <is>
          <t>WHK-2995</t>
        </is>
      </c>
      <c r="D33" s="17" t="n">
        <v>4200</v>
      </c>
      <c r="E33" s="17" t="n">
        <v>4200</v>
      </c>
      <c r="F33" s="16" t="inlineStr">
        <is>
          <t>صحيح</t>
        </is>
      </c>
      <c r="G33" s="16" t="inlineStr">
        <is>
          <t>فاتورة مبدئية 64، كشف الحساب</t>
        </is>
      </c>
      <c r="H33" s="16" t="n"/>
      <c r="I33" s="16" t="inlineStr">
        <is>
          <t>شيت المبيعات (عقود الجملة)</t>
        </is>
      </c>
    </row>
    <row r="34">
      <c r="A34" s="16" t="n">
        <v>33</v>
      </c>
      <c r="B34" s="95" t="n">
        <v>45988</v>
      </c>
      <c r="C34" s="16" t="inlineStr">
        <is>
          <t>WHK-3029</t>
        </is>
      </c>
      <c r="D34" s="17" t="n">
        <v>157.5</v>
      </c>
      <c r="E34" s="17" t="n">
        <v>157.5</v>
      </c>
      <c r="F34" s="16" t="inlineStr">
        <is>
          <t>صحيح</t>
        </is>
      </c>
      <c r="G34" s="16" t="inlineStr">
        <is>
          <t>فاتورة مبدئية 68، كشف الحساب</t>
        </is>
      </c>
      <c r="H34" s="16" t="n"/>
      <c r="I34" s="16" t="inlineStr">
        <is>
          <t>شيت المبيعات (عقود الجملة)</t>
        </is>
      </c>
    </row>
    <row r="35">
      <c r="A35" s="16" t="n">
        <v>34</v>
      </c>
      <c r="B35" s="95" t="n">
        <v>45996</v>
      </c>
      <c r="C35" s="16" t="inlineStr">
        <is>
          <t>WHK-3135</t>
        </is>
      </c>
      <c r="D35" s="17" t="n">
        <v>1680</v>
      </c>
      <c r="E35" s="17" t="n">
        <v>1680</v>
      </c>
      <c r="F35" s="16" t="inlineStr">
        <is>
          <t>صحيح</t>
        </is>
      </c>
      <c r="G35" s="16" t="inlineStr">
        <is>
          <t>فاتورة مبدئية 78، كشف الحساب</t>
        </is>
      </c>
      <c r="H35" s="16" t="n"/>
      <c r="I35" s="16" t="inlineStr">
        <is>
          <t>شيت المبيعات (عقود الجملة)</t>
        </is>
      </c>
    </row>
    <row r="36">
      <c r="A36" s="16" t="n">
        <v>35</v>
      </c>
      <c r="B36" s="95" t="n">
        <v>46006</v>
      </c>
      <c r="C36" s="16" t="inlineStr">
        <is>
          <t>WHK-3243</t>
        </is>
      </c>
      <c r="D36" s="17" t="n">
        <v>1875</v>
      </c>
      <c r="E36" s="17" t="n">
        <v>1875</v>
      </c>
      <c r="F36" s="16" t="inlineStr">
        <is>
          <t>صحيح</t>
        </is>
      </c>
      <c r="G36" s="16" t="inlineStr">
        <is>
          <t>فاتورة مبدئية 89، كشف الحساب</t>
        </is>
      </c>
      <c r="H36" s="16" t="n"/>
      <c r="I36" s="16" t="inlineStr">
        <is>
          <t>شيت المبيعات (عقود الجملة)</t>
        </is>
      </c>
    </row>
    <row r="37">
      <c r="A37" s="30" t="n">
        <v>36</v>
      </c>
      <c r="B37" s="97" t="n">
        <v>46021</v>
      </c>
      <c r="C37" s="30" t="inlineStr">
        <is>
          <t>WHK-3400</t>
        </is>
      </c>
      <c r="D37" s="32" t="n">
        <v>0</v>
      </c>
      <c r="E37" s="32" t="n">
        <v>505</v>
      </c>
      <c r="F37" s="30" t="inlineStr">
        <is>
          <t>مضاف</t>
        </is>
      </c>
      <c r="G37" s="30" t="inlineStr">
        <is>
          <t>فاتورة مبدئية 103، كشف الحساب</t>
        </is>
      </c>
      <c r="H37" s="30" t="inlineStr">
        <is>
          <t>فاتورة مبدئية 103 ومسجلة بكشف الحساب – سقطت من شيت المحاسب</t>
        </is>
      </c>
      <c r="I37" s="16" t="inlineStr">
        <is>
          <t>شيت المبيعات (عقود الجملة)</t>
        </is>
      </c>
    </row>
    <row r="38">
      <c r="A38" s="16" t="n">
        <v>37</v>
      </c>
      <c r="B38" s="95" t="n">
        <v>46058</v>
      </c>
      <c r="C38" s="16" t="inlineStr">
        <is>
          <t>WHK-3758</t>
        </is>
      </c>
      <c r="D38" s="17" t="n">
        <v>20300</v>
      </c>
      <c r="E38" s="17" t="n">
        <v>20300</v>
      </c>
      <c r="F38" s="16" t="inlineStr">
        <is>
          <t>صحيح</t>
        </is>
      </c>
      <c r="G38" s="16" t="inlineStr">
        <is>
          <t>فاتورة مبدئية 140، كشف الحساب</t>
        </is>
      </c>
      <c r="H38" s="16" t="n"/>
      <c r="I38" s="16" t="inlineStr">
        <is>
          <t>شيت المبيعات (عقود الجملة)</t>
        </is>
      </c>
    </row>
    <row r="39">
      <c r="A39" s="16" t="n">
        <v>38</v>
      </c>
      <c r="B39" s="95" t="n">
        <v>46058</v>
      </c>
      <c r="C39" s="16" t="inlineStr">
        <is>
          <t>WHK-3760</t>
        </is>
      </c>
      <c r="D39" s="17" t="n">
        <v>30850</v>
      </c>
      <c r="E39" s="17" t="n">
        <v>30850</v>
      </c>
      <c r="F39" s="16" t="inlineStr">
        <is>
          <t>صحيح</t>
        </is>
      </c>
      <c r="G39" s="16" t="inlineStr">
        <is>
          <t>فاتورة مبدئية 141، كشف الحساب</t>
        </is>
      </c>
      <c r="H39" s="16" t="n"/>
      <c r="I39" s="16" t="inlineStr">
        <is>
          <t>شيت المبيعات (عقود الجملة)</t>
        </is>
      </c>
    </row>
    <row r="40">
      <c r="A40" s="16" t="n">
        <v>39</v>
      </c>
      <c r="B40" s="95" t="n">
        <v>46064</v>
      </c>
      <c r="C40" s="16" t="inlineStr">
        <is>
          <t>WHK-3809</t>
        </is>
      </c>
      <c r="D40" s="17" t="n">
        <v>3125</v>
      </c>
      <c r="E40" s="17" t="n">
        <v>3125</v>
      </c>
      <c r="F40" s="16" t="inlineStr">
        <is>
          <t>صحيح</t>
        </is>
      </c>
      <c r="G40" s="16" t="inlineStr">
        <is>
          <t>فاتورة مبدئية 149، كشف الحساب</t>
        </is>
      </c>
      <c r="H40" s="16" t="n"/>
      <c r="I40" s="16" t="inlineStr">
        <is>
          <t>شيت المبيعات (عقود الجملة)</t>
        </is>
      </c>
    </row>
    <row r="41">
      <c r="A41" s="16" t="n">
        <v>40</v>
      </c>
      <c r="B41" s="95" t="n">
        <v>46072</v>
      </c>
      <c r="C41" s="16" t="inlineStr">
        <is>
          <t>WHK-3878</t>
        </is>
      </c>
      <c r="D41" s="17" t="n">
        <v>2012.5</v>
      </c>
      <c r="E41" s="17" t="n">
        <v>2012.5</v>
      </c>
      <c r="F41" s="16" t="inlineStr">
        <is>
          <t>صحيح</t>
        </is>
      </c>
      <c r="G41" s="16" t="inlineStr">
        <is>
          <t>فاتورة مبدئية 160، كشف الحساب</t>
        </is>
      </c>
      <c r="H41" s="16" t="n"/>
      <c r="I41" s="16" t="inlineStr">
        <is>
          <t>شيت المبيعات (عقود الجملة)</t>
        </is>
      </c>
    </row>
    <row r="42">
      <c r="A42" s="16" t="n">
        <v>41</v>
      </c>
      <c r="B42" s="95" t="n">
        <v>46084</v>
      </c>
      <c r="C42" s="16" t="inlineStr">
        <is>
          <t>WHK-3923</t>
        </is>
      </c>
      <c r="D42" s="17" t="n">
        <v>6862.5</v>
      </c>
      <c r="E42" s="17" t="n">
        <v>6862.5</v>
      </c>
      <c r="F42" s="16" t="inlineStr">
        <is>
          <t>صحيح</t>
        </is>
      </c>
      <c r="G42" s="16" t="inlineStr">
        <is>
          <t>فاتورة مبدئية 166، كشف الحساب</t>
        </is>
      </c>
      <c r="H42" s="16" t="n"/>
      <c r="I42" s="16" t="inlineStr">
        <is>
          <t>شيت المبيعات (عقود الجملة)</t>
        </is>
      </c>
    </row>
    <row r="43">
      <c r="A43" s="16" t="n">
        <v>42</v>
      </c>
      <c r="B43" s="95" t="n">
        <v>46085</v>
      </c>
      <c r="C43" s="16" t="inlineStr">
        <is>
          <t>WHK-3963</t>
        </is>
      </c>
      <c r="D43" s="17" t="n">
        <v>2700</v>
      </c>
      <c r="E43" s="17" t="n">
        <v>2700</v>
      </c>
      <c r="F43" s="16" t="inlineStr">
        <is>
          <t>صحيح</t>
        </is>
      </c>
      <c r="G43" s="16" t="inlineStr">
        <is>
          <t>فاتورة مبدئية 174، كشف الحساب</t>
        </is>
      </c>
      <c r="H43" s="16" t="n"/>
      <c r="I43" s="16" t="inlineStr">
        <is>
          <t>شيت المبيعات (عقود الجملة)</t>
        </is>
      </c>
    </row>
    <row r="44">
      <c r="A44" s="16" t="n">
        <v>43</v>
      </c>
      <c r="B44" s="95" t="n">
        <v>46145</v>
      </c>
      <c r="C44" s="16" t="inlineStr">
        <is>
          <t>WHK-4256</t>
        </is>
      </c>
      <c r="D44" s="17" t="n">
        <v>19490</v>
      </c>
      <c r="E44" s="17" t="n">
        <v>19490</v>
      </c>
      <c r="F44" s="16" t="inlineStr">
        <is>
          <t>صحيح</t>
        </is>
      </c>
      <c r="G44" s="16" t="inlineStr">
        <is>
          <t>فاتورة مبدئية 227، كشف الحساب</t>
        </is>
      </c>
      <c r="H44" s="16" t="n"/>
      <c r="I44" s="16" t="inlineStr">
        <is>
          <t>شيت المبيعات (عقود الجملة)</t>
        </is>
      </c>
    </row>
    <row r="45">
      <c r="A45" s="16" t="n">
        <v>44</v>
      </c>
      <c r="B45" s="95" t="n">
        <v>46147</v>
      </c>
      <c r="C45" s="16" t="inlineStr">
        <is>
          <t>WHK-4275</t>
        </is>
      </c>
      <c r="D45" s="17" t="n">
        <v>21780</v>
      </c>
      <c r="E45" s="17" t="n">
        <v>21780</v>
      </c>
      <c r="F45" s="16" t="inlineStr">
        <is>
          <t>صحيح</t>
        </is>
      </c>
      <c r="G45" s="16" t="inlineStr">
        <is>
          <t>فاتورة مبدئية 231، كشف الحساب</t>
        </is>
      </c>
      <c r="H45" s="16" t="n"/>
      <c r="I45" s="16" t="inlineStr">
        <is>
          <t>شيت المبيعات (عقود الجملة)</t>
        </is>
      </c>
    </row>
    <row r="46">
      <c r="A46" s="16" t="n">
        <v>45</v>
      </c>
      <c r="B46" s="95" t="n">
        <v>46152</v>
      </c>
      <c r="C46" s="16" t="inlineStr">
        <is>
          <t>WHK-4291</t>
        </is>
      </c>
      <c r="D46" s="17" t="n">
        <v>3135</v>
      </c>
      <c r="E46" s="17" t="n">
        <v>3135</v>
      </c>
      <c r="F46" s="16" t="inlineStr">
        <is>
          <t>صحيح</t>
        </is>
      </c>
      <c r="G46" s="16" t="inlineStr">
        <is>
          <t>فاتورة مبدئية 239، كشف الحساب</t>
        </is>
      </c>
      <c r="H46" s="16" t="n"/>
      <c r="I46" s="16" t="inlineStr">
        <is>
          <t>شيت المبيعات (عقود الجملة)</t>
        </is>
      </c>
    </row>
    <row r="47">
      <c r="A47" s="16" t="n">
        <v>46</v>
      </c>
      <c r="B47" s="95" t="n">
        <v>46154</v>
      </c>
      <c r="C47" s="16" t="inlineStr">
        <is>
          <t>WHK-4305</t>
        </is>
      </c>
      <c r="D47" s="17" t="n">
        <v>3025</v>
      </c>
      <c r="E47" s="17" t="n">
        <v>3025</v>
      </c>
      <c r="F47" s="16" t="inlineStr">
        <is>
          <t>صحيح</t>
        </is>
      </c>
      <c r="G47" s="16" t="inlineStr">
        <is>
          <t>فاتورة مبدئية 243، كشف الحساب</t>
        </is>
      </c>
      <c r="H47" s="16" t="n"/>
      <c r="I47" s="16" t="inlineStr">
        <is>
          <t>شيت المبيعات (عقود الجملة)</t>
        </is>
      </c>
    </row>
    <row r="48">
      <c r="A48" s="16" t="n">
        <v>47</v>
      </c>
      <c r="B48" s="95" t="n">
        <v>46160</v>
      </c>
      <c r="C48" s="16" t="inlineStr">
        <is>
          <t>WHK-4323</t>
        </is>
      </c>
      <c r="D48" s="17" t="n">
        <v>750</v>
      </c>
      <c r="E48" s="17" t="n">
        <v>750</v>
      </c>
      <c r="F48" s="16" t="inlineStr">
        <is>
          <t>صحيح</t>
        </is>
      </c>
      <c r="G48" s="16" t="inlineStr">
        <is>
          <t>فاتورة مبدئية 250، كشف الحساب</t>
        </is>
      </c>
      <c r="H48" s="16" t="n"/>
      <c r="I48" s="16" t="inlineStr">
        <is>
          <t>شيت المبيعات (عقود الجملة)</t>
        </is>
      </c>
    </row>
    <row r="49">
      <c r="A49" s="9" t="n"/>
      <c r="B49" s="9" t="n"/>
      <c r="C49" s="9" t="inlineStr">
        <is>
          <t>الإجمالي</t>
        </is>
      </c>
      <c r="D49" s="10">
        <f>SUM(D2:D48)</f>
        <v/>
      </c>
      <c r="E49" s="10">
        <f>SUM(E2:E48)</f>
        <v/>
      </c>
      <c r="F49" s="9" t="n"/>
      <c r="G49" s="9" t="n"/>
      <c r="H49" s="9" t="n"/>
      <c r="I49" s="9" t="n"/>
    </row>
  </sheetData>
  <autoFilter ref="A1:I48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132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38" customWidth="1" min="5" max="5"/>
    <col width="11" customWidth="1" min="6" max="6"/>
    <col width="8" customWidth="1" min="7" max="7"/>
    <col width="11" customWidth="1" min="8" max="8"/>
    <col width="14" customWidth="1" min="9" max="9"/>
    <col width="70" customWidth="1" min="10" max="10"/>
  </cols>
  <sheetData>
    <row r="1">
      <c r="A1" s="15" t="inlineStr">
        <is>
          <t>رقم العقد</t>
        </is>
      </c>
      <c r="B1" s="15" t="inlineStr">
        <is>
          <t>تاريخ العقد</t>
        </is>
      </c>
      <c r="C1" s="15" t="inlineStr">
        <is>
          <t>رقم الفاتورة المبدئية</t>
        </is>
      </c>
      <c r="D1" s="15" t="inlineStr">
        <is>
          <t>كود الصنف</t>
        </is>
      </c>
      <c r="E1" s="15" t="inlineStr">
        <is>
          <t>اسم الصنف</t>
        </is>
      </c>
      <c r="F1" s="15" t="inlineStr">
        <is>
          <t>الكمية</t>
        </is>
      </c>
      <c r="G1" s="15" t="inlineStr">
        <is>
          <t>الوحدة</t>
        </is>
      </c>
      <c r="H1" s="15" t="inlineStr">
        <is>
          <t>سعر الوحدة</t>
        </is>
      </c>
      <c r="I1" s="15" t="inlineStr">
        <is>
          <t>الإجمالي</t>
        </is>
      </c>
      <c r="J1" s="15" t="inlineStr">
        <is>
          <t>ملاحظة</t>
        </is>
      </c>
    </row>
    <row r="2">
      <c r="A2" s="28" t="inlineStr">
        <is>
          <t>WHK-1909</t>
        </is>
      </c>
      <c r="B2" s="100" t="n">
        <v>45868</v>
      </c>
      <c r="C2" s="28" t="inlineStr">
        <is>
          <t>—</t>
        </is>
      </c>
      <c r="D2" s="28" t="inlineStr">
        <is>
          <t>—</t>
        </is>
      </c>
      <c r="E2" s="28" t="inlineStr">
        <is>
          <t>لا توجد بنود تفصيلية</t>
        </is>
      </c>
      <c r="F2" s="38" t="n"/>
      <c r="G2" s="28" t="n"/>
      <c r="H2" s="29" t="n"/>
      <c r="I2" s="29" t="n">
        <v>11570</v>
      </c>
      <c r="J2" s="28" t="inlineStr">
        <is>
          <t>لا توجد فاتورة مبدئية لهذا العقد (القيمة من شيت المحاسب WHK2025)</t>
        </is>
      </c>
    </row>
    <row r="3">
      <c r="A3" s="9" t="inlineStr">
        <is>
          <t>إجمالي العقد WHK-1909</t>
        </is>
      </c>
      <c r="B3" s="101" t="n"/>
      <c r="C3" s="9" t="n"/>
      <c r="D3" s="9" t="n"/>
      <c r="E3" s="9" t="n"/>
      <c r="F3" s="40" t="n"/>
      <c r="G3" s="9" t="n"/>
      <c r="H3" s="10" t="n"/>
      <c r="I3" s="10">
        <f>SUM(I2:I2)</f>
        <v/>
      </c>
      <c r="J3" s="9" t="inlineStr">
        <is>
          <t>تاريخه 2025-07-30 قبل بداية الفترة 31-7-2025 بيوم – أُدرج بناءً على طلبك</t>
        </is>
      </c>
    </row>
    <row r="4">
      <c r="A4" s="28" t="inlineStr">
        <is>
          <t>WHK-2148</t>
        </is>
      </c>
      <c r="B4" s="100" t="n">
        <v>45909</v>
      </c>
      <c r="C4" s="28" t="inlineStr">
        <is>
          <t>—</t>
        </is>
      </c>
      <c r="D4" s="28" t="inlineStr">
        <is>
          <t>—</t>
        </is>
      </c>
      <c r="E4" s="28" t="inlineStr">
        <is>
          <t>لا توجد بنود تفصيلية</t>
        </is>
      </c>
      <c r="F4" s="38" t="n"/>
      <c r="G4" s="28" t="n"/>
      <c r="H4" s="29" t="n"/>
      <c r="I4" s="29" t="n">
        <v>3320</v>
      </c>
      <c r="J4" s="28" t="inlineStr">
        <is>
          <t>لا توجد فاتورة مبدئية لهذا العقد (القيمة من شيت المحاسب WHK2025)</t>
        </is>
      </c>
    </row>
    <row r="5">
      <c r="A5" s="9" t="inlineStr">
        <is>
          <t>إجمالي العقد WHK-2148</t>
        </is>
      </c>
      <c r="B5" s="101" t="n"/>
      <c r="C5" s="9" t="n"/>
      <c r="D5" s="9" t="n"/>
      <c r="E5" s="9" t="n"/>
      <c r="F5" s="40" t="n"/>
      <c r="G5" s="9" t="n"/>
      <c r="H5" s="10" t="n"/>
      <c r="I5" s="10">
        <f>SUM(I4:I4)</f>
        <v/>
      </c>
      <c r="J5" s="9" t="n"/>
    </row>
    <row r="6">
      <c r="A6" s="28" t="inlineStr">
        <is>
          <t>WHK-2271</t>
        </is>
      </c>
      <c r="B6" s="100" t="n">
        <v>45923</v>
      </c>
      <c r="C6" s="28" t="inlineStr">
        <is>
          <t>—</t>
        </is>
      </c>
      <c r="D6" s="28" t="inlineStr">
        <is>
          <t>—</t>
        </is>
      </c>
      <c r="E6" s="28" t="inlineStr">
        <is>
          <t>لا توجد بنود تفصيلية</t>
        </is>
      </c>
      <c r="F6" s="38" t="n"/>
      <c r="G6" s="28" t="n"/>
      <c r="H6" s="29" t="n"/>
      <c r="I6" s="29" t="n">
        <v>2400</v>
      </c>
      <c r="J6" s="28" t="inlineStr">
        <is>
          <t>لا توجد فاتورة مبدئية لهذا العقد (القيمة من شيت المحاسب WHK2025)</t>
        </is>
      </c>
    </row>
    <row r="7">
      <c r="A7" s="9" t="inlineStr">
        <is>
          <t>إجمالي العقد WHK-2271</t>
        </is>
      </c>
      <c r="B7" s="101" t="n"/>
      <c r="C7" s="9" t="n"/>
      <c r="D7" s="9" t="n"/>
      <c r="E7" s="9" t="n"/>
      <c r="F7" s="40" t="n"/>
      <c r="G7" s="9" t="n"/>
      <c r="H7" s="10" t="n"/>
      <c r="I7" s="10">
        <f>SUM(I6:I6)</f>
        <v/>
      </c>
      <c r="J7" s="9" t="n"/>
    </row>
    <row r="8">
      <c r="A8" s="28" t="inlineStr">
        <is>
          <t>WHK-2283</t>
        </is>
      </c>
      <c r="B8" s="100" t="n">
        <v>45924</v>
      </c>
      <c r="C8" s="28" t="inlineStr">
        <is>
          <t>—</t>
        </is>
      </c>
      <c r="D8" s="28" t="inlineStr">
        <is>
          <t>—</t>
        </is>
      </c>
      <c r="E8" s="28" t="inlineStr">
        <is>
          <t>لا توجد بنود تفصيلية</t>
        </is>
      </c>
      <c r="F8" s="38" t="n"/>
      <c r="G8" s="28" t="n"/>
      <c r="H8" s="29" t="n"/>
      <c r="I8" s="29" t="n">
        <v>2800</v>
      </c>
      <c r="J8" s="28" t="inlineStr">
        <is>
          <t>لا توجد فاتورة مبدئية لهذا العقد (القيمة من شيت المحاسب WHK2025)</t>
        </is>
      </c>
    </row>
    <row r="9">
      <c r="A9" s="9" t="inlineStr">
        <is>
          <t>إجمالي العقد WHK-2283</t>
        </is>
      </c>
      <c r="B9" s="101" t="n"/>
      <c r="C9" s="9" t="n"/>
      <c r="D9" s="9" t="n"/>
      <c r="E9" s="9" t="n"/>
      <c r="F9" s="40" t="n"/>
      <c r="G9" s="9" t="n"/>
      <c r="H9" s="10" t="n"/>
      <c r="I9" s="10">
        <f>SUM(I8:I8)</f>
        <v/>
      </c>
      <c r="J9" s="9" t="n"/>
    </row>
    <row r="10">
      <c r="A10" s="28" t="inlineStr">
        <is>
          <t>WHK-2328</t>
        </is>
      </c>
      <c r="B10" s="100" t="n">
        <v>45929</v>
      </c>
      <c r="C10" s="28" t="inlineStr">
        <is>
          <t>—</t>
        </is>
      </c>
      <c r="D10" s="28" t="inlineStr">
        <is>
          <t>—</t>
        </is>
      </c>
      <c r="E10" s="28" t="inlineStr">
        <is>
          <t>لا توجد بنود تفصيلية</t>
        </is>
      </c>
      <c r="F10" s="38" t="n"/>
      <c r="G10" s="28" t="n"/>
      <c r="H10" s="29" t="n"/>
      <c r="I10" s="29" t="n">
        <v>4550</v>
      </c>
      <c r="J10" s="28" t="inlineStr">
        <is>
          <t>لا توجد فاتورة مبدئية لهذا العقد (القيمة من شيت المحاسب WHK2025)</t>
        </is>
      </c>
    </row>
    <row r="11">
      <c r="A11" s="9" t="inlineStr">
        <is>
          <t>إجمالي العقد WHK-2328</t>
        </is>
      </c>
      <c r="B11" s="101" t="n"/>
      <c r="C11" s="9" t="n"/>
      <c r="D11" s="9" t="n"/>
      <c r="E11" s="9" t="n"/>
      <c r="F11" s="40" t="n"/>
      <c r="G11" s="9" t="n"/>
      <c r="H11" s="10" t="n"/>
      <c r="I11" s="10">
        <f>SUM(I10:I10)</f>
        <v/>
      </c>
      <c r="J11" s="9" t="n"/>
    </row>
    <row r="12">
      <c r="A12" s="16" t="inlineStr">
        <is>
          <t>WHK-2364</t>
        </is>
      </c>
      <c r="B12" s="95" t="n">
        <v>45935</v>
      </c>
      <c r="C12" s="16" t="inlineStr">
        <is>
          <t>RN-INV#40</t>
        </is>
      </c>
      <c r="D12" s="16" t="inlineStr">
        <is>
          <t>RN-OD560</t>
        </is>
      </c>
      <c r="E12" s="16" t="inlineStr">
        <is>
          <t>زهور بيتونيا</t>
        </is>
      </c>
      <c r="F12" s="41" t="n">
        <v>40000</v>
      </c>
      <c r="G12" s="16" t="inlineStr">
        <is>
          <t>EA</t>
        </is>
      </c>
      <c r="H12" s="17" t="n">
        <v>0.5</v>
      </c>
      <c r="I12" s="17">
        <f>F12*H12</f>
        <v/>
      </c>
      <c r="J12" s="16" t="inlineStr">
        <is>
          <t>بالفاتورة رقم العقد WHK-2807 – مسجلة بالكشف على عقد عرعر</t>
        </is>
      </c>
    </row>
    <row r="13">
      <c r="A13" s="16" t="inlineStr">
        <is>
          <t>WHK-2364</t>
        </is>
      </c>
      <c r="B13" s="95" t="n">
        <v>45935</v>
      </c>
      <c r="C13" s="16" t="inlineStr">
        <is>
          <t>RN-INV#45</t>
        </is>
      </c>
      <c r="D13" s="16" t="inlineStr">
        <is>
          <t>RN-OD560</t>
        </is>
      </c>
      <c r="E13" s="16" t="inlineStr">
        <is>
          <t>زهور بيتونيا</t>
        </is>
      </c>
      <c r="F13" s="41" t="n">
        <v>41250</v>
      </c>
      <c r="G13" s="16" t="inlineStr">
        <is>
          <t>EA</t>
        </is>
      </c>
      <c r="H13" s="17" t="n">
        <v>0.5</v>
      </c>
      <c r="I13" s="17">
        <f>F13*H13</f>
        <v/>
      </c>
      <c r="J13" s="16" t="inlineStr">
        <is>
          <t>بالفاتورة رقم العقد RNW-2842 – مسجلة بالكشف على عقد عرعر</t>
        </is>
      </c>
    </row>
    <row r="14">
      <c r="A14" s="16" t="inlineStr">
        <is>
          <t>WHK-2364</t>
        </is>
      </c>
      <c r="B14" s="95" t="n">
        <v>45935</v>
      </c>
      <c r="C14" s="16" t="inlineStr">
        <is>
          <t>RN-INV#54</t>
        </is>
      </c>
      <c r="D14" s="16" t="inlineStr">
        <is>
          <t>RN-OD560</t>
        </is>
      </c>
      <c r="E14" s="16" t="inlineStr">
        <is>
          <t>زهور بيتونيا</t>
        </is>
      </c>
      <c r="F14" s="41" t="n">
        <v>42000</v>
      </c>
      <c r="G14" s="16" t="inlineStr">
        <is>
          <t>EA</t>
        </is>
      </c>
      <c r="H14" s="17" t="n">
        <v>0.5</v>
      </c>
      <c r="I14" s="17">
        <f>F14*H14</f>
        <v/>
      </c>
      <c r="J14" s="16" t="inlineStr">
        <is>
          <t>بالفاتورة رقم العقد RNW-2945 – مسجلة بالكشف على عقد عرعر</t>
        </is>
      </c>
    </row>
    <row r="15">
      <c r="A15" s="16" t="inlineStr">
        <is>
          <t>WHK-2364</t>
        </is>
      </c>
      <c r="B15" s="95" t="n">
        <v>45935</v>
      </c>
      <c r="C15" s="16" t="inlineStr">
        <is>
          <t>RN-INV#84</t>
        </is>
      </c>
      <c r="D15" s="16" t="inlineStr">
        <is>
          <t>RN-OD560</t>
        </is>
      </c>
      <c r="E15" s="16" t="inlineStr">
        <is>
          <t>زهور بيتونيا</t>
        </is>
      </c>
      <c r="F15" s="41" t="n">
        <v>42500</v>
      </c>
      <c r="G15" s="16" t="inlineStr">
        <is>
          <t>EA</t>
        </is>
      </c>
      <c r="H15" s="17" t="n">
        <v>0.5</v>
      </c>
      <c r="I15" s="17">
        <f>F15*H15</f>
        <v/>
      </c>
      <c r="J15" s="16" t="inlineStr">
        <is>
          <t>بالفاتورة رقم العقد RNW-3210 – مسجلة بالكشف على عقد عرعر</t>
        </is>
      </c>
    </row>
    <row r="16">
      <c r="A16" s="16" t="inlineStr">
        <is>
          <t>WHK-2364</t>
        </is>
      </c>
      <c r="B16" s="95" t="n">
        <v>45935</v>
      </c>
      <c r="C16" s="16" t="inlineStr">
        <is>
          <t>RN-INV#100</t>
        </is>
      </c>
      <c r="D16" s="16" t="inlineStr">
        <is>
          <t>RN-OD560</t>
        </is>
      </c>
      <c r="E16" s="16" t="inlineStr">
        <is>
          <t>زهور بيتونيا</t>
        </is>
      </c>
      <c r="F16" s="41" t="n">
        <v>30000</v>
      </c>
      <c r="G16" s="16" t="inlineStr">
        <is>
          <t>EA</t>
        </is>
      </c>
      <c r="H16" s="17" t="n">
        <v>0.5</v>
      </c>
      <c r="I16" s="17">
        <f>F16*H16</f>
        <v/>
      </c>
      <c r="J16" s="16" t="inlineStr">
        <is>
          <t>بالفاتورة رقم العقد RNW-3357 – مسجلة بالكشف على عقد عرعر</t>
        </is>
      </c>
    </row>
    <row r="17">
      <c r="A17" s="16" t="inlineStr">
        <is>
          <t>WHK-2364</t>
        </is>
      </c>
      <c r="B17" s="95" t="n">
        <v>45935</v>
      </c>
      <c r="C17" s="16" t="inlineStr">
        <is>
          <t>RN-INV#100</t>
        </is>
      </c>
      <c r="D17" s="16" t="inlineStr">
        <is>
          <t>RN-OD561</t>
        </is>
      </c>
      <c r="E17" s="16" t="inlineStr">
        <is>
          <t>زهور مارى جولد</t>
        </is>
      </c>
      <c r="F17" s="41" t="n">
        <v>10000</v>
      </c>
      <c r="G17" s="16" t="inlineStr">
        <is>
          <t>EA</t>
        </is>
      </c>
      <c r="H17" s="17" t="n">
        <v>0.5</v>
      </c>
      <c r="I17" s="17">
        <f>F17*H17</f>
        <v/>
      </c>
      <c r="J17" s="16" t="inlineStr">
        <is>
          <t>بالفاتورة رقم العقد RNW-3357 – مسجلة بالكشف على عقد عرعر</t>
        </is>
      </c>
    </row>
    <row r="18">
      <c r="A18" s="16" t="inlineStr">
        <is>
          <t>WHK-2364</t>
        </is>
      </c>
      <c r="B18" s="95" t="n">
        <v>45935</v>
      </c>
      <c r="C18" s="16" t="inlineStr">
        <is>
          <t>ترحيل من تبوك</t>
        </is>
      </c>
      <c r="D18" s="16" t="inlineStr">
        <is>
          <t>RN-OD560</t>
        </is>
      </c>
      <c r="E18" s="16" t="inlineStr">
        <is>
          <t>زهور بيتونيا</t>
        </is>
      </c>
      <c r="F18" s="41" t="n">
        <v>69625</v>
      </c>
      <c r="G18" s="16" t="inlineStr">
        <is>
          <t>EA</t>
        </is>
      </c>
      <c r="H18" s="17" t="n">
        <v>0.5</v>
      </c>
      <c r="I18" s="17">
        <f>F18*H18</f>
        <v/>
      </c>
      <c r="J18" s="16" t="inlineStr">
        <is>
          <t>محوّل من مزرعة تبوك (سندا TNR-2689 و TNR-2888 = 72,625 حبة − 3,000 تالف)</t>
        </is>
      </c>
    </row>
    <row r="19">
      <c r="A19" s="9" t="inlineStr">
        <is>
          <t>إجمالي العقد WHK-2364</t>
        </is>
      </c>
      <c r="B19" s="101" t="n"/>
      <c r="C19" s="9" t="n"/>
      <c r="D19" s="9" t="n"/>
      <c r="E19" s="9" t="n"/>
      <c r="F19" s="40" t="n"/>
      <c r="G19" s="9" t="n"/>
      <c r="H19" s="10" t="n"/>
      <c r="I19" s="10">
        <f>SUM(I12:I18)</f>
        <v/>
      </c>
      <c r="J19" s="9" t="inlineStr">
        <is>
          <t>عقد عرعر = الكميات المصروفة من الرياض + المحوّلة من تبوك × 0.50 (مشتريات الجزيرة خاصة ببساتين – محذوفة)</t>
        </is>
      </c>
    </row>
    <row r="20">
      <c r="A20" s="28" t="inlineStr">
        <is>
          <t>WHK-2411</t>
        </is>
      </c>
      <c r="B20" s="100" t="n">
        <v>45938</v>
      </c>
      <c r="C20" s="28" t="inlineStr">
        <is>
          <t>—</t>
        </is>
      </c>
      <c r="D20" s="28" t="inlineStr">
        <is>
          <t>—</t>
        </is>
      </c>
      <c r="E20" s="28" t="inlineStr">
        <is>
          <t>لا توجد بنود تفصيلية</t>
        </is>
      </c>
      <c r="F20" s="38" t="n"/>
      <c r="G20" s="28" t="n"/>
      <c r="H20" s="29" t="n"/>
      <c r="I20" s="29" t="n">
        <v>4200</v>
      </c>
      <c r="J20" s="28" t="inlineStr">
        <is>
          <t>لا توجد فاتورة مبدئية لهذا العقد (القيمة من شيت المحاسب WHK2025)</t>
        </is>
      </c>
    </row>
    <row r="21">
      <c r="A21" s="9" t="inlineStr">
        <is>
          <t>إجمالي العقد WHK-2411</t>
        </is>
      </c>
      <c r="B21" s="101" t="n"/>
      <c r="C21" s="9" t="n"/>
      <c r="D21" s="9" t="n"/>
      <c r="E21" s="9" t="n"/>
      <c r="F21" s="40" t="n"/>
      <c r="G21" s="9" t="n"/>
      <c r="H21" s="10" t="n"/>
      <c r="I21" s="10">
        <f>SUM(I20:I20)</f>
        <v/>
      </c>
      <c r="J21" s="9" t="n"/>
    </row>
    <row r="22">
      <c r="A22" s="28" t="inlineStr">
        <is>
          <t>WHK-2425</t>
        </is>
      </c>
      <c r="B22" s="100" t="n">
        <v>45939</v>
      </c>
      <c r="C22" s="28" t="inlineStr">
        <is>
          <t>—</t>
        </is>
      </c>
      <c r="D22" s="28" t="inlineStr">
        <is>
          <t>—</t>
        </is>
      </c>
      <c r="E22" s="28" t="inlineStr">
        <is>
          <t>لا توجد بنود تفصيلية</t>
        </is>
      </c>
      <c r="F22" s="38" t="n"/>
      <c r="G22" s="28" t="n"/>
      <c r="H22" s="29" t="n"/>
      <c r="I22" s="29" t="n">
        <v>11000</v>
      </c>
      <c r="J22" s="28" t="inlineStr">
        <is>
          <t>لا توجد فاتورة مبدئية لهذا العقد (القيمة من شيت المحاسب WHK2025)</t>
        </is>
      </c>
    </row>
    <row r="23">
      <c r="A23" s="9" t="inlineStr">
        <is>
          <t>إجمالي العقد WHK-2425</t>
        </is>
      </c>
      <c r="B23" s="101" t="n"/>
      <c r="C23" s="9" t="n"/>
      <c r="D23" s="9" t="n"/>
      <c r="E23" s="9" t="n"/>
      <c r="F23" s="40" t="n"/>
      <c r="G23" s="9" t="n"/>
      <c r="H23" s="10" t="n"/>
      <c r="I23" s="10">
        <f>SUM(I22:I22)</f>
        <v/>
      </c>
      <c r="J23" s="9" t="n"/>
    </row>
    <row r="24">
      <c r="A24" s="28" t="inlineStr">
        <is>
          <t>WHK-2434</t>
        </is>
      </c>
      <c r="B24" s="100" t="n">
        <v>45941</v>
      </c>
      <c r="C24" s="28" t="inlineStr">
        <is>
          <t>—</t>
        </is>
      </c>
      <c r="D24" s="28" t="inlineStr">
        <is>
          <t>—</t>
        </is>
      </c>
      <c r="E24" s="28" t="inlineStr">
        <is>
          <t>لا توجد بنود تفصيلية</t>
        </is>
      </c>
      <c r="F24" s="38" t="n"/>
      <c r="G24" s="28" t="n"/>
      <c r="H24" s="29" t="n"/>
      <c r="I24" s="29" t="n">
        <v>70250</v>
      </c>
      <c r="J24" s="28" t="inlineStr">
        <is>
          <t>لا توجد فاتورة مبدئية لهذا العقد (القيمة من شيت المحاسب WHK2025)</t>
        </is>
      </c>
    </row>
    <row r="25">
      <c r="A25" s="9" t="inlineStr">
        <is>
          <t>إجمالي العقد WHK-2434</t>
        </is>
      </c>
      <c r="B25" s="101" t="n"/>
      <c r="C25" s="9" t="n"/>
      <c r="D25" s="9" t="n"/>
      <c r="E25" s="9" t="n"/>
      <c r="F25" s="40" t="n"/>
      <c r="G25" s="9" t="n"/>
      <c r="H25" s="10" t="n"/>
      <c r="I25" s="10">
        <f>SUM(I24:I24)</f>
        <v/>
      </c>
      <c r="J25" s="9" t="n"/>
    </row>
    <row r="26">
      <c r="A26" s="28" t="inlineStr">
        <is>
          <t>WHK-2465</t>
        </is>
      </c>
      <c r="B26" s="100" t="n">
        <v>45943</v>
      </c>
      <c r="C26" s="28" t="inlineStr">
        <is>
          <t>—</t>
        </is>
      </c>
      <c r="D26" s="28" t="inlineStr">
        <is>
          <t>—</t>
        </is>
      </c>
      <c r="E26" s="28" t="inlineStr">
        <is>
          <t>لا توجد بنود تفصيلية</t>
        </is>
      </c>
      <c r="F26" s="38" t="n"/>
      <c r="G26" s="28" t="n"/>
      <c r="H26" s="29" t="n"/>
      <c r="I26" s="29" t="n">
        <v>1750</v>
      </c>
      <c r="J26" s="28" t="inlineStr">
        <is>
          <t>لا توجد فاتورة مبدئية لهذا العقد (القيمة من شيت المحاسب WHK2025)</t>
        </is>
      </c>
    </row>
    <row r="27">
      <c r="A27" s="9" t="inlineStr">
        <is>
          <t>إجمالي العقد WHK-2465</t>
        </is>
      </c>
      <c r="B27" s="101" t="n"/>
      <c r="C27" s="9" t="n"/>
      <c r="D27" s="9" t="n"/>
      <c r="E27" s="9" t="n"/>
      <c r="F27" s="40" t="n"/>
      <c r="G27" s="9" t="n"/>
      <c r="H27" s="10" t="n"/>
      <c r="I27" s="10">
        <f>SUM(I26:I26)</f>
        <v/>
      </c>
      <c r="J27" s="9" t="n"/>
    </row>
    <row r="28">
      <c r="A28" s="28" t="inlineStr">
        <is>
          <t>WHK-2480</t>
        </is>
      </c>
      <c r="B28" s="100" t="n">
        <v>45944</v>
      </c>
      <c r="C28" s="28" t="inlineStr">
        <is>
          <t>—</t>
        </is>
      </c>
      <c r="D28" s="28" t="inlineStr">
        <is>
          <t>—</t>
        </is>
      </c>
      <c r="E28" s="28" t="inlineStr">
        <is>
          <t>لا توجد بنود تفصيلية</t>
        </is>
      </c>
      <c r="F28" s="38" t="n"/>
      <c r="G28" s="28" t="n"/>
      <c r="H28" s="29" t="n"/>
      <c r="I28" s="29" t="n">
        <v>412.5</v>
      </c>
      <c r="J28" s="28" t="inlineStr">
        <is>
          <t>لا توجد فاتورة مبدئية لهذا العقد (القيمة من شيت المحاسب WHK2025)</t>
        </is>
      </c>
    </row>
    <row r="29">
      <c r="A29" s="9" t="inlineStr">
        <is>
          <t>إجمالي العقد WHK-2480</t>
        </is>
      </c>
      <c r="B29" s="101" t="n"/>
      <c r="C29" s="9" t="n"/>
      <c r="D29" s="9" t="n"/>
      <c r="E29" s="9" t="n"/>
      <c r="F29" s="40" t="n"/>
      <c r="G29" s="9" t="n"/>
      <c r="H29" s="10" t="n"/>
      <c r="I29" s="10">
        <f>SUM(I28:I28)</f>
        <v/>
      </c>
      <c r="J29" s="9" t="n"/>
    </row>
    <row r="30">
      <c r="A30" s="28" t="inlineStr">
        <is>
          <t>WHK-2498</t>
        </is>
      </c>
      <c r="B30" s="100" t="n">
        <v>45945</v>
      </c>
      <c r="C30" s="28" t="inlineStr">
        <is>
          <t>—</t>
        </is>
      </c>
      <c r="D30" s="28" t="inlineStr">
        <is>
          <t>—</t>
        </is>
      </c>
      <c r="E30" s="28" t="inlineStr">
        <is>
          <t>لا توجد بنود تفصيلية</t>
        </is>
      </c>
      <c r="F30" s="38" t="n"/>
      <c r="G30" s="28" t="n"/>
      <c r="H30" s="29" t="n"/>
      <c r="I30" s="29" t="n">
        <v>17055</v>
      </c>
      <c r="J30" s="28" t="inlineStr">
        <is>
          <t>لا توجد فاتورة مبدئية لهذا العقد (القيمة من شيت المحاسب WHK2025)</t>
        </is>
      </c>
    </row>
    <row r="31">
      <c r="A31" s="9" t="inlineStr">
        <is>
          <t>إجمالي العقد WHK-2498</t>
        </is>
      </c>
      <c r="B31" s="101" t="n"/>
      <c r="C31" s="9" t="n"/>
      <c r="D31" s="9" t="n"/>
      <c r="E31" s="9" t="n"/>
      <c r="F31" s="40" t="n"/>
      <c r="G31" s="9" t="n"/>
      <c r="H31" s="10" t="n"/>
      <c r="I31" s="10">
        <f>SUM(I30:I30)</f>
        <v/>
      </c>
      <c r="J31" s="9" t="n"/>
    </row>
    <row r="32">
      <c r="A32" s="28" t="inlineStr">
        <is>
          <t>WHK-2509</t>
        </is>
      </c>
      <c r="B32" s="100" t="n">
        <v>45946</v>
      </c>
      <c r="C32" s="28" t="inlineStr">
        <is>
          <t>—</t>
        </is>
      </c>
      <c r="D32" s="28" t="inlineStr">
        <is>
          <t>—</t>
        </is>
      </c>
      <c r="E32" s="28" t="inlineStr">
        <is>
          <t>لا توجد بنود تفصيلية</t>
        </is>
      </c>
      <c r="F32" s="38" t="n"/>
      <c r="G32" s="28" t="n"/>
      <c r="H32" s="29" t="n"/>
      <c r="I32" s="29" t="n">
        <v>3150</v>
      </c>
      <c r="J32" s="28" t="inlineStr">
        <is>
          <t>لا توجد فاتورة مبدئية لهذا العقد (القيمة من شيت المحاسب WHK2025)</t>
        </is>
      </c>
    </row>
    <row r="33">
      <c r="A33" s="9" t="inlineStr">
        <is>
          <t>إجمالي العقد WHK-2509</t>
        </is>
      </c>
      <c r="B33" s="101" t="n"/>
      <c r="C33" s="9" t="n"/>
      <c r="D33" s="9" t="n"/>
      <c r="E33" s="9" t="n"/>
      <c r="F33" s="40" t="n"/>
      <c r="G33" s="9" t="n"/>
      <c r="H33" s="10" t="n"/>
      <c r="I33" s="10">
        <f>SUM(I32:I32)</f>
        <v/>
      </c>
      <c r="J33" s="9" t="n"/>
    </row>
    <row r="34">
      <c r="A34" s="28" t="inlineStr">
        <is>
          <t>WHK-2515</t>
        </is>
      </c>
      <c r="B34" s="100" t="n">
        <v>45948</v>
      </c>
      <c r="C34" s="28" t="inlineStr">
        <is>
          <t>—</t>
        </is>
      </c>
      <c r="D34" s="28" t="inlineStr">
        <is>
          <t>—</t>
        </is>
      </c>
      <c r="E34" s="28" t="inlineStr">
        <is>
          <t>لا توجد بنود تفصيلية</t>
        </is>
      </c>
      <c r="F34" s="38" t="n"/>
      <c r="G34" s="28" t="n"/>
      <c r="H34" s="29" t="n"/>
      <c r="I34" s="29" t="n">
        <v>6975</v>
      </c>
      <c r="J34" s="28" t="inlineStr">
        <is>
          <t>لا توجد فاتورة مبدئية لهذا العقد (القيمة من شيت المحاسب WHK2025)</t>
        </is>
      </c>
    </row>
    <row r="35">
      <c r="A35" s="9" t="inlineStr">
        <is>
          <t>إجمالي العقد WHK-2515</t>
        </is>
      </c>
      <c r="B35" s="101" t="n"/>
      <c r="C35" s="9" t="n"/>
      <c r="D35" s="9" t="n"/>
      <c r="E35" s="9" t="n"/>
      <c r="F35" s="40" t="n"/>
      <c r="G35" s="9" t="n"/>
      <c r="H35" s="10" t="n"/>
      <c r="I35" s="10">
        <f>SUM(I34:I34)</f>
        <v/>
      </c>
      <c r="J35" s="9" t="n"/>
    </row>
    <row r="36">
      <c r="A36" s="28" t="inlineStr">
        <is>
          <t>WHK-2563</t>
        </is>
      </c>
      <c r="B36" s="100" t="n">
        <v>45951</v>
      </c>
      <c r="C36" s="28" t="inlineStr">
        <is>
          <t>—</t>
        </is>
      </c>
      <c r="D36" s="28" t="inlineStr">
        <is>
          <t>—</t>
        </is>
      </c>
      <c r="E36" s="28" t="inlineStr">
        <is>
          <t>لا توجد بنود تفصيلية</t>
        </is>
      </c>
      <c r="F36" s="38" t="n"/>
      <c r="G36" s="28" t="n"/>
      <c r="H36" s="29" t="n"/>
      <c r="I36" s="29" t="n">
        <v>2925</v>
      </c>
      <c r="J36" s="28" t="inlineStr">
        <is>
          <t>لا توجد فاتورة مبدئية لهذا العقد (القيمة من شيت المحاسب WHK2025)</t>
        </is>
      </c>
    </row>
    <row r="37">
      <c r="A37" s="9" t="inlineStr">
        <is>
          <t>إجمالي العقد WHK-2563</t>
        </is>
      </c>
      <c r="B37" s="101" t="n"/>
      <c r="C37" s="9" t="n"/>
      <c r="D37" s="9" t="n"/>
      <c r="E37" s="9" t="n"/>
      <c r="F37" s="40" t="n"/>
      <c r="G37" s="9" t="n"/>
      <c r="H37" s="10" t="n"/>
      <c r="I37" s="10">
        <f>SUM(I36:I36)</f>
        <v/>
      </c>
      <c r="J37" s="9" t="n"/>
    </row>
    <row r="38">
      <c r="A38" s="28" t="inlineStr">
        <is>
          <t>WHK-2583</t>
        </is>
      </c>
      <c r="B38" s="100" t="n">
        <v>45952</v>
      </c>
      <c r="C38" s="28" t="inlineStr">
        <is>
          <t>—</t>
        </is>
      </c>
      <c r="D38" s="28" t="inlineStr">
        <is>
          <t>—</t>
        </is>
      </c>
      <c r="E38" s="28" t="inlineStr">
        <is>
          <t>لا توجد بنود تفصيلية</t>
        </is>
      </c>
      <c r="F38" s="38" t="n"/>
      <c r="G38" s="28" t="n"/>
      <c r="H38" s="29" t="n"/>
      <c r="I38" s="29" t="n">
        <v>4125</v>
      </c>
      <c r="J38" s="28" t="inlineStr">
        <is>
          <t>لا توجد فاتورة مبدئية لهذا العقد (القيمة من شيت المحاسب WHK2025)</t>
        </is>
      </c>
    </row>
    <row r="39">
      <c r="A39" s="9" t="inlineStr">
        <is>
          <t>إجمالي العقد WHK-2583</t>
        </is>
      </c>
      <c r="B39" s="101" t="n"/>
      <c r="C39" s="9" t="n"/>
      <c r="D39" s="9" t="n"/>
      <c r="E39" s="9" t="n"/>
      <c r="F39" s="40" t="n"/>
      <c r="G39" s="9" t="n"/>
      <c r="H39" s="10" t="n"/>
      <c r="I39" s="10">
        <f>SUM(I38:I38)</f>
        <v/>
      </c>
      <c r="J39" s="9" t="n"/>
    </row>
    <row r="40">
      <c r="A40" s="28" t="inlineStr">
        <is>
          <t>WHK-2605</t>
        </is>
      </c>
      <c r="B40" s="100" t="n">
        <v>45953</v>
      </c>
      <c r="C40" s="28" t="inlineStr">
        <is>
          <t>—</t>
        </is>
      </c>
      <c r="D40" s="28" t="inlineStr">
        <is>
          <t>—</t>
        </is>
      </c>
      <c r="E40" s="28" t="inlineStr">
        <is>
          <t>لا توجد بنود تفصيلية</t>
        </is>
      </c>
      <c r="F40" s="38" t="n"/>
      <c r="G40" s="28" t="n"/>
      <c r="H40" s="29" t="n"/>
      <c r="I40" s="29" t="n">
        <v>1331.25</v>
      </c>
      <c r="J40" s="28" t="inlineStr">
        <is>
          <t>لا توجد فاتورة مبدئية لهذا العقد (القيمة من شيت المحاسب WHK2025)</t>
        </is>
      </c>
    </row>
    <row r="41">
      <c r="A41" s="9" t="inlineStr">
        <is>
          <t>إجمالي العقد WHK-2605</t>
        </is>
      </c>
      <c r="B41" s="101" t="n"/>
      <c r="C41" s="9" t="n"/>
      <c r="D41" s="9" t="n"/>
      <c r="E41" s="9" t="n"/>
      <c r="F41" s="40" t="n"/>
      <c r="G41" s="9" t="n"/>
      <c r="H41" s="10" t="n"/>
      <c r="I41" s="10">
        <f>SUM(I40:I40)</f>
        <v/>
      </c>
      <c r="J41" s="9" t="n"/>
    </row>
    <row r="42">
      <c r="A42" s="28" t="inlineStr">
        <is>
          <t>WHK-2626</t>
        </is>
      </c>
      <c r="B42" s="100" t="n">
        <v>45955</v>
      </c>
      <c r="C42" s="28" t="inlineStr">
        <is>
          <t>—</t>
        </is>
      </c>
      <c r="D42" s="28" t="inlineStr">
        <is>
          <t>—</t>
        </is>
      </c>
      <c r="E42" s="28" t="inlineStr">
        <is>
          <t>لا توجد بنود تفصيلية</t>
        </is>
      </c>
      <c r="F42" s="38" t="n"/>
      <c r="G42" s="28" t="n"/>
      <c r="H42" s="29" t="n"/>
      <c r="I42" s="29" t="n">
        <v>2150</v>
      </c>
      <c r="J42" s="28" t="inlineStr">
        <is>
          <t>لا توجد فاتورة مبدئية لهذا العقد (القيمة من شيت المحاسب WHK2025)</t>
        </is>
      </c>
    </row>
    <row r="43">
      <c r="A43" s="9" t="inlineStr">
        <is>
          <t>إجمالي العقد WHK-2626</t>
        </is>
      </c>
      <c r="B43" s="101" t="n"/>
      <c r="C43" s="9" t="n"/>
      <c r="D43" s="9" t="n"/>
      <c r="E43" s="9" t="n"/>
      <c r="F43" s="40" t="n"/>
      <c r="G43" s="9" t="n"/>
      <c r="H43" s="10" t="n"/>
      <c r="I43" s="10">
        <f>SUM(I42:I42)</f>
        <v/>
      </c>
      <c r="J43" s="9" t="n"/>
    </row>
    <row r="44">
      <c r="A44" s="28" t="inlineStr">
        <is>
          <t>WHK-2639</t>
        </is>
      </c>
      <c r="B44" s="100" t="n">
        <v>45956</v>
      </c>
      <c r="C44" s="28" t="inlineStr">
        <is>
          <t>—</t>
        </is>
      </c>
      <c r="D44" s="28" t="inlineStr">
        <is>
          <t>—</t>
        </is>
      </c>
      <c r="E44" s="28" t="inlineStr">
        <is>
          <t>لا توجد بنود تفصيلية</t>
        </is>
      </c>
      <c r="F44" s="38" t="n"/>
      <c r="G44" s="28" t="n"/>
      <c r="H44" s="29" t="n"/>
      <c r="I44" s="29" t="n">
        <v>1125</v>
      </c>
      <c r="J44" s="28" t="inlineStr">
        <is>
          <t>لا توجد فاتورة مبدئية لهذا العقد (القيمة من شيت المحاسب WHK2025)</t>
        </is>
      </c>
    </row>
    <row r="45">
      <c r="A45" s="9" t="inlineStr">
        <is>
          <t>إجمالي العقد WHK-2639</t>
        </is>
      </c>
      <c r="B45" s="101" t="n"/>
      <c r="C45" s="9" t="n"/>
      <c r="D45" s="9" t="n"/>
      <c r="E45" s="9" t="n"/>
      <c r="F45" s="40" t="n"/>
      <c r="G45" s="9" t="n"/>
      <c r="H45" s="10" t="n"/>
      <c r="I45" s="10">
        <f>SUM(I44:I44)</f>
        <v/>
      </c>
      <c r="J45" s="9" t="n"/>
    </row>
    <row r="46">
      <c r="A46" s="16" t="inlineStr">
        <is>
          <t>WHK-2656</t>
        </is>
      </c>
      <c r="B46" s="95" t="n">
        <v>45957</v>
      </c>
      <c r="C46" s="16" t="inlineStr">
        <is>
          <t>RN-INV#26</t>
        </is>
      </c>
      <c r="D46" s="16" t="inlineStr">
        <is>
          <t>RN-OD560</t>
        </is>
      </c>
      <c r="E46" s="16" t="inlineStr">
        <is>
          <t>زهور بيتونيا</t>
        </is>
      </c>
      <c r="F46" s="41" t="n">
        <v>1200</v>
      </c>
      <c r="G46" s="16" t="inlineStr">
        <is>
          <t>EA</t>
        </is>
      </c>
      <c r="H46" s="17" t="n">
        <v>0.75</v>
      </c>
      <c r="I46" s="17">
        <f>F46*H46</f>
        <v/>
      </c>
      <c r="J46" s="16" t="n"/>
    </row>
    <row r="47">
      <c r="A47" s="9" t="inlineStr">
        <is>
          <t>إجمالي العقد WHK-2656</t>
        </is>
      </c>
      <c r="B47" s="101" t="n"/>
      <c r="C47" s="9" t="n"/>
      <c r="D47" s="9" t="n"/>
      <c r="E47" s="9" t="n"/>
      <c r="F47" s="40" t="n"/>
      <c r="G47" s="9" t="n"/>
      <c r="H47" s="10" t="n"/>
      <c r="I47" s="10">
        <f>SUM(I46:I46)</f>
        <v/>
      </c>
      <c r="J47" s="9" t="n"/>
    </row>
    <row r="48">
      <c r="A48" s="16" t="inlineStr">
        <is>
          <t>WHK-2712</t>
        </is>
      </c>
      <c r="B48" s="95" t="n">
        <v>45963</v>
      </c>
      <c r="C48" s="16" t="inlineStr">
        <is>
          <t>RN-INV#31</t>
        </is>
      </c>
      <c r="D48" s="16" t="inlineStr">
        <is>
          <t>RN-OD560</t>
        </is>
      </c>
      <c r="E48" s="16" t="inlineStr">
        <is>
          <t>زهور بيتونيا</t>
        </is>
      </c>
      <c r="F48" s="41" t="n">
        <v>1500</v>
      </c>
      <c r="G48" s="16" t="inlineStr">
        <is>
          <t>EA</t>
        </is>
      </c>
      <c r="H48" s="17" t="n">
        <v>0.75</v>
      </c>
      <c r="I48" s="17">
        <f>F48*H48</f>
        <v/>
      </c>
      <c r="J48" s="16" t="n"/>
    </row>
    <row r="49">
      <c r="A49" s="9" t="inlineStr">
        <is>
          <t>إجمالي العقد WHK-2712</t>
        </is>
      </c>
      <c r="B49" s="101" t="n"/>
      <c r="C49" s="9" t="n"/>
      <c r="D49" s="9" t="n"/>
      <c r="E49" s="9" t="n"/>
      <c r="F49" s="40" t="n"/>
      <c r="G49" s="9" t="n"/>
      <c r="H49" s="10" t="n"/>
      <c r="I49" s="10">
        <f>SUM(I48:I48)</f>
        <v/>
      </c>
      <c r="J49" s="9" t="n"/>
    </row>
    <row r="50">
      <c r="A50" s="16" t="inlineStr">
        <is>
          <t>WHK-2776</t>
        </is>
      </c>
      <c r="B50" s="95" t="n">
        <v>45966</v>
      </c>
      <c r="C50" s="16" t="inlineStr">
        <is>
          <t>RN-INV#35</t>
        </is>
      </c>
      <c r="D50" s="16" t="inlineStr">
        <is>
          <t>RN-OD560</t>
        </is>
      </c>
      <c r="E50" s="16" t="inlineStr">
        <is>
          <t>زهور بيتونيا</t>
        </is>
      </c>
      <c r="F50" s="41" t="n">
        <v>1075</v>
      </c>
      <c r="G50" s="16" t="inlineStr">
        <is>
          <t>EA</t>
        </is>
      </c>
      <c r="H50" s="17" t="n">
        <v>0.7</v>
      </c>
      <c r="I50" s="17">
        <f>F50*H50</f>
        <v/>
      </c>
      <c r="J50" s="16" t="n"/>
    </row>
    <row r="51">
      <c r="A51" s="9" t="inlineStr">
        <is>
          <t>إجمالي العقد WHK-2776</t>
        </is>
      </c>
      <c r="B51" s="101" t="n"/>
      <c r="C51" s="9" t="n"/>
      <c r="D51" s="9" t="n"/>
      <c r="E51" s="9" t="n"/>
      <c r="F51" s="40" t="n"/>
      <c r="G51" s="9" t="n"/>
      <c r="H51" s="10" t="n"/>
      <c r="I51" s="10">
        <f>SUM(I50:I50)</f>
        <v/>
      </c>
      <c r="J51" s="9" t="n"/>
    </row>
    <row r="52">
      <c r="A52" s="16" t="inlineStr">
        <is>
          <t>WHK-2787</t>
        </is>
      </c>
      <c r="B52" s="95" t="n">
        <v>45967</v>
      </c>
      <c r="C52" s="16" t="inlineStr">
        <is>
          <t>RN-INV#37</t>
        </is>
      </c>
      <c r="D52" s="16" t="inlineStr">
        <is>
          <t>RN-OD560</t>
        </is>
      </c>
      <c r="E52" s="16" t="inlineStr">
        <is>
          <t>زهور بيتونيا</t>
        </is>
      </c>
      <c r="F52" s="41" t="n">
        <v>450</v>
      </c>
      <c r="G52" s="16" t="inlineStr">
        <is>
          <t>EA</t>
        </is>
      </c>
      <c r="H52" s="17" t="n">
        <v>0.75</v>
      </c>
      <c r="I52" s="17">
        <f>F52*H52</f>
        <v/>
      </c>
      <c r="J52" s="16" t="n"/>
    </row>
    <row r="53">
      <c r="A53" s="9" t="inlineStr">
        <is>
          <t>إجمالي العقد WHK-2787</t>
        </is>
      </c>
      <c r="B53" s="101" t="n"/>
      <c r="C53" s="9" t="n"/>
      <c r="D53" s="9" t="n"/>
      <c r="E53" s="9" t="n"/>
      <c r="F53" s="40" t="n"/>
      <c r="G53" s="9" t="n"/>
      <c r="H53" s="10" t="n"/>
      <c r="I53" s="10">
        <f>SUM(I52:I52)</f>
        <v/>
      </c>
      <c r="J53" s="9" t="n"/>
    </row>
    <row r="54">
      <c r="A54" s="16" t="inlineStr">
        <is>
          <t>WHK-2804</t>
        </is>
      </c>
      <c r="B54" s="95" t="n">
        <v>45969</v>
      </c>
      <c r="C54" s="16" t="inlineStr">
        <is>
          <t>RN-INV#39</t>
        </is>
      </c>
      <c r="D54" s="16" t="inlineStr">
        <is>
          <t>RN-OD637</t>
        </is>
      </c>
      <c r="E54" s="16" t="inlineStr">
        <is>
          <t>زهور سالفيا مركن9 سم</t>
        </is>
      </c>
      <c r="F54" s="41" t="n">
        <v>2725</v>
      </c>
      <c r="G54" s="16" t="inlineStr">
        <is>
          <t>EA</t>
        </is>
      </c>
      <c r="H54" s="17" t="n">
        <v>0.75</v>
      </c>
      <c r="I54" s="17">
        <f>F54*H54</f>
        <v/>
      </c>
      <c r="J54" s="16" t="n"/>
    </row>
    <row r="55">
      <c r="A55" s="16" t="inlineStr">
        <is>
          <t>WHK-2804</t>
        </is>
      </c>
      <c r="B55" s="95" t="n">
        <v>45969</v>
      </c>
      <c r="C55" s="16" t="inlineStr">
        <is>
          <t>RN-INV#39</t>
        </is>
      </c>
      <c r="D55" s="16" t="inlineStr">
        <is>
          <t>RN-OD560</t>
        </is>
      </c>
      <c r="E55" s="16" t="inlineStr">
        <is>
          <t>زهور بيتونيا</t>
        </is>
      </c>
      <c r="F55" s="41" t="n">
        <v>825</v>
      </c>
      <c r="G55" s="16" t="inlineStr">
        <is>
          <t>EA</t>
        </is>
      </c>
      <c r="H55" s="17" t="n">
        <v>0.75</v>
      </c>
      <c r="I55" s="17">
        <f>F55*H55</f>
        <v/>
      </c>
      <c r="J55" s="16" t="n"/>
    </row>
    <row r="56">
      <c r="A56" s="16" t="inlineStr">
        <is>
          <t>WHK-2804</t>
        </is>
      </c>
      <c r="B56" s="95" t="n">
        <v>45969</v>
      </c>
      <c r="C56" s="16" t="inlineStr">
        <is>
          <t>RN-INV#39</t>
        </is>
      </c>
      <c r="D56" s="16" t="inlineStr">
        <is>
          <t>RN-OD604</t>
        </is>
      </c>
      <c r="E56" s="16" t="inlineStr">
        <is>
          <t>زهور اقحوان افريقى مركن12 سم</t>
        </is>
      </c>
      <c r="F56" s="41" t="n">
        <v>3750</v>
      </c>
      <c r="G56" s="16" t="inlineStr">
        <is>
          <t>EA</t>
        </is>
      </c>
      <c r="H56" s="17" t="n">
        <v>3.25</v>
      </c>
      <c r="I56" s="17">
        <f>F56*H56</f>
        <v/>
      </c>
      <c r="J56" s="16" t="n"/>
    </row>
    <row r="57">
      <c r="A57" s="9" t="inlineStr">
        <is>
          <t>إجمالي العقد WHK-2804</t>
        </is>
      </c>
      <c r="B57" s="101" t="n"/>
      <c r="C57" s="9" t="n"/>
      <c r="D57" s="9" t="n"/>
      <c r="E57" s="9" t="n"/>
      <c r="F57" s="40" t="n"/>
      <c r="G57" s="9" t="n"/>
      <c r="H57" s="10" t="n"/>
      <c r="I57" s="10">
        <f>SUM(I54:I56)</f>
        <v/>
      </c>
      <c r="J57" s="9" t="n"/>
    </row>
    <row r="58">
      <c r="A58" s="16" t="inlineStr">
        <is>
          <t>WHK-2835</t>
        </is>
      </c>
      <c r="B58" s="95" t="n">
        <v>45971</v>
      </c>
      <c r="C58" s="16" t="inlineStr">
        <is>
          <t>RN-INV#43</t>
        </is>
      </c>
      <c r="D58" s="16" t="inlineStr">
        <is>
          <t>RN-OD560</t>
        </is>
      </c>
      <c r="E58" s="16" t="inlineStr">
        <is>
          <t>زهور بيتونيا</t>
        </is>
      </c>
      <c r="F58" s="41" t="n">
        <v>3250</v>
      </c>
      <c r="G58" s="16" t="inlineStr">
        <is>
          <t>EA</t>
        </is>
      </c>
      <c r="H58" s="17" t="n">
        <v>0.75</v>
      </c>
      <c r="I58" s="17">
        <f>F58*H58</f>
        <v/>
      </c>
      <c r="J58" s="16" t="n"/>
    </row>
    <row r="59">
      <c r="A59" s="16" t="inlineStr">
        <is>
          <t>WHK-2835</t>
        </is>
      </c>
      <c r="B59" s="95" t="n">
        <v>45971</v>
      </c>
      <c r="C59" s="16" t="inlineStr">
        <is>
          <t>RN-INV#43</t>
        </is>
      </c>
      <c r="D59" s="16" t="inlineStr">
        <is>
          <t>RN-OD603</t>
        </is>
      </c>
      <c r="E59" s="16" t="inlineStr">
        <is>
          <t>زهور جرانيوم مركن9 سم</t>
        </is>
      </c>
      <c r="F59" s="41" t="n">
        <v>900</v>
      </c>
      <c r="G59" s="16" t="inlineStr">
        <is>
          <t>EA</t>
        </is>
      </c>
      <c r="H59" s="17" t="n">
        <v>1.4</v>
      </c>
      <c r="I59" s="17">
        <f>F59*H59</f>
        <v/>
      </c>
      <c r="J59" s="16" t="n"/>
    </row>
    <row r="60">
      <c r="A60" s="16" t="inlineStr">
        <is>
          <t>WHK-2835</t>
        </is>
      </c>
      <c r="B60" s="95" t="n">
        <v>45971</v>
      </c>
      <c r="C60" s="16" t="inlineStr">
        <is>
          <t>RN-INV#43</t>
        </is>
      </c>
      <c r="D60" s="16" t="inlineStr">
        <is>
          <t>RN-OD620</t>
        </is>
      </c>
      <c r="E60" s="16" t="inlineStr">
        <is>
          <t>زهور جيرانيوم مركن12 سم</t>
        </is>
      </c>
      <c r="F60" s="41" t="n">
        <v>500</v>
      </c>
      <c r="G60" s="16" t="inlineStr">
        <is>
          <t>EA</t>
        </is>
      </c>
      <c r="H60" s="17" t="n">
        <v>3</v>
      </c>
      <c r="I60" s="17">
        <f>F60*H60</f>
        <v/>
      </c>
      <c r="J60" s="16" t="n"/>
    </row>
    <row r="61">
      <c r="A61" s="16" t="inlineStr">
        <is>
          <t>WHK-2835</t>
        </is>
      </c>
      <c r="B61" s="95" t="n">
        <v>45971</v>
      </c>
      <c r="C61" s="16" t="inlineStr">
        <is>
          <t>RN-INV#43</t>
        </is>
      </c>
      <c r="D61" s="16" t="inlineStr">
        <is>
          <t>RN-OD693</t>
        </is>
      </c>
      <c r="E61" s="16" t="inlineStr">
        <is>
          <t>زهور جيرانيوم هولندى مركن12 سم</t>
        </is>
      </c>
      <c r="F61" s="41" t="n">
        <v>500</v>
      </c>
      <c r="G61" s="16" t="inlineStr">
        <is>
          <t>EA</t>
        </is>
      </c>
      <c r="H61" s="17" t="n">
        <v>3.75</v>
      </c>
      <c r="I61" s="17">
        <f>F61*H61</f>
        <v/>
      </c>
      <c r="J61" s="16" t="n"/>
    </row>
    <row r="62">
      <c r="A62" s="16" t="inlineStr">
        <is>
          <t>WHK-2835</t>
        </is>
      </c>
      <c r="B62" s="95" t="n">
        <v>45971</v>
      </c>
      <c r="C62" s="16" t="inlineStr">
        <is>
          <t>RN-INV#43</t>
        </is>
      </c>
      <c r="D62" s="16" t="inlineStr">
        <is>
          <t>RN-OD638</t>
        </is>
      </c>
      <c r="E62" s="16" t="inlineStr">
        <is>
          <t>زهور هيبوستس مركن9 سم</t>
        </is>
      </c>
      <c r="F62" s="41" t="n">
        <v>500</v>
      </c>
      <c r="G62" s="16" t="inlineStr">
        <is>
          <t>EA</t>
        </is>
      </c>
      <c r="H62" s="17" t="n">
        <v>0.7</v>
      </c>
      <c r="I62" s="17">
        <f>F62*H62</f>
        <v/>
      </c>
      <c r="J62" s="16" t="n"/>
    </row>
    <row r="63">
      <c r="A63" s="16" t="inlineStr">
        <is>
          <t>WHK-2835</t>
        </is>
      </c>
      <c r="B63" s="95" t="n">
        <v>45971</v>
      </c>
      <c r="C63" s="16" t="inlineStr">
        <is>
          <t>RN-INV#43</t>
        </is>
      </c>
      <c r="D63" s="16" t="inlineStr">
        <is>
          <t>RN-OD604</t>
        </is>
      </c>
      <c r="E63" s="16" t="inlineStr">
        <is>
          <t>زهور اقحوان افريقى مركن12 سم</t>
        </is>
      </c>
      <c r="F63" s="41" t="n">
        <v>500</v>
      </c>
      <c r="G63" s="16" t="inlineStr">
        <is>
          <t>EA</t>
        </is>
      </c>
      <c r="H63" s="17" t="n">
        <v>3.25</v>
      </c>
      <c r="I63" s="17">
        <f>F63*H63</f>
        <v/>
      </c>
      <c r="J63" s="16" t="n"/>
    </row>
    <row r="64">
      <c r="A64" s="9" t="inlineStr">
        <is>
          <t>إجمالي العقد WHK-2835</t>
        </is>
      </c>
      <c r="B64" s="101" t="n"/>
      <c r="C64" s="9" t="n"/>
      <c r="D64" s="9" t="n"/>
      <c r="E64" s="9" t="n"/>
      <c r="F64" s="40" t="n"/>
      <c r="G64" s="9" t="n"/>
      <c r="H64" s="10" t="n"/>
      <c r="I64" s="10">
        <f>SUM(I58:I63)</f>
        <v/>
      </c>
      <c r="J64" s="9" t="n"/>
    </row>
    <row r="65">
      <c r="A65" s="16" t="inlineStr">
        <is>
          <t>WHK-2853</t>
        </is>
      </c>
      <c r="B65" s="95" t="n">
        <v>45972</v>
      </c>
      <c r="C65" s="16" t="inlineStr">
        <is>
          <t>RN-INV#46</t>
        </is>
      </c>
      <c r="D65" s="16" t="inlineStr">
        <is>
          <t>RN-OD560</t>
        </is>
      </c>
      <c r="E65" s="16" t="inlineStr">
        <is>
          <t>زهور بيتونيا</t>
        </is>
      </c>
      <c r="F65" s="41" t="n">
        <v>10000</v>
      </c>
      <c r="G65" s="16" t="inlineStr">
        <is>
          <t>EA</t>
        </is>
      </c>
      <c r="H65" s="17" t="n">
        <v>0.75</v>
      </c>
      <c r="I65" s="17">
        <f>F65*H65</f>
        <v/>
      </c>
      <c r="J65" s="16" t="n"/>
    </row>
    <row r="66">
      <c r="A66" s="9" t="inlineStr">
        <is>
          <t>إجمالي العقد WHK-2853</t>
        </is>
      </c>
      <c r="B66" s="101" t="n"/>
      <c r="C66" s="9" t="n"/>
      <c r="D66" s="9" t="n"/>
      <c r="E66" s="9" t="n"/>
      <c r="F66" s="40" t="n"/>
      <c r="G66" s="9" t="n"/>
      <c r="H66" s="10" t="n"/>
      <c r="I66" s="10">
        <f>SUM(I65:I65)</f>
        <v/>
      </c>
      <c r="J66" s="9" t="n"/>
    </row>
    <row r="67">
      <c r="A67" s="16" t="inlineStr">
        <is>
          <t>WHK-2868</t>
        </is>
      </c>
      <c r="B67" s="95" t="n">
        <v>45973</v>
      </c>
      <c r="C67" s="16" t="inlineStr">
        <is>
          <t>RN-INV#47</t>
        </is>
      </c>
      <c r="D67" s="16" t="inlineStr">
        <is>
          <t>RN-OD560</t>
        </is>
      </c>
      <c r="E67" s="16" t="inlineStr">
        <is>
          <t>زهور بيتونيا</t>
        </is>
      </c>
      <c r="F67" s="41" t="n">
        <v>2000</v>
      </c>
      <c r="G67" s="16" t="inlineStr">
        <is>
          <t>EA</t>
        </is>
      </c>
      <c r="H67" s="17" t="n">
        <v>0.75</v>
      </c>
      <c r="I67" s="17">
        <f>F67*H67</f>
        <v/>
      </c>
      <c r="J67" s="16" t="n"/>
    </row>
    <row r="68">
      <c r="A68" s="9" t="inlineStr">
        <is>
          <t>إجمالي العقد WHK-2868</t>
        </is>
      </c>
      <c r="B68" s="101" t="n"/>
      <c r="C68" s="9" t="n"/>
      <c r="D68" s="9" t="n"/>
      <c r="E68" s="9" t="n"/>
      <c r="F68" s="40" t="n"/>
      <c r="G68" s="9" t="n"/>
      <c r="H68" s="10" t="n"/>
      <c r="I68" s="10">
        <f>SUM(I67:I67)</f>
        <v/>
      </c>
      <c r="J68" s="9" t="n"/>
    </row>
    <row r="69">
      <c r="A69" s="16" t="inlineStr">
        <is>
          <t>WHK-2881</t>
        </is>
      </c>
      <c r="B69" s="95" t="n">
        <v>45974</v>
      </c>
      <c r="C69" s="16" t="inlineStr">
        <is>
          <t>RN-INV#49</t>
        </is>
      </c>
      <c r="D69" s="16" t="inlineStr">
        <is>
          <t>RN-OD693</t>
        </is>
      </c>
      <c r="E69" s="16" t="inlineStr">
        <is>
          <t>زهور جيرانيوم هولندى مركن12 سم</t>
        </is>
      </c>
      <c r="F69" s="41" t="n">
        <v>510</v>
      </c>
      <c r="G69" s="16" t="inlineStr">
        <is>
          <t>EA</t>
        </is>
      </c>
      <c r="H69" s="17" t="n">
        <v>3.45</v>
      </c>
      <c r="I69" s="17">
        <f>F69*H69</f>
        <v/>
      </c>
      <c r="J69" s="16" t="n"/>
    </row>
    <row r="70">
      <c r="A70" s="9" t="inlineStr">
        <is>
          <t>إجمالي العقد WHK-2881</t>
        </is>
      </c>
      <c r="B70" s="101" t="n"/>
      <c r="C70" s="9" t="n"/>
      <c r="D70" s="9" t="n"/>
      <c r="E70" s="9" t="n"/>
      <c r="F70" s="40" t="n"/>
      <c r="G70" s="9" t="n"/>
      <c r="H70" s="10" t="n"/>
      <c r="I70" s="10">
        <f>SUM(I69:I69)</f>
        <v/>
      </c>
      <c r="J70" s="9" t="n"/>
    </row>
    <row r="71">
      <c r="A71" s="16" t="inlineStr">
        <is>
          <t>WHK-2912</t>
        </is>
      </c>
      <c r="B71" s="95" t="n">
        <v>45978</v>
      </c>
      <c r="C71" s="16" t="inlineStr">
        <is>
          <t>RN-INV#52</t>
        </is>
      </c>
      <c r="D71" s="16" t="inlineStr">
        <is>
          <t>RN-OD560</t>
        </is>
      </c>
      <c r="E71" s="16" t="inlineStr">
        <is>
          <t>زهور بيتونيا</t>
        </is>
      </c>
      <c r="F71" s="41" t="n">
        <v>2600</v>
      </c>
      <c r="G71" s="16" t="inlineStr">
        <is>
          <t>EA</t>
        </is>
      </c>
      <c r="H71" s="17" t="n">
        <v>0.75</v>
      </c>
      <c r="I71" s="17">
        <f>F71*H71</f>
        <v/>
      </c>
      <c r="J71" s="16" t="n"/>
    </row>
    <row r="72">
      <c r="A72" s="16" t="inlineStr">
        <is>
          <t>WHK-2912</t>
        </is>
      </c>
      <c r="B72" s="95" t="n">
        <v>45978</v>
      </c>
      <c r="C72" s="16" t="inlineStr">
        <is>
          <t>RN-INV#52</t>
        </is>
      </c>
      <c r="D72" s="16" t="inlineStr">
        <is>
          <t>RN-OD603</t>
        </is>
      </c>
      <c r="E72" s="16" t="inlineStr">
        <is>
          <t>زهور جرانيوم مركن9 سم</t>
        </is>
      </c>
      <c r="F72" s="41" t="n">
        <v>500</v>
      </c>
      <c r="G72" s="16" t="inlineStr">
        <is>
          <t>EA</t>
        </is>
      </c>
      <c r="H72" s="17" t="n">
        <v>1.4</v>
      </c>
      <c r="I72" s="17">
        <f>F72*H72</f>
        <v/>
      </c>
      <c r="J72" s="16" t="n"/>
    </row>
    <row r="73">
      <c r="A73" s="9" t="inlineStr">
        <is>
          <t>إجمالي العقد WHK-2912</t>
        </is>
      </c>
      <c r="B73" s="101" t="n"/>
      <c r="C73" s="9" t="n"/>
      <c r="D73" s="9" t="n"/>
      <c r="E73" s="9" t="n"/>
      <c r="F73" s="40" t="n"/>
      <c r="G73" s="9" t="n"/>
      <c r="H73" s="10" t="n"/>
      <c r="I73" s="10">
        <f>SUM(I71:I72)</f>
        <v/>
      </c>
      <c r="J73" s="9" t="n"/>
    </row>
    <row r="74">
      <c r="A74" s="16" t="inlineStr">
        <is>
          <t>WHK-2948</t>
        </is>
      </c>
      <c r="B74" s="95" t="n">
        <v>45981</v>
      </c>
      <c r="C74" s="16" t="inlineStr">
        <is>
          <t>RN-INV#55</t>
        </is>
      </c>
      <c r="D74" s="16" t="inlineStr">
        <is>
          <t>RN-OD560</t>
        </is>
      </c>
      <c r="E74" s="16" t="inlineStr">
        <is>
          <t>زهور بيتونيا</t>
        </is>
      </c>
      <c r="F74" s="41" t="n">
        <v>1300</v>
      </c>
      <c r="G74" s="16" t="inlineStr">
        <is>
          <t>EA</t>
        </is>
      </c>
      <c r="H74" s="17" t="n">
        <v>0.75</v>
      </c>
      <c r="I74" s="17">
        <f>F74*H74</f>
        <v/>
      </c>
      <c r="J74" s="16" t="n"/>
    </row>
    <row r="75">
      <c r="A75" s="16" t="inlineStr">
        <is>
          <t>WHK-2948</t>
        </is>
      </c>
      <c r="B75" s="95" t="n">
        <v>45981</v>
      </c>
      <c r="C75" s="16" t="inlineStr">
        <is>
          <t>RN-INV#55</t>
        </is>
      </c>
      <c r="D75" s="16" t="inlineStr">
        <is>
          <t>RN-OD603</t>
        </is>
      </c>
      <c r="E75" s="16" t="inlineStr">
        <is>
          <t>زهور جرانيوم مركن9 سم</t>
        </is>
      </c>
      <c r="F75" s="41" t="n">
        <v>400</v>
      </c>
      <c r="G75" s="16" t="inlineStr">
        <is>
          <t>EA</t>
        </is>
      </c>
      <c r="H75" s="17" t="n">
        <v>1.4</v>
      </c>
      <c r="I75" s="17">
        <f>F75*H75</f>
        <v/>
      </c>
      <c r="J75" s="16" t="n"/>
    </row>
    <row r="76">
      <c r="A76" s="9" t="inlineStr">
        <is>
          <t>إجمالي العقد WHK-2948</t>
        </is>
      </c>
      <c r="B76" s="101" t="n"/>
      <c r="C76" s="9" t="n"/>
      <c r="D76" s="9" t="n"/>
      <c r="E76" s="9" t="n"/>
      <c r="F76" s="40" t="n"/>
      <c r="G76" s="9" t="n"/>
      <c r="H76" s="10" t="n"/>
      <c r="I76" s="10">
        <f>SUM(I74:I75)</f>
        <v/>
      </c>
      <c r="J76" s="9" t="n"/>
    </row>
    <row r="77">
      <c r="A77" s="16" t="inlineStr">
        <is>
          <t>WHK-2971</t>
        </is>
      </c>
      <c r="B77" s="95" t="n">
        <v>45984</v>
      </c>
      <c r="C77" s="16" t="inlineStr">
        <is>
          <t>RN-INV#61</t>
        </is>
      </c>
      <c r="D77" s="16" t="inlineStr">
        <is>
          <t>RN-OD560</t>
        </is>
      </c>
      <c r="E77" s="16" t="inlineStr">
        <is>
          <t>زهور بيتونيا</t>
        </is>
      </c>
      <c r="F77" s="41" t="n">
        <v>8700</v>
      </c>
      <c r="G77" s="16" t="inlineStr">
        <is>
          <t>EA</t>
        </is>
      </c>
      <c r="H77" s="17" t="n">
        <v>0.7</v>
      </c>
      <c r="I77" s="17">
        <f>F77*H77</f>
        <v/>
      </c>
      <c r="J77" s="16" t="n"/>
    </row>
    <row r="78">
      <c r="A78" s="9" t="inlineStr">
        <is>
          <t>إجمالي العقد WHK-2971</t>
        </is>
      </c>
      <c r="B78" s="101" t="n"/>
      <c r="C78" s="9" t="n"/>
      <c r="D78" s="9" t="n"/>
      <c r="E78" s="9" t="n"/>
      <c r="F78" s="40" t="n"/>
      <c r="G78" s="9" t="n"/>
      <c r="H78" s="10" t="n"/>
      <c r="I78" s="10">
        <f>SUM(I77:I77)</f>
        <v/>
      </c>
      <c r="J78" s="9" t="n"/>
    </row>
    <row r="79">
      <c r="A79" s="16" t="inlineStr">
        <is>
          <t>WHK-2995</t>
        </is>
      </c>
      <c r="B79" s="95" t="n">
        <v>45985</v>
      </c>
      <c r="C79" s="16" t="inlineStr">
        <is>
          <t>RN-INV#64</t>
        </is>
      </c>
      <c r="D79" s="16" t="inlineStr">
        <is>
          <t>RN-OD560</t>
        </is>
      </c>
      <c r="E79" s="16" t="inlineStr">
        <is>
          <t>زهور بيتونيا</t>
        </is>
      </c>
      <c r="F79" s="41" t="n">
        <v>6000</v>
      </c>
      <c r="G79" s="16" t="inlineStr">
        <is>
          <t>EA</t>
        </is>
      </c>
      <c r="H79" s="17" t="n">
        <v>0.7</v>
      </c>
      <c r="I79" s="17">
        <f>F79*H79</f>
        <v/>
      </c>
      <c r="J79" s="16" t="n"/>
    </row>
    <row r="80">
      <c r="A80" s="9" t="inlineStr">
        <is>
          <t>إجمالي العقد WHK-2995</t>
        </is>
      </c>
      <c r="B80" s="101" t="n"/>
      <c r="C80" s="9" t="n"/>
      <c r="D80" s="9" t="n"/>
      <c r="E80" s="9" t="n"/>
      <c r="F80" s="40" t="n"/>
      <c r="G80" s="9" t="n"/>
      <c r="H80" s="10" t="n"/>
      <c r="I80" s="10">
        <f>SUM(I79:I79)</f>
        <v/>
      </c>
      <c r="J80" s="9" t="n"/>
    </row>
    <row r="81">
      <c r="A81" s="16" t="inlineStr">
        <is>
          <t>WHK-3029</t>
        </is>
      </c>
      <c r="B81" s="95" t="n">
        <v>45988</v>
      </c>
      <c r="C81" s="16" t="inlineStr">
        <is>
          <t>RN-INV#68</t>
        </is>
      </c>
      <c r="D81" s="16" t="inlineStr">
        <is>
          <t>RN-OD561</t>
        </is>
      </c>
      <c r="E81" s="16" t="inlineStr">
        <is>
          <t>زهور مارى جولد</t>
        </is>
      </c>
      <c r="F81" s="41" t="n">
        <v>225</v>
      </c>
      <c r="G81" s="16" t="inlineStr">
        <is>
          <t>EA</t>
        </is>
      </c>
      <c r="H81" s="17" t="n">
        <v>0.7</v>
      </c>
      <c r="I81" s="17">
        <f>F81*H81</f>
        <v/>
      </c>
      <c r="J81" s="16" t="n"/>
    </row>
    <row r="82">
      <c r="A82" s="9" t="inlineStr">
        <is>
          <t>إجمالي العقد WHK-3029</t>
        </is>
      </c>
      <c r="B82" s="101" t="n"/>
      <c r="C82" s="9" t="n"/>
      <c r="D82" s="9" t="n"/>
      <c r="E82" s="9" t="n"/>
      <c r="F82" s="40" t="n"/>
      <c r="G82" s="9" t="n"/>
      <c r="H82" s="10" t="n"/>
      <c r="I82" s="10">
        <f>SUM(I81:I81)</f>
        <v/>
      </c>
      <c r="J82" s="9" t="n"/>
    </row>
    <row r="83">
      <c r="A83" s="16" t="inlineStr">
        <is>
          <t>WHK-3135</t>
        </is>
      </c>
      <c r="B83" s="95" t="n">
        <v>45996</v>
      </c>
      <c r="C83" s="16" t="inlineStr">
        <is>
          <t>RN-INV#78</t>
        </is>
      </c>
      <c r="D83" s="16" t="inlineStr">
        <is>
          <t>RN-OD560</t>
        </is>
      </c>
      <c r="E83" s="16" t="inlineStr">
        <is>
          <t>زهور بيتونيا</t>
        </is>
      </c>
      <c r="F83" s="41" t="n">
        <v>2400</v>
      </c>
      <c r="G83" s="16" t="inlineStr">
        <is>
          <t>EA</t>
        </is>
      </c>
      <c r="H83" s="17" t="n">
        <v>0.7</v>
      </c>
      <c r="I83" s="17">
        <f>F83*H83</f>
        <v/>
      </c>
      <c r="J83" s="16" t="n"/>
    </row>
    <row r="84">
      <c r="A84" s="9" t="inlineStr">
        <is>
          <t>إجمالي العقد WHK-3135</t>
        </is>
      </c>
      <c r="B84" s="101" t="n"/>
      <c r="C84" s="9" t="n"/>
      <c r="D84" s="9" t="n"/>
      <c r="E84" s="9" t="n"/>
      <c r="F84" s="40" t="n"/>
      <c r="G84" s="9" t="n"/>
      <c r="H84" s="10" t="n"/>
      <c r="I84" s="10">
        <f>SUM(I83:I83)</f>
        <v/>
      </c>
      <c r="J84" s="9" t="n"/>
    </row>
    <row r="85">
      <c r="A85" s="16" t="inlineStr">
        <is>
          <t>WHK-3243</t>
        </is>
      </c>
      <c r="B85" s="95" t="n">
        <v>46006</v>
      </c>
      <c r="C85" s="16" t="inlineStr">
        <is>
          <t>RN-INV#89</t>
        </is>
      </c>
      <c r="D85" s="16" t="inlineStr">
        <is>
          <t>RN-OD603</t>
        </is>
      </c>
      <c r="E85" s="16" t="inlineStr">
        <is>
          <t>زهور جرانيوم مركن9 سم</t>
        </is>
      </c>
      <c r="F85" s="41" t="n">
        <v>1500</v>
      </c>
      <c r="G85" s="16" t="inlineStr">
        <is>
          <t>EA</t>
        </is>
      </c>
      <c r="H85" s="17" t="n">
        <v>1.25</v>
      </c>
      <c r="I85" s="17">
        <f>F85*H85</f>
        <v/>
      </c>
      <c r="J85" s="16" t="n"/>
    </row>
    <row r="86">
      <c r="A86" s="9" t="inlineStr">
        <is>
          <t>إجمالي العقد WHK-3243</t>
        </is>
      </c>
      <c r="B86" s="101" t="n"/>
      <c r="C86" s="9" t="n"/>
      <c r="D86" s="9" t="n"/>
      <c r="E86" s="9" t="n"/>
      <c r="F86" s="40" t="n"/>
      <c r="G86" s="9" t="n"/>
      <c r="H86" s="10" t="n"/>
      <c r="I86" s="10">
        <f>SUM(I85:I85)</f>
        <v/>
      </c>
      <c r="J86" s="9" t="n"/>
    </row>
    <row r="87">
      <c r="A87" s="16" t="inlineStr">
        <is>
          <t>WHK-3400</t>
        </is>
      </c>
      <c r="B87" s="95" t="n">
        <v>46021</v>
      </c>
      <c r="C87" s="16" t="inlineStr">
        <is>
          <t>RN-INV#103</t>
        </is>
      </c>
      <c r="D87" s="16" t="inlineStr">
        <is>
          <t>RN-HP-S-WT</t>
        </is>
      </c>
      <c r="E87" s="16" t="inlineStr">
        <is>
          <t>حجر ديكوري أبيض لامع 1:3 سم (10 كجم)</t>
        </is>
      </c>
      <c r="F87" s="41" t="n">
        <v>5</v>
      </c>
      <c r="G87" s="16" t="inlineStr">
        <is>
          <t>EA</t>
        </is>
      </c>
      <c r="H87" s="17" t="n">
        <v>25</v>
      </c>
      <c r="I87" s="17">
        <f>F87*H87</f>
        <v/>
      </c>
      <c r="J87" s="16" t="n"/>
    </row>
    <row r="88">
      <c r="A88" s="16" t="inlineStr">
        <is>
          <t>WHK-3400</t>
        </is>
      </c>
      <c r="B88" s="95" t="n">
        <v>46021</v>
      </c>
      <c r="C88" s="16" t="inlineStr">
        <is>
          <t>RN-INV#103</t>
        </is>
      </c>
      <c r="D88" s="16" t="inlineStr">
        <is>
          <t>RN-HP-S-RD</t>
        </is>
      </c>
      <c r="E88" s="16" t="inlineStr">
        <is>
          <t>حجر ديكوري أحمر لامع 1:3 سم (10 كجم)</t>
        </is>
      </c>
      <c r="F88" s="41" t="n">
        <v>5</v>
      </c>
      <c r="G88" s="16" t="inlineStr">
        <is>
          <t>EA</t>
        </is>
      </c>
      <c r="H88" s="17" t="n">
        <v>25</v>
      </c>
      <c r="I88" s="17">
        <f>F88*H88</f>
        <v/>
      </c>
      <c r="J88" s="16" t="n"/>
    </row>
    <row r="89">
      <c r="A89" s="16" t="inlineStr">
        <is>
          <t>WHK-3400</t>
        </is>
      </c>
      <c r="B89" s="95" t="n">
        <v>46021</v>
      </c>
      <c r="C89" s="16" t="inlineStr">
        <is>
          <t>RN-INV#103</t>
        </is>
      </c>
      <c r="D89" s="16" t="inlineStr">
        <is>
          <t>RN-NP-B-WT</t>
        </is>
      </c>
      <c r="E89" s="16" t="inlineStr">
        <is>
          <t>حجر ديكوري أبيض مطفي 3:5 سم (10 كجم)</t>
        </is>
      </c>
      <c r="F89" s="41" t="n">
        <v>5</v>
      </c>
      <c r="G89" s="16" t="inlineStr">
        <is>
          <t>EA</t>
        </is>
      </c>
      <c r="H89" s="17" t="n">
        <v>13</v>
      </c>
      <c r="I89" s="17">
        <f>F89*H89</f>
        <v/>
      </c>
      <c r="J89" s="16" t="n"/>
    </row>
    <row r="90">
      <c r="A90" s="16" t="inlineStr">
        <is>
          <t>WHK-3400</t>
        </is>
      </c>
      <c r="B90" s="95" t="n">
        <v>46021</v>
      </c>
      <c r="C90" s="16" t="inlineStr">
        <is>
          <t>RN-INV#103</t>
        </is>
      </c>
      <c r="D90" s="16" t="inlineStr">
        <is>
          <t>RN-HP-S-BK</t>
        </is>
      </c>
      <c r="E90" s="16" t="inlineStr">
        <is>
          <t>حجر ديكوري أسود لامع 1:3 سم (10 كجم)</t>
        </is>
      </c>
      <c r="F90" s="41" t="n">
        <v>5</v>
      </c>
      <c r="G90" s="16" t="inlineStr">
        <is>
          <t>EA</t>
        </is>
      </c>
      <c r="H90" s="17" t="n">
        <v>25</v>
      </c>
      <c r="I90" s="17">
        <f>F90*H90</f>
        <v/>
      </c>
      <c r="J90" s="16" t="n"/>
    </row>
    <row r="91">
      <c r="A91" s="16" t="inlineStr">
        <is>
          <t>WHK-3400</t>
        </is>
      </c>
      <c r="B91" s="95" t="n">
        <v>46021</v>
      </c>
      <c r="C91" s="16" t="inlineStr">
        <is>
          <t>RN-INV#103</t>
        </is>
      </c>
      <c r="D91" s="16" t="inlineStr">
        <is>
          <t>RN-NP-S-YW</t>
        </is>
      </c>
      <c r="E91" s="16" t="inlineStr">
        <is>
          <t>حجر ديكوري أصفر مطفي 1:3 سم (10 كجم)</t>
        </is>
      </c>
      <c r="F91" s="41" t="n">
        <v>5</v>
      </c>
      <c r="G91" s="16" t="inlineStr">
        <is>
          <t>EA</t>
        </is>
      </c>
      <c r="H91" s="17" t="n">
        <v>13</v>
      </c>
      <c r="I91" s="17">
        <f>F91*H91</f>
        <v/>
      </c>
      <c r="J91" s="16" t="n"/>
    </row>
    <row r="92">
      <c r="A92" s="9" t="inlineStr">
        <is>
          <t>إجمالي العقد WHK-3400</t>
        </is>
      </c>
      <c r="B92" s="101" t="n"/>
      <c r="C92" s="9" t="n"/>
      <c r="D92" s="9" t="n"/>
      <c r="E92" s="9" t="n"/>
      <c r="F92" s="40" t="n"/>
      <c r="G92" s="9" t="n"/>
      <c r="H92" s="10" t="n"/>
      <c r="I92" s="10">
        <f>SUM(I87:I91)</f>
        <v/>
      </c>
      <c r="J92" s="9" t="inlineStr">
        <is>
          <t>فاتورة مبدئية 103 ومسجلة بكشف الحساب – سقطت من شيت المحاسب</t>
        </is>
      </c>
    </row>
    <row r="93">
      <c r="A93" s="16" t="inlineStr">
        <is>
          <t>WHK-3758</t>
        </is>
      </c>
      <c r="B93" s="95" t="n">
        <v>46058</v>
      </c>
      <c r="C93" s="16" t="inlineStr">
        <is>
          <t>RN-INV#140</t>
        </is>
      </c>
      <c r="D93" s="16" t="inlineStr">
        <is>
          <t>RN-OD560</t>
        </is>
      </c>
      <c r="E93" s="16" t="inlineStr">
        <is>
          <t>زهور بيتونيا</t>
        </is>
      </c>
      <c r="F93" s="41" t="n">
        <v>35600</v>
      </c>
      <c r="G93" s="16" t="inlineStr">
        <is>
          <t>EA</t>
        </is>
      </c>
      <c r="H93" s="17" t="n">
        <v>0.5</v>
      </c>
      <c r="I93" s="17">
        <f>F93*H93</f>
        <v/>
      </c>
      <c r="J93" s="16" t="n"/>
    </row>
    <row r="94">
      <c r="A94" s="16" t="inlineStr">
        <is>
          <t>WHK-3758</t>
        </is>
      </c>
      <c r="B94" s="95" t="n">
        <v>46058</v>
      </c>
      <c r="C94" s="16" t="inlineStr">
        <is>
          <t>RN-INV#140</t>
        </is>
      </c>
      <c r="D94" s="16" t="inlineStr">
        <is>
          <t>RN-OD637</t>
        </is>
      </c>
      <c r="E94" s="16" t="inlineStr">
        <is>
          <t>زهور سالفيا مركن9 سم</t>
        </is>
      </c>
      <c r="F94" s="41" t="n">
        <v>3000</v>
      </c>
      <c r="G94" s="16" t="inlineStr">
        <is>
          <t>EA</t>
        </is>
      </c>
      <c r="H94" s="17" t="n">
        <v>0.5</v>
      </c>
      <c r="I94" s="17">
        <f>F94*H94</f>
        <v/>
      </c>
      <c r="J94" s="16" t="n"/>
    </row>
    <row r="95">
      <c r="A95" s="16" t="inlineStr">
        <is>
          <t>WHK-3758</t>
        </is>
      </c>
      <c r="B95" s="95" t="n">
        <v>46058</v>
      </c>
      <c r="C95" s="16" t="inlineStr">
        <is>
          <t>RN-INV#140</t>
        </is>
      </c>
      <c r="D95" s="16" t="inlineStr">
        <is>
          <t>RN-OD641</t>
        </is>
      </c>
      <c r="E95" s="16" t="inlineStr">
        <is>
          <t>زهور قرنفل صيني مركن9 سم</t>
        </is>
      </c>
      <c r="F95" s="41" t="n">
        <v>2000</v>
      </c>
      <c r="G95" s="16" t="inlineStr">
        <is>
          <t>EA</t>
        </is>
      </c>
      <c r="H95" s="17" t="n">
        <v>0.5</v>
      </c>
      <c r="I95" s="17">
        <f>F95*H95</f>
        <v/>
      </c>
      <c r="J95" s="16" t="n"/>
    </row>
    <row r="96">
      <c r="A96" s="9" t="inlineStr">
        <is>
          <t>إجمالي العقد WHK-3758</t>
        </is>
      </c>
      <c r="B96" s="101" t="n"/>
      <c r="C96" s="9" t="n"/>
      <c r="D96" s="9" t="n"/>
      <c r="E96" s="9" t="n"/>
      <c r="F96" s="40" t="n"/>
      <c r="G96" s="9" t="n"/>
      <c r="H96" s="10" t="n"/>
      <c r="I96" s="10">
        <f>SUM(I93:I95)</f>
        <v/>
      </c>
      <c r="J96" s="9" t="n"/>
    </row>
    <row r="97">
      <c r="A97" s="16" t="inlineStr">
        <is>
          <t>WHK-3760</t>
        </is>
      </c>
      <c r="B97" s="95" t="n">
        <v>46058</v>
      </c>
      <c r="C97" s="16" t="inlineStr">
        <is>
          <t>RN-INV#141</t>
        </is>
      </c>
      <c r="D97" s="16" t="inlineStr">
        <is>
          <t>RN-OD560</t>
        </is>
      </c>
      <c r="E97" s="16" t="inlineStr">
        <is>
          <t>زهور بيتونيا</t>
        </is>
      </c>
      <c r="F97" s="41" t="n">
        <v>55450</v>
      </c>
      <c r="G97" s="16" t="inlineStr">
        <is>
          <t>EA</t>
        </is>
      </c>
      <c r="H97" s="17" t="n">
        <v>0.5</v>
      </c>
      <c r="I97" s="17">
        <f>F97*H97</f>
        <v/>
      </c>
      <c r="J97" s="16" t="n"/>
    </row>
    <row r="98">
      <c r="A98" s="16" t="inlineStr">
        <is>
          <t>WHK-3760</t>
        </is>
      </c>
      <c r="B98" s="95" t="n">
        <v>46058</v>
      </c>
      <c r="C98" s="16" t="inlineStr">
        <is>
          <t>RN-INV#141</t>
        </is>
      </c>
      <c r="D98" s="16" t="inlineStr">
        <is>
          <t>RN-OD637</t>
        </is>
      </c>
      <c r="E98" s="16" t="inlineStr">
        <is>
          <t>زهور سالفيا مركن9 سم</t>
        </is>
      </c>
      <c r="F98" s="41" t="n">
        <v>300</v>
      </c>
      <c r="G98" s="16" t="inlineStr">
        <is>
          <t>EA</t>
        </is>
      </c>
      <c r="H98" s="17" t="n">
        <v>0.5</v>
      </c>
      <c r="I98" s="17">
        <f>F98*H98</f>
        <v/>
      </c>
      <c r="J98" s="16" t="n"/>
    </row>
    <row r="99">
      <c r="A99" s="16" t="inlineStr">
        <is>
          <t>WHK-3760</t>
        </is>
      </c>
      <c r="B99" s="95" t="n">
        <v>46058</v>
      </c>
      <c r="C99" s="16" t="inlineStr">
        <is>
          <t>RN-INV#141</t>
        </is>
      </c>
      <c r="D99" s="16" t="inlineStr">
        <is>
          <t>RN-OD642</t>
        </is>
      </c>
      <c r="E99" s="16" t="inlineStr">
        <is>
          <t>زهور اليسوم مركن9 سم</t>
        </is>
      </c>
      <c r="F99" s="41" t="n">
        <v>200</v>
      </c>
      <c r="G99" s="16" t="inlineStr">
        <is>
          <t>EA</t>
        </is>
      </c>
      <c r="H99" s="17" t="n">
        <v>0.5</v>
      </c>
      <c r="I99" s="17">
        <f>F99*H99</f>
        <v/>
      </c>
      <c r="J99" s="16" t="n"/>
    </row>
    <row r="100">
      <c r="A100" s="16" t="inlineStr">
        <is>
          <t>WHK-3760</t>
        </is>
      </c>
      <c r="B100" s="95" t="n">
        <v>46058</v>
      </c>
      <c r="C100" s="16" t="inlineStr">
        <is>
          <t>RN-INV#141</t>
        </is>
      </c>
      <c r="D100" s="16" t="inlineStr">
        <is>
          <t>RN-OD641</t>
        </is>
      </c>
      <c r="E100" s="16" t="inlineStr">
        <is>
          <t>زهور قرنفل صيني مركن9 سم</t>
        </is>
      </c>
      <c r="F100" s="41" t="n">
        <v>300</v>
      </c>
      <c r="G100" s="16" t="inlineStr">
        <is>
          <t>EA</t>
        </is>
      </c>
      <c r="H100" s="17" t="n">
        <v>0.5</v>
      </c>
      <c r="I100" s="17">
        <f>F100*H100</f>
        <v/>
      </c>
      <c r="J100" s="16" t="n"/>
    </row>
    <row r="101">
      <c r="A101" s="16" t="inlineStr">
        <is>
          <t>WHK-3760</t>
        </is>
      </c>
      <c r="B101" s="95" t="n">
        <v>46058</v>
      </c>
      <c r="C101" s="16" t="inlineStr">
        <is>
          <t>RN-INV#141</t>
        </is>
      </c>
      <c r="D101" s="16" t="inlineStr">
        <is>
          <t>RN-OD634</t>
        </is>
      </c>
      <c r="E101" s="16" t="inlineStr">
        <is>
          <t>زهور ملفوف براسيكا مركن9 سم</t>
        </is>
      </c>
      <c r="F101" s="41" t="n">
        <v>50</v>
      </c>
      <c r="G101" s="16" t="inlineStr">
        <is>
          <t>EA</t>
        </is>
      </c>
      <c r="H101" s="17" t="n">
        <v>0.5</v>
      </c>
      <c r="I101" s="17">
        <f>F101*H101</f>
        <v/>
      </c>
      <c r="J101" s="16" t="n"/>
    </row>
    <row r="102">
      <c r="A102" s="16" t="inlineStr">
        <is>
          <t>WHK-3760</t>
        </is>
      </c>
      <c r="B102" s="95" t="n">
        <v>46058</v>
      </c>
      <c r="C102" s="16" t="inlineStr">
        <is>
          <t>RN-INV#141</t>
        </is>
      </c>
      <c r="D102" s="16" t="inlineStr">
        <is>
          <t>RN-OD643</t>
        </is>
      </c>
      <c r="E102" s="16" t="inlineStr">
        <is>
          <t>زهور سينيراريا مركن12 سم</t>
        </is>
      </c>
      <c r="F102" s="41" t="n">
        <v>300</v>
      </c>
      <c r="G102" s="16" t="inlineStr">
        <is>
          <t>EA</t>
        </is>
      </c>
      <c r="H102" s="17" t="n">
        <v>5</v>
      </c>
      <c r="I102" s="17">
        <f>F102*H102</f>
        <v/>
      </c>
      <c r="J102" s="16" t="n"/>
    </row>
    <row r="103">
      <c r="A103" s="16" t="inlineStr">
        <is>
          <t>WHK-3760</t>
        </is>
      </c>
      <c r="B103" s="95" t="n">
        <v>46058</v>
      </c>
      <c r="C103" s="16" t="inlineStr">
        <is>
          <t>RN-INV#141</t>
        </is>
      </c>
      <c r="D103" s="16" t="inlineStr">
        <is>
          <t>RN-OD696</t>
        </is>
      </c>
      <c r="E103" s="16" t="inlineStr">
        <is>
          <t>زهور اقحوان افريقي مركن9 سم</t>
        </is>
      </c>
      <c r="F103" s="41" t="n">
        <v>100</v>
      </c>
      <c r="G103" s="16" t="inlineStr">
        <is>
          <t>EA</t>
        </is>
      </c>
      <c r="H103" s="17" t="n">
        <v>2</v>
      </c>
      <c r="I103" s="17">
        <f>F103*H103</f>
        <v/>
      </c>
      <c r="J103" s="16" t="n"/>
    </row>
    <row r="104">
      <c r="A104" s="16" t="inlineStr">
        <is>
          <t>WHK-3760</t>
        </is>
      </c>
      <c r="B104" s="95" t="n">
        <v>46058</v>
      </c>
      <c r="C104" s="16" t="inlineStr">
        <is>
          <t>RN-INV#141</t>
        </is>
      </c>
      <c r="D104" s="16" t="inlineStr">
        <is>
          <t>RN-OD694</t>
        </is>
      </c>
      <c r="E104" s="16" t="inlineStr">
        <is>
          <t>كالنشو هولندى مركن12 سم</t>
        </is>
      </c>
      <c r="F104" s="41" t="n">
        <v>200</v>
      </c>
      <c r="G104" s="16" t="inlineStr">
        <is>
          <t>EA</t>
        </is>
      </c>
      <c r="H104" s="17" t="n">
        <v>5</v>
      </c>
      <c r="I104" s="17">
        <f>F104*H104</f>
        <v/>
      </c>
      <c r="J104" s="16" t="n"/>
    </row>
    <row r="105">
      <c r="A105" s="9" t="inlineStr">
        <is>
          <t>إجمالي العقد WHK-3760</t>
        </is>
      </c>
      <c r="B105" s="101" t="n"/>
      <c r="C105" s="9" t="n"/>
      <c r="D105" s="9" t="n"/>
      <c r="E105" s="9" t="n"/>
      <c r="F105" s="40" t="n"/>
      <c r="G105" s="9" t="n"/>
      <c r="H105" s="10" t="n"/>
      <c r="I105" s="10">
        <f>SUM(I97:I104)</f>
        <v/>
      </c>
      <c r="J105" s="9" t="n"/>
    </row>
    <row r="106">
      <c r="A106" s="16" t="inlineStr">
        <is>
          <t>WHK-3809</t>
        </is>
      </c>
      <c r="B106" s="95" t="n">
        <v>46064</v>
      </c>
      <c r="C106" s="16" t="inlineStr">
        <is>
          <t>RN-INV#149</t>
        </is>
      </c>
      <c r="D106" s="16" t="inlineStr">
        <is>
          <t>RN-OD603</t>
        </is>
      </c>
      <c r="E106" s="16" t="inlineStr">
        <is>
          <t>زهور جرانيوم مركن9 سم</t>
        </is>
      </c>
      <c r="F106" s="41" t="n">
        <v>2500</v>
      </c>
      <c r="G106" s="16" t="inlineStr">
        <is>
          <t>EA</t>
        </is>
      </c>
      <c r="H106" s="17" t="n">
        <v>1.25</v>
      </c>
      <c r="I106" s="17">
        <f>F106*H106</f>
        <v/>
      </c>
      <c r="J106" s="16" t="n"/>
    </row>
    <row r="107">
      <c r="A107" s="9" t="inlineStr">
        <is>
          <t>إجمالي العقد WHK-3809</t>
        </is>
      </c>
      <c r="B107" s="101" t="n"/>
      <c r="C107" s="9" t="n"/>
      <c r="D107" s="9" t="n"/>
      <c r="E107" s="9" t="n"/>
      <c r="F107" s="40" t="n"/>
      <c r="G107" s="9" t="n"/>
      <c r="H107" s="10" t="n"/>
      <c r="I107" s="10">
        <f>SUM(I106:I106)</f>
        <v/>
      </c>
      <c r="J107" s="9" t="n"/>
    </row>
    <row r="108">
      <c r="A108" s="16" t="inlineStr">
        <is>
          <t>WHK-3878</t>
        </is>
      </c>
      <c r="B108" s="95" t="n">
        <v>46072</v>
      </c>
      <c r="C108" s="16" t="inlineStr">
        <is>
          <t>RN-INV#160</t>
        </is>
      </c>
      <c r="D108" s="16" t="inlineStr">
        <is>
          <t>RN-OD560</t>
        </is>
      </c>
      <c r="E108" s="16" t="inlineStr">
        <is>
          <t>زهور بيتونيا</t>
        </is>
      </c>
      <c r="F108" s="41" t="n">
        <v>4025</v>
      </c>
      <c r="G108" s="16" t="inlineStr">
        <is>
          <t>EA</t>
        </is>
      </c>
      <c r="H108" s="17" t="n">
        <v>0.5</v>
      </c>
      <c r="I108" s="17">
        <f>F108*H108</f>
        <v/>
      </c>
      <c r="J108" s="16" t="n"/>
    </row>
    <row r="109">
      <c r="A109" s="9" t="inlineStr">
        <is>
          <t>إجمالي العقد WHK-3878</t>
        </is>
      </c>
      <c r="B109" s="101" t="n"/>
      <c r="C109" s="9" t="n"/>
      <c r="D109" s="9" t="n"/>
      <c r="E109" s="9" t="n"/>
      <c r="F109" s="40" t="n"/>
      <c r="G109" s="9" t="n"/>
      <c r="H109" s="10" t="n"/>
      <c r="I109" s="10">
        <f>SUM(I108:I108)</f>
        <v/>
      </c>
      <c r="J109" s="9" t="n"/>
    </row>
    <row r="110">
      <c r="A110" s="16" t="inlineStr">
        <is>
          <t>WHK-3923</t>
        </is>
      </c>
      <c r="B110" s="95" t="n">
        <v>46084</v>
      </c>
      <c r="C110" s="16" t="inlineStr">
        <is>
          <t>RN-INV#166</t>
        </is>
      </c>
      <c r="D110" s="16" t="inlineStr">
        <is>
          <t>RN-OD696</t>
        </is>
      </c>
      <c r="E110" s="16" t="inlineStr">
        <is>
          <t>زهور اقحوان افريقي مركن9 سم</t>
        </is>
      </c>
      <c r="F110" s="41" t="n">
        <v>2075</v>
      </c>
      <c r="G110" s="16" t="inlineStr">
        <is>
          <t>EA</t>
        </is>
      </c>
      <c r="H110" s="17" t="n">
        <v>1.5</v>
      </c>
      <c r="I110" s="17">
        <f>F110*H110</f>
        <v/>
      </c>
      <c r="J110" s="16" t="n"/>
    </row>
    <row r="111">
      <c r="A111" s="16" t="inlineStr">
        <is>
          <t>WHK-3923</t>
        </is>
      </c>
      <c r="B111" s="95" t="n">
        <v>46084</v>
      </c>
      <c r="C111" s="16" t="inlineStr">
        <is>
          <t>RN-INV#166</t>
        </is>
      </c>
      <c r="D111" s="16" t="inlineStr">
        <is>
          <t>RN-OD603</t>
        </is>
      </c>
      <c r="E111" s="16" t="inlineStr">
        <is>
          <t>زهور جرانيوم مركن9 سم</t>
        </is>
      </c>
      <c r="F111" s="41" t="n">
        <v>3000</v>
      </c>
      <c r="G111" s="16" t="inlineStr">
        <is>
          <t>EA</t>
        </is>
      </c>
      <c r="H111" s="17" t="n">
        <v>1.25</v>
      </c>
      <c r="I111" s="17">
        <f>F111*H111</f>
        <v/>
      </c>
      <c r="J111" s="16" t="n"/>
    </row>
    <row r="112">
      <c r="A112" s="9" t="inlineStr">
        <is>
          <t>إجمالي العقد WHK-3923</t>
        </is>
      </c>
      <c r="B112" s="101" t="n"/>
      <c r="C112" s="9" t="n"/>
      <c r="D112" s="9" t="n"/>
      <c r="E112" s="9" t="n"/>
      <c r="F112" s="40" t="n"/>
      <c r="G112" s="9" t="n"/>
      <c r="H112" s="10" t="n"/>
      <c r="I112" s="10">
        <f>SUM(I110:I111)</f>
        <v/>
      </c>
      <c r="J112" s="9" t="n"/>
    </row>
    <row r="113">
      <c r="A113" s="16" t="inlineStr">
        <is>
          <t>WHK-3963</t>
        </is>
      </c>
      <c r="B113" s="95" t="n">
        <v>46085</v>
      </c>
      <c r="C113" s="16" t="inlineStr">
        <is>
          <t>RN-INV#174</t>
        </is>
      </c>
      <c r="D113" s="16" t="inlineStr">
        <is>
          <t>RN-OD696</t>
        </is>
      </c>
      <c r="E113" s="16" t="inlineStr">
        <is>
          <t>زهور اقحوان افريقي مركن9 سم</t>
        </is>
      </c>
      <c r="F113" s="41" t="n">
        <v>1000</v>
      </c>
      <c r="G113" s="16" t="inlineStr">
        <is>
          <t>EA</t>
        </is>
      </c>
      <c r="H113" s="17" t="n">
        <v>1.5</v>
      </c>
      <c r="I113" s="17">
        <f>F113*H113</f>
        <v/>
      </c>
      <c r="J113" s="16" t="n"/>
    </row>
    <row r="114">
      <c r="A114" s="16" t="inlineStr">
        <is>
          <t>WHK-3963</t>
        </is>
      </c>
      <c r="B114" s="95" t="n">
        <v>46085</v>
      </c>
      <c r="C114" s="16" t="inlineStr">
        <is>
          <t>RN-INV#174</t>
        </is>
      </c>
      <c r="D114" s="16" t="inlineStr">
        <is>
          <t>RN-OD694</t>
        </is>
      </c>
      <c r="E114" s="16" t="inlineStr">
        <is>
          <t>كالنشو هولندى مركن12 سم</t>
        </is>
      </c>
      <c r="F114" s="41" t="n">
        <v>300</v>
      </c>
      <c r="G114" s="16" t="inlineStr">
        <is>
          <t>EA</t>
        </is>
      </c>
      <c r="H114" s="17" t="n">
        <v>4</v>
      </c>
      <c r="I114" s="17">
        <f>F114*H114</f>
        <v/>
      </c>
      <c r="J114" s="16" t="n"/>
    </row>
    <row r="115">
      <c r="A115" s="9" t="inlineStr">
        <is>
          <t>إجمالي العقد WHK-3963</t>
        </is>
      </c>
      <c r="B115" s="101" t="n"/>
      <c r="C115" s="9" t="n"/>
      <c r="D115" s="9" t="n"/>
      <c r="E115" s="9" t="n"/>
      <c r="F115" s="40" t="n"/>
      <c r="G115" s="9" t="n"/>
      <c r="H115" s="10" t="n"/>
      <c r="I115" s="10">
        <f>SUM(I113:I114)</f>
        <v/>
      </c>
      <c r="J115" s="9" t="n"/>
    </row>
    <row r="116">
      <c r="A116" s="16" t="inlineStr">
        <is>
          <t>WHK-4256</t>
        </is>
      </c>
      <c r="B116" s="95" t="n">
        <v>46145</v>
      </c>
      <c r="C116" s="16" t="inlineStr">
        <is>
          <t>RN-INV#227</t>
        </is>
      </c>
      <c r="D116" s="16" t="inlineStr">
        <is>
          <t>RN-OD562</t>
        </is>
      </c>
      <c r="E116" s="16" t="inlineStr">
        <is>
          <t>زهور زينيا</t>
        </is>
      </c>
      <c r="F116" s="41" t="n">
        <v>25625</v>
      </c>
      <c r="G116" s="16" t="inlineStr">
        <is>
          <t>EA</t>
        </is>
      </c>
      <c r="H116" s="17" t="n">
        <v>0.5</v>
      </c>
      <c r="I116" s="17">
        <f>F116*H116</f>
        <v/>
      </c>
      <c r="J116" s="16" t="n"/>
    </row>
    <row r="117">
      <c r="A117" s="16" t="inlineStr">
        <is>
          <t>WHK-4256</t>
        </is>
      </c>
      <c r="B117" s="95" t="n">
        <v>46145</v>
      </c>
      <c r="C117" s="16" t="inlineStr">
        <is>
          <t>RN-INV#227</t>
        </is>
      </c>
      <c r="D117" s="16" t="inlineStr">
        <is>
          <t>RN-OD563</t>
        </is>
      </c>
      <c r="E117" s="16" t="inlineStr">
        <is>
          <t>زهور سيلوزيا</t>
        </is>
      </c>
      <c r="F117" s="41" t="n">
        <v>3000</v>
      </c>
      <c r="G117" s="16" t="inlineStr">
        <is>
          <t>EA</t>
        </is>
      </c>
      <c r="H117" s="17" t="n">
        <v>0.5</v>
      </c>
      <c r="I117" s="17">
        <f>F117*H117</f>
        <v/>
      </c>
      <c r="J117" s="16" t="n"/>
    </row>
    <row r="118">
      <c r="A118" s="16" t="inlineStr">
        <is>
          <t>WHK-4256</t>
        </is>
      </c>
      <c r="B118" s="95" t="n">
        <v>46145</v>
      </c>
      <c r="C118" s="16" t="inlineStr">
        <is>
          <t>RN-INV#227</t>
        </is>
      </c>
      <c r="D118" s="16" t="inlineStr">
        <is>
          <t>RN-OD564</t>
        </is>
      </c>
      <c r="E118" s="16" t="inlineStr">
        <is>
          <t>زهور امرانتس</t>
        </is>
      </c>
      <c r="F118" s="41" t="n">
        <v>5000</v>
      </c>
      <c r="G118" s="16" t="inlineStr">
        <is>
          <t>EA</t>
        </is>
      </c>
      <c r="H118" s="17" t="n">
        <v>0.5</v>
      </c>
      <c r="I118" s="17">
        <f>F118*H118</f>
        <v/>
      </c>
      <c r="J118" s="16" t="n"/>
    </row>
    <row r="119">
      <c r="A119" s="16" t="inlineStr">
        <is>
          <t>WHK-4256</t>
        </is>
      </c>
      <c r="B119" s="95" t="n">
        <v>46145</v>
      </c>
      <c r="C119" s="16" t="inlineStr">
        <is>
          <t>RN-INV#227</t>
        </is>
      </c>
      <c r="D119" s="16" t="inlineStr">
        <is>
          <t>RN-OD565</t>
        </is>
      </c>
      <c r="E119" s="16" t="inlineStr">
        <is>
          <t>زهور جازانيا</t>
        </is>
      </c>
      <c r="F119" s="41" t="n">
        <v>4475</v>
      </c>
      <c r="G119" s="16" t="inlineStr">
        <is>
          <t>EA</t>
        </is>
      </c>
      <c r="H119" s="17" t="n">
        <v>0.5</v>
      </c>
      <c r="I119" s="17">
        <f>F119*H119</f>
        <v/>
      </c>
      <c r="J119" s="16" t="n"/>
    </row>
    <row r="120">
      <c r="A120" s="16" t="inlineStr">
        <is>
          <t>WHK-4256</t>
        </is>
      </c>
      <c r="B120" s="95" t="n">
        <v>46145</v>
      </c>
      <c r="C120" s="16" t="inlineStr">
        <is>
          <t>RN-INV#227</t>
        </is>
      </c>
      <c r="D120" s="16" t="inlineStr">
        <is>
          <t>RN-OD454</t>
        </is>
      </c>
      <c r="E120" s="16" t="inlineStr">
        <is>
          <t>تيكوماريا50 سم</t>
        </is>
      </c>
      <c r="F120" s="41" t="n">
        <v>50</v>
      </c>
      <c r="G120" s="16" t="inlineStr">
        <is>
          <t>EA</t>
        </is>
      </c>
      <c r="H120" s="17" t="n">
        <v>4</v>
      </c>
      <c r="I120" s="17">
        <f>F120*H120</f>
        <v/>
      </c>
      <c r="J120" s="16" t="n"/>
    </row>
    <row r="121">
      <c r="A121" s="16" t="inlineStr">
        <is>
          <t>WHK-4256</t>
        </is>
      </c>
      <c r="B121" s="95" t="n">
        <v>46145</v>
      </c>
      <c r="C121" s="16" t="inlineStr">
        <is>
          <t>RN-INV#227</t>
        </is>
      </c>
      <c r="D121" s="16" t="inlineStr">
        <is>
          <t>RN-OD623</t>
        </is>
      </c>
      <c r="E121" s="16" t="inlineStr">
        <is>
          <t>أشجار تيسبيسيا 2-3 متر</t>
        </is>
      </c>
      <c r="F121" s="41" t="n">
        <v>4</v>
      </c>
      <c r="G121" s="16" t="inlineStr">
        <is>
          <t>EA</t>
        </is>
      </c>
      <c r="H121" s="17" t="n">
        <v>60</v>
      </c>
      <c r="I121" s="17">
        <f>F121*H121</f>
        <v/>
      </c>
      <c r="J121" s="16" t="n"/>
    </row>
    <row r="122">
      <c r="A122" s="9" t="inlineStr">
        <is>
          <t>إجمالي العقد WHK-4256</t>
        </is>
      </c>
      <c r="B122" s="101" t="n"/>
      <c r="C122" s="9" t="n"/>
      <c r="D122" s="9" t="n"/>
      <c r="E122" s="9" t="n"/>
      <c r="F122" s="40" t="n"/>
      <c r="G122" s="9" t="n"/>
      <c r="H122" s="10" t="n"/>
      <c r="I122" s="10">
        <f>SUM(I116:I121)</f>
        <v/>
      </c>
      <c r="J122" s="9" t="n"/>
    </row>
    <row r="123">
      <c r="A123" s="16" t="inlineStr">
        <is>
          <t>WHK-4275</t>
        </is>
      </c>
      <c r="B123" s="95" t="n">
        <v>46147</v>
      </c>
      <c r="C123" s="16" t="inlineStr">
        <is>
          <t>RN-INV#231</t>
        </is>
      </c>
      <c r="D123" s="16" t="inlineStr">
        <is>
          <t>RN-OD569</t>
        </is>
      </c>
      <c r="E123" s="16" t="inlineStr">
        <is>
          <t>زهور فينكا روزا</t>
        </is>
      </c>
      <c r="F123" s="41" t="n">
        <v>37400</v>
      </c>
      <c r="G123" s="16" t="inlineStr">
        <is>
          <t>EA</t>
        </is>
      </c>
      <c r="H123" s="17" t="n">
        <v>0.55</v>
      </c>
      <c r="I123" s="17">
        <f>F123*H123</f>
        <v/>
      </c>
      <c r="J123" s="16" t="n"/>
    </row>
    <row r="124">
      <c r="A124" s="16" t="inlineStr">
        <is>
          <t>WHK-4275</t>
        </is>
      </c>
      <c r="B124" s="95" t="n">
        <v>46147</v>
      </c>
      <c r="C124" s="16" t="inlineStr">
        <is>
          <t>RN-INV#231</t>
        </is>
      </c>
      <c r="D124" s="16" t="inlineStr">
        <is>
          <t>RN-OD567</t>
        </is>
      </c>
      <c r="E124" s="16" t="inlineStr">
        <is>
          <t>زهور كيليوس</t>
        </is>
      </c>
      <c r="F124" s="41" t="n">
        <v>2200</v>
      </c>
      <c r="G124" s="16" t="inlineStr">
        <is>
          <t>EA</t>
        </is>
      </c>
      <c r="H124" s="17" t="n">
        <v>0.55</v>
      </c>
      <c r="I124" s="17">
        <f>F124*H124</f>
        <v/>
      </c>
      <c r="J124" s="16" t="n"/>
    </row>
    <row r="125">
      <c r="A125" s="9" t="inlineStr">
        <is>
          <t>إجمالي العقد WHK-4275</t>
        </is>
      </c>
      <c r="B125" s="101" t="n"/>
      <c r="C125" s="9" t="n"/>
      <c r="D125" s="9" t="n"/>
      <c r="E125" s="9" t="n"/>
      <c r="F125" s="40" t="n"/>
      <c r="G125" s="9" t="n"/>
      <c r="H125" s="10" t="n"/>
      <c r="I125" s="10">
        <f>SUM(I123:I124)</f>
        <v/>
      </c>
      <c r="J125" s="9" t="n"/>
    </row>
    <row r="126">
      <c r="A126" s="16" t="inlineStr">
        <is>
          <t>WHK-4291</t>
        </is>
      </c>
      <c r="B126" s="95" t="n">
        <v>46152</v>
      </c>
      <c r="C126" s="16" t="inlineStr">
        <is>
          <t>RN-INV#239</t>
        </is>
      </c>
      <c r="D126" s="16" t="inlineStr">
        <is>
          <t>RN-OD569</t>
        </is>
      </c>
      <c r="E126" s="16" t="inlineStr">
        <is>
          <t>زهور فينكا روزا</t>
        </is>
      </c>
      <c r="F126" s="41" t="n">
        <v>5700</v>
      </c>
      <c r="G126" s="16" t="inlineStr">
        <is>
          <t>EA</t>
        </is>
      </c>
      <c r="H126" s="17" t="n">
        <v>0.55</v>
      </c>
      <c r="I126" s="17">
        <f>F126*H126</f>
        <v/>
      </c>
      <c r="J126" s="16" t="n"/>
    </row>
    <row r="127">
      <c r="A127" s="9" t="inlineStr">
        <is>
          <t>إجمالي العقد WHK-4291</t>
        </is>
      </c>
      <c r="B127" s="101" t="n"/>
      <c r="C127" s="9" t="n"/>
      <c r="D127" s="9" t="n"/>
      <c r="E127" s="9" t="n"/>
      <c r="F127" s="40" t="n"/>
      <c r="G127" s="9" t="n"/>
      <c r="H127" s="10" t="n"/>
      <c r="I127" s="10">
        <f>SUM(I126:I126)</f>
        <v/>
      </c>
      <c r="J127" s="9" t="n"/>
    </row>
    <row r="128">
      <c r="A128" s="16" t="inlineStr">
        <is>
          <t>WHK-4305</t>
        </is>
      </c>
      <c r="B128" s="95" t="n">
        <v>46154</v>
      </c>
      <c r="C128" s="16" t="inlineStr">
        <is>
          <t>RN-INV#243</t>
        </is>
      </c>
      <c r="D128" s="16" t="inlineStr">
        <is>
          <t>RN-OD569</t>
        </is>
      </c>
      <c r="E128" s="16" t="inlineStr">
        <is>
          <t>زهور فينكا روزا</t>
        </is>
      </c>
      <c r="F128" s="41" t="n">
        <v>5500</v>
      </c>
      <c r="G128" s="16" t="inlineStr">
        <is>
          <t>EA</t>
        </is>
      </c>
      <c r="H128" s="17" t="n">
        <v>0.55</v>
      </c>
      <c r="I128" s="17">
        <f>F128*H128</f>
        <v/>
      </c>
      <c r="J128" s="16" t="n"/>
    </row>
    <row r="129">
      <c r="A129" s="9" t="inlineStr">
        <is>
          <t>إجمالي العقد WHK-4305</t>
        </is>
      </c>
      <c r="B129" s="101" t="n"/>
      <c r="C129" s="9" t="n"/>
      <c r="D129" s="9" t="n"/>
      <c r="E129" s="9" t="n"/>
      <c r="F129" s="40" t="n"/>
      <c r="G129" s="9" t="n"/>
      <c r="H129" s="10" t="n"/>
      <c r="I129" s="10">
        <f>SUM(I128:I128)</f>
        <v/>
      </c>
      <c r="J129" s="9" t="n"/>
    </row>
    <row r="130">
      <c r="A130" s="16" t="inlineStr">
        <is>
          <t>WHK-4323</t>
        </is>
      </c>
      <c r="B130" s="95" t="n">
        <v>46160</v>
      </c>
      <c r="C130" s="16" t="inlineStr">
        <is>
          <t>RN-INV#250</t>
        </is>
      </c>
      <c r="D130" s="16" t="inlineStr">
        <is>
          <t>RN-OD564</t>
        </is>
      </c>
      <c r="E130" s="16" t="inlineStr">
        <is>
          <t>زهور امرانتس</t>
        </is>
      </c>
      <c r="F130" s="41" t="n">
        <v>1500</v>
      </c>
      <c r="G130" s="16" t="inlineStr">
        <is>
          <t>EA</t>
        </is>
      </c>
      <c r="H130" s="17" t="n">
        <v>0.5</v>
      </c>
      <c r="I130" s="17">
        <f>F130*H130</f>
        <v/>
      </c>
      <c r="J130" s="16" t="n"/>
    </row>
    <row r="131">
      <c r="A131" s="9" t="inlineStr">
        <is>
          <t>إجمالي العقد WHK-4323</t>
        </is>
      </c>
      <c r="B131" s="101" t="n"/>
      <c r="C131" s="9" t="n"/>
      <c r="D131" s="9" t="n"/>
      <c r="E131" s="9" t="n"/>
      <c r="F131" s="40" t="n"/>
      <c r="G131" s="9" t="n"/>
      <c r="H131" s="10" t="n"/>
      <c r="I131" s="10">
        <f>SUM(I130:I130)</f>
        <v/>
      </c>
      <c r="J131" s="9" t="n"/>
    </row>
    <row r="132">
      <c r="A132" s="42" t="inlineStr">
        <is>
          <t>إجمالي مبيعات أبو خالد</t>
        </is>
      </c>
      <c r="B132" s="102" t="n"/>
      <c r="C132" s="42" t="n"/>
      <c r="D132" s="42" t="n"/>
      <c r="E132" s="42" t="n"/>
      <c r="F132" s="44" t="n"/>
      <c r="G132" s="42" t="n"/>
      <c r="H132" s="45" t="n"/>
      <c r="I132" s="45">
        <f>I3+I5+I7+I9+I11+I19+I21+I23+I25+I27+I29+I31+I33+I35+I37+I39+I41+I43+I45+I47+I49+I51+I53+I57+I64+I66+I68+I70+I73+I76+I78+I80+I82+I84+I86+I92+I96+I105+I107+I109+I112+I115+I122+I125+I127+I129+I131</f>
        <v/>
      </c>
      <c r="J132" s="42" t="n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H242"/>
  <sheetViews>
    <sheetView rightToLeft="1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8" customWidth="1" min="4" max="4"/>
    <col width="14" customWidth="1" min="5" max="5"/>
    <col width="20" customWidth="1" min="6" max="6"/>
    <col width="45" customWidth="1" min="7" max="7"/>
    <col width="55" customWidth="1" min="8" max="8"/>
  </cols>
  <sheetData>
    <row r="1">
      <c r="A1" s="46" t="inlineStr">
        <is>
          <t>مزرعة الرياض – فواتير المبيعات المبدئية (RN-INV#25 إلى RN-INV#263)</t>
        </is>
      </c>
    </row>
    <row r="2">
      <c r="A2" s="22" t="inlineStr">
        <is>
          <t>م</t>
        </is>
      </c>
      <c r="B2" s="22" t="inlineStr">
        <is>
          <t>رقم الفاتورة</t>
        </is>
      </c>
      <c r="C2" s="22" t="inlineStr">
        <is>
          <t>تاريخ الفاتورة</t>
        </is>
      </c>
      <c r="D2" s="22" t="inlineStr">
        <is>
          <t>قيمة الفاتورة (ريال)</t>
        </is>
      </c>
      <c r="E2" s="22" t="inlineStr">
        <is>
          <t>رقم العقد</t>
        </is>
      </c>
      <c r="F2" s="22" t="inlineStr">
        <is>
          <t>اسم المندوب</t>
        </is>
      </c>
      <c r="G2" s="22" t="inlineStr">
        <is>
          <t>ملاحظات الفاتورة</t>
        </is>
      </c>
      <c r="H2" s="22" t="inlineStr">
        <is>
          <t>ملاحظات المراجعة</t>
        </is>
      </c>
    </row>
    <row r="3">
      <c r="A3" s="47" t="n">
        <v>1</v>
      </c>
      <c r="B3" s="47" t="inlineStr">
        <is>
          <t>RN-INV#25</t>
        </is>
      </c>
      <c r="C3" s="103" t="n">
        <v>45957</v>
      </c>
      <c r="D3" s="49" t="n">
        <v>3245</v>
      </c>
      <c r="E3" s="47" t="inlineStr">
        <is>
          <t>WHT-2645</t>
        </is>
      </c>
      <c r="F3" s="47" t="inlineStr">
        <is>
          <t>عصمت الله خان</t>
        </is>
      </c>
      <c r="G3" s="50" t="n"/>
      <c r="H3" s="50" t="n"/>
    </row>
    <row r="4">
      <c r="A4" s="47" t="n">
        <v>2</v>
      </c>
      <c r="B4" s="47" t="inlineStr">
        <is>
          <t>RN-INV#26</t>
        </is>
      </c>
      <c r="C4" s="103" t="n">
        <v>45957</v>
      </c>
      <c r="D4" s="49" t="n">
        <v>900</v>
      </c>
      <c r="E4" s="47" t="inlineStr">
        <is>
          <t>WHK-2656</t>
        </is>
      </c>
      <c r="F4" s="47" t="inlineStr">
        <is>
          <t>م/ عادل أبو خالد</t>
        </is>
      </c>
      <c r="G4" s="50" t="n"/>
      <c r="H4" s="50" t="n"/>
    </row>
    <row r="5">
      <c r="A5" s="47" t="n">
        <v>3</v>
      </c>
      <c r="B5" s="47" t="inlineStr">
        <is>
          <t>RN-INV#27</t>
        </is>
      </c>
      <c r="C5" s="103" t="n">
        <v>45958</v>
      </c>
      <c r="D5" s="49" t="n">
        <v>4420</v>
      </c>
      <c r="E5" s="47" t="inlineStr">
        <is>
          <t>WHT-2660</t>
        </is>
      </c>
      <c r="F5" s="47" t="inlineStr">
        <is>
          <t>عصمت الله خان</t>
        </is>
      </c>
      <c r="G5" s="50" t="n"/>
      <c r="H5" s="50" t="n"/>
    </row>
    <row r="6">
      <c r="A6" s="47" t="n">
        <v>4</v>
      </c>
      <c r="B6" s="47" t="inlineStr">
        <is>
          <t>RN-INV#28</t>
        </is>
      </c>
      <c r="C6" s="103" t="n">
        <v>45959</v>
      </c>
      <c r="D6" s="49" t="n">
        <v>4645</v>
      </c>
      <c r="E6" s="47" t="inlineStr">
        <is>
          <t>WHT-2672</t>
        </is>
      </c>
      <c r="F6" s="47" t="inlineStr">
        <is>
          <t>عصمت الله خان</t>
        </is>
      </c>
      <c r="G6" s="50" t="n"/>
      <c r="H6" s="50" t="n"/>
    </row>
    <row r="7">
      <c r="A7" s="47" t="n">
        <v>5</v>
      </c>
      <c r="B7" s="47" t="inlineStr">
        <is>
          <t>RN-INV#29</t>
        </is>
      </c>
      <c r="C7" s="103" t="n">
        <v>45960</v>
      </c>
      <c r="D7" s="49" t="n">
        <v>2990</v>
      </c>
      <c r="E7" s="47" t="inlineStr">
        <is>
          <t>WHT-2682</t>
        </is>
      </c>
      <c r="F7" s="47" t="inlineStr">
        <is>
          <t>عصمت الله خان</t>
        </is>
      </c>
      <c r="G7" s="50" t="n"/>
      <c r="H7" s="50" t="n"/>
    </row>
    <row r="8">
      <c r="A8" s="47" t="n">
        <v>6</v>
      </c>
      <c r="B8" s="47" t="inlineStr">
        <is>
          <t>RN-INV#30</t>
        </is>
      </c>
      <c r="C8" s="103" t="n">
        <v>45961</v>
      </c>
      <c r="D8" s="49" t="n">
        <v>6225</v>
      </c>
      <c r="E8" s="47" t="inlineStr">
        <is>
          <t>WHT-2701</t>
        </is>
      </c>
      <c r="F8" s="47" t="inlineStr">
        <is>
          <t>عصمت الله خان</t>
        </is>
      </c>
      <c r="G8" s="50" t="n"/>
      <c r="H8" s="50" t="n"/>
    </row>
    <row r="9">
      <c r="A9" s="47" t="n">
        <v>7</v>
      </c>
      <c r="B9" s="47" t="inlineStr">
        <is>
          <t>RN-INV#31</t>
        </is>
      </c>
      <c r="C9" s="103" t="n">
        <v>45963</v>
      </c>
      <c r="D9" s="49" t="n">
        <v>1125</v>
      </c>
      <c r="E9" s="47" t="inlineStr">
        <is>
          <t>WHK-2712</t>
        </is>
      </c>
      <c r="F9" s="47" t="inlineStr">
        <is>
          <t>م/ عادل أبو خالد</t>
        </is>
      </c>
      <c r="G9" s="50" t="n"/>
      <c r="H9" s="50" t="n"/>
    </row>
    <row r="10">
      <c r="A10" s="47" t="n">
        <v>8</v>
      </c>
      <c r="B10" s="47" t="inlineStr">
        <is>
          <t>RN-INV#32</t>
        </is>
      </c>
      <c r="C10" s="103" t="n">
        <v>45963</v>
      </c>
      <c r="D10" s="49" t="n">
        <v>8192.5</v>
      </c>
      <c r="E10" s="47" t="inlineStr">
        <is>
          <t>WHT-2714</t>
        </is>
      </c>
      <c r="F10" s="47" t="inlineStr">
        <is>
          <t>عصمت الله خان</t>
        </is>
      </c>
      <c r="G10" s="50" t="n"/>
      <c r="H10" s="50" t="n"/>
    </row>
    <row r="11">
      <c r="A11" s="47" t="n">
        <v>9</v>
      </c>
      <c r="B11" s="47" t="inlineStr">
        <is>
          <t>RN-INV#33</t>
        </is>
      </c>
      <c r="C11" s="103" t="n">
        <v>45964</v>
      </c>
      <c r="D11" s="49" t="n">
        <v>5930</v>
      </c>
      <c r="E11" s="47" t="inlineStr">
        <is>
          <t>WHT-2743</t>
        </is>
      </c>
      <c r="F11" s="47" t="inlineStr">
        <is>
          <t>عصمت الله خان</t>
        </is>
      </c>
      <c r="G11" s="50" t="n"/>
      <c r="H11" s="50" t="n"/>
    </row>
    <row r="12">
      <c r="A12" s="47" t="n">
        <v>10</v>
      </c>
      <c r="B12" s="47" t="inlineStr">
        <is>
          <t>RN-INV#34</t>
        </is>
      </c>
      <c r="C12" s="103" t="n">
        <v>45965</v>
      </c>
      <c r="D12" s="49" t="n">
        <v>5327.5</v>
      </c>
      <c r="E12" s="47" t="inlineStr">
        <is>
          <t>WHT-2752</t>
        </is>
      </c>
      <c r="F12" s="47" t="inlineStr">
        <is>
          <t>عصمت الله خان</t>
        </is>
      </c>
      <c r="G12" s="50" t="n"/>
      <c r="H12" s="50" t="n"/>
    </row>
    <row r="13">
      <c r="A13" s="47" t="n">
        <v>11</v>
      </c>
      <c r="B13" s="47" t="inlineStr">
        <is>
          <t>RN-INV#35</t>
        </is>
      </c>
      <c r="C13" s="103" t="n">
        <v>45966</v>
      </c>
      <c r="D13" s="49" t="n">
        <v>752.5</v>
      </c>
      <c r="E13" s="47" t="inlineStr">
        <is>
          <t>WHK-2776</t>
        </is>
      </c>
      <c r="F13" s="47" t="inlineStr">
        <is>
          <t>م/ عادل أبو خالد</t>
        </is>
      </c>
      <c r="G13" s="50" t="n"/>
      <c r="H13" s="50" t="n"/>
    </row>
    <row r="14">
      <c r="A14" s="47" t="n">
        <v>12</v>
      </c>
      <c r="B14" s="47" t="inlineStr">
        <is>
          <t>RN-INV#36</t>
        </is>
      </c>
      <c r="C14" s="103" t="n">
        <v>45967</v>
      </c>
      <c r="D14" s="49" t="n">
        <v>7530</v>
      </c>
      <c r="E14" s="47" t="inlineStr">
        <is>
          <t>WHT-2779</t>
        </is>
      </c>
      <c r="F14" s="47" t="inlineStr">
        <is>
          <t>عصمت الله خان</t>
        </is>
      </c>
      <c r="G14" s="50" t="inlineStr">
        <is>
          <t>توريد يوم5</t>
        </is>
      </c>
      <c r="H14" s="50" t="n"/>
    </row>
    <row r="15">
      <c r="A15" s="47" t="n">
        <v>13</v>
      </c>
      <c r="B15" s="47" t="inlineStr">
        <is>
          <t>RN-INV#37</t>
        </is>
      </c>
      <c r="C15" s="103" t="n">
        <v>45967</v>
      </c>
      <c r="D15" s="49" t="n">
        <v>337.5</v>
      </c>
      <c r="E15" s="47" t="inlineStr">
        <is>
          <t>WHK-2787</t>
        </is>
      </c>
      <c r="F15" s="47" t="inlineStr">
        <is>
          <t>م/ عادل أبو خالد</t>
        </is>
      </c>
      <c r="G15" s="50" t="n"/>
      <c r="H15" s="50" t="n"/>
    </row>
    <row r="16">
      <c r="A16" s="47" t="n">
        <v>14</v>
      </c>
      <c r="B16" s="47" t="inlineStr">
        <is>
          <t>RN-INV#38</t>
        </is>
      </c>
      <c r="C16" s="103" t="n">
        <v>45968</v>
      </c>
      <c r="D16" s="49" t="n">
        <v>7570</v>
      </c>
      <c r="E16" s="47" t="inlineStr">
        <is>
          <t>WHT-2790</t>
        </is>
      </c>
      <c r="F16" s="47" t="inlineStr">
        <is>
          <t>عصمت الله خان</t>
        </is>
      </c>
      <c r="G16" s="50" t="inlineStr">
        <is>
          <t>توريد12555.1 ريال من المديونية</t>
        </is>
      </c>
      <c r="H16" s="50" t="n"/>
    </row>
    <row r="17">
      <c r="A17" s="51" t="n">
        <v>15</v>
      </c>
      <c r="B17" s="51" t="inlineStr">
        <is>
          <t>RN-INV#39</t>
        </is>
      </c>
      <c r="C17" s="104" t="n">
        <v>45969</v>
      </c>
      <c r="D17" s="53" t="n">
        <v>14850</v>
      </c>
      <c r="E17" s="51" t="inlineStr">
        <is>
          <t>WHT-2804</t>
        </is>
      </c>
      <c r="F17" s="51" t="inlineStr">
        <is>
          <t>م/ عادل أبو خالد</t>
        </is>
      </c>
      <c r="G17" s="54" t="n"/>
      <c r="H17" s="54" t="inlineStr">
        <is>
          <t>بادئة العقد WHT (تُستخدم عادة لعصمت الله خان) والمندوب م/ عادل – يرجى التأكد</t>
        </is>
      </c>
    </row>
    <row r="18">
      <c r="A18" s="47" t="n">
        <v>16</v>
      </c>
      <c r="B18" s="47" t="inlineStr">
        <is>
          <t>RN-INV#40</t>
        </is>
      </c>
      <c r="C18" s="103" t="n">
        <v>45969</v>
      </c>
      <c r="D18" s="49" t="n">
        <v>22000</v>
      </c>
      <c r="E18" s="47" t="inlineStr">
        <is>
          <t>WHK-2807</t>
        </is>
      </c>
      <c r="F18" s="47" t="inlineStr">
        <is>
          <t>م/ عادل أبو خالد</t>
        </is>
      </c>
      <c r="G18" s="50" t="n"/>
      <c r="H18" s="50" t="n"/>
    </row>
    <row r="19">
      <c r="A19" s="47" t="n">
        <v>17</v>
      </c>
      <c r="B19" s="47" t="inlineStr">
        <is>
          <t>RN-INV#41</t>
        </is>
      </c>
      <c r="C19" s="103" t="n">
        <v>45970</v>
      </c>
      <c r="D19" s="49" t="n">
        <v>4826</v>
      </c>
      <c r="E19" s="47" t="inlineStr">
        <is>
          <t>WHT-2809</t>
        </is>
      </c>
      <c r="F19" s="47" t="inlineStr">
        <is>
          <t>عصمت الله خان</t>
        </is>
      </c>
      <c r="G19" s="50" t="n"/>
      <c r="H19" s="50" t="n"/>
    </row>
    <row r="20">
      <c r="A20" s="47" t="n">
        <v>18</v>
      </c>
      <c r="B20" s="47" t="inlineStr">
        <is>
          <t>RN-INV#42</t>
        </is>
      </c>
      <c r="C20" s="103" t="n">
        <v>45971</v>
      </c>
      <c r="D20" s="49" t="n">
        <v>5310</v>
      </c>
      <c r="E20" s="47" t="inlineStr">
        <is>
          <t>WHT-2819</t>
        </is>
      </c>
      <c r="F20" s="47" t="inlineStr">
        <is>
          <t>عصمت الله خان</t>
        </is>
      </c>
      <c r="G20" s="50" t="n"/>
      <c r="H20" s="50" t="n"/>
    </row>
    <row r="21">
      <c r="A21" s="47" t="n">
        <v>19</v>
      </c>
      <c r="B21" s="47" t="inlineStr">
        <is>
          <t>RN-INV#43</t>
        </is>
      </c>
      <c r="C21" s="103" t="n">
        <v>45971</v>
      </c>
      <c r="D21" s="49" t="n">
        <v>9047.5</v>
      </c>
      <c r="E21" s="47" t="inlineStr">
        <is>
          <t>WHK-2835</t>
        </is>
      </c>
      <c r="F21" s="47" t="inlineStr">
        <is>
          <t>م/ عادل أبو خالد</t>
        </is>
      </c>
      <c r="G21" s="50" t="n"/>
      <c r="H21" s="50" t="n"/>
    </row>
    <row r="22">
      <c r="A22" s="47" t="n">
        <v>20</v>
      </c>
      <c r="B22" s="47" t="inlineStr">
        <is>
          <t>RN-INV#44</t>
        </is>
      </c>
      <c r="C22" s="103" t="n">
        <v>45972</v>
      </c>
      <c r="D22" s="49" t="n">
        <v>5745</v>
      </c>
      <c r="E22" s="47" t="inlineStr">
        <is>
          <t>WHT-2840</t>
        </is>
      </c>
      <c r="F22" s="47" t="inlineStr">
        <is>
          <t>عصمت الله خان</t>
        </is>
      </c>
      <c r="G22" s="50" t="n"/>
      <c r="H22" s="50" t="n"/>
    </row>
    <row r="23">
      <c r="A23" s="51" t="n">
        <v>21</v>
      </c>
      <c r="B23" s="51" t="inlineStr">
        <is>
          <t>RN-INV#45</t>
        </is>
      </c>
      <c r="C23" s="104" t="n">
        <v>45972</v>
      </c>
      <c r="D23" s="53" t="n">
        <v>22687.5</v>
      </c>
      <c r="E23" s="51" t="inlineStr">
        <is>
          <t>RNW-2842</t>
        </is>
      </c>
      <c r="F23" s="51" t="inlineStr">
        <is>
          <t>م/ عادل أبو خالد</t>
        </is>
      </c>
      <c r="G23" s="54" t="n"/>
      <c r="H23" s="54" t="inlineStr">
        <is>
          <t>اسم المندوب غير مكتمل في الفاتورة ("م -") – تم افتراضه من بادئة العقد</t>
        </is>
      </c>
    </row>
    <row r="24">
      <c r="A24" s="51" t="n">
        <v>22</v>
      </c>
      <c r="B24" s="51" t="inlineStr">
        <is>
          <t>RN-INV#46</t>
        </is>
      </c>
      <c r="C24" s="104" t="n">
        <v>45972</v>
      </c>
      <c r="D24" s="53" t="n">
        <v>7500</v>
      </c>
      <c r="E24" s="51" t="inlineStr">
        <is>
          <t>WHK-2853</t>
        </is>
      </c>
      <c r="F24" s="51" t="inlineStr">
        <is>
          <t>م/ عادل أبو خالد</t>
        </is>
      </c>
      <c r="G24" s="54" t="n"/>
      <c r="H24" s="54" t="inlineStr">
        <is>
          <t>اسم المندوب غير مكتمل في الفاتورة ("م -") – تم افتراضه من بادئة العقد</t>
        </is>
      </c>
    </row>
    <row r="25">
      <c r="A25" s="51" t="n">
        <v>23</v>
      </c>
      <c r="B25" s="51" t="inlineStr">
        <is>
          <t>RN-INV#47</t>
        </is>
      </c>
      <c r="C25" s="104" t="n">
        <v>45973</v>
      </c>
      <c r="D25" s="53" t="n">
        <v>1500</v>
      </c>
      <c r="E25" s="51" t="inlineStr">
        <is>
          <t>WHK-2868</t>
        </is>
      </c>
      <c r="F25" s="51" t="inlineStr">
        <is>
          <t>م/ عادل أبو خالد</t>
        </is>
      </c>
      <c r="G25" s="54" t="n"/>
      <c r="H25" s="54" t="inlineStr">
        <is>
          <t>اسم المندوب غير مكتمل في الفاتورة ("م -") – تم افتراضه من بادئة العقد</t>
        </is>
      </c>
    </row>
    <row r="26">
      <c r="A26" s="47" t="n">
        <v>24</v>
      </c>
      <c r="B26" s="47" t="inlineStr">
        <is>
          <t>RN-INV#48</t>
        </is>
      </c>
      <c r="C26" s="103" t="n">
        <v>45974</v>
      </c>
      <c r="D26" s="49" t="n">
        <v>3112.5</v>
      </c>
      <c r="E26" s="47" t="inlineStr">
        <is>
          <t>WHT-2870</t>
        </is>
      </c>
      <c r="F26" s="47" t="inlineStr">
        <is>
          <t>عصمت الله خان</t>
        </is>
      </c>
      <c r="G26" s="50" t="n"/>
      <c r="H26" s="50" t="n"/>
    </row>
    <row r="27">
      <c r="A27" s="47" t="n">
        <v>25</v>
      </c>
      <c r="B27" s="47" t="inlineStr">
        <is>
          <t>RN-INV#49</t>
        </is>
      </c>
      <c r="C27" s="103" t="n">
        <v>45974</v>
      </c>
      <c r="D27" s="49" t="n">
        <v>1759.5</v>
      </c>
      <c r="E27" s="47" t="inlineStr">
        <is>
          <t>WHK-2881</t>
        </is>
      </c>
      <c r="F27" s="47" t="inlineStr">
        <is>
          <t>م/ عادل أبو خالد</t>
        </is>
      </c>
      <c r="G27" s="50" t="n"/>
      <c r="H27" s="50" t="n"/>
    </row>
    <row r="28">
      <c r="A28" s="47" t="n">
        <v>26</v>
      </c>
      <c r="B28" s="47" t="inlineStr">
        <is>
          <t>RN-INV#50</t>
        </is>
      </c>
      <c r="C28" s="103" t="n">
        <v>45975</v>
      </c>
      <c r="D28" s="49" t="n">
        <v>4600</v>
      </c>
      <c r="E28" s="47" t="inlineStr">
        <is>
          <t>WHT-2883</t>
        </is>
      </c>
      <c r="F28" s="47" t="inlineStr">
        <is>
          <t>عصمت الله خان</t>
        </is>
      </c>
      <c r="G28" s="50" t="n"/>
      <c r="H28" s="50" t="n"/>
    </row>
    <row r="29">
      <c r="A29" s="47" t="n">
        <v>27</v>
      </c>
      <c r="B29" s="47" t="inlineStr">
        <is>
          <t>RN-INV#51</t>
        </is>
      </c>
      <c r="C29" s="103" t="n">
        <v>45977</v>
      </c>
      <c r="D29" s="49" t="n">
        <v>900</v>
      </c>
      <c r="E29" s="47" t="inlineStr">
        <is>
          <t>WHT-2897</t>
        </is>
      </c>
      <c r="F29" s="47" t="inlineStr">
        <is>
          <t>عصمت الله خان</t>
        </is>
      </c>
      <c r="G29" s="50" t="inlineStr">
        <is>
          <t>توريد5435 ريال سعودي من المديون</t>
        </is>
      </c>
      <c r="H29" s="50" t="n"/>
    </row>
    <row r="30">
      <c r="A30" s="47" t="n">
        <v>28</v>
      </c>
      <c r="B30" s="47" t="inlineStr">
        <is>
          <t>RN-INV#52</t>
        </is>
      </c>
      <c r="C30" s="103" t="n">
        <v>45978</v>
      </c>
      <c r="D30" s="49" t="n">
        <v>2650</v>
      </c>
      <c r="E30" s="47" t="inlineStr">
        <is>
          <t>WHK-2912</t>
        </is>
      </c>
      <c r="F30" s="47" t="inlineStr">
        <is>
          <t>م/ عادل أبو خالد</t>
        </is>
      </c>
      <c r="G30" s="50" t="n"/>
      <c r="H30" s="50" t="n"/>
    </row>
    <row r="31">
      <c r="A31" s="47" t="n">
        <v>29</v>
      </c>
      <c r="B31" s="47" t="inlineStr">
        <is>
          <t>RN-INV#53</t>
        </is>
      </c>
      <c r="C31" s="103" t="n">
        <v>45979</v>
      </c>
      <c r="D31" s="49" t="n">
        <v>5520</v>
      </c>
      <c r="E31" s="47" t="inlineStr">
        <is>
          <t>WHT-2914</t>
        </is>
      </c>
      <c r="F31" s="47" t="inlineStr">
        <is>
          <t>عصمت الله خان</t>
        </is>
      </c>
      <c r="G31" s="50" t="n"/>
      <c r="H31" s="50" t="n"/>
    </row>
    <row r="32">
      <c r="A32" s="47" t="n">
        <v>30</v>
      </c>
      <c r="B32" s="47" t="inlineStr">
        <is>
          <t>RN-INV#54</t>
        </is>
      </c>
      <c r="C32" s="103" t="n">
        <v>45981</v>
      </c>
      <c r="D32" s="49" t="n">
        <v>23100</v>
      </c>
      <c r="E32" s="47" t="inlineStr">
        <is>
          <t>RNW-2945</t>
        </is>
      </c>
      <c r="F32" s="47" t="inlineStr">
        <is>
          <t>م/ عادل أبو خالد</t>
        </is>
      </c>
      <c r="G32" s="50" t="inlineStr">
        <is>
          <t>طلبية عرعر – عقد WHK-2364</t>
        </is>
      </c>
      <c r="H32" s="50" t="n"/>
    </row>
    <row r="33">
      <c r="A33" s="47" t="n">
        <v>31</v>
      </c>
      <c r="B33" s="47" t="inlineStr">
        <is>
          <t>RN-INV#55</t>
        </is>
      </c>
      <c r="C33" s="103" t="n">
        <v>45981</v>
      </c>
      <c r="D33" s="49" t="n">
        <v>1535</v>
      </c>
      <c r="E33" s="47" t="inlineStr">
        <is>
          <t>WHK-2948</t>
        </is>
      </c>
      <c r="F33" s="47" t="inlineStr">
        <is>
          <t>م/ عادل أبو خالد</t>
        </is>
      </c>
      <c r="G33" s="50" t="n"/>
      <c r="H33" s="50" t="n"/>
    </row>
    <row r="34">
      <c r="A34" s="47" t="n">
        <v>32</v>
      </c>
      <c r="B34" s="47" t="inlineStr">
        <is>
          <t>RN-INV#56</t>
        </is>
      </c>
      <c r="C34" s="103" t="n">
        <v>45981</v>
      </c>
      <c r="D34" s="49" t="n">
        <v>5955</v>
      </c>
      <c r="E34" s="47" t="inlineStr">
        <is>
          <t>WHT-2951</t>
        </is>
      </c>
      <c r="F34" s="47" t="inlineStr">
        <is>
          <t>عصمت الله خان</t>
        </is>
      </c>
      <c r="G34" s="50" t="n"/>
      <c r="H34" s="50" t="n"/>
    </row>
    <row r="35">
      <c r="A35" s="51" t="n">
        <v>33</v>
      </c>
      <c r="B35" s="51" t="inlineStr">
        <is>
          <t>RN-INV#57</t>
        </is>
      </c>
      <c r="C35" s="104" t="n">
        <v>45982</v>
      </c>
      <c r="D35" s="53" t="n">
        <v>12742.5</v>
      </c>
      <c r="E35" s="51" t="inlineStr">
        <is>
          <t>WHT-2953</t>
        </is>
      </c>
      <c r="F35" s="51" t="inlineStr">
        <is>
          <t>عصمت الله خان</t>
        </is>
      </c>
      <c r="G35" s="54" t="n"/>
      <c r="H35" s="54" t="inlineStr">
        <is>
          <t>تكرار محتمل: فاتورة أخرى بنفس رقم العقد ونفس القيمة</t>
        </is>
      </c>
    </row>
    <row r="36">
      <c r="A36" s="51" t="n">
        <v>34</v>
      </c>
      <c r="B36" s="51" t="inlineStr">
        <is>
          <t>RN-INV#58</t>
        </is>
      </c>
      <c r="C36" s="104" t="n">
        <v>45982</v>
      </c>
      <c r="D36" s="53" t="n">
        <v>12742.5</v>
      </c>
      <c r="E36" s="51" t="inlineStr">
        <is>
          <t>WHT-2953</t>
        </is>
      </c>
      <c r="F36" s="51" t="inlineStr">
        <is>
          <t>عصمت الله خان</t>
        </is>
      </c>
      <c r="G36" s="54" t="n"/>
      <c r="H36" s="54" t="inlineStr">
        <is>
          <t>تكرار محتمل: فاتورة أخرى بنفس رقم العقد ونفس القيمة</t>
        </is>
      </c>
    </row>
    <row r="37">
      <c r="A37" s="47" t="n">
        <v>35</v>
      </c>
      <c r="B37" s="47" t="inlineStr">
        <is>
          <t>RN-INV#59</t>
        </is>
      </c>
      <c r="C37" s="103" t="n">
        <v>45982</v>
      </c>
      <c r="D37" s="49" t="n">
        <v>8847.5</v>
      </c>
      <c r="E37" s="47" t="inlineStr">
        <is>
          <t>WHT-2955</t>
        </is>
      </c>
      <c r="F37" s="47" t="inlineStr">
        <is>
          <t>عصمت الله خان</t>
        </is>
      </c>
      <c r="G37" s="50" t="n"/>
      <c r="H37" s="50" t="n"/>
    </row>
    <row r="38">
      <c r="A38" s="47" t="n">
        <v>36</v>
      </c>
      <c r="B38" s="47" t="inlineStr">
        <is>
          <t>RN-INV#60</t>
        </is>
      </c>
      <c r="C38" s="103" t="n">
        <v>45984</v>
      </c>
      <c r="D38" s="49" t="n">
        <v>10135</v>
      </c>
      <c r="E38" s="47" t="inlineStr">
        <is>
          <t>WHT-2968</t>
        </is>
      </c>
      <c r="F38" s="47" t="inlineStr">
        <is>
          <t>عصمت الله خان</t>
        </is>
      </c>
      <c r="G38" s="50" t="n"/>
      <c r="H38" s="50" t="n"/>
    </row>
    <row r="39">
      <c r="A39" s="47" t="n">
        <v>37</v>
      </c>
      <c r="B39" s="47" t="inlineStr">
        <is>
          <t>RN-INV#61</t>
        </is>
      </c>
      <c r="C39" s="103" t="n">
        <v>45984</v>
      </c>
      <c r="D39" s="49" t="n">
        <v>6090</v>
      </c>
      <c r="E39" s="47" t="inlineStr">
        <is>
          <t>WHK-2971</t>
        </is>
      </c>
      <c r="F39" s="47" t="inlineStr">
        <is>
          <t>م/ عادل أبو خالد</t>
        </is>
      </c>
      <c r="G39" s="50" t="n"/>
      <c r="H39" s="50" t="n"/>
    </row>
    <row r="40">
      <c r="A40" s="47" t="n">
        <v>38</v>
      </c>
      <c r="B40" s="47" t="inlineStr">
        <is>
          <t>RN-INV#62</t>
        </is>
      </c>
      <c r="C40" s="103" t="n">
        <v>45984</v>
      </c>
      <c r="D40" s="49" t="n">
        <v>6315</v>
      </c>
      <c r="E40" s="47" t="inlineStr">
        <is>
          <t>WHE-2973</t>
        </is>
      </c>
      <c r="F40" s="47" t="inlineStr">
        <is>
          <t>عماد حمدي</t>
        </is>
      </c>
      <c r="G40" s="50" t="n"/>
      <c r="H40" s="50" t="n"/>
    </row>
    <row r="41">
      <c r="A41" s="47" t="n">
        <v>39</v>
      </c>
      <c r="B41" s="47" t="inlineStr">
        <is>
          <t>RN-INV#63</t>
        </is>
      </c>
      <c r="C41" s="103" t="n">
        <v>45985</v>
      </c>
      <c r="D41" s="49" t="n">
        <v>8455</v>
      </c>
      <c r="E41" s="47" t="inlineStr">
        <is>
          <t>WHT-2980</t>
        </is>
      </c>
      <c r="F41" s="47" t="inlineStr">
        <is>
          <t>عصمت الله خان</t>
        </is>
      </c>
      <c r="G41" s="50" t="n"/>
      <c r="H41" s="50" t="n"/>
    </row>
    <row r="42">
      <c r="A42" s="47" t="n">
        <v>40</v>
      </c>
      <c r="B42" s="47" t="inlineStr">
        <is>
          <t>RN-INV#64</t>
        </is>
      </c>
      <c r="C42" s="103" t="n">
        <v>45985</v>
      </c>
      <c r="D42" s="49" t="n">
        <v>4200</v>
      </c>
      <c r="E42" s="47" t="inlineStr">
        <is>
          <t>WHK-2995</t>
        </is>
      </c>
      <c r="F42" s="47" t="inlineStr">
        <is>
          <t>م/ عادل أبو خالد</t>
        </is>
      </c>
      <c r="G42" s="50" t="n"/>
      <c r="H42" s="50" t="n"/>
    </row>
    <row r="43">
      <c r="A43" s="47" t="n">
        <v>41</v>
      </c>
      <c r="B43" s="47" t="inlineStr">
        <is>
          <t>RN-INV#65</t>
        </is>
      </c>
      <c r="C43" s="103" t="n">
        <v>45986</v>
      </c>
      <c r="D43" s="49" t="n">
        <v>6210</v>
      </c>
      <c r="E43" s="47" t="inlineStr">
        <is>
          <t>WHT-2997</t>
        </is>
      </c>
      <c r="F43" s="47" t="inlineStr">
        <is>
          <t>عصمت الله خان</t>
        </is>
      </c>
      <c r="G43" s="50" t="n"/>
      <c r="H43" s="50" t="n"/>
    </row>
    <row r="44">
      <c r="A44" s="47" t="n">
        <v>42</v>
      </c>
      <c r="B44" s="47" t="inlineStr">
        <is>
          <t>RN-INV#66</t>
        </is>
      </c>
      <c r="C44" s="103" t="n">
        <v>45987</v>
      </c>
      <c r="D44" s="49" t="n">
        <v>4080</v>
      </c>
      <c r="E44" s="47" t="inlineStr">
        <is>
          <t>WHT-3009</t>
        </is>
      </c>
      <c r="F44" s="47" t="inlineStr">
        <is>
          <t>عصمت الله خان</t>
        </is>
      </c>
      <c r="G44" s="50" t="n"/>
      <c r="H44" s="50" t="n"/>
    </row>
    <row r="45">
      <c r="A45" s="47" t="n">
        <v>43</v>
      </c>
      <c r="B45" s="47" t="inlineStr">
        <is>
          <t>RN-INV#67</t>
        </is>
      </c>
      <c r="C45" s="103" t="n">
        <v>45987</v>
      </c>
      <c r="D45" s="49" t="n">
        <v>8300.5</v>
      </c>
      <c r="E45" s="47" t="inlineStr">
        <is>
          <t>WHE-3011</t>
        </is>
      </c>
      <c r="F45" s="47" t="inlineStr">
        <is>
          <t>عماد حمدي</t>
        </is>
      </c>
      <c r="G45" s="50" t="n"/>
      <c r="H45" s="50" t="n"/>
    </row>
    <row r="46">
      <c r="A46" s="47" t="n">
        <v>44</v>
      </c>
      <c r="B46" s="47" t="inlineStr">
        <is>
          <t>RN-INV#68</t>
        </is>
      </c>
      <c r="C46" s="103" t="n">
        <v>45988</v>
      </c>
      <c r="D46" s="49" t="n">
        <v>157.5</v>
      </c>
      <c r="E46" s="47" t="inlineStr">
        <is>
          <t>WHK-3029</t>
        </is>
      </c>
      <c r="F46" s="47" t="inlineStr">
        <is>
          <t>م/ عادل أبو خالد</t>
        </is>
      </c>
      <c r="G46" s="50" t="n"/>
      <c r="H46" s="50" t="n"/>
    </row>
    <row r="47">
      <c r="A47" s="47" t="n">
        <v>45</v>
      </c>
      <c r="B47" s="47" t="inlineStr">
        <is>
          <t>RN-INV#69</t>
        </is>
      </c>
      <c r="C47" s="103" t="n">
        <v>45989</v>
      </c>
      <c r="D47" s="49" t="n">
        <v>5737.5</v>
      </c>
      <c r="E47" s="47" t="inlineStr">
        <is>
          <t>WHT-3039</t>
        </is>
      </c>
      <c r="F47" s="47" t="inlineStr">
        <is>
          <t>عصمت الله خان</t>
        </is>
      </c>
      <c r="G47" s="50" t="n"/>
      <c r="H47" s="50" t="n"/>
    </row>
    <row r="48">
      <c r="A48" s="47" t="n">
        <v>46</v>
      </c>
      <c r="B48" s="47" t="inlineStr">
        <is>
          <t>RN-INV#70</t>
        </is>
      </c>
      <c r="C48" s="103" t="n">
        <v>45989</v>
      </c>
      <c r="D48" s="49" t="n">
        <v>7387.5</v>
      </c>
      <c r="E48" s="47" t="inlineStr">
        <is>
          <t>WHE-3041</t>
        </is>
      </c>
      <c r="F48" s="47" t="inlineStr">
        <is>
          <t>عماد حمدي</t>
        </is>
      </c>
      <c r="G48" s="50" t="n"/>
      <c r="H48" s="50" t="n"/>
    </row>
    <row r="49">
      <c r="A49" s="47" t="n">
        <v>47</v>
      </c>
      <c r="B49" s="47" t="inlineStr">
        <is>
          <t>RN-INV#71</t>
        </is>
      </c>
      <c r="C49" s="103" t="n">
        <v>45991</v>
      </c>
      <c r="D49" s="49" t="n">
        <v>8065</v>
      </c>
      <c r="E49" s="47" t="inlineStr">
        <is>
          <t>WHT-3053</t>
        </is>
      </c>
      <c r="F49" s="47" t="inlineStr">
        <is>
          <t>عصمت الله خان</t>
        </is>
      </c>
      <c r="G49" s="50" t="inlineStr">
        <is>
          <t>توريد من المديونية4080.25</t>
        </is>
      </c>
      <c r="H49" s="50" t="n"/>
    </row>
    <row r="50">
      <c r="A50" s="47" t="n">
        <v>48</v>
      </c>
      <c r="B50" s="47" t="inlineStr">
        <is>
          <t>RN-INV#72</t>
        </is>
      </c>
      <c r="C50" s="103" t="n">
        <v>45992</v>
      </c>
      <c r="D50" s="49" t="n">
        <v>5075</v>
      </c>
      <c r="E50" s="47" t="inlineStr">
        <is>
          <t>WHT-3074</t>
        </is>
      </c>
      <c r="F50" s="47" t="inlineStr">
        <is>
          <t>عصمت الله خان</t>
        </is>
      </c>
      <c r="G50" s="50" t="inlineStr">
        <is>
          <t>توريد من المديونية5735</t>
        </is>
      </c>
      <c r="H50" s="50" t="n"/>
    </row>
    <row r="51">
      <c r="A51" s="47" t="n">
        <v>49</v>
      </c>
      <c r="B51" s="47" t="inlineStr">
        <is>
          <t>RN-INV#73</t>
        </is>
      </c>
      <c r="C51" s="103" t="n">
        <v>45992</v>
      </c>
      <c r="D51" s="49" t="n">
        <v>8400</v>
      </c>
      <c r="E51" s="47" t="inlineStr">
        <is>
          <t>WHE-3076</t>
        </is>
      </c>
      <c r="F51" s="47" t="inlineStr">
        <is>
          <t>عماد حمدي</t>
        </is>
      </c>
      <c r="G51" s="50" t="inlineStr">
        <is>
          <t>توريد8400 ريال</t>
        </is>
      </c>
      <c r="H51" s="50" t="n"/>
    </row>
    <row r="52">
      <c r="A52" s="47" t="n">
        <v>50</v>
      </c>
      <c r="B52" s="47" t="inlineStr">
        <is>
          <t>RN-INV#74</t>
        </is>
      </c>
      <c r="C52" s="103" t="n">
        <v>45993</v>
      </c>
      <c r="D52" s="49" t="n">
        <v>6787.5</v>
      </c>
      <c r="E52" s="47" t="inlineStr">
        <is>
          <t>WHT-3090</t>
        </is>
      </c>
      <c r="F52" s="47" t="inlineStr">
        <is>
          <t>عصمت الله خان</t>
        </is>
      </c>
      <c r="G52" s="50" t="n"/>
      <c r="H52" s="50" t="n"/>
    </row>
    <row r="53">
      <c r="A53" s="47" t="n">
        <v>51</v>
      </c>
      <c r="B53" s="47" t="inlineStr">
        <is>
          <t>RN-INV#75</t>
        </is>
      </c>
      <c r="C53" s="103" t="n">
        <v>45994</v>
      </c>
      <c r="D53" s="49" t="n">
        <v>2772.5</v>
      </c>
      <c r="E53" s="47" t="inlineStr">
        <is>
          <t>WHT-3102</t>
        </is>
      </c>
      <c r="F53" s="47" t="inlineStr">
        <is>
          <t>عصمت الله خان</t>
        </is>
      </c>
      <c r="G53" s="50" t="inlineStr">
        <is>
          <t>توريد من المديونية6785 ريال</t>
        </is>
      </c>
      <c r="H53" s="50" t="n"/>
    </row>
    <row r="54">
      <c r="A54" s="47" t="n">
        <v>52</v>
      </c>
      <c r="B54" s="47" t="inlineStr">
        <is>
          <t>RN-INV#76</t>
        </is>
      </c>
      <c r="C54" s="103" t="n">
        <v>45995</v>
      </c>
      <c r="D54" s="49" t="n">
        <v>4505</v>
      </c>
      <c r="E54" s="47" t="inlineStr">
        <is>
          <t>WHT-3117</t>
        </is>
      </c>
      <c r="F54" s="47" t="inlineStr">
        <is>
          <t>عصمت الله خان</t>
        </is>
      </c>
      <c r="G54" s="50" t="inlineStr">
        <is>
          <t>توريد من المديونية2775 ريال</t>
        </is>
      </c>
      <c r="H54" s="50" t="n"/>
    </row>
    <row r="55">
      <c r="A55" s="47" t="n">
        <v>53</v>
      </c>
      <c r="B55" s="47" t="inlineStr">
        <is>
          <t>RN-INV#77</t>
        </is>
      </c>
      <c r="C55" s="103" t="n">
        <v>45996</v>
      </c>
      <c r="D55" s="49" t="n">
        <v>2880</v>
      </c>
      <c r="E55" s="47" t="inlineStr">
        <is>
          <t>WHT-3133</t>
        </is>
      </c>
      <c r="F55" s="47" t="inlineStr">
        <is>
          <t>عصمت الله خان</t>
        </is>
      </c>
      <c r="G55" s="50" t="n"/>
      <c r="H55" s="50" t="n"/>
    </row>
    <row r="56">
      <c r="A56" s="47" t="n">
        <v>54</v>
      </c>
      <c r="B56" s="47" t="inlineStr">
        <is>
          <t>RN-INV#78</t>
        </is>
      </c>
      <c r="C56" s="103" t="n">
        <v>45996</v>
      </c>
      <c r="D56" s="49" t="n">
        <v>1680</v>
      </c>
      <c r="E56" s="47" t="inlineStr">
        <is>
          <t>WHK-3135</t>
        </is>
      </c>
      <c r="F56" s="47" t="inlineStr">
        <is>
          <t>م/ عادل أبو خالد</t>
        </is>
      </c>
      <c r="G56" s="50" t="n"/>
      <c r="H56" s="50" t="n"/>
    </row>
    <row r="57">
      <c r="A57" s="47" t="n">
        <v>55</v>
      </c>
      <c r="B57" s="47" t="inlineStr">
        <is>
          <t>RN-INV#79</t>
        </is>
      </c>
      <c r="C57" s="103" t="n">
        <v>45998</v>
      </c>
      <c r="D57" s="49" t="n">
        <v>7617.5</v>
      </c>
      <c r="E57" s="47" t="inlineStr">
        <is>
          <t>WHT-3150</t>
        </is>
      </c>
      <c r="F57" s="47" t="inlineStr">
        <is>
          <t>عصمت الله خان</t>
        </is>
      </c>
      <c r="G57" s="50" t="inlineStr">
        <is>
          <t>توريد من المديونية2880 ريال</t>
        </is>
      </c>
      <c r="H57" s="50" t="n"/>
    </row>
    <row r="58">
      <c r="A58" s="47" t="n">
        <v>56</v>
      </c>
      <c r="B58" s="47" t="inlineStr">
        <is>
          <t>RN-INV#80</t>
        </is>
      </c>
      <c r="C58" s="103" t="n">
        <v>45999</v>
      </c>
      <c r="D58" s="49" t="n">
        <v>2637.5</v>
      </c>
      <c r="E58" s="47" t="inlineStr">
        <is>
          <t>WHT-3162</t>
        </is>
      </c>
      <c r="F58" s="47" t="inlineStr">
        <is>
          <t>عصمت الله خان</t>
        </is>
      </c>
      <c r="G58" s="50" t="n"/>
      <c r="H58" s="50" t="n"/>
    </row>
    <row r="59">
      <c r="A59" s="47" t="n">
        <v>57</v>
      </c>
      <c r="B59" s="47" t="inlineStr">
        <is>
          <t>RN-INV#81</t>
        </is>
      </c>
      <c r="C59" s="103" t="n">
        <v>46000</v>
      </c>
      <c r="D59" s="49" t="n">
        <v>2940</v>
      </c>
      <c r="E59" s="47" t="inlineStr">
        <is>
          <t>WHT-3173</t>
        </is>
      </c>
      <c r="F59" s="47" t="inlineStr">
        <is>
          <t>عصمت الله خان</t>
        </is>
      </c>
      <c r="G59" s="50" t="inlineStr">
        <is>
          <t>توريد من المديونية10250 ريال</t>
        </is>
      </c>
      <c r="H59" s="50" t="n"/>
    </row>
    <row r="60">
      <c r="A60" s="47" t="n">
        <v>58</v>
      </c>
      <c r="B60" s="47" t="inlineStr">
        <is>
          <t>RN-INV#82</t>
        </is>
      </c>
      <c r="C60" s="103" t="n">
        <v>46001</v>
      </c>
      <c r="D60" s="49" t="n">
        <v>2546.25</v>
      </c>
      <c r="E60" s="47" t="inlineStr">
        <is>
          <t>WHT-3197</t>
        </is>
      </c>
      <c r="F60" s="47" t="inlineStr">
        <is>
          <t>عصمت الله خان</t>
        </is>
      </c>
      <c r="G60" s="50" t="n"/>
      <c r="H60" s="50" t="n"/>
    </row>
    <row r="61">
      <c r="A61" s="47" t="n">
        <v>59</v>
      </c>
      <c r="B61" s="47" t="inlineStr">
        <is>
          <t>RN-INV#83</t>
        </is>
      </c>
      <c r="C61" s="103" t="n">
        <v>46002</v>
      </c>
      <c r="D61" s="49" t="n">
        <v>2253.75</v>
      </c>
      <c r="E61" s="47" t="inlineStr">
        <is>
          <t>WHT-3208</t>
        </is>
      </c>
      <c r="F61" s="47" t="inlineStr">
        <is>
          <t>عصمت الله خان</t>
        </is>
      </c>
      <c r="G61" s="50" t="n"/>
      <c r="H61" s="50" t="n"/>
    </row>
    <row r="62">
      <c r="A62" s="47" t="n">
        <v>60</v>
      </c>
      <c r="B62" s="47" t="inlineStr">
        <is>
          <t>RN-INV#84</t>
        </is>
      </c>
      <c r="C62" s="103" t="n">
        <v>46002</v>
      </c>
      <c r="D62" s="49" t="n">
        <v>23375</v>
      </c>
      <c r="E62" s="47" t="inlineStr">
        <is>
          <t>RNW-3210</t>
        </is>
      </c>
      <c r="F62" s="47" t="inlineStr">
        <is>
          <t>م/ عادل أبو خالد</t>
        </is>
      </c>
      <c r="G62" s="50" t="inlineStr">
        <is>
          <t>طلبية عرعر – عقد WHK-2364</t>
        </is>
      </c>
      <c r="H62" s="50" t="n"/>
    </row>
    <row r="63">
      <c r="A63" s="47" t="n">
        <v>61</v>
      </c>
      <c r="B63" s="47" t="inlineStr">
        <is>
          <t>RN-INV#85</t>
        </is>
      </c>
      <c r="C63" s="103" t="n">
        <v>46002</v>
      </c>
      <c r="D63" s="49" t="n">
        <v>10731.25</v>
      </c>
      <c r="E63" s="47" t="inlineStr">
        <is>
          <t>WHE-3212</t>
        </is>
      </c>
      <c r="F63" s="47" t="inlineStr">
        <is>
          <t>عماد حمدي</t>
        </is>
      </c>
      <c r="G63" s="50" t="inlineStr">
        <is>
          <t>توريد من المديونية10200 ريال</t>
        </is>
      </c>
      <c r="H63" s="50" t="n"/>
    </row>
    <row r="64">
      <c r="A64" s="47" t="n">
        <v>62</v>
      </c>
      <c r="B64" s="47" t="inlineStr">
        <is>
          <t>RN-INV#86</t>
        </is>
      </c>
      <c r="C64" s="103" t="n">
        <v>46003</v>
      </c>
      <c r="D64" s="49" t="n">
        <v>3075</v>
      </c>
      <c r="E64" s="47" t="inlineStr">
        <is>
          <t>WHT-3215</t>
        </is>
      </c>
      <c r="F64" s="47" t="inlineStr">
        <is>
          <t>عصمت الله خان</t>
        </is>
      </c>
      <c r="G64" s="50" t="inlineStr">
        <is>
          <t>توريد من المديونية5192.75 ريال</t>
        </is>
      </c>
      <c r="H64" s="50" t="n"/>
    </row>
    <row r="65">
      <c r="A65" s="47" t="n">
        <v>63</v>
      </c>
      <c r="B65" s="47" t="inlineStr">
        <is>
          <t>RN-INV#87</t>
        </is>
      </c>
      <c r="C65" s="103" t="n">
        <v>46005</v>
      </c>
      <c r="D65" s="49" t="n">
        <v>1728.75</v>
      </c>
      <c r="E65" s="47" t="inlineStr">
        <is>
          <t>WHT-3228</t>
        </is>
      </c>
      <c r="F65" s="47" t="inlineStr">
        <is>
          <t>عصمت الله خان</t>
        </is>
      </c>
      <c r="G65" s="50" t="inlineStr">
        <is>
          <t>توريد من المديونية5619.85 ريال</t>
        </is>
      </c>
      <c r="H65" s="50" t="n"/>
    </row>
    <row r="66">
      <c r="A66" s="47" t="n">
        <v>64</v>
      </c>
      <c r="B66" s="47" t="inlineStr">
        <is>
          <t>RN-INV#88</t>
        </is>
      </c>
      <c r="C66" s="103" t="n">
        <v>46006</v>
      </c>
      <c r="D66" s="49" t="n">
        <v>1057.5</v>
      </c>
      <c r="E66" s="47" t="inlineStr">
        <is>
          <t>WHT-3241</t>
        </is>
      </c>
      <c r="F66" s="47" t="inlineStr">
        <is>
          <t>عصمت الله خان</t>
        </is>
      </c>
      <c r="G66" s="50" t="n"/>
      <c r="H66" s="50" t="n"/>
    </row>
    <row r="67">
      <c r="A67" s="47" t="n">
        <v>65</v>
      </c>
      <c r="B67" s="47" t="inlineStr">
        <is>
          <t>RN-INV#89</t>
        </is>
      </c>
      <c r="C67" s="103" t="n">
        <v>46006</v>
      </c>
      <c r="D67" s="49" t="n">
        <v>1875</v>
      </c>
      <c r="E67" s="47" t="inlineStr">
        <is>
          <t>WHK-3243</t>
        </is>
      </c>
      <c r="F67" s="47" t="inlineStr">
        <is>
          <t>م/ عادل أبو خالد</t>
        </is>
      </c>
      <c r="G67" s="50" t="n"/>
      <c r="H67" s="50" t="n"/>
    </row>
    <row r="68">
      <c r="A68" s="47" t="n">
        <v>66</v>
      </c>
      <c r="B68" s="47" t="inlineStr">
        <is>
          <t>RN-INV#90</t>
        </is>
      </c>
      <c r="C68" s="103" t="n">
        <v>46006</v>
      </c>
      <c r="D68" s="49" t="n">
        <v>4845.5</v>
      </c>
      <c r="E68" s="47" t="inlineStr">
        <is>
          <t>WHE-3245</t>
        </is>
      </c>
      <c r="F68" s="47" t="inlineStr">
        <is>
          <t>عماد حمدي</t>
        </is>
      </c>
      <c r="G68" s="50" t="inlineStr">
        <is>
          <t>توريد من المديونية4845.5</t>
        </is>
      </c>
      <c r="H68" s="50" t="n"/>
    </row>
    <row r="69">
      <c r="A69" s="47" t="n">
        <v>67</v>
      </c>
      <c r="B69" s="47" t="inlineStr">
        <is>
          <t>RN-INV#91</t>
        </is>
      </c>
      <c r="C69" s="103" t="n">
        <v>46007</v>
      </c>
      <c r="D69" s="49" t="n">
        <v>5730</v>
      </c>
      <c r="E69" s="47" t="inlineStr">
        <is>
          <t>WHT-3253</t>
        </is>
      </c>
      <c r="F69" s="47" t="inlineStr">
        <is>
          <t>عصمت الله خان</t>
        </is>
      </c>
      <c r="G69" s="50" t="inlineStr">
        <is>
          <t>توريد من المديونية4231.54</t>
        </is>
      </c>
      <c r="H69" s="50" t="n"/>
    </row>
    <row r="70">
      <c r="A70" s="47" t="n">
        <v>68</v>
      </c>
      <c r="B70" s="47" t="inlineStr">
        <is>
          <t>RN-INV#92</t>
        </is>
      </c>
      <c r="C70" s="103" t="n">
        <v>46008</v>
      </c>
      <c r="D70" s="49" t="n">
        <v>7080</v>
      </c>
      <c r="E70" s="47" t="inlineStr">
        <is>
          <t>WHT-3266</t>
        </is>
      </c>
      <c r="F70" s="47" t="inlineStr">
        <is>
          <t>عصمت الله خان</t>
        </is>
      </c>
      <c r="G70" s="50" t="inlineStr">
        <is>
          <t>توريد من المديونية4280</t>
        </is>
      </c>
      <c r="H70" s="50" t="n"/>
    </row>
    <row r="71">
      <c r="A71" s="47" t="n">
        <v>69</v>
      </c>
      <c r="B71" s="47" t="inlineStr">
        <is>
          <t>RN-INV#93</t>
        </is>
      </c>
      <c r="C71" s="103" t="n">
        <v>46009</v>
      </c>
      <c r="D71" s="49" t="n">
        <v>1785</v>
      </c>
      <c r="E71" s="47" t="inlineStr">
        <is>
          <t>WHT-3270</t>
        </is>
      </c>
      <c r="F71" s="47" t="inlineStr">
        <is>
          <t>عصمت الله خان</t>
        </is>
      </c>
      <c r="G71" s="50" t="n"/>
      <c r="H71" s="50" t="n"/>
    </row>
    <row r="72">
      <c r="A72" s="47" t="n">
        <v>70</v>
      </c>
      <c r="B72" s="47" t="inlineStr">
        <is>
          <t>RN-INV#94</t>
        </is>
      </c>
      <c r="C72" s="103" t="n">
        <v>46009</v>
      </c>
      <c r="D72" s="49" t="n">
        <v>6818.5</v>
      </c>
      <c r="E72" s="47" t="inlineStr">
        <is>
          <t>WHE-3274</t>
        </is>
      </c>
      <c r="F72" s="47" t="inlineStr">
        <is>
          <t>عماد حمدي</t>
        </is>
      </c>
      <c r="G72" s="50" t="inlineStr">
        <is>
          <t>توريد من المديونية4300 ريال</t>
        </is>
      </c>
      <c r="H72" s="50" t="n"/>
    </row>
    <row r="73">
      <c r="A73" s="47" t="n">
        <v>71</v>
      </c>
      <c r="B73" s="47" t="inlineStr">
        <is>
          <t>RN-INV#95</t>
        </is>
      </c>
      <c r="C73" s="103" t="n">
        <v>46012</v>
      </c>
      <c r="D73" s="49" t="n">
        <v>885</v>
      </c>
      <c r="E73" s="47" t="inlineStr">
        <is>
          <t>WHT-3294</t>
        </is>
      </c>
      <c r="F73" s="47" t="inlineStr">
        <is>
          <t>عصمت الله خان</t>
        </is>
      </c>
      <c r="G73" s="50" t="inlineStr">
        <is>
          <t>توريد من المديونية1783.62 ريال</t>
        </is>
      </c>
      <c r="H73" s="50" t="n"/>
    </row>
    <row r="74">
      <c r="A74" s="47" t="n">
        <v>72</v>
      </c>
      <c r="B74" s="47" t="inlineStr">
        <is>
          <t>RN-INV#96</t>
        </is>
      </c>
      <c r="C74" s="103" t="n">
        <v>46013</v>
      </c>
      <c r="D74" s="49" t="n">
        <v>970</v>
      </c>
      <c r="E74" s="47" t="inlineStr">
        <is>
          <t>WHT-3303</t>
        </is>
      </c>
      <c r="F74" s="47" t="inlineStr">
        <is>
          <t>عصمت الله خان</t>
        </is>
      </c>
      <c r="G74" s="50" t="inlineStr">
        <is>
          <t>توريد من المديونية7076.5 ريال</t>
        </is>
      </c>
      <c r="H74" s="50" t="n"/>
    </row>
    <row r="75">
      <c r="A75" s="47" t="n">
        <v>73</v>
      </c>
      <c r="B75" s="47" t="inlineStr">
        <is>
          <t>RN-INV#97</t>
        </is>
      </c>
      <c r="C75" s="103" t="n">
        <v>46014</v>
      </c>
      <c r="D75" s="49" t="n">
        <v>615</v>
      </c>
      <c r="E75" s="47" t="inlineStr">
        <is>
          <t>WHT-3316</t>
        </is>
      </c>
      <c r="F75" s="47" t="inlineStr">
        <is>
          <t>عصمت الله خان</t>
        </is>
      </c>
      <c r="G75" s="50" t="inlineStr">
        <is>
          <t>توريد من المديونية885 ريال</t>
        </is>
      </c>
      <c r="H75" s="50" t="n"/>
    </row>
    <row r="76">
      <c r="A76" s="47" t="n">
        <v>74</v>
      </c>
      <c r="B76" s="47" t="inlineStr">
        <is>
          <t>RN-INV#98</t>
        </is>
      </c>
      <c r="C76" s="103" t="n">
        <v>46016</v>
      </c>
      <c r="D76" s="49" t="n">
        <v>1380</v>
      </c>
      <c r="E76" s="47" t="inlineStr">
        <is>
          <t>WHT-3329</t>
        </is>
      </c>
      <c r="F76" s="47" t="inlineStr">
        <is>
          <t>عصمت الله خان</t>
        </is>
      </c>
      <c r="G76" s="50" t="inlineStr">
        <is>
          <t>توريد من المديونية1583 ريال</t>
        </is>
      </c>
      <c r="H76" s="50" t="n"/>
    </row>
    <row r="77">
      <c r="A77" s="47" t="n">
        <v>75</v>
      </c>
      <c r="B77" s="47" t="inlineStr">
        <is>
          <t>RN-INV#99</t>
        </is>
      </c>
      <c r="C77" s="103" t="n">
        <v>46019</v>
      </c>
      <c r="D77" s="49" t="n">
        <v>4845</v>
      </c>
      <c r="E77" s="47" t="inlineStr">
        <is>
          <t>WHT-3355</t>
        </is>
      </c>
      <c r="F77" s="47" t="inlineStr">
        <is>
          <t>عصمت الله خان</t>
        </is>
      </c>
      <c r="G77" s="50" t="inlineStr">
        <is>
          <t>توريد من المديونية6395 ريال</t>
        </is>
      </c>
      <c r="H77" s="50" t="n"/>
    </row>
    <row r="78">
      <c r="A78" s="47" t="n">
        <v>76</v>
      </c>
      <c r="B78" s="47" t="inlineStr">
        <is>
          <t>RN-INV#100</t>
        </is>
      </c>
      <c r="C78" s="103" t="n">
        <v>46019</v>
      </c>
      <c r="D78" s="49" t="n">
        <v>22500</v>
      </c>
      <c r="E78" s="47" t="inlineStr">
        <is>
          <t>RNW-3357</t>
        </is>
      </c>
      <c r="F78" s="47" t="inlineStr">
        <is>
          <t>م/ عادل أبو خالد</t>
        </is>
      </c>
      <c r="G78" s="50" t="inlineStr">
        <is>
          <t>طلبية عرعر</t>
        </is>
      </c>
      <c r="H78" s="50" t="n"/>
    </row>
    <row r="79">
      <c r="A79" s="47" t="n">
        <v>77</v>
      </c>
      <c r="B79" s="47" t="inlineStr">
        <is>
          <t>RN-INV#101</t>
        </is>
      </c>
      <c r="C79" s="103" t="n">
        <v>46019</v>
      </c>
      <c r="D79" s="49" t="n">
        <v>1245</v>
      </c>
      <c r="E79" s="47" t="inlineStr">
        <is>
          <t>WHT-3368</t>
        </is>
      </c>
      <c r="F79" s="47" t="inlineStr">
        <is>
          <t>عصمت الله خان</t>
        </is>
      </c>
      <c r="G79" s="50" t="n"/>
      <c r="H79" s="50" t="n"/>
    </row>
    <row r="80">
      <c r="A80" s="47" t="n">
        <v>78</v>
      </c>
      <c r="B80" s="47" t="inlineStr">
        <is>
          <t>RN-INV#102</t>
        </is>
      </c>
      <c r="C80" s="103" t="n">
        <v>46021</v>
      </c>
      <c r="D80" s="49" t="n">
        <v>1132.5</v>
      </c>
      <c r="E80" s="47" t="inlineStr">
        <is>
          <t>WHT-3379</t>
        </is>
      </c>
      <c r="F80" s="47" t="inlineStr">
        <is>
          <t>عصمت الله خان</t>
        </is>
      </c>
      <c r="G80" s="50" t="inlineStr">
        <is>
          <t>توريد1133.5 ريال</t>
        </is>
      </c>
      <c r="H80" s="50" t="n"/>
    </row>
    <row r="81">
      <c r="A81" s="47" t="n">
        <v>79</v>
      </c>
      <c r="B81" s="47" t="inlineStr">
        <is>
          <t>RN-INV#103</t>
        </is>
      </c>
      <c r="C81" s="103" t="n">
        <v>46021</v>
      </c>
      <c r="D81" s="49" t="n">
        <v>505</v>
      </c>
      <c r="E81" s="47" t="inlineStr">
        <is>
          <t>WHK-3400</t>
        </is>
      </c>
      <c r="F81" s="47" t="inlineStr">
        <is>
          <t>م/ عادل أبو خالد</t>
        </is>
      </c>
      <c r="G81" s="50" t="inlineStr">
        <is>
          <t>توريد من المديونية</t>
        </is>
      </c>
      <c r="H81" s="50" t="n"/>
    </row>
    <row r="82">
      <c r="A82" s="47" t="n">
        <v>80</v>
      </c>
      <c r="B82" s="47" t="inlineStr">
        <is>
          <t>RN-INV#104</t>
        </is>
      </c>
      <c r="C82" s="103" t="n">
        <v>46021</v>
      </c>
      <c r="D82" s="49" t="n">
        <v>6097.5</v>
      </c>
      <c r="E82" s="47" t="inlineStr">
        <is>
          <t>WHE-3402</t>
        </is>
      </c>
      <c r="F82" s="47" t="inlineStr">
        <is>
          <t>عماد حمدي</t>
        </is>
      </c>
      <c r="G82" s="50" t="inlineStr">
        <is>
          <t>توريد من مديونية البيع6415 ريال</t>
        </is>
      </c>
      <c r="H82" s="50" t="n"/>
    </row>
    <row r="83">
      <c r="A83" s="47" t="n">
        <v>81</v>
      </c>
      <c r="B83" s="47" t="inlineStr">
        <is>
          <t>RN-INV#105</t>
        </is>
      </c>
      <c r="C83" s="103" t="n">
        <v>46022</v>
      </c>
      <c r="D83" s="49" t="n">
        <v>2630</v>
      </c>
      <c r="E83" s="47" t="inlineStr">
        <is>
          <t>WHT-3404</t>
        </is>
      </c>
      <c r="F83" s="47" t="inlineStr">
        <is>
          <t>عصمت الله خان</t>
        </is>
      </c>
      <c r="G83" s="50" t="n"/>
      <c r="H83" s="50" t="n"/>
    </row>
    <row r="84">
      <c r="A84" s="47" t="n">
        <v>82</v>
      </c>
      <c r="B84" s="47" t="inlineStr">
        <is>
          <t>RN-INV#106</t>
        </is>
      </c>
      <c r="C84" s="103" t="n">
        <v>46024</v>
      </c>
      <c r="D84" s="49" t="n">
        <v>6577.5</v>
      </c>
      <c r="E84" s="47" t="inlineStr">
        <is>
          <t>WHE-3424</t>
        </is>
      </c>
      <c r="F84" s="47" t="inlineStr">
        <is>
          <t>عماد حمدي</t>
        </is>
      </c>
      <c r="G84" s="50" t="inlineStr">
        <is>
          <t>توريد من المديونية6512.5</t>
        </is>
      </c>
      <c r="H84" s="50" t="n"/>
    </row>
    <row r="85">
      <c r="A85" s="47" t="n">
        <v>83</v>
      </c>
      <c r="B85" s="47" t="inlineStr">
        <is>
          <t>RN-INV#107</t>
        </is>
      </c>
      <c r="C85" s="103" t="n">
        <v>46024</v>
      </c>
      <c r="D85" s="49" t="n">
        <v>790</v>
      </c>
      <c r="E85" s="47" t="inlineStr">
        <is>
          <t>WHT-3426</t>
        </is>
      </c>
      <c r="F85" s="47" t="inlineStr">
        <is>
          <t>عصمت الله خان</t>
        </is>
      </c>
      <c r="G85" s="50" t="n"/>
      <c r="H85" s="50" t="n"/>
    </row>
    <row r="86">
      <c r="A86" s="47" t="n">
        <v>84</v>
      </c>
      <c r="B86" s="47" t="inlineStr">
        <is>
          <t>RN-INV#108</t>
        </is>
      </c>
      <c r="C86" s="103" t="n">
        <v>46026</v>
      </c>
      <c r="D86" s="49" t="n">
        <v>1412.5</v>
      </c>
      <c r="E86" s="47" t="inlineStr">
        <is>
          <t>WHT-3431</t>
        </is>
      </c>
      <c r="F86" s="47" t="inlineStr">
        <is>
          <t>عصمت الله خان</t>
        </is>
      </c>
      <c r="G86" s="50" t="inlineStr">
        <is>
          <t>توريد من المديونية1412.5</t>
        </is>
      </c>
      <c r="H86" s="50" t="n"/>
    </row>
    <row r="87">
      <c r="A87" s="47" t="n">
        <v>85</v>
      </c>
      <c r="B87" s="47" t="inlineStr">
        <is>
          <t>RN-INV#109</t>
        </is>
      </c>
      <c r="C87" s="103" t="n">
        <v>46027</v>
      </c>
      <c r="D87" s="49" t="n">
        <v>42695</v>
      </c>
      <c r="E87" s="47" t="inlineStr">
        <is>
          <t>WHT-3448</t>
        </is>
      </c>
      <c r="F87" s="47" t="inlineStr">
        <is>
          <t>عصمت الله خان</t>
        </is>
      </c>
      <c r="G87" s="50" t="n"/>
      <c r="H87" s="50" t="n"/>
    </row>
    <row r="88">
      <c r="A88" s="47" t="n">
        <v>86</v>
      </c>
      <c r="B88" s="47" t="inlineStr">
        <is>
          <t>RN-INV#110</t>
        </is>
      </c>
      <c r="C88" s="103" t="n">
        <v>46028</v>
      </c>
      <c r="D88" s="49" t="n">
        <v>1972.5</v>
      </c>
      <c r="E88" s="47" t="inlineStr">
        <is>
          <t>WHT-3464</t>
        </is>
      </c>
      <c r="F88" s="47" t="inlineStr">
        <is>
          <t>عصمت الله خان</t>
        </is>
      </c>
      <c r="G88" s="50" t="inlineStr">
        <is>
          <t>توريد من مديونية2592 ريال</t>
        </is>
      </c>
      <c r="H88" s="50" t="n"/>
    </row>
    <row r="89">
      <c r="A89" s="47" t="n">
        <v>87</v>
      </c>
      <c r="B89" s="47" t="inlineStr">
        <is>
          <t>RN-INV#111</t>
        </is>
      </c>
      <c r="C89" s="103" t="n">
        <v>46028</v>
      </c>
      <c r="D89" s="49" t="n">
        <v>8985</v>
      </c>
      <c r="E89" s="47" t="inlineStr">
        <is>
          <t>WHE-3475</t>
        </is>
      </c>
      <c r="F89" s="47" t="inlineStr">
        <is>
          <t>عماد حمدي</t>
        </is>
      </c>
      <c r="G89" s="50" t="inlineStr">
        <is>
          <t>توريد من المديونية7200 ريال</t>
        </is>
      </c>
      <c r="H89" s="50" t="n"/>
    </row>
    <row r="90">
      <c r="A90" s="47" t="n">
        <v>88</v>
      </c>
      <c r="B90" s="47" t="inlineStr">
        <is>
          <t>RN-INV#112</t>
        </is>
      </c>
      <c r="C90" s="103" t="n">
        <v>46029</v>
      </c>
      <c r="D90" s="49" t="n">
        <v>3500</v>
      </c>
      <c r="E90" s="47" t="inlineStr">
        <is>
          <t>WHT-3488</t>
        </is>
      </c>
      <c r="F90" s="47" t="inlineStr">
        <is>
          <t>عصمت الله خان</t>
        </is>
      </c>
      <c r="G90" s="50" t="inlineStr">
        <is>
          <t>توريد من المديونية3775 ريال</t>
        </is>
      </c>
      <c r="H90" s="50" t="n"/>
    </row>
    <row r="91">
      <c r="A91" s="47" t="n">
        <v>89</v>
      </c>
      <c r="B91" s="47" t="inlineStr">
        <is>
          <t>RN-INV#113</t>
        </is>
      </c>
      <c r="C91" s="103" t="n">
        <v>46030</v>
      </c>
      <c r="D91" s="49" t="n">
        <v>1095</v>
      </c>
      <c r="E91" s="47" t="inlineStr">
        <is>
          <t>WHT-3496</t>
        </is>
      </c>
      <c r="F91" s="47" t="inlineStr">
        <is>
          <t>عصمت الله خان</t>
        </is>
      </c>
      <c r="G91" s="50" t="inlineStr">
        <is>
          <t>توريد من المديونية1095 ريال</t>
        </is>
      </c>
      <c r="H91" s="50" t="n"/>
    </row>
    <row r="92">
      <c r="A92" s="47" t="n">
        <v>90</v>
      </c>
      <c r="B92" s="47" t="inlineStr">
        <is>
          <t>RN-INV#114</t>
        </is>
      </c>
      <c r="C92" s="103" t="n">
        <v>46031</v>
      </c>
      <c r="D92" s="49" t="n">
        <v>2020</v>
      </c>
      <c r="E92" s="47" t="inlineStr">
        <is>
          <t>WHT-3503</t>
        </is>
      </c>
      <c r="F92" s="47" t="inlineStr">
        <is>
          <t>عصمت الله خان</t>
        </is>
      </c>
      <c r="G92" s="50" t="n"/>
      <c r="H92" s="50" t="n"/>
    </row>
    <row r="93">
      <c r="A93" s="47" t="n">
        <v>91</v>
      </c>
      <c r="B93" s="47" t="inlineStr">
        <is>
          <t>RN-INV#115</t>
        </is>
      </c>
      <c r="C93" s="103" t="n">
        <v>46033</v>
      </c>
      <c r="D93" s="49" t="n">
        <v>2175</v>
      </c>
      <c r="E93" s="47" t="inlineStr">
        <is>
          <t>WHT-3518</t>
        </is>
      </c>
      <c r="F93" s="47" t="inlineStr">
        <is>
          <t>عصمت الله خان</t>
        </is>
      </c>
      <c r="G93" s="50" t="inlineStr">
        <is>
          <t>توريد من المديونية2175 ريال</t>
        </is>
      </c>
      <c r="H93" s="50" t="n"/>
    </row>
    <row r="94">
      <c r="A94" s="47" t="n">
        <v>92</v>
      </c>
      <c r="B94" s="47" t="inlineStr">
        <is>
          <t>RN-INV#116</t>
        </is>
      </c>
      <c r="C94" s="103" t="n">
        <v>46035</v>
      </c>
      <c r="D94" s="49" t="n">
        <v>5655</v>
      </c>
      <c r="E94" s="47" t="inlineStr">
        <is>
          <t>WHT-3543</t>
        </is>
      </c>
      <c r="F94" s="47" t="inlineStr">
        <is>
          <t>عصمت الله خان</t>
        </is>
      </c>
      <c r="G94" s="50" t="inlineStr">
        <is>
          <t>توريد من المديونية5655 ريال</t>
        </is>
      </c>
      <c r="H94" s="50" t="n"/>
    </row>
    <row r="95">
      <c r="A95" s="47" t="n">
        <v>93</v>
      </c>
      <c r="B95" s="47" t="inlineStr">
        <is>
          <t>RN-INV#117</t>
        </is>
      </c>
      <c r="C95" s="103" t="n">
        <v>46035</v>
      </c>
      <c r="D95" s="49" t="n">
        <v>2130</v>
      </c>
      <c r="E95" s="47" t="inlineStr">
        <is>
          <t>WHT-3549</t>
        </is>
      </c>
      <c r="F95" s="47" t="inlineStr">
        <is>
          <t>عصمت الله خان</t>
        </is>
      </c>
      <c r="G95" s="50" t="n"/>
      <c r="H95" s="50" t="n"/>
    </row>
    <row r="96">
      <c r="A96" s="47" t="n">
        <v>94</v>
      </c>
      <c r="B96" s="47" t="inlineStr">
        <is>
          <t>RN-INV#118</t>
        </is>
      </c>
      <c r="C96" s="103" t="n">
        <v>46036</v>
      </c>
      <c r="D96" s="49" t="n">
        <v>2250</v>
      </c>
      <c r="E96" s="47" t="inlineStr">
        <is>
          <t>WHT-3560</t>
        </is>
      </c>
      <c r="F96" s="47" t="inlineStr">
        <is>
          <t>عصمت الله خان</t>
        </is>
      </c>
      <c r="G96" s="50" t="n"/>
      <c r="H96" s="50" t="n"/>
    </row>
    <row r="97">
      <c r="A97" s="47" t="n">
        <v>95</v>
      </c>
      <c r="B97" s="47" t="inlineStr">
        <is>
          <t>RN-INV#119</t>
        </is>
      </c>
      <c r="C97" s="103" t="n">
        <v>46038</v>
      </c>
      <c r="D97" s="49" t="n">
        <v>2205</v>
      </c>
      <c r="E97" s="47" t="inlineStr">
        <is>
          <t>WHT-3568</t>
        </is>
      </c>
      <c r="F97" s="47" t="inlineStr">
        <is>
          <t>عصمت الله خان</t>
        </is>
      </c>
      <c r="G97" s="50" t="n"/>
      <c r="H97" s="50" t="n"/>
    </row>
    <row r="98">
      <c r="A98" s="47" t="n">
        <v>96</v>
      </c>
      <c r="B98" s="47" t="inlineStr">
        <is>
          <t>RN-INV#120</t>
        </is>
      </c>
      <c r="C98" s="103" t="n">
        <v>46038</v>
      </c>
      <c r="D98" s="49" t="n">
        <v>8562.5</v>
      </c>
      <c r="E98" s="47" t="inlineStr">
        <is>
          <t>WHE-3570</t>
        </is>
      </c>
      <c r="F98" s="47" t="inlineStr">
        <is>
          <t>عماد حمدي</t>
        </is>
      </c>
      <c r="G98" s="50" t="inlineStr">
        <is>
          <t>توريد من المديونية5800 ريال</t>
        </is>
      </c>
      <c r="H98" s="50" t="n"/>
    </row>
    <row r="99">
      <c r="A99" s="47" t="n">
        <v>97</v>
      </c>
      <c r="B99" s="47" t="inlineStr">
        <is>
          <t>RN-INV#121</t>
        </is>
      </c>
      <c r="C99" s="103" t="n">
        <v>46040</v>
      </c>
      <c r="D99" s="49" t="n">
        <v>3227.5</v>
      </c>
      <c r="E99" s="47" t="inlineStr">
        <is>
          <t>WHT-3580</t>
        </is>
      </c>
      <c r="F99" s="47" t="inlineStr">
        <is>
          <t>عصمت الله خان</t>
        </is>
      </c>
      <c r="G99" s="50" t="n"/>
      <c r="H99" s="50" t="n"/>
    </row>
    <row r="100">
      <c r="A100" s="47" t="n">
        <v>98</v>
      </c>
      <c r="B100" s="47" t="inlineStr">
        <is>
          <t>RN-INV#122</t>
        </is>
      </c>
      <c r="C100" s="103" t="n">
        <v>46040</v>
      </c>
      <c r="D100" s="49" t="n">
        <v>3225</v>
      </c>
      <c r="E100" s="47" t="inlineStr">
        <is>
          <t>WHT-3591</t>
        </is>
      </c>
      <c r="F100" s="47" t="inlineStr">
        <is>
          <t>عصمت الله خان</t>
        </is>
      </c>
      <c r="G100" s="50" t="n"/>
      <c r="H100" s="50" t="n"/>
    </row>
    <row r="101">
      <c r="A101" s="47" t="n">
        <v>99</v>
      </c>
      <c r="B101" s="47" t="inlineStr">
        <is>
          <t>RN-INV#123</t>
        </is>
      </c>
      <c r="C101" s="103" t="n">
        <v>46042</v>
      </c>
      <c r="D101" s="49" t="n">
        <v>2347.5</v>
      </c>
      <c r="E101" s="47" t="inlineStr">
        <is>
          <t>WHT-3603</t>
        </is>
      </c>
      <c r="F101" s="47" t="inlineStr">
        <is>
          <t>عصمت الله خان</t>
        </is>
      </c>
      <c r="G101" s="50" t="n"/>
      <c r="H101" s="50" t="n"/>
    </row>
    <row r="102">
      <c r="A102" s="47" t="n">
        <v>100</v>
      </c>
      <c r="B102" s="47" t="inlineStr">
        <is>
          <t>RN-INV#124</t>
        </is>
      </c>
      <c r="C102" s="103" t="n">
        <v>46043</v>
      </c>
      <c r="D102" s="49" t="n">
        <v>6699.5</v>
      </c>
      <c r="E102" s="47" t="inlineStr">
        <is>
          <t>WHE-3615</t>
        </is>
      </c>
      <c r="F102" s="47" t="inlineStr">
        <is>
          <t>عماد حمدي</t>
        </is>
      </c>
      <c r="G102" s="50" t="inlineStr">
        <is>
          <t>توريد من المديونية8320 ريال</t>
        </is>
      </c>
      <c r="H102" s="50" t="n"/>
    </row>
    <row r="103">
      <c r="A103" s="47" t="n">
        <v>101</v>
      </c>
      <c r="B103" s="47" t="inlineStr">
        <is>
          <t>RN-INV#125</t>
        </is>
      </c>
      <c r="C103" s="103" t="n">
        <v>46045</v>
      </c>
      <c r="D103" s="49" t="n">
        <v>3382.5</v>
      </c>
      <c r="E103" s="47" t="inlineStr">
        <is>
          <t>WHT-3623</t>
        </is>
      </c>
      <c r="F103" s="47" t="inlineStr">
        <is>
          <t>عصمت الله خان</t>
        </is>
      </c>
      <c r="G103" s="50" t="n"/>
      <c r="H103" s="50" t="n"/>
    </row>
    <row r="104">
      <c r="A104" s="47" t="n">
        <v>102</v>
      </c>
      <c r="B104" s="47" t="inlineStr">
        <is>
          <t>RN-INV#126</t>
        </is>
      </c>
      <c r="C104" s="103" t="n">
        <v>46047</v>
      </c>
      <c r="D104" s="49" t="n">
        <v>2430</v>
      </c>
      <c r="E104" s="47" t="inlineStr">
        <is>
          <t>WHT-3629</t>
        </is>
      </c>
      <c r="F104" s="47" t="inlineStr">
        <is>
          <t>عصمت الله خان</t>
        </is>
      </c>
      <c r="G104" s="50" t="inlineStr">
        <is>
          <t>توريد من المديونية2445 ريال</t>
        </is>
      </c>
      <c r="H104" s="50" t="n"/>
    </row>
    <row r="105">
      <c r="A105" s="47" t="n">
        <v>103</v>
      </c>
      <c r="B105" s="47" t="inlineStr">
        <is>
          <t>RN-INV#127</t>
        </is>
      </c>
      <c r="C105" s="103" t="n">
        <v>46048</v>
      </c>
      <c r="D105" s="49" t="n">
        <v>1852.5</v>
      </c>
      <c r="E105" s="47" t="inlineStr">
        <is>
          <t>WHT-3633</t>
        </is>
      </c>
      <c r="F105" s="47" t="inlineStr">
        <is>
          <t>عصمت الله خان</t>
        </is>
      </c>
      <c r="G105" s="50" t="n"/>
      <c r="H105" s="50" t="n"/>
    </row>
    <row r="106">
      <c r="A106" s="47" t="n">
        <v>104</v>
      </c>
      <c r="B106" s="47" t="inlineStr">
        <is>
          <t>RN-INV#128</t>
        </is>
      </c>
      <c r="C106" s="103" t="n">
        <v>46049</v>
      </c>
      <c r="D106" s="49" t="n">
        <v>2622.5</v>
      </c>
      <c r="E106" s="47" t="inlineStr">
        <is>
          <t>WHT-3654</t>
        </is>
      </c>
      <c r="F106" s="47" t="inlineStr">
        <is>
          <t>عصمت الله خان</t>
        </is>
      </c>
      <c r="G106" s="50" t="inlineStr">
        <is>
          <t>توريد من المديونية3381 ريال</t>
        </is>
      </c>
      <c r="H106" s="50" t="n"/>
    </row>
    <row r="107">
      <c r="A107" s="47" t="n">
        <v>105</v>
      </c>
      <c r="B107" s="47" t="inlineStr">
        <is>
          <t>RN-INV#129</t>
        </is>
      </c>
      <c r="C107" s="103" t="n">
        <v>46049</v>
      </c>
      <c r="D107" s="49" t="n">
        <v>4881.25</v>
      </c>
      <c r="E107" s="47" t="inlineStr">
        <is>
          <t>WHE-3657</t>
        </is>
      </c>
      <c r="F107" s="47" t="inlineStr">
        <is>
          <t>عماد حمدي</t>
        </is>
      </c>
      <c r="G107" s="50" t="inlineStr">
        <is>
          <t>توريد من المديونية4970 ريال</t>
        </is>
      </c>
      <c r="H107" s="50" t="n"/>
    </row>
    <row r="108">
      <c r="A108" s="47" t="n">
        <v>106</v>
      </c>
      <c r="B108" s="47" t="inlineStr">
        <is>
          <t>RN-INV#130</t>
        </is>
      </c>
      <c r="C108" s="103" t="n">
        <v>46049</v>
      </c>
      <c r="D108" s="49" t="n">
        <v>1172.5</v>
      </c>
      <c r="E108" s="47" t="inlineStr">
        <is>
          <t>WHT-3679</t>
        </is>
      </c>
      <c r="F108" s="47" t="inlineStr">
        <is>
          <t>عصمت الله خان</t>
        </is>
      </c>
      <c r="G108" s="50" t="n"/>
      <c r="H108" s="50" t="n"/>
    </row>
    <row r="109">
      <c r="A109" s="47" t="n">
        <v>107</v>
      </c>
      <c r="B109" s="47" t="inlineStr">
        <is>
          <t>RN-INV#131</t>
        </is>
      </c>
      <c r="C109" s="103" t="n">
        <v>46051</v>
      </c>
      <c r="D109" s="49" t="n">
        <v>6142.5</v>
      </c>
      <c r="E109" s="47" t="inlineStr">
        <is>
          <t>WHT-3687</t>
        </is>
      </c>
      <c r="F109" s="47" t="inlineStr">
        <is>
          <t>عصمت الله خان</t>
        </is>
      </c>
      <c r="G109" s="50" t="inlineStr">
        <is>
          <t>توريد من المديونية1170 ريال</t>
        </is>
      </c>
      <c r="H109" s="50" t="n"/>
    </row>
    <row r="110">
      <c r="A110" s="47" t="n">
        <v>108</v>
      </c>
      <c r="B110" s="47" t="inlineStr">
        <is>
          <t>RN-INV#132</t>
        </is>
      </c>
      <c r="C110" s="103" t="n">
        <v>46052</v>
      </c>
      <c r="D110" s="49" t="n">
        <v>2850</v>
      </c>
      <c r="E110" s="47" t="inlineStr">
        <is>
          <t>WHT-3697</t>
        </is>
      </c>
      <c r="F110" s="47" t="inlineStr">
        <is>
          <t>عصمت الله خان</t>
        </is>
      </c>
      <c r="G110" s="50" t="n"/>
      <c r="H110" s="50" t="n"/>
    </row>
    <row r="111">
      <c r="A111" s="47" t="n">
        <v>109</v>
      </c>
      <c r="B111" s="47" t="inlineStr">
        <is>
          <t>RN-INV#133</t>
        </is>
      </c>
      <c r="C111" s="103" t="n">
        <v>46054</v>
      </c>
      <c r="D111" s="49" t="n">
        <v>5397.5</v>
      </c>
      <c r="E111" s="47" t="inlineStr">
        <is>
          <t>WHT-3700</t>
        </is>
      </c>
      <c r="F111" s="47" t="inlineStr">
        <is>
          <t>عصمت الله خان</t>
        </is>
      </c>
      <c r="G111" s="50" t="inlineStr">
        <is>
          <t>توريد من المديونية5760 ريال</t>
        </is>
      </c>
      <c r="H111" s="50" t="n"/>
    </row>
    <row r="112">
      <c r="A112" s="47" t="n">
        <v>110</v>
      </c>
      <c r="B112" s="47" t="inlineStr">
        <is>
          <t>RN-INV#134</t>
        </is>
      </c>
      <c r="C112" s="103" t="n">
        <v>46054</v>
      </c>
      <c r="D112" s="49" t="n">
        <v>4311.25</v>
      </c>
      <c r="E112" s="47" t="inlineStr">
        <is>
          <t>WHE-3702</t>
        </is>
      </c>
      <c r="F112" s="47" t="inlineStr">
        <is>
          <t>عماد حمدي</t>
        </is>
      </c>
      <c r="G112" s="50" t="inlineStr">
        <is>
          <t>توريد من المديونية4790</t>
        </is>
      </c>
      <c r="H112" s="50" t="n"/>
    </row>
    <row r="113">
      <c r="A113" s="47" t="n">
        <v>111</v>
      </c>
      <c r="B113" s="47" t="inlineStr">
        <is>
          <t>RN-INV#135</t>
        </is>
      </c>
      <c r="C113" s="103" t="n">
        <v>46055</v>
      </c>
      <c r="D113" s="49" t="n">
        <v>4575</v>
      </c>
      <c r="E113" s="47" t="inlineStr">
        <is>
          <t>WHT-3716</t>
        </is>
      </c>
      <c r="F113" s="47" t="inlineStr">
        <is>
          <t>عصمت الله خان</t>
        </is>
      </c>
      <c r="G113" s="50" t="inlineStr">
        <is>
          <t>توريد من المديونية3000 ريال</t>
        </is>
      </c>
      <c r="H113" s="50" t="n"/>
    </row>
    <row r="114">
      <c r="A114" s="47" t="n">
        <v>112</v>
      </c>
      <c r="B114" s="47" t="inlineStr">
        <is>
          <t>RN-INV#136</t>
        </is>
      </c>
      <c r="C114" s="103" t="n">
        <v>46056</v>
      </c>
      <c r="D114" s="49" t="n">
        <v>4887.5</v>
      </c>
      <c r="E114" s="47" t="inlineStr">
        <is>
          <t>WHT-3732</t>
        </is>
      </c>
      <c r="F114" s="47" t="inlineStr">
        <is>
          <t>عصمت الله خان</t>
        </is>
      </c>
      <c r="G114" s="50" t="inlineStr">
        <is>
          <t>توريد من المديونية2850 ريال</t>
        </is>
      </c>
      <c r="H114" s="50" t="n"/>
    </row>
    <row r="115">
      <c r="A115" s="47" t="n">
        <v>113</v>
      </c>
      <c r="B115" s="47" t="inlineStr">
        <is>
          <t>RN-INV#137</t>
        </is>
      </c>
      <c r="C115" s="103" t="n">
        <v>46057</v>
      </c>
      <c r="D115" s="49" t="n">
        <v>3750</v>
      </c>
      <c r="E115" s="47" t="inlineStr">
        <is>
          <t>WHT-3746</t>
        </is>
      </c>
      <c r="F115" s="47" t="inlineStr">
        <is>
          <t>عصمت الله خان</t>
        </is>
      </c>
      <c r="G115" s="50" t="inlineStr">
        <is>
          <t>توريد من المديونية2710 ريال</t>
        </is>
      </c>
      <c r="H115" s="50" t="n"/>
    </row>
    <row r="116">
      <c r="A116" s="47" t="n">
        <v>114</v>
      </c>
      <c r="B116" s="47" t="inlineStr">
        <is>
          <t>RN-INV#138</t>
        </is>
      </c>
      <c r="C116" s="103" t="n">
        <v>46057</v>
      </c>
      <c r="D116" s="49" t="n">
        <v>5237.5</v>
      </c>
      <c r="E116" s="47" t="inlineStr">
        <is>
          <t>WHE-3748</t>
        </is>
      </c>
      <c r="F116" s="47" t="inlineStr">
        <is>
          <t>عماد حمدي</t>
        </is>
      </c>
      <c r="G116" s="50" t="inlineStr">
        <is>
          <t>توريد من مديونية المبيعات5237.5</t>
        </is>
      </c>
      <c r="H116" s="50" t="n"/>
    </row>
    <row r="117">
      <c r="A117" s="47" t="n">
        <v>115</v>
      </c>
      <c r="B117" s="47" t="inlineStr">
        <is>
          <t>RN-INV#139</t>
        </is>
      </c>
      <c r="C117" s="103" t="n">
        <v>46058</v>
      </c>
      <c r="D117" s="49" t="n">
        <v>5205</v>
      </c>
      <c r="E117" s="47" t="inlineStr">
        <is>
          <t>WHT-3755</t>
        </is>
      </c>
      <c r="F117" s="47" t="inlineStr">
        <is>
          <t>عصمت الله خان</t>
        </is>
      </c>
      <c r="G117" s="50" t="inlineStr">
        <is>
          <t>توريد من المديونية7268 ريال</t>
        </is>
      </c>
      <c r="H117" s="50" t="n"/>
    </row>
    <row r="118">
      <c r="A118" s="47" t="n">
        <v>116</v>
      </c>
      <c r="B118" s="47" t="inlineStr">
        <is>
          <t>RN-INV#140</t>
        </is>
      </c>
      <c r="C118" s="103" t="n">
        <v>46058</v>
      </c>
      <c r="D118" s="49" t="n">
        <v>20300</v>
      </c>
      <c r="E118" s="47" t="inlineStr">
        <is>
          <t>WHK-3758</t>
        </is>
      </c>
      <c r="F118" s="47" t="inlineStr">
        <is>
          <t>م/ عادل أبو خالد</t>
        </is>
      </c>
      <c r="G118" s="50" t="n"/>
      <c r="H118" s="50" t="n"/>
    </row>
    <row r="119">
      <c r="A119" s="47" t="n">
        <v>117</v>
      </c>
      <c r="B119" s="47" t="inlineStr">
        <is>
          <t>RN-INV#141</t>
        </is>
      </c>
      <c r="C119" s="103" t="n">
        <v>46058</v>
      </c>
      <c r="D119" s="49" t="n">
        <v>30850</v>
      </c>
      <c r="E119" s="47" t="inlineStr">
        <is>
          <t>WHK-3760</t>
        </is>
      </c>
      <c r="F119" s="47" t="inlineStr">
        <is>
          <t>م/ عادل أبو خالد</t>
        </is>
      </c>
      <c r="G119" s="50" t="n"/>
      <c r="H119" s="50" t="n"/>
    </row>
    <row r="120">
      <c r="A120" s="47" t="n">
        <v>118</v>
      </c>
      <c r="B120" s="47" t="inlineStr">
        <is>
          <t>RN-INV#142</t>
        </is>
      </c>
      <c r="C120" s="103" t="n">
        <v>46058</v>
      </c>
      <c r="D120" s="49" t="n">
        <v>7425</v>
      </c>
      <c r="E120" s="47" t="inlineStr">
        <is>
          <t>WHE-3764</t>
        </is>
      </c>
      <c r="F120" s="47" t="inlineStr">
        <is>
          <t>عماد حمدي</t>
        </is>
      </c>
      <c r="G120" s="50" t="inlineStr">
        <is>
          <t>توريد من مديونية4700 ريال</t>
        </is>
      </c>
      <c r="H120" s="50" t="n"/>
    </row>
    <row r="121">
      <c r="A121" s="47" t="n">
        <v>119</v>
      </c>
      <c r="B121" s="47" t="inlineStr">
        <is>
          <t>RN-INV#143</t>
        </is>
      </c>
      <c r="C121" s="103" t="n">
        <v>46059</v>
      </c>
      <c r="D121" s="49" t="n">
        <v>6875</v>
      </c>
      <c r="E121" s="47" t="inlineStr">
        <is>
          <t>WHT-3766</t>
        </is>
      </c>
      <c r="F121" s="47" t="inlineStr">
        <is>
          <t>عصمت الله خان</t>
        </is>
      </c>
      <c r="G121" s="50" t="n"/>
      <c r="H121" s="50" t="n"/>
    </row>
    <row r="122">
      <c r="A122" s="47" t="n">
        <v>120</v>
      </c>
      <c r="B122" s="47" t="inlineStr">
        <is>
          <t>RN-INV#144</t>
        </is>
      </c>
      <c r="C122" s="103" t="n">
        <v>46061</v>
      </c>
      <c r="D122" s="49" t="n">
        <v>5235</v>
      </c>
      <c r="E122" s="47" t="inlineStr">
        <is>
          <t>WHT-3775</t>
        </is>
      </c>
      <c r="F122" s="47" t="inlineStr">
        <is>
          <t>عصمت الله خان</t>
        </is>
      </c>
      <c r="G122" s="50" t="inlineStr">
        <is>
          <t>توريد من المديونية5205 ريال</t>
        </is>
      </c>
      <c r="H122" s="50" t="n"/>
    </row>
    <row r="123">
      <c r="A123" s="47" t="n">
        <v>121</v>
      </c>
      <c r="B123" s="47" t="inlineStr">
        <is>
          <t>RN-INV#145</t>
        </is>
      </c>
      <c r="C123" s="103" t="n">
        <v>46062</v>
      </c>
      <c r="D123" s="49" t="n">
        <v>5725</v>
      </c>
      <c r="E123" s="47" t="inlineStr">
        <is>
          <t>WHT-3782</t>
        </is>
      </c>
      <c r="F123" s="47" t="inlineStr">
        <is>
          <t>عصمت الله خان</t>
        </is>
      </c>
      <c r="G123" s="50" t="inlineStr">
        <is>
          <t>توريد من المديونية6880 ريال</t>
        </is>
      </c>
      <c r="H123" s="50" t="n"/>
    </row>
    <row r="124">
      <c r="A124" s="47" t="n">
        <v>122</v>
      </c>
      <c r="B124" s="47" t="inlineStr">
        <is>
          <t>RN-INV#146</t>
        </is>
      </c>
      <c r="C124" s="103" t="n">
        <v>46062</v>
      </c>
      <c r="D124" s="49" t="n">
        <v>6660</v>
      </c>
      <c r="E124" s="47" t="inlineStr">
        <is>
          <t>WHE-3784</t>
        </is>
      </c>
      <c r="F124" s="47" t="inlineStr">
        <is>
          <t>عماد حمدي</t>
        </is>
      </c>
      <c r="G124" s="50" t="inlineStr">
        <is>
          <t>توريد من مديونية6620 ريال</t>
        </is>
      </c>
      <c r="H124" s="50" t="n"/>
    </row>
    <row r="125">
      <c r="A125" s="47" t="n">
        <v>123</v>
      </c>
      <c r="B125" s="47" t="inlineStr">
        <is>
          <t>RN-INV#147</t>
        </is>
      </c>
      <c r="C125" s="103" t="n">
        <v>46063</v>
      </c>
      <c r="D125" s="49" t="n">
        <v>6900</v>
      </c>
      <c r="E125" s="47" t="inlineStr">
        <is>
          <t>WHT-3786</t>
        </is>
      </c>
      <c r="F125" s="47" t="inlineStr">
        <is>
          <t>عصمت الله خان</t>
        </is>
      </c>
      <c r="G125" s="50" t="inlineStr">
        <is>
          <t>توريد من المديونية5230 ريال</t>
        </is>
      </c>
      <c r="H125" s="50" t="n"/>
    </row>
    <row r="126">
      <c r="A126" s="47" t="n">
        <v>124</v>
      </c>
      <c r="B126" s="47" t="inlineStr">
        <is>
          <t>RN-INV#148</t>
        </is>
      </c>
      <c r="C126" s="103" t="n">
        <v>46064</v>
      </c>
      <c r="D126" s="49" t="n">
        <v>4472.5</v>
      </c>
      <c r="E126" s="47" t="inlineStr">
        <is>
          <t>WHT-3804</t>
        </is>
      </c>
      <c r="F126" s="47" t="inlineStr">
        <is>
          <t>عصمت الله خان</t>
        </is>
      </c>
      <c r="G126" s="50" t="inlineStr">
        <is>
          <t>توريد من مديونية5725 ريال</t>
        </is>
      </c>
      <c r="H126" s="50" t="n"/>
    </row>
    <row r="127">
      <c r="A127" s="47" t="n">
        <v>125</v>
      </c>
      <c r="B127" s="47" t="inlineStr">
        <is>
          <t>RN-INV#149</t>
        </is>
      </c>
      <c r="C127" s="103" t="n">
        <v>46064</v>
      </c>
      <c r="D127" s="49" t="n">
        <v>3125</v>
      </c>
      <c r="E127" s="47" t="inlineStr">
        <is>
          <t>WHK-3809</t>
        </is>
      </c>
      <c r="F127" s="47" t="inlineStr">
        <is>
          <t>م/ عادل أبو خالد</t>
        </is>
      </c>
      <c r="G127" s="50" t="n"/>
      <c r="H127" s="50" t="n"/>
    </row>
    <row r="128">
      <c r="A128" s="47" t="n">
        <v>126</v>
      </c>
      <c r="B128" s="47" t="inlineStr">
        <is>
          <t>RN-INV#150</t>
        </is>
      </c>
      <c r="C128" s="103" t="n">
        <v>46064</v>
      </c>
      <c r="D128" s="49" t="n">
        <v>6267.5</v>
      </c>
      <c r="E128" s="47" t="inlineStr">
        <is>
          <t>WHT-3814</t>
        </is>
      </c>
      <c r="F128" s="47" t="inlineStr">
        <is>
          <t>عصمت الله خان</t>
        </is>
      </c>
      <c r="G128" s="50" t="n"/>
      <c r="H128" s="50" t="n"/>
    </row>
    <row r="129">
      <c r="A129" s="47" t="n">
        <v>127</v>
      </c>
      <c r="B129" s="47" t="inlineStr">
        <is>
          <t>RN-INV#151</t>
        </is>
      </c>
      <c r="C129" s="103" t="n">
        <v>46065</v>
      </c>
      <c r="D129" s="49" t="n">
        <v>5862.5</v>
      </c>
      <c r="E129" s="47" t="inlineStr">
        <is>
          <t>WHT-3828</t>
        </is>
      </c>
      <c r="F129" s="47" t="inlineStr">
        <is>
          <t>عصمت الله خان</t>
        </is>
      </c>
      <c r="G129" s="50" t="n"/>
      <c r="H129" s="50" t="n"/>
    </row>
    <row r="130">
      <c r="A130" s="47" t="n">
        <v>128</v>
      </c>
      <c r="B130" s="47" t="inlineStr">
        <is>
          <t>RN-INV#152</t>
        </is>
      </c>
      <c r="C130" s="103" t="n">
        <v>46066</v>
      </c>
      <c r="D130" s="49" t="n">
        <v>4628.75</v>
      </c>
      <c r="E130" s="47" t="inlineStr">
        <is>
          <t>WHE-3834</t>
        </is>
      </c>
      <c r="F130" s="47" t="inlineStr">
        <is>
          <t>عماد حمدي</t>
        </is>
      </c>
      <c r="G130" s="50" t="inlineStr">
        <is>
          <t>توريد من المديونية3000 ريال</t>
        </is>
      </c>
      <c r="H130" s="50" t="n"/>
    </row>
    <row r="131">
      <c r="A131" s="51" t="n">
        <v>129</v>
      </c>
      <c r="B131" s="51" t="inlineStr">
        <is>
          <t>RN-INV#153</t>
        </is>
      </c>
      <c r="C131" s="104" t="n">
        <v>46067</v>
      </c>
      <c r="D131" s="53" t="n">
        <v>7380</v>
      </c>
      <c r="E131" s="51" t="inlineStr">
        <is>
          <t>WHT-</t>
        </is>
      </c>
      <c r="F131" s="51" t="inlineStr">
        <is>
          <t>عصمت الله خان</t>
        </is>
      </c>
      <c r="G131" s="54" t="inlineStr">
        <is>
          <t>توريد من مديونية6270 ريال</t>
        </is>
      </c>
      <c r="H131" s="54" t="inlineStr">
        <is>
          <t>رقم العقد غير مكتوب في الفاتورة</t>
        </is>
      </c>
    </row>
    <row r="132">
      <c r="A132" s="47" t="n">
        <v>130</v>
      </c>
      <c r="B132" s="47" t="inlineStr">
        <is>
          <t>RN-INV#154</t>
        </is>
      </c>
      <c r="C132" s="103" t="n">
        <v>46068</v>
      </c>
      <c r="D132" s="49" t="n">
        <v>9600</v>
      </c>
      <c r="E132" s="47" t="inlineStr">
        <is>
          <t>WHE-3842</t>
        </is>
      </c>
      <c r="F132" s="47" t="inlineStr">
        <is>
          <t>عماد حمدي</t>
        </is>
      </c>
      <c r="G132" s="50" t="inlineStr">
        <is>
          <t>توريد من المديونية9600 ريال</t>
        </is>
      </c>
      <c r="H132" s="50" t="n"/>
    </row>
    <row r="133">
      <c r="A133" s="47" t="n">
        <v>131</v>
      </c>
      <c r="B133" s="47" t="inlineStr">
        <is>
          <t>RN-INV#155</t>
        </is>
      </c>
      <c r="C133" s="103" t="n">
        <v>46069</v>
      </c>
      <c r="D133" s="49" t="n">
        <v>5520</v>
      </c>
      <c r="E133" s="47" t="inlineStr">
        <is>
          <t>WHT-3851</t>
        </is>
      </c>
      <c r="F133" s="47" t="inlineStr">
        <is>
          <t>عصمت الله خان</t>
        </is>
      </c>
      <c r="G133" s="50" t="inlineStr">
        <is>
          <t>توريد من المديونية4615 ريال</t>
        </is>
      </c>
      <c r="H133" s="50" t="n"/>
    </row>
    <row r="134">
      <c r="A134" s="51" t="n">
        <v>132</v>
      </c>
      <c r="B134" s="51" t="inlineStr">
        <is>
          <t>RN-INV#156</t>
        </is>
      </c>
      <c r="C134" s="104" t="n">
        <v>46070</v>
      </c>
      <c r="D134" s="53" t="n">
        <v>5448.75</v>
      </c>
      <c r="E134" s="51" t="inlineStr">
        <is>
          <t>WHT-</t>
        </is>
      </c>
      <c r="F134" s="51" t="inlineStr">
        <is>
          <t>عصمت الله خان</t>
        </is>
      </c>
      <c r="G134" s="54" t="inlineStr">
        <is>
          <t>توريد من المديونية5235 رايل</t>
        </is>
      </c>
      <c r="H134" s="54" t="inlineStr">
        <is>
          <t>رقم العقد غير مكتوب في الفاتورة</t>
        </is>
      </c>
    </row>
    <row r="135">
      <c r="A135" s="47" t="n">
        <v>133</v>
      </c>
      <c r="B135" s="47" t="inlineStr">
        <is>
          <t>RN-INV#157</t>
        </is>
      </c>
      <c r="C135" s="103" t="n">
        <v>46070</v>
      </c>
      <c r="D135" s="49" t="n">
        <v>6536.25</v>
      </c>
      <c r="E135" s="47" t="inlineStr">
        <is>
          <t>WHT-3864</t>
        </is>
      </c>
      <c r="F135" s="47" t="inlineStr">
        <is>
          <t>عصمت الله خان</t>
        </is>
      </c>
      <c r="G135" s="50" t="inlineStr">
        <is>
          <t>توريد من المديونية5520 ريال</t>
        </is>
      </c>
      <c r="H135" s="50" t="n"/>
    </row>
    <row r="136">
      <c r="A136" s="47" t="n">
        <v>134</v>
      </c>
      <c r="B136" s="47" t="inlineStr">
        <is>
          <t>RN-INV#158</t>
        </is>
      </c>
      <c r="C136" s="103" t="n">
        <v>46071</v>
      </c>
      <c r="D136" s="49" t="n">
        <v>5768.75</v>
      </c>
      <c r="E136" s="47" t="inlineStr">
        <is>
          <t>WHE-3869</t>
        </is>
      </c>
      <c r="F136" s="47" t="inlineStr">
        <is>
          <t>عماد حمدي</t>
        </is>
      </c>
      <c r="G136" s="50" t="inlineStr">
        <is>
          <t>توريد من المديونية4800 ريال</t>
        </is>
      </c>
      <c r="H136" s="50" t="n"/>
    </row>
    <row r="137">
      <c r="A137" s="47" t="n">
        <v>135</v>
      </c>
      <c r="B137" s="47" t="inlineStr">
        <is>
          <t>RN-INV#159</t>
        </is>
      </c>
      <c r="C137" s="103" t="n">
        <v>46072</v>
      </c>
      <c r="D137" s="49" t="n">
        <v>4275</v>
      </c>
      <c r="E137" s="47" t="inlineStr">
        <is>
          <t>WHT-3875</t>
        </is>
      </c>
      <c r="F137" s="47" t="inlineStr">
        <is>
          <t>عصمت الله خان</t>
        </is>
      </c>
      <c r="G137" s="50" t="n"/>
      <c r="H137" s="50" t="n"/>
    </row>
    <row r="138">
      <c r="A138" s="51" t="n">
        <v>136</v>
      </c>
      <c r="B138" s="51" t="inlineStr">
        <is>
          <t>RN-INV#160</t>
        </is>
      </c>
      <c r="C138" s="104" t="n">
        <v>46072</v>
      </c>
      <c r="D138" s="53" t="n">
        <v>2012.5</v>
      </c>
      <c r="E138" s="51" t="inlineStr">
        <is>
          <t>WHK-</t>
        </is>
      </c>
      <c r="F138" s="51" t="inlineStr">
        <is>
          <t>م/ عادل أبو خالد</t>
        </is>
      </c>
      <c r="G138" s="54" t="n"/>
      <c r="H138" s="54" t="inlineStr">
        <is>
          <t>اسم المندوب غير مكتمل في الفاتورة ("م -") – تم افتراضه من بادئة العقد | رقم العقد غير مكتوب في الفاتورة</t>
        </is>
      </c>
    </row>
    <row r="139">
      <c r="A139" s="47" t="n">
        <v>137</v>
      </c>
      <c r="B139" s="47" t="inlineStr">
        <is>
          <t>RN-INV#161</t>
        </is>
      </c>
      <c r="C139" s="103" t="n">
        <v>46073</v>
      </c>
      <c r="D139" s="49" t="n">
        <v>5175</v>
      </c>
      <c r="E139" s="47" t="inlineStr">
        <is>
          <t>WHT-3885</t>
        </is>
      </c>
      <c r="F139" s="47" t="inlineStr">
        <is>
          <t>عصمت الله خان</t>
        </is>
      </c>
      <c r="G139" s="50" t="inlineStr">
        <is>
          <t>توريد من المديونية8500 ريال</t>
        </is>
      </c>
      <c r="H139" s="50" t="n"/>
    </row>
    <row r="140">
      <c r="A140" s="47" t="n">
        <v>138</v>
      </c>
      <c r="B140" s="47" t="inlineStr">
        <is>
          <t>RN-INV#162</t>
        </is>
      </c>
      <c r="C140" s="103" t="n">
        <v>46075</v>
      </c>
      <c r="D140" s="49" t="n">
        <v>4030</v>
      </c>
      <c r="E140" s="47" t="inlineStr">
        <is>
          <t>WHT-3905</t>
        </is>
      </c>
      <c r="F140" s="47" t="inlineStr">
        <is>
          <t>عصمت الله خان</t>
        </is>
      </c>
      <c r="G140" s="50" t="inlineStr">
        <is>
          <t>توريد من المديونية4025 ريال</t>
        </is>
      </c>
      <c r="H140" s="50" t="n"/>
    </row>
    <row r="141">
      <c r="A141" s="47" t="n">
        <v>139</v>
      </c>
      <c r="B141" s="47" t="inlineStr">
        <is>
          <t>RN-INV#163</t>
        </is>
      </c>
      <c r="C141" s="103" t="n">
        <v>46076</v>
      </c>
      <c r="D141" s="49" t="n">
        <v>2787.5</v>
      </c>
      <c r="E141" s="47" t="inlineStr">
        <is>
          <t>WHT-3909</t>
        </is>
      </c>
      <c r="F141" s="47" t="inlineStr">
        <is>
          <t>عصمت الله خان</t>
        </is>
      </c>
      <c r="G141" s="50" t="inlineStr">
        <is>
          <t>توريد من المديونية3540 ريال</t>
        </is>
      </c>
      <c r="H141" s="50" t="n"/>
    </row>
    <row r="142">
      <c r="A142" s="47" t="n">
        <v>140</v>
      </c>
      <c r="B142" s="47" t="inlineStr">
        <is>
          <t>RN-INV#164</t>
        </is>
      </c>
      <c r="C142" s="103" t="n">
        <v>46076</v>
      </c>
      <c r="D142" s="49" t="n">
        <v>4952.5</v>
      </c>
      <c r="E142" s="47" t="inlineStr">
        <is>
          <t>WHE-3912</t>
        </is>
      </c>
      <c r="F142" s="47" t="inlineStr">
        <is>
          <t>عماد حمدي</t>
        </is>
      </c>
      <c r="G142" s="50" t="n"/>
      <c r="H142" s="50" t="n"/>
    </row>
    <row r="143">
      <c r="A143" s="47" t="n">
        <v>141</v>
      </c>
      <c r="B143" s="47" t="inlineStr">
        <is>
          <t>RN-INV#165</t>
        </is>
      </c>
      <c r="C143" s="103" t="n">
        <v>46084</v>
      </c>
      <c r="D143" s="49" t="n">
        <v>3787.5</v>
      </c>
      <c r="E143" s="47" t="inlineStr">
        <is>
          <t>WHT-3918</t>
        </is>
      </c>
      <c r="F143" s="47" t="inlineStr">
        <is>
          <t>عصمت الله خان</t>
        </is>
      </c>
      <c r="G143" s="50" t="n"/>
      <c r="H143" s="50" t="n"/>
    </row>
    <row r="144">
      <c r="A144" s="47" t="n">
        <v>142</v>
      </c>
      <c r="B144" s="47" t="inlineStr">
        <is>
          <t>RN-INV#166</t>
        </is>
      </c>
      <c r="C144" s="103" t="n">
        <v>46084</v>
      </c>
      <c r="D144" s="49" t="n">
        <v>6862.5</v>
      </c>
      <c r="E144" s="47" t="inlineStr">
        <is>
          <t>WHK-3923</t>
        </is>
      </c>
      <c r="F144" s="47" t="inlineStr">
        <is>
          <t>م/ عادل أبو خالد</t>
        </is>
      </c>
      <c r="G144" s="50" t="n"/>
      <c r="H144" s="50" t="n"/>
    </row>
    <row r="145">
      <c r="A145" s="47" t="n">
        <v>143</v>
      </c>
      <c r="B145" s="47" t="inlineStr">
        <is>
          <t>RN-INV#167</t>
        </is>
      </c>
      <c r="C145" s="103" t="n">
        <v>46084</v>
      </c>
      <c r="D145" s="49" t="n">
        <v>2020</v>
      </c>
      <c r="E145" s="47" t="inlineStr">
        <is>
          <t>WHT-3924</t>
        </is>
      </c>
      <c r="F145" s="47" t="inlineStr">
        <is>
          <t>عصمت الله خان</t>
        </is>
      </c>
      <c r="G145" s="50" t="inlineStr">
        <is>
          <t>توريد من المديونية5000 ريال</t>
        </is>
      </c>
      <c r="H145" s="50" t="n"/>
    </row>
    <row r="146">
      <c r="A146" s="47" t="n">
        <v>144</v>
      </c>
      <c r="B146" s="47" t="inlineStr">
        <is>
          <t>RN-INV#168</t>
        </is>
      </c>
      <c r="C146" s="103" t="n">
        <v>46084</v>
      </c>
      <c r="D146" s="49" t="n">
        <v>5331.25</v>
      </c>
      <c r="E146" s="47" t="inlineStr">
        <is>
          <t>WHE-3936</t>
        </is>
      </c>
      <c r="F146" s="47" t="inlineStr">
        <is>
          <t>عماد حمدي</t>
        </is>
      </c>
      <c r="G146" s="50" t="n"/>
      <c r="H146" s="50" t="n"/>
    </row>
    <row r="147">
      <c r="A147" s="47" t="n">
        <v>145</v>
      </c>
      <c r="B147" s="47" t="inlineStr">
        <is>
          <t>RN-INV#169</t>
        </is>
      </c>
      <c r="C147" s="103" t="n">
        <v>46084</v>
      </c>
      <c r="D147" s="49" t="n">
        <v>2790</v>
      </c>
      <c r="E147" s="47" t="inlineStr">
        <is>
          <t>WHT-3934</t>
        </is>
      </c>
      <c r="F147" s="47" t="inlineStr">
        <is>
          <t>عصمت الله خان</t>
        </is>
      </c>
      <c r="G147" s="50" t="n"/>
      <c r="H147" s="50" t="n"/>
    </row>
    <row r="148">
      <c r="A148" s="47" t="n">
        <v>146</v>
      </c>
      <c r="B148" s="47" t="inlineStr">
        <is>
          <t>RN-INV#170</t>
        </is>
      </c>
      <c r="C148" s="103" t="n">
        <v>46084</v>
      </c>
      <c r="D148" s="49" t="n">
        <v>2575</v>
      </c>
      <c r="E148" s="47" t="inlineStr">
        <is>
          <t>WHT-3946</t>
        </is>
      </c>
      <c r="F148" s="47" t="inlineStr">
        <is>
          <t>عصمت الله خان</t>
        </is>
      </c>
      <c r="G148" s="50" t="inlineStr">
        <is>
          <t>توريد من المديونية2500 ريال</t>
        </is>
      </c>
      <c r="H148" s="50" t="n"/>
    </row>
    <row r="149">
      <c r="A149" s="47" t="n">
        <v>147</v>
      </c>
      <c r="B149" s="47" t="inlineStr">
        <is>
          <t>RN-INV#171</t>
        </is>
      </c>
      <c r="C149" s="103" t="n">
        <v>46084</v>
      </c>
      <c r="D149" s="49" t="n">
        <v>3205</v>
      </c>
      <c r="E149" s="47" t="inlineStr">
        <is>
          <t>WHT-3951</t>
        </is>
      </c>
      <c r="F149" s="47" t="inlineStr">
        <is>
          <t>عصمت الله خان</t>
        </is>
      </c>
      <c r="G149" s="50" t="inlineStr">
        <is>
          <t>توريد من المديونية5000 ريال</t>
        </is>
      </c>
      <c r="H149" s="50" t="n"/>
    </row>
    <row r="150">
      <c r="A150" s="47" t="n">
        <v>148</v>
      </c>
      <c r="B150" s="47" t="inlineStr">
        <is>
          <t>RN-INV#172</t>
        </is>
      </c>
      <c r="C150" s="103" t="n">
        <v>46084</v>
      </c>
      <c r="D150" s="49" t="n">
        <v>1665</v>
      </c>
      <c r="E150" s="47" t="inlineStr">
        <is>
          <t>WHT-3955</t>
        </is>
      </c>
      <c r="F150" s="47" t="inlineStr">
        <is>
          <t>عصمت الله خان</t>
        </is>
      </c>
      <c r="G150" s="50" t="n"/>
      <c r="H150" s="50" t="n"/>
    </row>
    <row r="151">
      <c r="A151" s="47" t="n">
        <v>149</v>
      </c>
      <c r="B151" s="47" t="inlineStr">
        <is>
          <t>RN-INV#173</t>
        </is>
      </c>
      <c r="C151" s="103" t="n">
        <v>46085</v>
      </c>
      <c r="D151" s="49" t="n">
        <v>5463.75</v>
      </c>
      <c r="E151" s="47" t="inlineStr">
        <is>
          <t>WHE-3962</t>
        </is>
      </c>
      <c r="F151" s="47" t="inlineStr">
        <is>
          <t>عماد حمدي</t>
        </is>
      </c>
      <c r="G151" s="50" t="n"/>
      <c r="H151" s="50" t="n"/>
    </row>
    <row r="152">
      <c r="A152" s="47" t="n">
        <v>150</v>
      </c>
      <c r="B152" s="47" t="inlineStr">
        <is>
          <t>RN-INV#174</t>
        </is>
      </c>
      <c r="C152" s="103" t="n">
        <v>46085</v>
      </c>
      <c r="D152" s="49" t="n">
        <v>2700</v>
      </c>
      <c r="E152" s="47" t="inlineStr">
        <is>
          <t>WHK-3963</t>
        </is>
      </c>
      <c r="F152" s="47" t="inlineStr">
        <is>
          <t>م/ عادل أبو خالد</t>
        </is>
      </c>
      <c r="G152" s="50" t="n"/>
      <c r="H152" s="50" t="n"/>
    </row>
    <row r="153">
      <c r="A153" s="47" t="n">
        <v>151</v>
      </c>
      <c r="B153" s="47" t="inlineStr">
        <is>
          <t>RN-INV#175</t>
        </is>
      </c>
      <c r="C153" s="103" t="n">
        <v>46086</v>
      </c>
      <c r="D153" s="49" t="n">
        <v>1320</v>
      </c>
      <c r="E153" s="47" t="inlineStr">
        <is>
          <t>WHT-3966</t>
        </is>
      </c>
      <c r="F153" s="47" t="inlineStr">
        <is>
          <t>عصمت الله خان</t>
        </is>
      </c>
      <c r="G153" s="50" t="n"/>
      <c r="H153" s="50" t="n"/>
    </row>
    <row r="154">
      <c r="A154" s="47" t="n">
        <v>152</v>
      </c>
      <c r="B154" s="47" t="inlineStr">
        <is>
          <t>RN-INV#176</t>
        </is>
      </c>
      <c r="C154" s="103" t="n">
        <v>46088</v>
      </c>
      <c r="D154" s="49" t="n">
        <v>1910</v>
      </c>
      <c r="E154" s="47" t="inlineStr">
        <is>
          <t>WHT-3968</t>
        </is>
      </c>
      <c r="F154" s="47" t="inlineStr">
        <is>
          <t>عصمت الله خان</t>
        </is>
      </c>
      <c r="G154" s="50" t="inlineStr">
        <is>
          <t>توريد من المديونية3000 ريال</t>
        </is>
      </c>
      <c r="H154" s="50" t="n"/>
    </row>
    <row r="155">
      <c r="A155" s="47" t="n">
        <v>153</v>
      </c>
      <c r="B155" s="47" t="inlineStr">
        <is>
          <t>RN-INV#177</t>
        </is>
      </c>
      <c r="C155" s="103" t="n">
        <v>46089</v>
      </c>
      <c r="D155" s="49" t="n">
        <v>2537.5</v>
      </c>
      <c r="E155" s="47" t="inlineStr">
        <is>
          <t>WHT-3978</t>
        </is>
      </c>
      <c r="F155" s="47" t="inlineStr">
        <is>
          <t>عصمت الله خان</t>
        </is>
      </c>
      <c r="G155" s="50" t="inlineStr">
        <is>
          <t>توريد من المديونية3755 ريال</t>
        </is>
      </c>
      <c r="H155" s="50" t="n"/>
    </row>
    <row r="156">
      <c r="A156" s="47" t="n">
        <v>154</v>
      </c>
      <c r="B156" s="47" t="inlineStr">
        <is>
          <t>RN-INV#178</t>
        </is>
      </c>
      <c r="C156" s="103" t="n">
        <v>46090</v>
      </c>
      <c r="D156" s="49" t="n">
        <v>1762.5</v>
      </c>
      <c r="E156" s="47" t="inlineStr">
        <is>
          <t>WHT-3988</t>
        </is>
      </c>
      <c r="F156" s="47" t="inlineStr">
        <is>
          <t>عصمت الله خان</t>
        </is>
      </c>
      <c r="G156" s="50" t="inlineStr">
        <is>
          <t>توريد من المديونية3000 ريال</t>
        </is>
      </c>
      <c r="H156" s="50" t="n"/>
    </row>
    <row r="157">
      <c r="A157" s="47" t="n">
        <v>155</v>
      </c>
      <c r="B157" s="47" t="inlineStr">
        <is>
          <t>RN-INV#179</t>
        </is>
      </c>
      <c r="C157" s="103" t="n">
        <v>46090</v>
      </c>
      <c r="D157" s="49" t="n">
        <v>6240</v>
      </c>
      <c r="E157" s="47" t="inlineStr">
        <is>
          <t>WHE-3990</t>
        </is>
      </c>
      <c r="F157" s="47" t="inlineStr">
        <is>
          <t>عماد حمدي</t>
        </is>
      </c>
      <c r="G157" s="50" t="inlineStr">
        <is>
          <t>توريد من المديونية4000 ريال</t>
        </is>
      </c>
      <c r="H157" s="50" t="n"/>
    </row>
    <row r="158">
      <c r="A158" s="47" t="n">
        <v>156</v>
      </c>
      <c r="B158" s="47" t="inlineStr">
        <is>
          <t>RN-INV#180</t>
        </is>
      </c>
      <c r="C158" s="103" t="n">
        <v>46091</v>
      </c>
      <c r="D158" s="49" t="n">
        <v>1261.25</v>
      </c>
      <c r="E158" s="47" t="inlineStr">
        <is>
          <t>WHT-3993</t>
        </is>
      </c>
      <c r="F158" s="47" t="inlineStr">
        <is>
          <t>عصمت الله خان</t>
        </is>
      </c>
      <c r="G158" s="50" t="n"/>
      <c r="H158" s="50" t="n"/>
    </row>
    <row r="159">
      <c r="A159" s="47" t="n">
        <v>157</v>
      </c>
      <c r="B159" s="47" t="inlineStr">
        <is>
          <t>RN-INV#181</t>
        </is>
      </c>
      <c r="C159" s="103" t="n">
        <v>46092</v>
      </c>
      <c r="D159" s="49" t="n">
        <v>3133.75</v>
      </c>
      <c r="E159" s="47" t="inlineStr">
        <is>
          <t>WHT-3999</t>
        </is>
      </c>
      <c r="F159" s="47" t="inlineStr">
        <is>
          <t>عصمت الله خان</t>
        </is>
      </c>
      <c r="G159" s="50" t="inlineStr">
        <is>
          <t>توريد من المديونية4800 ريال</t>
        </is>
      </c>
      <c r="H159" s="50" t="n"/>
    </row>
    <row r="160">
      <c r="A160" s="47" t="n">
        <v>158</v>
      </c>
      <c r="B160" s="47" t="inlineStr">
        <is>
          <t>RN-INV#182</t>
        </is>
      </c>
      <c r="C160" s="103" t="n">
        <v>46093</v>
      </c>
      <c r="D160" s="49" t="n">
        <v>1870</v>
      </c>
      <c r="E160" s="47" t="inlineStr">
        <is>
          <t>WHT-4010</t>
        </is>
      </c>
      <c r="F160" s="47" t="inlineStr">
        <is>
          <t>عصمت الله خان</t>
        </is>
      </c>
      <c r="G160" s="50" t="inlineStr">
        <is>
          <t>توريد من المديونية2000 ريال</t>
        </is>
      </c>
      <c r="H160" s="50" t="n"/>
    </row>
    <row r="161">
      <c r="A161" s="47" t="n">
        <v>159</v>
      </c>
      <c r="B161" s="47" t="inlineStr">
        <is>
          <t>RN-INV#183</t>
        </is>
      </c>
      <c r="C161" s="103" t="n">
        <v>46095</v>
      </c>
      <c r="D161" s="49" t="n">
        <v>2212.5</v>
      </c>
      <c r="E161" s="47" t="inlineStr">
        <is>
          <t>WHT-4015</t>
        </is>
      </c>
      <c r="F161" s="47" t="inlineStr">
        <is>
          <t>عصمت الله خان</t>
        </is>
      </c>
      <c r="G161" s="50" t="n"/>
      <c r="H161" s="50" t="n"/>
    </row>
    <row r="162">
      <c r="A162" s="47" t="n">
        <v>160</v>
      </c>
      <c r="B162" s="47" t="inlineStr">
        <is>
          <t>RN-INV#184</t>
        </is>
      </c>
      <c r="C162" s="103" t="n">
        <v>46095</v>
      </c>
      <c r="D162" s="49" t="n">
        <v>6700</v>
      </c>
      <c r="E162" s="47" t="inlineStr">
        <is>
          <t>WHE-4016</t>
        </is>
      </c>
      <c r="F162" s="47" t="inlineStr">
        <is>
          <t>عماد حمدي</t>
        </is>
      </c>
      <c r="G162" s="50" t="n"/>
      <c r="H162" s="50" t="n"/>
    </row>
    <row r="163">
      <c r="A163" s="47" t="n">
        <v>161</v>
      </c>
      <c r="B163" s="47" t="inlineStr">
        <is>
          <t>RN-INV#185</t>
        </is>
      </c>
      <c r="C163" s="103" t="n">
        <v>46096</v>
      </c>
      <c r="D163" s="49" t="n">
        <v>3240</v>
      </c>
      <c r="E163" s="47" t="inlineStr">
        <is>
          <t>WHT-4018</t>
        </is>
      </c>
      <c r="F163" s="47" t="inlineStr">
        <is>
          <t>عصمت الله خان</t>
        </is>
      </c>
      <c r="G163" s="50" t="inlineStr">
        <is>
          <t>توريد من المديونية3505 ريال</t>
        </is>
      </c>
      <c r="H163" s="50" t="n"/>
    </row>
    <row r="164">
      <c r="A164" s="47" t="n">
        <v>162</v>
      </c>
      <c r="B164" s="47" t="inlineStr">
        <is>
          <t>RN-INV#186</t>
        </is>
      </c>
      <c r="C164" s="103" t="n">
        <v>46097</v>
      </c>
      <c r="D164" s="49" t="n">
        <v>2180</v>
      </c>
      <c r="E164" s="47" t="inlineStr">
        <is>
          <t>WHT-4022</t>
        </is>
      </c>
      <c r="F164" s="47" t="inlineStr">
        <is>
          <t>عصمت الله خان</t>
        </is>
      </c>
      <c r="G164" s="50" t="n"/>
      <c r="H164" s="50" t="n"/>
    </row>
    <row r="165">
      <c r="A165" s="47" t="n">
        <v>163</v>
      </c>
      <c r="B165" s="47" t="inlineStr">
        <is>
          <t>RN-INV#187</t>
        </is>
      </c>
      <c r="C165" s="103" t="n">
        <v>46098</v>
      </c>
      <c r="D165" s="49" t="n">
        <v>1117.5</v>
      </c>
      <c r="E165" s="47" t="inlineStr">
        <is>
          <t>WHT-4034</t>
        </is>
      </c>
      <c r="F165" s="47" t="inlineStr">
        <is>
          <t>عصمت الله خان</t>
        </is>
      </c>
      <c r="G165" s="50" t="inlineStr">
        <is>
          <t>توريد من المديونية3000 ريال</t>
        </is>
      </c>
      <c r="H165" s="50" t="n"/>
    </row>
    <row r="166">
      <c r="A166" s="47" t="n">
        <v>164</v>
      </c>
      <c r="B166" s="47" t="inlineStr">
        <is>
          <t>RN-INV#188</t>
        </is>
      </c>
      <c r="C166" s="103" t="n">
        <v>46099</v>
      </c>
      <c r="D166" s="49" t="n">
        <v>1710</v>
      </c>
      <c r="E166" s="47" t="inlineStr">
        <is>
          <t>WHT-4048</t>
        </is>
      </c>
      <c r="F166" s="47" t="inlineStr">
        <is>
          <t>عصمت الله خان</t>
        </is>
      </c>
      <c r="G166" s="50" t="n"/>
      <c r="H166" s="50" t="n"/>
    </row>
    <row r="167">
      <c r="A167" s="47" t="n">
        <v>165</v>
      </c>
      <c r="B167" s="47" t="inlineStr">
        <is>
          <t>RN-INV#189</t>
        </is>
      </c>
      <c r="C167" s="103" t="n">
        <v>46100</v>
      </c>
      <c r="D167" s="49" t="n">
        <v>1355</v>
      </c>
      <c r="E167" s="47" t="inlineStr">
        <is>
          <t>WHE-4051</t>
        </is>
      </c>
      <c r="F167" s="47" t="inlineStr">
        <is>
          <t>عماد حمدي</t>
        </is>
      </c>
      <c r="G167" s="50" t="inlineStr">
        <is>
          <t>توريد من مديونية1805 ريال</t>
        </is>
      </c>
      <c r="H167" s="50" t="n"/>
    </row>
    <row r="168">
      <c r="A168" s="47" t="n">
        <v>166</v>
      </c>
      <c r="B168" s="47" t="inlineStr">
        <is>
          <t>RN-INV#190</t>
        </is>
      </c>
      <c r="C168" s="103" t="n">
        <v>46100</v>
      </c>
      <c r="D168" s="49" t="n">
        <v>3332.5</v>
      </c>
      <c r="E168" s="47" t="inlineStr">
        <is>
          <t>WHT-4052</t>
        </is>
      </c>
      <c r="F168" s="47" t="inlineStr">
        <is>
          <t>عصمت الله خان</t>
        </is>
      </c>
      <c r="G168" s="50" t="inlineStr">
        <is>
          <t>توريد من المديونية3000 ريال</t>
        </is>
      </c>
      <c r="H168" s="50" t="n"/>
    </row>
    <row r="169">
      <c r="A169" s="47" t="n">
        <v>167</v>
      </c>
      <c r="B169" s="47" t="inlineStr">
        <is>
          <t>RN-INV#191</t>
        </is>
      </c>
      <c r="C169" s="103" t="n">
        <v>46107</v>
      </c>
      <c r="D169" s="49" t="n">
        <v>636.25</v>
      </c>
      <c r="E169" s="47" t="inlineStr">
        <is>
          <t>WHT-4062</t>
        </is>
      </c>
      <c r="F169" s="47" t="inlineStr">
        <is>
          <t>عصمت الله خان</t>
        </is>
      </c>
      <c r="G169" s="50" t="n"/>
      <c r="H169" s="50" t="n"/>
    </row>
    <row r="170">
      <c r="A170" s="47" t="n">
        <v>168</v>
      </c>
      <c r="B170" s="47" t="inlineStr">
        <is>
          <t>RN-INV#192</t>
        </is>
      </c>
      <c r="C170" s="103" t="n">
        <v>46107</v>
      </c>
      <c r="D170" s="49" t="n">
        <v>543.75</v>
      </c>
      <c r="E170" s="47" t="inlineStr">
        <is>
          <t>WHT-4065</t>
        </is>
      </c>
      <c r="F170" s="47" t="inlineStr">
        <is>
          <t>عصمت الله خان</t>
        </is>
      </c>
      <c r="G170" s="50" t="inlineStr">
        <is>
          <t>توريد من المديونية3500 ريال</t>
        </is>
      </c>
      <c r="H170" s="50" t="n"/>
    </row>
    <row r="171">
      <c r="A171" s="47" t="n">
        <v>169</v>
      </c>
      <c r="B171" s="47" t="inlineStr">
        <is>
          <t>RN-INV#193</t>
        </is>
      </c>
      <c r="C171" s="103" t="n">
        <v>46110</v>
      </c>
      <c r="D171" s="49" t="n">
        <v>1140</v>
      </c>
      <c r="E171" s="47" t="inlineStr">
        <is>
          <t>WHT-4075</t>
        </is>
      </c>
      <c r="F171" s="47" t="inlineStr">
        <is>
          <t>عصمت الله خان</t>
        </is>
      </c>
      <c r="G171" s="50" t="n"/>
      <c r="H171" s="50" t="n"/>
    </row>
    <row r="172">
      <c r="A172" s="47" t="n">
        <v>170</v>
      </c>
      <c r="B172" s="47" t="inlineStr">
        <is>
          <t>RN-INV#194</t>
        </is>
      </c>
      <c r="C172" s="103" t="n">
        <v>46112</v>
      </c>
      <c r="D172" s="49" t="n">
        <v>255</v>
      </c>
      <c r="E172" s="47" t="inlineStr">
        <is>
          <t>WHT-4086</t>
        </is>
      </c>
      <c r="F172" s="47" t="inlineStr">
        <is>
          <t>عصمت الله خان</t>
        </is>
      </c>
      <c r="G172" s="50" t="n"/>
      <c r="H172" s="50" t="n"/>
    </row>
    <row r="173">
      <c r="A173" s="47" t="n">
        <v>171</v>
      </c>
      <c r="B173" s="47" t="inlineStr">
        <is>
          <t>RN-INV#195</t>
        </is>
      </c>
      <c r="C173" s="103" t="n">
        <v>46112</v>
      </c>
      <c r="D173" s="49" t="n">
        <v>1306.75</v>
      </c>
      <c r="E173" s="47" t="inlineStr">
        <is>
          <t>WHT-4092</t>
        </is>
      </c>
      <c r="F173" s="47" t="inlineStr">
        <is>
          <t>عصمت الله خان</t>
        </is>
      </c>
      <c r="G173" s="50" t="n"/>
      <c r="H173" s="50" t="n"/>
    </row>
    <row r="174">
      <c r="A174" s="47" t="n">
        <v>172</v>
      </c>
      <c r="B174" s="47" t="inlineStr">
        <is>
          <t>RN-INV#196</t>
        </is>
      </c>
      <c r="C174" s="103" t="n">
        <v>46113</v>
      </c>
      <c r="D174" s="49" t="n">
        <v>675</v>
      </c>
      <c r="E174" s="47" t="inlineStr">
        <is>
          <t>WHT-4097</t>
        </is>
      </c>
      <c r="F174" s="47" t="inlineStr">
        <is>
          <t>عصمت الله خان</t>
        </is>
      </c>
      <c r="G174" s="50" t="n"/>
      <c r="H174" s="50" t="n"/>
    </row>
    <row r="175">
      <c r="A175" s="47" t="n">
        <v>173</v>
      </c>
      <c r="B175" s="47" t="inlineStr">
        <is>
          <t>RN-INV#197</t>
        </is>
      </c>
      <c r="C175" s="103" t="n">
        <v>46114</v>
      </c>
      <c r="D175" s="49" t="n">
        <v>590</v>
      </c>
      <c r="E175" s="47" t="inlineStr">
        <is>
          <t>WHT-4103</t>
        </is>
      </c>
      <c r="F175" s="47" t="inlineStr">
        <is>
          <t>عصمت الله خان</t>
        </is>
      </c>
      <c r="G175" s="50" t="inlineStr">
        <is>
          <t>توريد من المديونية3402 ريال</t>
        </is>
      </c>
      <c r="H175" s="50" t="n"/>
    </row>
    <row r="176">
      <c r="A176" s="47" t="n">
        <v>174</v>
      </c>
      <c r="B176" s="47" t="inlineStr">
        <is>
          <t>RN-INV#198</t>
        </is>
      </c>
      <c r="C176" s="103" t="n">
        <v>46116</v>
      </c>
      <c r="D176" s="49" t="n">
        <v>722.5</v>
      </c>
      <c r="E176" s="47" t="inlineStr">
        <is>
          <t>WHT-4108</t>
        </is>
      </c>
      <c r="F176" s="47" t="inlineStr">
        <is>
          <t>عصمت الله خان</t>
        </is>
      </c>
      <c r="G176" s="50" t="inlineStr">
        <is>
          <t>توريد من المديونية2225 ريال</t>
        </is>
      </c>
      <c r="H176" s="50" t="n"/>
    </row>
    <row r="177">
      <c r="A177" s="47" t="n">
        <v>175</v>
      </c>
      <c r="B177" s="47" t="inlineStr">
        <is>
          <t>RN-INV#199</t>
        </is>
      </c>
      <c r="C177" s="103" t="n">
        <v>46117</v>
      </c>
      <c r="D177" s="49" t="n">
        <v>2030</v>
      </c>
      <c r="E177" s="47" t="inlineStr">
        <is>
          <t>WHT-4112</t>
        </is>
      </c>
      <c r="F177" s="47" t="inlineStr">
        <is>
          <t>عصمت الله خان</t>
        </is>
      </c>
      <c r="G177" s="50" t="inlineStr">
        <is>
          <t>توريد من المديونية1600 ريال</t>
        </is>
      </c>
      <c r="H177" s="50" t="n"/>
    </row>
    <row r="178">
      <c r="A178" s="47" t="n">
        <v>176</v>
      </c>
      <c r="B178" s="47" t="inlineStr">
        <is>
          <t>RN-INV#200</t>
        </is>
      </c>
      <c r="C178" s="103" t="n">
        <v>46118</v>
      </c>
      <c r="D178" s="49" t="n">
        <v>2650</v>
      </c>
      <c r="E178" s="47" t="inlineStr">
        <is>
          <t>WHT-4128</t>
        </is>
      </c>
      <c r="F178" s="47" t="inlineStr">
        <is>
          <t>عصمت الله خان</t>
        </is>
      </c>
      <c r="G178" s="50" t="inlineStr">
        <is>
          <t>توريد من المديونية1700 ريال</t>
        </is>
      </c>
      <c r="H178" s="50" t="n"/>
    </row>
    <row r="179">
      <c r="A179" s="47" t="n">
        <v>177</v>
      </c>
      <c r="B179" s="47" t="inlineStr">
        <is>
          <t>RN-INV#201</t>
        </is>
      </c>
      <c r="C179" s="103" t="n">
        <v>46119</v>
      </c>
      <c r="D179" s="49" t="n">
        <v>2147.5</v>
      </c>
      <c r="E179" s="47" t="inlineStr">
        <is>
          <t>WHE-4130</t>
        </is>
      </c>
      <c r="F179" s="47" t="inlineStr">
        <is>
          <t>عماد حمدي</t>
        </is>
      </c>
      <c r="G179" s="50" t="inlineStr">
        <is>
          <t>توريد من مديونية2000 ريال</t>
        </is>
      </c>
      <c r="H179" s="50" t="n"/>
    </row>
    <row r="180">
      <c r="A180" s="47" t="n">
        <v>178</v>
      </c>
      <c r="B180" s="47" t="inlineStr">
        <is>
          <t>RN-INV#202</t>
        </is>
      </c>
      <c r="C180" s="103" t="n">
        <v>46120</v>
      </c>
      <c r="D180" s="49" t="n">
        <v>1000</v>
      </c>
      <c r="E180" s="47" t="inlineStr">
        <is>
          <t>WHT-4134</t>
        </is>
      </c>
      <c r="F180" s="47" t="inlineStr">
        <is>
          <t>عصمت الله خان</t>
        </is>
      </c>
      <c r="G180" s="50" t="inlineStr">
        <is>
          <t>توريد من المديونية2500 ريال</t>
        </is>
      </c>
      <c r="H180" s="50" t="n"/>
    </row>
    <row r="181">
      <c r="A181" s="47" t="n">
        <v>179</v>
      </c>
      <c r="B181" s="47" t="inlineStr">
        <is>
          <t>RN-INV#203</t>
        </is>
      </c>
      <c r="C181" s="103" t="n">
        <v>46121</v>
      </c>
      <c r="D181" s="49" t="n">
        <v>500</v>
      </c>
      <c r="E181" s="47" t="inlineStr">
        <is>
          <t>WHT-4149</t>
        </is>
      </c>
      <c r="F181" s="47" t="inlineStr">
        <is>
          <t>عصمت الله خان</t>
        </is>
      </c>
      <c r="G181" s="50" t="n"/>
      <c r="H181" s="50" t="n"/>
    </row>
    <row r="182">
      <c r="A182" s="47" t="n">
        <v>180</v>
      </c>
      <c r="B182" s="47" t="inlineStr">
        <is>
          <t>RN-INV#204</t>
        </is>
      </c>
      <c r="C182" s="103" t="n">
        <v>46124</v>
      </c>
      <c r="D182" s="49" t="n">
        <v>1335</v>
      </c>
      <c r="E182" s="47" t="inlineStr">
        <is>
          <t>WHT-4152</t>
        </is>
      </c>
      <c r="F182" s="47" t="inlineStr">
        <is>
          <t>عصمت الله خان</t>
        </is>
      </c>
      <c r="G182" s="50" t="inlineStr">
        <is>
          <t>توريد من المديونية2000 ريال</t>
        </is>
      </c>
      <c r="H182" s="50" t="n"/>
    </row>
    <row r="183">
      <c r="A183" s="47" t="n">
        <v>181</v>
      </c>
      <c r="B183" s="47" t="inlineStr">
        <is>
          <t>RN-INV#205</t>
        </is>
      </c>
      <c r="C183" s="103" t="n">
        <v>46125</v>
      </c>
      <c r="D183" s="49" t="n">
        <v>3217.5</v>
      </c>
      <c r="E183" s="47" t="inlineStr">
        <is>
          <t>WHE-4158</t>
        </is>
      </c>
      <c r="F183" s="47" t="inlineStr">
        <is>
          <t>عماد حمدي</t>
        </is>
      </c>
      <c r="G183" s="50" t="inlineStr">
        <is>
          <t>توريد من المديونية2430 ريال</t>
        </is>
      </c>
      <c r="H183" s="50" t="n"/>
    </row>
    <row r="184">
      <c r="A184" s="47" t="n">
        <v>182</v>
      </c>
      <c r="B184" s="47" t="inlineStr">
        <is>
          <t>RN-INV#206</t>
        </is>
      </c>
      <c r="C184" s="103" t="n">
        <v>46128</v>
      </c>
      <c r="D184" s="49" t="n">
        <v>1195</v>
      </c>
      <c r="E184" s="47" t="inlineStr">
        <is>
          <t>WHT-4181</t>
        </is>
      </c>
      <c r="F184" s="47" t="inlineStr">
        <is>
          <t>عصمت الله خان</t>
        </is>
      </c>
      <c r="G184" s="50" t="inlineStr">
        <is>
          <t>توريد من المديونية2800 ريال</t>
        </is>
      </c>
      <c r="H184" s="50" t="n"/>
    </row>
    <row r="185">
      <c r="A185" s="47" t="n">
        <v>183</v>
      </c>
      <c r="B185" s="47" t="inlineStr">
        <is>
          <t>RN-INV#207</t>
        </is>
      </c>
      <c r="C185" s="103" t="n">
        <v>46128</v>
      </c>
      <c r="D185" s="49" t="n">
        <v>880</v>
      </c>
      <c r="E185" s="47" t="inlineStr">
        <is>
          <t>WHE-4185</t>
        </is>
      </c>
      <c r="F185" s="47" t="inlineStr">
        <is>
          <t>عماد حمدي</t>
        </is>
      </c>
      <c r="G185" s="50" t="inlineStr">
        <is>
          <t>توريد من المديونية880 ريال</t>
        </is>
      </c>
      <c r="H185" s="50" t="n"/>
    </row>
    <row r="186">
      <c r="A186" s="47" t="n">
        <v>184</v>
      </c>
      <c r="B186" s="47" t="inlineStr">
        <is>
          <t>RN-INV#208</t>
        </is>
      </c>
      <c r="C186" s="103" t="n">
        <v>46130</v>
      </c>
      <c r="D186" s="49" t="n">
        <v>2070</v>
      </c>
      <c r="E186" s="47" t="inlineStr">
        <is>
          <t>WHE-4186</t>
        </is>
      </c>
      <c r="F186" s="47" t="inlineStr">
        <is>
          <t>عماد حمدي</t>
        </is>
      </c>
      <c r="G186" s="50" t="inlineStr">
        <is>
          <t>توريد من المديونية2070 ريال</t>
        </is>
      </c>
      <c r="H186" s="50" t="n"/>
    </row>
    <row r="187">
      <c r="A187" s="47" t="n">
        <v>185</v>
      </c>
      <c r="B187" s="47" t="inlineStr">
        <is>
          <t>RN-INV#209</t>
        </is>
      </c>
      <c r="C187" s="103" t="n">
        <v>46130</v>
      </c>
      <c r="D187" s="49" t="n">
        <v>2850</v>
      </c>
      <c r="E187" s="47" t="inlineStr">
        <is>
          <t>WHT-4187</t>
        </is>
      </c>
      <c r="F187" s="47" t="inlineStr">
        <is>
          <t>عصمت الله خان</t>
        </is>
      </c>
      <c r="G187" s="50" t="inlineStr">
        <is>
          <t>توريد من المديونية2760 ريال</t>
        </is>
      </c>
      <c r="H187" s="50" t="n"/>
    </row>
    <row r="188">
      <c r="A188" s="47" t="n">
        <v>186</v>
      </c>
      <c r="B188" s="47" t="inlineStr">
        <is>
          <t>RN-INV#210</t>
        </is>
      </c>
      <c r="C188" s="103" t="n">
        <v>46132</v>
      </c>
      <c r="D188" s="49" t="n">
        <v>1400</v>
      </c>
      <c r="E188" s="47" t="inlineStr">
        <is>
          <t>WHT-4191</t>
        </is>
      </c>
      <c r="F188" s="47" t="inlineStr">
        <is>
          <t>عصمت الله خان</t>
        </is>
      </c>
      <c r="G188" s="50" t="n"/>
      <c r="H188" s="50" t="n"/>
    </row>
    <row r="189">
      <c r="A189" s="47" t="n">
        <v>187</v>
      </c>
      <c r="B189" s="47" t="inlineStr">
        <is>
          <t>RN-INV#211</t>
        </is>
      </c>
      <c r="C189" s="103" t="n">
        <v>46132</v>
      </c>
      <c r="D189" s="49" t="n">
        <v>3100</v>
      </c>
      <c r="E189" s="47" t="inlineStr">
        <is>
          <t>WHE-4192</t>
        </is>
      </c>
      <c r="F189" s="47" t="inlineStr">
        <is>
          <t>عماد حمدي</t>
        </is>
      </c>
      <c r="G189" s="50" t="inlineStr">
        <is>
          <t>توريد من المديونية2000 ريال</t>
        </is>
      </c>
      <c r="H189" s="50" t="n"/>
    </row>
    <row r="190">
      <c r="A190" s="47" t="n">
        <v>188</v>
      </c>
      <c r="B190" s="47" t="inlineStr">
        <is>
          <t>RN-INV#212</t>
        </is>
      </c>
      <c r="C190" s="103" t="n">
        <v>46133</v>
      </c>
      <c r="D190" s="49" t="n">
        <v>1390</v>
      </c>
      <c r="E190" s="47" t="inlineStr">
        <is>
          <t>WHT-4193</t>
        </is>
      </c>
      <c r="F190" s="47" t="inlineStr">
        <is>
          <t>عصمت الله خان</t>
        </is>
      </c>
      <c r="G190" s="50" t="inlineStr">
        <is>
          <t>توريد من المديونية1800 ريال</t>
        </is>
      </c>
      <c r="H190" s="50" t="n"/>
    </row>
    <row r="191">
      <c r="A191" s="47" t="n">
        <v>189</v>
      </c>
      <c r="B191" s="47" t="inlineStr">
        <is>
          <t>RN-INV#213</t>
        </is>
      </c>
      <c r="C191" s="103" t="n">
        <v>46134</v>
      </c>
      <c r="D191" s="49" t="n">
        <v>555</v>
      </c>
      <c r="E191" s="47" t="inlineStr">
        <is>
          <t>WHT-4198</t>
        </is>
      </c>
      <c r="F191" s="47" t="inlineStr">
        <is>
          <t>عصمت الله خان</t>
        </is>
      </c>
      <c r="G191" s="50" t="n"/>
      <c r="H191" s="50" t="n"/>
    </row>
    <row r="192">
      <c r="A192" s="47" t="n">
        <v>190</v>
      </c>
      <c r="B192" s="47" t="inlineStr">
        <is>
          <t>RN-INV#214</t>
        </is>
      </c>
      <c r="C192" s="103" t="n">
        <v>46134</v>
      </c>
      <c r="D192" s="49" t="n">
        <v>2602.5</v>
      </c>
      <c r="E192" s="47" t="inlineStr">
        <is>
          <t>WHE-4199</t>
        </is>
      </c>
      <c r="F192" s="47" t="inlineStr">
        <is>
          <t>عماد حمدي</t>
        </is>
      </c>
      <c r="G192" s="50" t="inlineStr">
        <is>
          <t>توريد من المديونية2602.5 ريال</t>
        </is>
      </c>
      <c r="H192" s="50" t="n"/>
    </row>
    <row r="193">
      <c r="A193" s="47" t="n">
        <v>191</v>
      </c>
      <c r="B193" s="47" t="inlineStr">
        <is>
          <t>RN-INV#215</t>
        </is>
      </c>
      <c r="C193" s="103" t="n">
        <v>46134</v>
      </c>
      <c r="D193" s="49" t="n">
        <v>1180</v>
      </c>
      <c r="E193" s="47" t="inlineStr">
        <is>
          <t>WHE-4204</t>
        </is>
      </c>
      <c r="F193" s="47" t="inlineStr">
        <is>
          <t>عماد حمدي</t>
        </is>
      </c>
      <c r="G193" s="50" t="inlineStr">
        <is>
          <t>توريد من المديونية1180 ريال</t>
        </is>
      </c>
      <c r="H193" s="50" t="n"/>
    </row>
    <row r="194">
      <c r="A194" s="47" t="n">
        <v>192</v>
      </c>
      <c r="B194" s="47" t="inlineStr">
        <is>
          <t>RN-INV#216</t>
        </is>
      </c>
      <c r="C194" s="103" t="n">
        <v>46135</v>
      </c>
      <c r="D194" s="49" t="n">
        <v>2160</v>
      </c>
      <c r="E194" s="47" t="inlineStr">
        <is>
          <t>WHT-4207</t>
        </is>
      </c>
      <c r="F194" s="47" t="inlineStr">
        <is>
          <t>عصمت الله خان</t>
        </is>
      </c>
      <c r="G194" s="50" t="inlineStr">
        <is>
          <t>توريد من المديونية2625 ريال</t>
        </is>
      </c>
      <c r="H194" s="50" t="n"/>
    </row>
    <row r="195">
      <c r="A195" s="47" t="n">
        <v>193</v>
      </c>
      <c r="B195" s="47" t="inlineStr">
        <is>
          <t>RN-INV#217</t>
        </is>
      </c>
      <c r="C195" s="103" t="n">
        <v>46137</v>
      </c>
      <c r="D195" s="49" t="n">
        <v>6711.25</v>
      </c>
      <c r="E195" s="47" t="inlineStr">
        <is>
          <t>WHE-4210</t>
        </is>
      </c>
      <c r="F195" s="47" t="inlineStr">
        <is>
          <t>عماد حمدي</t>
        </is>
      </c>
      <c r="G195" s="50" t="inlineStr">
        <is>
          <t>توريد من مديونية2500 ريال</t>
        </is>
      </c>
      <c r="H195" s="50" t="n"/>
    </row>
    <row r="196">
      <c r="A196" s="47" t="n">
        <v>194</v>
      </c>
      <c r="B196" s="47" t="inlineStr">
        <is>
          <t>RN-INV#218</t>
        </is>
      </c>
      <c r="C196" s="103" t="n">
        <v>46138</v>
      </c>
      <c r="D196" s="49" t="n">
        <v>2157.5</v>
      </c>
      <c r="E196" s="47" t="inlineStr">
        <is>
          <t>WHT-4214</t>
        </is>
      </c>
      <c r="F196" s="47" t="inlineStr">
        <is>
          <t>عصمت الله خان</t>
        </is>
      </c>
      <c r="G196" s="50" t="inlineStr">
        <is>
          <t>توريد من المديونية2000 ريال</t>
        </is>
      </c>
      <c r="H196" s="50" t="n"/>
    </row>
    <row r="197">
      <c r="A197" s="47" t="n">
        <v>195</v>
      </c>
      <c r="B197" s="47" t="inlineStr">
        <is>
          <t>RN-INV#219</t>
        </is>
      </c>
      <c r="C197" s="103" t="n">
        <v>46139</v>
      </c>
      <c r="D197" s="49" t="n">
        <v>810</v>
      </c>
      <c r="E197" s="47" t="inlineStr">
        <is>
          <t>WHE-4218</t>
        </is>
      </c>
      <c r="F197" s="47" t="inlineStr">
        <is>
          <t>عماد حمدي</t>
        </is>
      </c>
      <c r="G197" s="50" t="inlineStr">
        <is>
          <t>توريد من المديونية810 ريال</t>
        </is>
      </c>
      <c r="H197" s="50" t="n"/>
    </row>
    <row r="198">
      <c r="A198" s="47" t="n">
        <v>196</v>
      </c>
      <c r="B198" s="47" t="inlineStr">
        <is>
          <t>RN-INV#220</t>
        </is>
      </c>
      <c r="C198" s="103" t="n">
        <v>46139</v>
      </c>
      <c r="D198" s="49" t="n">
        <v>1835</v>
      </c>
      <c r="E198" s="47" t="inlineStr">
        <is>
          <t>WHT-4219</t>
        </is>
      </c>
      <c r="F198" s="47" t="inlineStr">
        <is>
          <t>عصمت الله خان</t>
        </is>
      </c>
      <c r="G198" s="50" t="inlineStr">
        <is>
          <t>توريد من المديونية1300 ريال</t>
        </is>
      </c>
      <c r="H198" s="50" t="n"/>
    </row>
    <row r="199">
      <c r="A199" s="47" t="n">
        <v>197</v>
      </c>
      <c r="B199" s="47" t="inlineStr">
        <is>
          <t>RN-INV#221</t>
        </is>
      </c>
      <c r="C199" s="103" t="n">
        <v>46139</v>
      </c>
      <c r="D199" s="49" t="n">
        <v>1327.5</v>
      </c>
      <c r="E199" s="47" t="inlineStr">
        <is>
          <t>WHT-4226</t>
        </is>
      </c>
      <c r="F199" s="47" t="inlineStr">
        <is>
          <t>عصمت الله خان</t>
        </is>
      </c>
      <c r="G199" s="50" t="inlineStr">
        <is>
          <t>توريد من المديونية2500 ريال</t>
        </is>
      </c>
      <c r="H199" s="50" t="n"/>
    </row>
    <row r="200">
      <c r="A200" s="47" t="n">
        <v>198</v>
      </c>
      <c r="B200" s="47" t="inlineStr">
        <is>
          <t>RN-INV#222</t>
        </is>
      </c>
      <c r="C200" s="103" t="n">
        <v>46141</v>
      </c>
      <c r="D200" s="49" t="n">
        <v>757.5</v>
      </c>
      <c r="E200" s="47" t="inlineStr">
        <is>
          <t>WHT-4230</t>
        </is>
      </c>
      <c r="F200" s="47" t="inlineStr">
        <is>
          <t>عصمت الله خان</t>
        </is>
      </c>
      <c r="G200" s="50" t="inlineStr">
        <is>
          <t>توريد من المديونية1300 ريال</t>
        </is>
      </c>
      <c r="H200" s="50" t="n"/>
    </row>
    <row r="201">
      <c r="A201" s="47" t="n">
        <v>199</v>
      </c>
      <c r="B201" s="47" t="inlineStr">
        <is>
          <t>RN-INV#223</t>
        </is>
      </c>
      <c r="C201" s="103" t="n">
        <v>46141</v>
      </c>
      <c r="D201" s="49" t="n">
        <v>612.5</v>
      </c>
      <c r="E201" s="47" t="inlineStr">
        <is>
          <t>WHE-4232</t>
        </is>
      </c>
      <c r="F201" s="47" t="inlineStr">
        <is>
          <t>عماد حمدي</t>
        </is>
      </c>
      <c r="G201" s="50" t="inlineStr">
        <is>
          <t>توريد من المديونية500 ريال</t>
        </is>
      </c>
      <c r="H201" s="50" t="n"/>
    </row>
    <row r="202">
      <c r="A202" s="47" t="n">
        <v>200</v>
      </c>
      <c r="B202" s="47" t="inlineStr">
        <is>
          <t>RN-INV#224</t>
        </is>
      </c>
      <c r="C202" s="103" t="n">
        <v>46142</v>
      </c>
      <c r="D202" s="49" t="n">
        <v>1350</v>
      </c>
      <c r="E202" s="47" t="inlineStr">
        <is>
          <t>WHT-4234</t>
        </is>
      </c>
      <c r="F202" s="47" t="inlineStr">
        <is>
          <t>عصمت الله خان</t>
        </is>
      </c>
      <c r="G202" s="50" t="n"/>
      <c r="H202" s="50" t="n"/>
    </row>
    <row r="203">
      <c r="A203" s="47" t="n">
        <v>201</v>
      </c>
      <c r="B203" s="47" t="inlineStr">
        <is>
          <t>RN-INV#225</t>
        </is>
      </c>
      <c r="C203" s="103" t="n">
        <v>46144</v>
      </c>
      <c r="D203" s="49" t="n">
        <v>1350</v>
      </c>
      <c r="E203" s="47" t="inlineStr">
        <is>
          <t>WHT-4243</t>
        </is>
      </c>
      <c r="F203" s="47" t="inlineStr">
        <is>
          <t>عصمت الله خان</t>
        </is>
      </c>
      <c r="G203" s="50" t="inlineStr">
        <is>
          <t>توريد من المديونية1130 ريال</t>
        </is>
      </c>
      <c r="H203" s="50" t="n"/>
    </row>
    <row r="204">
      <c r="A204" s="47" t="n">
        <v>202</v>
      </c>
      <c r="B204" s="47" t="inlineStr">
        <is>
          <t>RN-INV#226</t>
        </is>
      </c>
      <c r="C204" s="103" t="n">
        <v>46144</v>
      </c>
      <c r="D204" s="49" t="n">
        <v>895</v>
      </c>
      <c r="E204" s="47" t="inlineStr">
        <is>
          <t>WHT-4247</t>
        </is>
      </c>
      <c r="F204" s="47" t="inlineStr">
        <is>
          <t>عصمت الله خان</t>
        </is>
      </c>
      <c r="G204" s="50" t="inlineStr">
        <is>
          <t>توريد من المديونية1100 ريال</t>
        </is>
      </c>
      <c r="H204" s="50" t="n"/>
    </row>
    <row r="205">
      <c r="A205" s="47" t="n">
        <v>203</v>
      </c>
      <c r="B205" s="47" t="inlineStr">
        <is>
          <t>RN-INV#227</t>
        </is>
      </c>
      <c r="C205" s="103" t="n">
        <v>46145</v>
      </c>
      <c r="D205" s="49" t="n">
        <v>19490</v>
      </c>
      <c r="E205" s="47" t="inlineStr">
        <is>
          <t>WHK-4256</t>
        </is>
      </c>
      <c r="F205" s="47" t="inlineStr">
        <is>
          <t>م/ عادل أبو خالد</t>
        </is>
      </c>
      <c r="G205" s="50" t="n"/>
      <c r="H205" s="50" t="n"/>
    </row>
    <row r="206">
      <c r="A206" s="47" t="n">
        <v>204</v>
      </c>
      <c r="B206" s="47" t="inlineStr">
        <is>
          <t>RN-INV#228</t>
        </is>
      </c>
      <c r="C206" s="103" t="n">
        <v>46146</v>
      </c>
      <c r="D206" s="49" t="n">
        <v>1950</v>
      </c>
      <c r="E206" s="47" t="inlineStr">
        <is>
          <t>WHT-4260</t>
        </is>
      </c>
      <c r="F206" s="47" t="inlineStr">
        <is>
          <t>عصمت الله خان</t>
        </is>
      </c>
      <c r="G206" s="50" t="inlineStr">
        <is>
          <t>توريد من المديونية2550 ريال</t>
        </is>
      </c>
      <c r="H206" s="50" t="n"/>
    </row>
    <row r="207">
      <c r="A207" s="47" t="n">
        <v>205</v>
      </c>
      <c r="B207" s="47" t="inlineStr">
        <is>
          <t>RN-INV#229</t>
        </is>
      </c>
      <c r="C207" s="103" t="n">
        <v>46146</v>
      </c>
      <c r="D207" s="49" t="n">
        <v>4200</v>
      </c>
      <c r="E207" s="47" t="inlineStr">
        <is>
          <t>WHE-4261</t>
        </is>
      </c>
      <c r="F207" s="47" t="inlineStr">
        <is>
          <t>عماد حمدي</t>
        </is>
      </c>
      <c r="G207" s="50" t="inlineStr">
        <is>
          <t>توريد من المديونية8629 ريال</t>
        </is>
      </c>
      <c r="H207" s="50" t="n"/>
    </row>
    <row r="208">
      <c r="A208" s="47" t="n">
        <v>206</v>
      </c>
      <c r="B208" s="47" t="inlineStr">
        <is>
          <t>RN-INV#230</t>
        </is>
      </c>
      <c r="C208" s="103" t="n">
        <v>46147</v>
      </c>
      <c r="D208" s="49" t="n">
        <v>2895</v>
      </c>
      <c r="E208" s="47" t="inlineStr">
        <is>
          <t>WHT-4270</t>
        </is>
      </c>
      <c r="F208" s="47" t="inlineStr">
        <is>
          <t>عصمت الله خان</t>
        </is>
      </c>
      <c r="G208" s="50" t="inlineStr">
        <is>
          <t>توريد من المديونية3050 ريال</t>
        </is>
      </c>
      <c r="H208" s="50" t="n"/>
    </row>
    <row r="209">
      <c r="A209" s="47" t="n">
        <v>207</v>
      </c>
      <c r="B209" s="47" t="inlineStr">
        <is>
          <t>RN-INV#231</t>
        </is>
      </c>
      <c r="C209" s="103" t="n">
        <v>46147</v>
      </c>
      <c r="D209" s="49" t="n">
        <v>21780</v>
      </c>
      <c r="E209" s="47" t="inlineStr">
        <is>
          <t>WHK-4275</t>
        </is>
      </c>
      <c r="F209" s="47" t="inlineStr">
        <is>
          <t>م/ عادل أبو خالد</t>
        </is>
      </c>
      <c r="G209" s="50" t="n"/>
      <c r="H209" s="50" t="n"/>
    </row>
    <row r="210">
      <c r="A210" s="47" t="n">
        <v>208</v>
      </c>
      <c r="B210" s="47" t="inlineStr">
        <is>
          <t>RN-INV#232</t>
        </is>
      </c>
      <c r="C210" s="103" t="n">
        <v>46147</v>
      </c>
      <c r="D210" s="49" t="n">
        <v>2880</v>
      </c>
      <c r="E210" s="47" t="inlineStr">
        <is>
          <t>WHT-4276</t>
        </is>
      </c>
      <c r="F210" s="47" t="inlineStr">
        <is>
          <t>عصمت الله خان</t>
        </is>
      </c>
      <c r="G210" s="50" t="inlineStr">
        <is>
          <t>توريد من المديونية2620 ريال</t>
        </is>
      </c>
      <c r="H210" s="50" t="n"/>
    </row>
    <row r="211">
      <c r="A211" s="47" t="n">
        <v>209</v>
      </c>
      <c r="B211" s="47" t="inlineStr">
        <is>
          <t>RN-INV#233</t>
        </is>
      </c>
      <c r="C211" s="103" t="n">
        <v>46148</v>
      </c>
      <c r="D211" s="49" t="n">
        <v>3328.75</v>
      </c>
      <c r="E211" s="47" t="inlineStr">
        <is>
          <t>WHE-4278</t>
        </is>
      </c>
      <c r="F211" s="47" t="inlineStr">
        <is>
          <t>عماد حمدي</t>
        </is>
      </c>
      <c r="G211" s="50" t="n"/>
      <c r="H211" s="50" t="n"/>
    </row>
    <row r="212">
      <c r="A212" s="47" t="n">
        <v>210</v>
      </c>
      <c r="B212" s="47" t="inlineStr">
        <is>
          <t>RN-INV#234</t>
        </is>
      </c>
      <c r="C212" s="103" t="n">
        <v>46149</v>
      </c>
      <c r="D212" s="49" t="n">
        <v>3330</v>
      </c>
      <c r="E212" s="47" t="inlineStr">
        <is>
          <t>WHT-4285</t>
        </is>
      </c>
      <c r="F212" s="47" t="inlineStr">
        <is>
          <t>عصمت الله خان</t>
        </is>
      </c>
      <c r="G212" s="50" t="inlineStr">
        <is>
          <t>توريد من المديونية3050 ريال</t>
        </is>
      </c>
      <c r="H212" s="50" t="n"/>
    </row>
    <row r="213">
      <c r="A213" s="47" t="n">
        <v>211</v>
      </c>
      <c r="B213" s="47" t="inlineStr">
        <is>
          <t>RN-INV#235</t>
        </is>
      </c>
      <c r="C213" s="103" t="n">
        <v>46149</v>
      </c>
      <c r="D213" s="49" t="n">
        <v>6000</v>
      </c>
      <c r="E213" s="47" t="inlineStr">
        <is>
          <t>WHE-4286</t>
        </is>
      </c>
      <c r="F213" s="47" t="inlineStr">
        <is>
          <t>عماد حمدي</t>
        </is>
      </c>
      <c r="G213" s="50" t="inlineStr">
        <is>
          <t>توريد من المديونية3600 ريال</t>
        </is>
      </c>
      <c r="H213" s="50" t="n"/>
    </row>
    <row r="214">
      <c r="A214" s="47" t="n">
        <v>212</v>
      </c>
      <c r="B214" s="47" t="inlineStr">
        <is>
          <t>RN-INV#236</t>
        </is>
      </c>
      <c r="C214" s="103" t="n">
        <v>46149</v>
      </c>
      <c r="D214" s="49" t="n">
        <v>3060</v>
      </c>
      <c r="E214" s="47" t="inlineStr">
        <is>
          <t>WHT-4287</t>
        </is>
      </c>
      <c r="F214" s="47" t="inlineStr">
        <is>
          <t>عصمت الله خان</t>
        </is>
      </c>
      <c r="G214" s="50" t="inlineStr">
        <is>
          <t>توريد من المديونية2805 ريال</t>
        </is>
      </c>
      <c r="H214" s="50" t="n"/>
    </row>
    <row r="215">
      <c r="A215" s="47" t="n">
        <v>213</v>
      </c>
      <c r="B215" s="47" t="inlineStr">
        <is>
          <t>RN-INV#237</t>
        </is>
      </c>
      <c r="C215" s="103" t="n">
        <v>46151</v>
      </c>
      <c r="D215" s="49" t="n">
        <v>4337.5</v>
      </c>
      <c r="E215" s="47" t="inlineStr">
        <is>
          <t>WHT-4289</t>
        </is>
      </c>
      <c r="F215" s="47" t="inlineStr">
        <is>
          <t>عصمت الله خان</t>
        </is>
      </c>
      <c r="G215" s="50" t="inlineStr">
        <is>
          <t>توريد من المديونية3500 ريال</t>
        </is>
      </c>
      <c r="H215" s="50" t="n"/>
    </row>
    <row r="216">
      <c r="A216" s="47" t="n">
        <v>214</v>
      </c>
      <c r="B216" s="47" t="inlineStr">
        <is>
          <t>RN-INV#238</t>
        </is>
      </c>
      <c r="C216" s="103" t="n">
        <v>46151</v>
      </c>
      <c r="D216" s="49" t="n">
        <v>877.5</v>
      </c>
      <c r="E216" s="47" t="inlineStr">
        <is>
          <t>WHE-4290</t>
        </is>
      </c>
      <c r="F216" s="47" t="inlineStr">
        <is>
          <t>عماد حمدي</t>
        </is>
      </c>
      <c r="G216" s="50" t="inlineStr">
        <is>
          <t>توريد من المديونية820 ريال</t>
        </is>
      </c>
      <c r="H216" s="50" t="n"/>
    </row>
    <row r="217">
      <c r="A217" s="47" t="n">
        <v>215</v>
      </c>
      <c r="B217" s="47" t="inlineStr">
        <is>
          <t>RN-INV#239</t>
        </is>
      </c>
      <c r="C217" s="103" t="n">
        <v>46152</v>
      </c>
      <c r="D217" s="49" t="n">
        <v>3135</v>
      </c>
      <c r="E217" s="47" t="inlineStr">
        <is>
          <t>WHK-4291</t>
        </is>
      </c>
      <c r="F217" s="47" t="inlineStr">
        <is>
          <t>م/ عادل أبو خالد</t>
        </is>
      </c>
      <c r="G217" s="50" t="n"/>
      <c r="H217" s="50" t="n"/>
    </row>
    <row r="218">
      <c r="A218" s="47" t="n">
        <v>216</v>
      </c>
      <c r="B218" s="47" t="inlineStr">
        <is>
          <t>RN-INV#240</t>
        </is>
      </c>
      <c r="C218" s="103" t="n">
        <v>46152</v>
      </c>
      <c r="D218" s="49" t="n">
        <v>2415</v>
      </c>
      <c r="E218" s="47" t="inlineStr">
        <is>
          <t>WHT-4299</t>
        </is>
      </c>
      <c r="F218" s="47" t="inlineStr">
        <is>
          <t>عصمت الله خان</t>
        </is>
      </c>
      <c r="G218" s="50" t="inlineStr">
        <is>
          <t>توريد من المديونية3076 ريال</t>
        </is>
      </c>
      <c r="H218" s="50" t="n"/>
    </row>
    <row r="219">
      <c r="A219" s="47" t="n">
        <v>217</v>
      </c>
      <c r="B219" s="47" t="inlineStr">
        <is>
          <t>RN-INV#241</t>
        </is>
      </c>
      <c r="C219" s="103" t="n">
        <v>46153</v>
      </c>
      <c r="D219" s="49" t="n">
        <v>3225</v>
      </c>
      <c r="E219" s="47" t="inlineStr">
        <is>
          <t>WHT-4303</t>
        </is>
      </c>
      <c r="F219" s="47" t="inlineStr">
        <is>
          <t>عصمت الله خان</t>
        </is>
      </c>
      <c r="G219" s="50" t="inlineStr">
        <is>
          <t>توريد من المديونية3000 ريال</t>
        </is>
      </c>
      <c r="H219" s="50" t="n"/>
    </row>
    <row r="220">
      <c r="A220" s="47" t="n">
        <v>218</v>
      </c>
      <c r="B220" s="47" t="inlineStr">
        <is>
          <t>RN-INV#242</t>
        </is>
      </c>
      <c r="C220" s="103" t="n">
        <v>46154</v>
      </c>
      <c r="D220" s="49" t="n">
        <v>3955</v>
      </c>
      <c r="E220" s="47" t="inlineStr">
        <is>
          <t>WHE-4304</t>
        </is>
      </c>
      <c r="F220" s="47" t="inlineStr">
        <is>
          <t>عماد حمدي</t>
        </is>
      </c>
      <c r="G220" s="50" t="inlineStr">
        <is>
          <t>توريد من المديونية3000 ريال</t>
        </is>
      </c>
      <c r="H220" s="50" t="n"/>
    </row>
    <row r="221">
      <c r="A221" s="47" t="n">
        <v>219</v>
      </c>
      <c r="B221" s="47" t="inlineStr">
        <is>
          <t>RN-INV#243</t>
        </is>
      </c>
      <c r="C221" s="103" t="n">
        <v>46154</v>
      </c>
      <c r="D221" s="49" t="n">
        <v>3025</v>
      </c>
      <c r="E221" s="47" t="inlineStr">
        <is>
          <t>WHK-4305</t>
        </is>
      </c>
      <c r="F221" s="47" t="inlineStr">
        <is>
          <t>م/ عادل أبو خالد</t>
        </is>
      </c>
      <c r="G221" s="50" t="n"/>
      <c r="H221" s="50" t="n"/>
    </row>
    <row r="222">
      <c r="A222" s="47" t="n">
        <v>220</v>
      </c>
      <c r="B222" s="47" t="inlineStr">
        <is>
          <t>RN-INV#244</t>
        </is>
      </c>
      <c r="C222" s="103" t="n">
        <v>46154</v>
      </c>
      <c r="D222" s="49" t="n">
        <v>2448.75</v>
      </c>
      <c r="E222" s="47" t="inlineStr">
        <is>
          <t>WHT-4307</t>
        </is>
      </c>
      <c r="F222" s="47" t="inlineStr">
        <is>
          <t>عصمت الله خان</t>
        </is>
      </c>
      <c r="G222" s="50" t="inlineStr">
        <is>
          <t>توريد من المديونية2000 ريال</t>
        </is>
      </c>
      <c r="H222" s="50" t="n"/>
    </row>
    <row r="223">
      <c r="A223" s="47" t="n">
        <v>221</v>
      </c>
      <c r="B223" s="47" t="inlineStr">
        <is>
          <t>RN-INV#245</t>
        </is>
      </c>
      <c r="C223" s="103" t="n">
        <v>46155</v>
      </c>
      <c r="D223" s="49" t="n">
        <v>2531</v>
      </c>
      <c r="E223" s="47" t="inlineStr">
        <is>
          <t>WHT-4309</t>
        </is>
      </c>
      <c r="F223" s="47" t="inlineStr">
        <is>
          <t>عصمت الله خان</t>
        </is>
      </c>
      <c r="G223" s="50" t="inlineStr">
        <is>
          <t>توريد من المديونية2420 ريال</t>
        </is>
      </c>
      <c r="H223" s="50" t="n"/>
    </row>
    <row r="224">
      <c r="A224" s="47" t="n">
        <v>222</v>
      </c>
      <c r="B224" s="47" t="inlineStr">
        <is>
          <t>RN-INV#246</t>
        </is>
      </c>
      <c r="C224" s="103" t="n">
        <v>46156</v>
      </c>
      <c r="D224" s="49" t="n">
        <v>3370</v>
      </c>
      <c r="E224" s="47" t="inlineStr">
        <is>
          <t>WHT-4313</t>
        </is>
      </c>
      <c r="F224" s="47" t="inlineStr">
        <is>
          <t>عصمت الله خان</t>
        </is>
      </c>
      <c r="G224" s="50" t="inlineStr">
        <is>
          <t>توريد من المديونية3290 ريال</t>
        </is>
      </c>
      <c r="H224" s="50" t="n"/>
    </row>
    <row r="225">
      <c r="A225" s="47" t="n">
        <v>223</v>
      </c>
      <c r="B225" s="47" t="inlineStr">
        <is>
          <t>RN-INV#247</t>
        </is>
      </c>
      <c r="C225" s="103" t="n">
        <v>46156</v>
      </c>
      <c r="D225" s="49" t="n">
        <v>6455</v>
      </c>
      <c r="E225" s="47" t="inlineStr">
        <is>
          <t>WHE-4314</t>
        </is>
      </c>
      <c r="F225" s="47" t="inlineStr">
        <is>
          <t>عماد حمدي</t>
        </is>
      </c>
      <c r="G225" s="50" t="inlineStr">
        <is>
          <t>توريد من المديونية3000 ريال</t>
        </is>
      </c>
      <c r="H225" s="50" t="n"/>
    </row>
    <row r="226">
      <c r="A226" s="47" t="n">
        <v>224</v>
      </c>
      <c r="B226" s="47" t="inlineStr">
        <is>
          <t>RN-INV#248</t>
        </is>
      </c>
      <c r="C226" s="103" t="n">
        <v>46158</v>
      </c>
      <c r="D226" s="49" t="n">
        <v>3525</v>
      </c>
      <c r="E226" s="47" t="inlineStr">
        <is>
          <t>WHT-4317</t>
        </is>
      </c>
      <c r="F226" s="47" t="inlineStr">
        <is>
          <t>عصمت الله خان</t>
        </is>
      </c>
      <c r="G226" s="50" t="n"/>
      <c r="H226" s="50" t="n"/>
    </row>
    <row r="227">
      <c r="A227" s="47" t="n">
        <v>225</v>
      </c>
      <c r="B227" s="47" t="inlineStr">
        <is>
          <t>RN-INV#249</t>
        </is>
      </c>
      <c r="C227" s="103" t="n">
        <v>46160</v>
      </c>
      <c r="D227" s="49" t="n">
        <v>2892</v>
      </c>
      <c r="E227" s="47" t="inlineStr">
        <is>
          <t>WHT-4322</t>
        </is>
      </c>
      <c r="F227" s="47" t="inlineStr">
        <is>
          <t>عصمت الله خان</t>
        </is>
      </c>
      <c r="G227" s="50" t="inlineStr">
        <is>
          <t>توريد من المديونية3000 ريال</t>
        </is>
      </c>
      <c r="H227" s="50" t="n"/>
    </row>
    <row r="228">
      <c r="A228" s="47" t="n">
        <v>226</v>
      </c>
      <c r="B228" s="47" t="inlineStr">
        <is>
          <t>RN-INV#250</t>
        </is>
      </c>
      <c r="C228" s="103" t="n">
        <v>46160</v>
      </c>
      <c r="D228" s="49" t="n">
        <v>750</v>
      </c>
      <c r="E228" s="47" t="inlineStr">
        <is>
          <t>WHK-4323</t>
        </is>
      </c>
      <c r="F228" s="47" t="inlineStr">
        <is>
          <t>م/ عادل أبو خالد</t>
        </is>
      </c>
      <c r="G228" s="50" t="n"/>
      <c r="H228" s="50" t="n"/>
    </row>
    <row r="229">
      <c r="A229" s="47" t="n">
        <v>227</v>
      </c>
      <c r="B229" s="47" t="inlineStr">
        <is>
          <t>RN-INV#251</t>
        </is>
      </c>
      <c r="C229" s="103" t="n">
        <v>46161</v>
      </c>
      <c r="D229" s="49" t="n">
        <v>2145</v>
      </c>
      <c r="E229" s="47" t="inlineStr">
        <is>
          <t>WHT-4326</t>
        </is>
      </c>
      <c r="F229" s="47" t="inlineStr">
        <is>
          <t>عصمت الله خان</t>
        </is>
      </c>
      <c r="G229" s="50" t="n"/>
      <c r="H229" s="50" t="n"/>
    </row>
    <row r="230">
      <c r="A230" s="47" t="n">
        <v>228</v>
      </c>
      <c r="B230" s="47" t="inlineStr">
        <is>
          <t>RN-INV#252</t>
        </is>
      </c>
      <c r="C230" s="103" t="n">
        <v>46161</v>
      </c>
      <c r="D230" s="49" t="n">
        <v>5890</v>
      </c>
      <c r="E230" s="47" t="inlineStr">
        <is>
          <t>WHE-4327</t>
        </is>
      </c>
      <c r="F230" s="47" t="inlineStr">
        <is>
          <t>عماد حمدي</t>
        </is>
      </c>
      <c r="G230" s="50" t="inlineStr">
        <is>
          <t>توريد من المديونية5890 ريال</t>
        </is>
      </c>
      <c r="H230" s="50" t="n"/>
    </row>
    <row r="231">
      <c r="A231" s="47" t="n">
        <v>229</v>
      </c>
      <c r="B231" s="47" t="inlineStr">
        <is>
          <t>RN-INV#253</t>
        </is>
      </c>
      <c r="C231" s="103" t="n">
        <v>46166</v>
      </c>
      <c r="D231" s="49" t="n">
        <v>1570</v>
      </c>
      <c r="E231" s="47" t="inlineStr">
        <is>
          <t>WHT-4340</t>
        </is>
      </c>
      <c r="F231" s="47" t="inlineStr">
        <is>
          <t>عصمت الله خان</t>
        </is>
      </c>
      <c r="G231" s="50" t="inlineStr">
        <is>
          <t>توريد من المديونية2000 ريال</t>
        </is>
      </c>
      <c r="H231" s="50" t="n"/>
    </row>
    <row r="232">
      <c r="A232" s="47" t="n">
        <v>230</v>
      </c>
      <c r="B232" s="47" t="inlineStr">
        <is>
          <t>RN-INV#254</t>
        </is>
      </c>
      <c r="C232" s="103" t="n">
        <v>46167</v>
      </c>
      <c r="D232" s="49" t="n">
        <v>2950</v>
      </c>
      <c r="E232" s="47" t="inlineStr">
        <is>
          <t>WHT-4342</t>
        </is>
      </c>
      <c r="F232" s="47" t="inlineStr">
        <is>
          <t>عصمت الله خان</t>
        </is>
      </c>
      <c r="G232" s="50" t="inlineStr">
        <is>
          <t>توريد من المديونية4495 ريال</t>
        </is>
      </c>
      <c r="H232" s="50" t="n"/>
    </row>
    <row r="233">
      <c r="A233" s="47" t="n">
        <v>231</v>
      </c>
      <c r="B233" s="47" t="inlineStr">
        <is>
          <t>RN-INV#255</t>
        </is>
      </c>
      <c r="C233" s="103" t="n">
        <v>46167</v>
      </c>
      <c r="D233" s="49" t="n">
        <v>8328</v>
      </c>
      <c r="E233" s="47" t="inlineStr">
        <is>
          <t>WHE-4343</t>
        </is>
      </c>
      <c r="F233" s="47" t="inlineStr">
        <is>
          <t>عماد حمدي</t>
        </is>
      </c>
      <c r="G233" s="50" t="inlineStr">
        <is>
          <t>توريد من المديونية9288 ريال</t>
        </is>
      </c>
      <c r="H233" s="50" t="n"/>
    </row>
    <row r="234">
      <c r="A234" s="47" t="n">
        <v>232</v>
      </c>
      <c r="B234" s="47" t="inlineStr">
        <is>
          <t>RN-INV#256</t>
        </is>
      </c>
      <c r="C234" s="103" t="n">
        <v>46167</v>
      </c>
      <c r="D234" s="49" t="n">
        <v>4417.5</v>
      </c>
      <c r="E234" s="47" t="inlineStr">
        <is>
          <t>WHT-4346</t>
        </is>
      </c>
      <c r="F234" s="47" t="inlineStr">
        <is>
          <t>عصمت الله خان</t>
        </is>
      </c>
      <c r="G234" s="50" t="inlineStr">
        <is>
          <t>توريد من المديونية6655 ريال</t>
        </is>
      </c>
      <c r="H234" s="50" t="n"/>
    </row>
    <row r="235">
      <c r="A235" s="47" t="n">
        <v>233</v>
      </c>
      <c r="B235" s="47" t="inlineStr">
        <is>
          <t>RN-INV#257</t>
        </is>
      </c>
      <c r="C235" s="103" t="n">
        <v>46172</v>
      </c>
      <c r="D235" s="49" t="n">
        <v>4420</v>
      </c>
      <c r="E235" s="47" t="inlineStr">
        <is>
          <t>WHT-4347</t>
        </is>
      </c>
      <c r="F235" s="47" t="inlineStr">
        <is>
          <t>عصمت الله خان</t>
        </is>
      </c>
      <c r="G235" s="50" t="n"/>
      <c r="H235" s="50" t="n"/>
    </row>
    <row r="236">
      <c r="A236" s="47" t="n">
        <v>234</v>
      </c>
      <c r="B236" s="47" t="inlineStr">
        <is>
          <t>RN-INV#258</t>
        </is>
      </c>
      <c r="C236" s="103" t="n">
        <v>46173</v>
      </c>
      <c r="D236" s="49" t="n">
        <v>2765</v>
      </c>
      <c r="E236" s="47" t="inlineStr">
        <is>
          <t>WHT-4348</t>
        </is>
      </c>
      <c r="F236" s="47" t="inlineStr">
        <is>
          <t>عصمت الله خان</t>
        </is>
      </c>
      <c r="G236" s="50" t="inlineStr">
        <is>
          <t>توريد من المديونية2000 ريال</t>
        </is>
      </c>
      <c r="H236" s="50" t="n"/>
    </row>
    <row r="237">
      <c r="A237" s="47" t="n">
        <v>235</v>
      </c>
      <c r="B237" s="47" t="inlineStr">
        <is>
          <t>RN-INV#259</t>
        </is>
      </c>
      <c r="C237" s="103" t="n">
        <v>46173</v>
      </c>
      <c r="D237" s="49" t="n">
        <v>1395</v>
      </c>
      <c r="E237" s="47" t="inlineStr">
        <is>
          <t>WHT-4349</t>
        </is>
      </c>
      <c r="F237" s="47" t="inlineStr">
        <is>
          <t>عصمت الله خان</t>
        </is>
      </c>
      <c r="G237" s="50" t="inlineStr">
        <is>
          <t>توريد من المديونية2770 ريال</t>
        </is>
      </c>
      <c r="H237" s="50" t="n"/>
    </row>
    <row r="238">
      <c r="A238" s="47" t="n">
        <v>236</v>
      </c>
      <c r="B238" s="47" t="inlineStr">
        <is>
          <t>RN-INV#260</t>
        </is>
      </c>
      <c r="C238" s="103" t="n">
        <v>46174</v>
      </c>
      <c r="D238" s="49" t="n">
        <v>2349</v>
      </c>
      <c r="E238" s="47" t="inlineStr">
        <is>
          <t>WHT-4352</t>
        </is>
      </c>
      <c r="F238" s="47" t="inlineStr">
        <is>
          <t>عصمت الله خان</t>
        </is>
      </c>
      <c r="G238" s="50" t="inlineStr">
        <is>
          <t>توريد من المديونية550 ريال</t>
        </is>
      </c>
      <c r="H238" s="50" t="n"/>
    </row>
    <row r="239">
      <c r="A239" s="47" t="n">
        <v>237</v>
      </c>
      <c r="B239" s="47" t="inlineStr">
        <is>
          <t>RN-INV#261</t>
        </is>
      </c>
      <c r="C239" s="103" t="n">
        <v>46175</v>
      </c>
      <c r="D239" s="49" t="n">
        <v>2065</v>
      </c>
      <c r="E239" s="47" t="inlineStr">
        <is>
          <t>WHT-4357</t>
        </is>
      </c>
      <c r="F239" s="47" t="inlineStr">
        <is>
          <t>عصمت الله خان</t>
        </is>
      </c>
      <c r="G239" s="50" t="inlineStr">
        <is>
          <t>توريد من المديونية2100 ريال</t>
        </is>
      </c>
      <c r="H239" s="50" t="n"/>
    </row>
    <row r="240">
      <c r="A240" s="47" t="n">
        <v>238</v>
      </c>
      <c r="B240" s="47" t="inlineStr">
        <is>
          <t>RN-INV#262</t>
        </is>
      </c>
      <c r="C240" s="103" t="n">
        <v>46176</v>
      </c>
      <c r="D240" s="49" t="n">
        <v>4810</v>
      </c>
      <c r="E240" s="47" t="inlineStr">
        <is>
          <t>WHE-4358</t>
        </is>
      </c>
      <c r="F240" s="47" t="inlineStr">
        <is>
          <t>عماد حمدي</t>
        </is>
      </c>
      <c r="G240" s="50" t="inlineStr">
        <is>
          <t>توريد من المديونية4810 ريال</t>
        </is>
      </c>
      <c r="H240" s="50" t="n"/>
    </row>
    <row r="241">
      <c r="A241" s="47" t="n">
        <v>239</v>
      </c>
      <c r="B241" s="47" t="inlineStr">
        <is>
          <t>RN-INV#263</t>
        </is>
      </c>
      <c r="C241" s="103" t="n">
        <v>46176</v>
      </c>
      <c r="D241" s="49" t="n">
        <v>1542.5</v>
      </c>
      <c r="E241" s="47" t="inlineStr">
        <is>
          <t>WHT-4360</t>
        </is>
      </c>
      <c r="F241" s="47" t="inlineStr">
        <is>
          <t>عصمت الله خان</t>
        </is>
      </c>
      <c r="G241" s="50" t="inlineStr">
        <is>
          <t>توريد من المديونية2100 ريال</t>
        </is>
      </c>
      <c r="H241" s="50" t="n"/>
    </row>
    <row r="242">
      <c r="A242" s="9" t="n"/>
      <c r="B242" s="9" t="inlineStr">
        <is>
          <t>الإجمالي</t>
        </is>
      </c>
      <c r="C242" s="9" t="n"/>
      <c r="D242" s="10">
        <f>SUM(D3:D241)</f>
        <v/>
      </c>
      <c r="E242" s="9" t="n"/>
      <c r="F242" s="9" t="n"/>
      <c r="G242" s="9" t="n"/>
      <c r="H242" s="9" t="n"/>
    </row>
  </sheetData>
  <autoFilter ref="A2:H241"/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C5"/>
  <sheetViews>
    <sheetView rightToLeft="1" zoomScale="10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55" t="inlineStr">
        <is>
          <t>اسم المندوب</t>
        </is>
      </c>
      <c r="B1" s="55" t="inlineStr">
        <is>
          <t>عدد الفواتير</t>
        </is>
      </c>
      <c r="C1" s="55" t="inlineStr">
        <is>
          <t>إجمالي القيمة (ريال)</t>
        </is>
      </c>
    </row>
    <row r="2">
      <c r="A2" s="16" t="inlineStr">
        <is>
          <t>عصمت الله خان</t>
        </is>
      </c>
      <c r="B2" s="16">
        <f>COUNTIF('الفواتير المبدئية'!F3:F241,A2)</f>
        <v/>
      </c>
      <c r="C2" s="17">
        <f>SUMIF('الفواتير المبدئية'!F3:F241,A2,'الفواتير المبدئية'!D3:D241)</f>
        <v/>
      </c>
    </row>
    <row r="3">
      <c r="A3" s="16" t="inlineStr">
        <is>
          <t>م/ عادل أبو خالد</t>
        </is>
      </c>
      <c r="B3" s="16">
        <f>COUNTIF('الفواتير المبدئية'!F3:F241,A3)</f>
        <v/>
      </c>
      <c r="C3" s="17">
        <f>SUMIF('الفواتير المبدئية'!F3:F241,A3,'الفواتير المبدئية'!D3:D241)</f>
        <v/>
      </c>
    </row>
    <row r="4">
      <c r="A4" s="16" t="inlineStr">
        <is>
          <t>عماد حمدي</t>
        </is>
      </c>
      <c r="B4" s="16">
        <f>COUNTIF('الفواتير المبدئية'!F3:F241,A4)</f>
        <v/>
      </c>
      <c r="C4" s="17">
        <f>SUMIF('الفواتير المبدئية'!F3:F241,A4,'الفواتير المبدئية'!D3:D241)</f>
        <v/>
      </c>
    </row>
    <row r="5">
      <c r="A5" s="56" t="inlineStr">
        <is>
          <t>الإجمالي</t>
        </is>
      </c>
      <c r="B5" s="56">
        <f>SUM(B2:B4)</f>
        <v/>
      </c>
      <c r="C5" s="57">
        <f>SUM(C2:C4)</f>
        <v/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C11"/>
  <sheetViews>
    <sheetView rightToLeft="1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55" t="inlineStr">
        <is>
          <t>الشهر</t>
        </is>
      </c>
      <c r="B1" s="55" t="inlineStr">
        <is>
          <t>عدد الفواتير</t>
        </is>
      </c>
      <c r="C1" s="55" t="inlineStr">
        <is>
          <t>إجمالي القيمة (ريال)</t>
        </is>
      </c>
    </row>
    <row r="2">
      <c r="A2" t="inlineStr">
        <is>
          <t>2025-10</t>
        </is>
      </c>
      <c r="B2" t="n">
        <v>6</v>
      </c>
      <c r="C2" s="58" t="n">
        <v>22425</v>
      </c>
    </row>
    <row r="3">
      <c r="A3" t="inlineStr">
        <is>
          <t>2025-11</t>
        </is>
      </c>
      <c r="B3" t="n">
        <v>41</v>
      </c>
      <c r="C3" s="58" t="n">
        <v>288828.5</v>
      </c>
    </row>
    <row r="4">
      <c r="A4" t="inlineStr">
        <is>
          <t>2025-12</t>
        </is>
      </c>
      <c r="B4" t="n">
        <v>34</v>
      </c>
      <c r="C4" s="58" t="n">
        <v>161001.5</v>
      </c>
    </row>
    <row r="5">
      <c r="A5" t="inlineStr">
        <is>
          <t>2026-01</t>
        </is>
      </c>
      <c r="B5" t="n">
        <v>27</v>
      </c>
      <c r="C5" s="58" t="n">
        <v>132858.25</v>
      </c>
    </row>
    <row r="6">
      <c r="A6" t="inlineStr">
        <is>
          <t>2026-02</t>
        </is>
      </c>
      <c r="B6" t="n">
        <v>32</v>
      </c>
      <c r="C6" s="58" t="n">
        <v>211176.25</v>
      </c>
    </row>
    <row r="7">
      <c r="A7" t="inlineStr">
        <is>
          <t>2026-03</t>
        </is>
      </c>
      <c r="B7" t="n">
        <v>31</v>
      </c>
      <c r="C7" s="58" t="n">
        <v>82164.25</v>
      </c>
    </row>
    <row r="8">
      <c r="A8" t="inlineStr">
        <is>
          <t>2026-04</t>
        </is>
      </c>
      <c r="B8" t="n">
        <v>29</v>
      </c>
      <c r="C8" s="58" t="n">
        <v>49811.25</v>
      </c>
    </row>
    <row r="9">
      <c r="A9" t="inlineStr">
        <is>
          <t>2026-05</t>
        </is>
      </c>
      <c r="B9" t="n">
        <v>35</v>
      </c>
      <c r="C9" s="58" t="n">
        <v>147981</v>
      </c>
    </row>
    <row r="10">
      <c r="A10" t="inlineStr">
        <is>
          <t>2026-06</t>
        </is>
      </c>
      <c r="B10" t="n">
        <v>4</v>
      </c>
      <c r="C10" s="58" t="n">
        <v>10766.5</v>
      </c>
    </row>
    <row r="11">
      <c r="A11" s="59" t="inlineStr">
        <is>
          <t>الإجمالي</t>
        </is>
      </c>
      <c r="B11" s="59">
        <f>SUM(B2:B10)</f>
        <v/>
      </c>
      <c r="C11" s="60">
        <f>SUM(C2:C10)</f>
        <v/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I251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4" customWidth="1" min="4" max="4"/>
    <col width="22" customWidth="1" min="5" max="5"/>
    <col width="14" customWidth="1" min="6" max="6"/>
    <col width="10" customWidth="1" min="7" max="7"/>
    <col width="34" customWidth="1" min="8" max="8"/>
    <col width="60" customWidth="1" min="9" max="9"/>
  </cols>
  <sheetData>
    <row r="1">
      <c r="A1" s="15" t="inlineStr">
        <is>
          <t>الشيت</t>
        </is>
      </c>
      <c r="B1" s="15" t="inlineStr">
        <is>
          <t>رقم العقد بالشيت</t>
        </is>
      </c>
      <c r="C1" s="15" t="inlineStr">
        <is>
          <t>تاريخ العقد</t>
        </is>
      </c>
      <c r="D1" s="15" t="inlineStr">
        <is>
          <t>قيمة العقد</t>
        </is>
      </c>
      <c r="E1" s="15" t="inlineStr">
        <is>
          <t>رقم الفاتورة المبدئية</t>
        </is>
      </c>
      <c r="F1" s="15" t="inlineStr">
        <is>
          <t>قيمة الفاتورة</t>
        </is>
      </c>
      <c r="G1" s="15" t="inlineStr">
        <is>
          <t>الفرق</t>
        </is>
      </c>
      <c r="H1" s="15" t="inlineStr">
        <is>
          <t>الحالة</t>
        </is>
      </c>
      <c r="I1" s="15" t="inlineStr">
        <is>
          <t>ملاحظة</t>
        </is>
      </c>
    </row>
    <row r="2">
      <c r="A2" s="25" t="inlineStr">
        <is>
          <t>WHE</t>
        </is>
      </c>
      <c r="B2" s="25" t="inlineStr">
        <is>
          <t>WHE-2973</t>
        </is>
      </c>
      <c r="C2" s="96" t="n">
        <v>45983</v>
      </c>
      <c r="D2" s="27" t="n">
        <v>6315</v>
      </c>
      <c r="E2" s="25" t="inlineStr">
        <is>
          <t>RN-INV#62</t>
        </is>
      </c>
      <c r="F2" s="27" t="n">
        <v>6315</v>
      </c>
      <c r="G2" s="27" t="n">
        <v>0</v>
      </c>
      <c r="H2" s="25" t="inlineStr">
        <is>
          <t>مطابق</t>
        </is>
      </c>
      <c r="I2" s="25" t="n"/>
    </row>
    <row r="3">
      <c r="A3" s="25" t="inlineStr">
        <is>
          <t>WHE</t>
        </is>
      </c>
      <c r="B3" s="25" t="inlineStr">
        <is>
          <t>WHE-3011</t>
        </is>
      </c>
      <c r="C3" s="96" t="n">
        <v>45986</v>
      </c>
      <c r="D3" s="27" t="n">
        <v>8300.5</v>
      </c>
      <c r="E3" s="25" t="inlineStr">
        <is>
          <t>RN-INV#67</t>
        </is>
      </c>
      <c r="F3" s="27" t="n">
        <v>8300.5</v>
      </c>
      <c r="G3" s="27" t="n">
        <v>0</v>
      </c>
      <c r="H3" s="25" t="inlineStr">
        <is>
          <t>مطابق</t>
        </is>
      </c>
      <c r="I3" s="25" t="n"/>
    </row>
    <row r="4">
      <c r="A4" s="25" t="inlineStr">
        <is>
          <t>WHE</t>
        </is>
      </c>
      <c r="B4" s="25" t="inlineStr">
        <is>
          <t>WHE-3041</t>
        </is>
      </c>
      <c r="C4" s="96" t="n">
        <v>45989</v>
      </c>
      <c r="D4" s="27" t="n">
        <v>7387.5</v>
      </c>
      <c r="E4" s="25" t="inlineStr">
        <is>
          <t>RN-INV#70</t>
        </is>
      </c>
      <c r="F4" s="27" t="n">
        <v>7387.5</v>
      </c>
      <c r="G4" s="27" t="n">
        <v>0</v>
      </c>
      <c r="H4" s="25" t="inlineStr">
        <is>
          <t>مطابق</t>
        </is>
      </c>
      <c r="I4" s="25" t="n"/>
    </row>
    <row r="5">
      <c r="A5" s="25" t="inlineStr">
        <is>
          <t>WHE</t>
        </is>
      </c>
      <c r="B5" s="25" t="inlineStr">
        <is>
          <t>WHE-3076</t>
        </is>
      </c>
      <c r="C5" s="96" t="n">
        <v>45991</v>
      </c>
      <c r="D5" s="27" t="n">
        <v>8400</v>
      </c>
      <c r="E5" s="25" t="inlineStr">
        <is>
          <t>RN-INV#73</t>
        </is>
      </c>
      <c r="F5" s="27" t="n">
        <v>8400</v>
      </c>
      <c r="G5" s="27" t="n">
        <v>0</v>
      </c>
      <c r="H5" s="25" t="inlineStr">
        <is>
          <t>مطابق</t>
        </is>
      </c>
      <c r="I5" s="25" t="n"/>
    </row>
    <row r="6">
      <c r="A6" s="25" t="inlineStr">
        <is>
          <t>WHE</t>
        </is>
      </c>
      <c r="B6" s="25" t="inlineStr">
        <is>
          <t>WHE-3212</t>
        </is>
      </c>
      <c r="C6" s="96" t="n">
        <v>46002</v>
      </c>
      <c r="D6" s="27" t="n">
        <v>10731.25</v>
      </c>
      <c r="E6" s="25" t="inlineStr">
        <is>
          <t>RN-INV#85</t>
        </is>
      </c>
      <c r="F6" s="27" t="n">
        <v>10731.25</v>
      </c>
      <c r="G6" s="27" t="n">
        <v>0</v>
      </c>
      <c r="H6" s="25" t="inlineStr">
        <is>
          <t>مطابق</t>
        </is>
      </c>
      <c r="I6" s="25" t="n"/>
    </row>
    <row r="7">
      <c r="A7" s="25" t="inlineStr">
        <is>
          <t>WHE</t>
        </is>
      </c>
      <c r="B7" s="25" t="inlineStr">
        <is>
          <t>WHE-3245</t>
        </is>
      </c>
      <c r="C7" s="96" t="n">
        <v>46005</v>
      </c>
      <c r="D7" s="27" t="n">
        <v>4845.5</v>
      </c>
      <c r="E7" s="25" t="inlineStr">
        <is>
          <t>RN-INV#90</t>
        </is>
      </c>
      <c r="F7" s="27" t="n">
        <v>4845.5</v>
      </c>
      <c r="G7" s="27" t="n">
        <v>0</v>
      </c>
      <c r="H7" s="25" t="inlineStr">
        <is>
          <t>مطابق</t>
        </is>
      </c>
      <c r="I7" s="25" t="n"/>
    </row>
    <row r="8">
      <c r="A8" s="25" t="inlineStr">
        <is>
          <t>WHE</t>
        </is>
      </c>
      <c r="B8" s="25" t="inlineStr">
        <is>
          <t>WHE-3274</t>
        </is>
      </c>
      <c r="C8" s="96" t="n">
        <v>46008</v>
      </c>
      <c r="D8" s="27" t="n">
        <v>6818.5</v>
      </c>
      <c r="E8" s="25" t="inlineStr">
        <is>
          <t>RN-INV#94</t>
        </is>
      </c>
      <c r="F8" s="27" t="n">
        <v>6818.5</v>
      </c>
      <c r="G8" s="27" t="n">
        <v>0</v>
      </c>
      <c r="H8" s="25" t="inlineStr">
        <is>
          <t>مطابق</t>
        </is>
      </c>
      <c r="I8" s="25" t="n"/>
    </row>
    <row r="9">
      <c r="A9" s="25" t="inlineStr">
        <is>
          <t>WHE</t>
        </is>
      </c>
      <c r="B9" s="25" t="inlineStr">
        <is>
          <t>WHE-3424</t>
        </is>
      </c>
      <c r="C9" s="96" t="n">
        <v>46023</v>
      </c>
      <c r="D9" s="27" t="n">
        <v>6577.5</v>
      </c>
      <c r="E9" s="25" t="inlineStr">
        <is>
          <t>RN-INV#106</t>
        </is>
      </c>
      <c r="F9" s="27" t="n">
        <v>6577.5</v>
      </c>
      <c r="G9" s="27" t="n">
        <v>0</v>
      </c>
      <c r="H9" s="25" t="inlineStr">
        <is>
          <t>مطابق</t>
        </is>
      </c>
      <c r="I9" s="25" t="n"/>
    </row>
    <row r="10">
      <c r="A10" s="25" t="inlineStr">
        <is>
          <t>WHE</t>
        </is>
      </c>
      <c r="B10" s="25" t="inlineStr">
        <is>
          <t>WHE-3475</t>
        </is>
      </c>
      <c r="C10" s="96" t="n">
        <v>46143</v>
      </c>
      <c r="D10" s="27" t="n">
        <v>8985</v>
      </c>
      <c r="E10" s="25" t="inlineStr">
        <is>
          <t>RN-INV#111</t>
        </is>
      </c>
      <c r="F10" s="27" t="n">
        <v>8985</v>
      </c>
      <c r="G10" s="27" t="n">
        <v>0</v>
      </c>
      <c r="H10" s="25" t="inlineStr">
        <is>
          <t>مطابق</t>
        </is>
      </c>
      <c r="I10" s="25" t="n"/>
    </row>
    <row r="11">
      <c r="A11" s="25" t="inlineStr">
        <is>
          <t>WHE</t>
        </is>
      </c>
      <c r="B11" s="25" t="inlineStr">
        <is>
          <t>WHE-3570</t>
        </is>
      </c>
      <c r="C11" s="96" t="n">
        <v>46037</v>
      </c>
      <c r="D11" s="27" t="n">
        <v>8562.5</v>
      </c>
      <c r="E11" s="25" t="inlineStr">
        <is>
          <t>RN-INV#120</t>
        </is>
      </c>
      <c r="F11" s="27" t="n">
        <v>8562.5</v>
      </c>
      <c r="G11" s="27" t="n">
        <v>0</v>
      </c>
      <c r="H11" s="25" t="inlineStr">
        <is>
          <t>مطابق</t>
        </is>
      </c>
      <c r="I11" s="25" t="n"/>
    </row>
    <row r="12">
      <c r="A12" s="25" t="inlineStr">
        <is>
          <t>WHE</t>
        </is>
      </c>
      <c r="B12" s="25" t="inlineStr">
        <is>
          <t>WHE-3615</t>
        </is>
      </c>
      <c r="C12" s="96" t="n">
        <v>46042</v>
      </c>
      <c r="D12" s="27" t="n">
        <v>6699.5</v>
      </c>
      <c r="E12" s="25" t="inlineStr">
        <is>
          <t>RN-INV#124</t>
        </is>
      </c>
      <c r="F12" s="27" t="n">
        <v>6699.5</v>
      </c>
      <c r="G12" s="27" t="n">
        <v>0</v>
      </c>
      <c r="H12" s="25" t="inlineStr">
        <is>
          <t>مطابق</t>
        </is>
      </c>
      <c r="I12" s="25" t="n"/>
    </row>
    <row r="13">
      <c r="A13" s="25" t="inlineStr">
        <is>
          <t>WHE</t>
        </is>
      </c>
      <c r="B13" s="25" t="inlineStr">
        <is>
          <t>WHE-3657</t>
        </is>
      </c>
      <c r="C13" s="96" t="n">
        <v>46048</v>
      </c>
      <c r="D13" s="27" t="n">
        <v>4881.25</v>
      </c>
      <c r="E13" s="25" t="inlineStr">
        <is>
          <t>RN-INV#129</t>
        </is>
      </c>
      <c r="F13" s="27" t="n">
        <v>4881.25</v>
      </c>
      <c r="G13" s="27" t="n">
        <v>0</v>
      </c>
      <c r="H13" s="25" t="inlineStr">
        <is>
          <t>مطابق</t>
        </is>
      </c>
      <c r="I13" s="25" t="n"/>
    </row>
    <row r="14">
      <c r="A14" s="25" t="inlineStr">
        <is>
          <t>WHE</t>
        </is>
      </c>
      <c r="B14" s="25" t="inlineStr">
        <is>
          <t>WHE-3702</t>
        </is>
      </c>
      <c r="C14" s="96" t="n">
        <v>46053</v>
      </c>
      <c r="D14" s="27" t="n">
        <v>4311.25</v>
      </c>
      <c r="E14" s="25" t="inlineStr">
        <is>
          <t>RN-INV#134</t>
        </is>
      </c>
      <c r="F14" s="27" t="n">
        <v>4311.25</v>
      </c>
      <c r="G14" s="27" t="n">
        <v>0</v>
      </c>
      <c r="H14" s="25" t="inlineStr">
        <is>
          <t>مطابق</t>
        </is>
      </c>
      <c r="I14" s="25" t="n"/>
    </row>
    <row r="15">
      <c r="A15" s="25" t="inlineStr">
        <is>
          <t>WHE</t>
        </is>
      </c>
      <c r="B15" s="25" t="inlineStr">
        <is>
          <t>WHE-3748</t>
        </is>
      </c>
      <c r="C15" s="96" t="n">
        <v>46083</v>
      </c>
      <c r="D15" s="27" t="n">
        <v>5237.5</v>
      </c>
      <c r="E15" s="25" t="inlineStr">
        <is>
          <t>RN-INV#138</t>
        </is>
      </c>
      <c r="F15" s="27" t="n">
        <v>5237.5</v>
      </c>
      <c r="G15" s="27" t="n">
        <v>0</v>
      </c>
      <c r="H15" s="25" t="inlineStr">
        <is>
          <t>مطابق</t>
        </is>
      </c>
      <c r="I15" s="25" t="n"/>
    </row>
    <row r="16">
      <c r="A16" s="25" t="inlineStr">
        <is>
          <t>WHE</t>
        </is>
      </c>
      <c r="B16" s="25" t="inlineStr">
        <is>
          <t>WHE-3764</t>
        </is>
      </c>
      <c r="C16" s="96" t="n">
        <v>46144</v>
      </c>
      <c r="D16" s="27" t="n">
        <v>7425</v>
      </c>
      <c r="E16" s="25" t="inlineStr">
        <is>
          <t>RN-INV#142</t>
        </is>
      </c>
      <c r="F16" s="27" t="n">
        <v>7425</v>
      </c>
      <c r="G16" s="27" t="n">
        <v>0</v>
      </c>
      <c r="H16" s="25" t="inlineStr">
        <is>
          <t>مطابق</t>
        </is>
      </c>
      <c r="I16" s="25" t="n"/>
    </row>
    <row r="17">
      <c r="A17" s="25" t="inlineStr">
        <is>
          <t>WHE</t>
        </is>
      </c>
      <c r="B17" s="25" t="inlineStr">
        <is>
          <t>WHE-3784</t>
        </is>
      </c>
      <c r="C17" s="96" t="n">
        <v>46267</v>
      </c>
      <c r="D17" s="27" t="n">
        <v>6660</v>
      </c>
      <c r="E17" s="25" t="inlineStr">
        <is>
          <t>RN-INV#146</t>
        </is>
      </c>
      <c r="F17" s="27" t="n">
        <v>6660</v>
      </c>
      <c r="G17" s="27" t="n">
        <v>0</v>
      </c>
      <c r="H17" s="25" t="inlineStr">
        <is>
          <t>مطابق</t>
        </is>
      </c>
      <c r="I17" s="25" t="n"/>
    </row>
    <row r="18">
      <c r="A18" s="25" t="inlineStr">
        <is>
          <t>WHE</t>
        </is>
      </c>
      <c r="B18" s="25" t="inlineStr">
        <is>
          <t>WHE-3834</t>
        </is>
      </c>
      <c r="C18" s="96" t="n">
        <v>46066</v>
      </c>
      <c r="D18" s="27" t="n">
        <v>4628.75</v>
      </c>
      <c r="E18" s="25" t="inlineStr">
        <is>
          <t>RN-INV#152</t>
        </is>
      </c>
      <c r="F18" s="27" t="n">
        <v>4628.75</v>
      </c>
      <c r="G18" s="27" t="n">
        <v>0</v>
      </c>
      <c r="H18" s="25" t="inlineStr">
        <is>
          <t>مطابق</t>
        </is>
      </c>
      <c r="I18" s="25" t="n"/>
    </row>
    <row r="19">
      <c r="A19" s="25" t="inlineStr">
        <is>
          <t>WHE</t>
        </is>
      </c>
      <c r="B19" s="25" t="inlineStr">
        <is>
          <t>WHE-3842</t>
        </is>
      </c>
      <c r="C19" s="96" t="n">
        <v>46068</v>
      </c>
      <c r="D19" s="27" t="n">
        <v>9600</v>
      </c>
      <c r="E19" s="25" t="inlineStr">
        <is>
          <t>RN-INV#154</t>
        </is>
      </c>
      <c r="F19" s="27" t="n">
        <v>9600</v>
      </c>
      <c r="G19" s="27" t="n">
        <v>0</v>
      </c>
      <c r="H19" s="25" t="inlineStr">
        <is>
          <t>مطابق</t>
        </is>
      </c>
      <c r="I19" s="25" t="n"/>
    </row>
    <row r="20">
      <c r="A20" s="25" t="inlineStr">
        <is>
          <t>WHE</t>
        </is>
      </c>
      <c r="B20" s="25" t="inlineStr">
        <is>
          <t>WHE-3869</t>
        </is>
      </c>
      <c r="C20" s="96" t="n">
        <v>46071</v>
      </c>
      <c r="D20" s="27" t="n">
        <v>5768.75</v>
      </c>
      <c r="E20" s="25" t="inlineStr">
        <is>
          <t>RN-INV#158</t>
        </is>
      </c>
      <c r="F20" s="27" t="n">
        <v>5768.75</v>
      </c>
      <c r="G20" s="27" t="n">
        <v>0</v>
      </c>
      <c r="H20" s="25" t="inlineStr">
        <is>
          <t>مطابق</t>
        </is>
      </c>
      <c r="I20" s="25" t="n"/>
    </row>
    <row r="21">
      <c r="A21" s="25" t="inlineStr">
        <is>
          <t>WHE</t>
        </is>
      </c>
      <c r="B21" s="25" t="inlineStr">
        <is>
          <t>WHE-3912</t>
        </is>
      </c>
      <c r="C21" s="96" t="n">
        <v>46075</v>
      </c>
      <c r="D21" s="27" t="n">
        <v>4952.5</v>
      </c>
      <c r="E21" s="25" t="inlineStr">
        <is>
          <t>RN-INV#164</t>
        </is>
      </c>
      <c r="F21" s="27" t="n">
        <v>4952.5</v>
      </c>
      <c r="G21" s="27" t="n">
        <v>0</v>
      </c>
      <c r="H21" s="25" t="inlineStr">
        <is>
          <t>مطابق</t>
        </is>
      </c>
      <c r="I21" s="25" t="n"/>
    </row>
    <row r="22">
      <c r="A22" s="25" t="inlineStr">
        <is>
          <t>WHE</t>
        </is>
      </c>
      <c r="B22" s="25" t="inlineStr">
        <is>
          <t>WHE-3936</t>
        </is>
      </c>
      <c r="C22" s="96" t="n">
        <v>46078</v>
      </c>
      <c r="D22" s="27" t="n">
        <v>5331.25</v>
      </c>
      <c r="E22" s="25" t="inlineStr">
        <is>
          <t>RN-INV#168</t>
        </is>
      </c>
      <c r="F22" s="27" t="n">
        <v>5331.25</v>
      </c>
      <c r="G22" s="27" t="n">
        <v>0</v>
      </c>
      <c r="H22" s="25" t="inlineStr">
        <is>
          <t>مطابق</t>
        </is>
      </c>
      <c r="I22" s="25" t="n"/>
    </row>
    <row r="23">
      <c r="A23" s="25" t="inlineStr">
        <is>
          <t>WHE</t>
        </is>
      </c>
      <c r="B23" s="25" t="inlineStr">
        <is>
          <t>WHE-3962</t>
        </is>
      </c>
      <c r="C23" s="96" t="n">
        <v>46115</v>
      </c>
      <c r="D23" s="27" t="n">
        <v>5463.75</v>
      </c>
      <c r="E23" s="25" t="inlineStr">
        <is>
          <t>RN-INV#173</t>
        </is>
      </c>
      <c r="F23" s="27" t="n">
        <v>5463.75</v>
      </c>
      <c r="G23" s="27" t="n">
        <v>0</v>
      </c>
      <c r="H23" s="25" t="inlineStr">
        <is>
          <t>مطابق</t>
        </is>
      </c>
      <c r="I23" s="25" t="n"/>
    </row>
    <row r="24">
      <c r="A24" s="25" t="inlineStr">
        <is>
          <t>WHE</t>
        </is>
      </c>
      <c r="B24" s="25" t="inlineStr">
        <is>
          <t>WHE-3990</t>
        </is>
      </c>
      <c r="C24" s="96" t="n">
        <v>46268</v>
      </c>
      <c r="D24" s="27" t="n">
        <v>6240</v>
      </c>
      <c r="E24" s="25" t="inlineStr">
        <is>
          <t>RN-INV#179</t>
        </is>
      </c>
      <c r="F24" s="27" t="n">
        <v>6240</v>
      </c>
      <c r="G24" s="27" t="n">
        <v>0</v>
      </c>
      <c r="H24" s="25" t="inlineStr">
        <is>
          <t>مطابق</t>
        </is>
      </c>
      <c r="I24" s="25" t="n"/>
    </row>
    <row r="25">
      <c r="A25" s="25" t="inlineStr">
        <is>
          <t>WHE</t>
        </is>
      </c>
      <c r="B25" s="25" t="inlineStr">
        <is>
          <t>WHE-4016</t>
        </is>
      </c>
      <c r="C25" s="96" t="n">
        <v>46095</v>
      </c>
      <c r="D25" s="27" t="n">
        <v>6700</v>
      </c>
      <c r="E25" s="25" t="inlineStr">
        <is>
          <t>RN-INV#184</t>
        </is>
      </c>
      <c r="F25" s="27" t="n">
        <v>6700</v>
      </c>
      <c r="G25" s="27" t="n">
        <v>0</v>
      </c>
      <c r="H25" s="25" t="inlineStr">
        <is>
          <t>مطابق</t>
        </is>
      </c>
      <c r="I25" s="25" t="n"/>
    </row>
    <row r="26">
      <c r="A26" s="25" t="inlineStr">
        <is>
          <t>WHE</t>
        </is>
      </c>
      <c r="B26" s="25" t="inlineStr">
        <is>
          <t>WHE-4051</t>
        </is>
      </c>
      <c r="C26" s="96" t="n">
        <v>46100</v>
      </c>
      <c r="D26" s="27" t="n">
        <v>1355</v>
      </c>
      <c r="E26" s="25" t="inlineStr">
        <is>
          <t>RN-INV#189</t>
        </is>
      </c>
      <c r="F26" s="27" t="n">
        <v>1355</v>
      </c>
      <c r="G26" s="27" t="n">
        <v>0</v>
      </c>
      <c r="H26" s="25" t="inlineStr">
        <is>
          <t>مطابق</t>
        </is>
      </c>
      <c r="I26" s="25" t="n"/>
    </row>
    <row r="27">
      <c r="A27" s="25" t="inlineStr">
        <is>
          <t>WHE</t>
        </is>
      </c>
      <c r="B27" s="25" t="inlineStr">
        <is>
          <t>WHE-4130</t>
        </is>
      </c>
      <c r="C27" s="96" t="n">
        <v>46207</v>
      </c>
      <c r="D27" s="27" t="n">
        <v>2147.5</v>
      </c>
      <c r="E27" s="25" t="inlineStr">
        <is>
          <t>RN-INV#201</t>
        </is>
      </c>
      <c r="F27" s="27" t="n">
        <v>2147.5</v>
      </c>
      <c r="G27" s="27" t="n">
        <v>0</v>
      </c>
      <c r="H27" s="25" t="inlineStr">
        <is>
          <t>مطابق</t>
        </is>
      </c>
      <c r="I27" s="25" t="n"/>
    </row>
    <row r="28">
      <c r="A28" s="25" t="inlineStr">
        <is>
          <t>WHE</t>
        </is>
      </c>
      <c r="B28" s="25" t="inlineStr">
        <is>
          <t>WHE-4158</t>
        </is>
      </c>
      <c r="C28" s="96" t="n">
        <v>46125</v>
      </c>
      <c r="D28" s="27" t="n">
        <v>3217.5</v>
      </c>
      <c r="E28" s="25" t="inlineStr">
        <is>
          <t>RN-INV#205</t>
        </is>
      </c>
      <c r="F28" s="27" t="n">
        <v>3217.5</v>
      </c>
      <c r="G28" s="27" t="n">
        <v>0</v>
      </c>
      <c r="H28" s="25" t="inlineStr">
        <is>
          <t>مطابق</t>
        </is>
      </c>
      <c r="I28" s="25" t="n"/>
    </row>
    <row r="29">
      <c r="A29" s="25" t="inlineStr">
        <is>
          <t>WHE</t>
        </is>
      </c>
      <c r="B29" s="25" t="inlineStr">
        <is>
          <t>WHE-4185</t>
        </is>
      </c>
      <c r="C29" s="96" t="n">
        <v>46128</v>
      </c>
      <c r="D29" s="27" t="n">
        <v>880</v>
      </c>
      <c r="E29" s="25" t="inlineStr">
        <is>
          <t>RN-INV#207</t>
        </is>
      </c>
      <c r="F29" s="27" t="n">
        <v>880</v>
      </c>
      <c r="G29" s="27" t="n">
        <v>0</v>
      </c>
      <c r="H29" s="25" t="inlineStr">
        <is>
          <t>مطابق</t>
        </is>
      </c>
      <c r="I29" s="25" t="n"/>
    </row>
    <row r="30">
      <c r="A30" s="25" t="inlineStr">
        <is>
          <t>WHE</t>
        </is>
      </c>
      <c r="B30" s="25" t="inlineStr">
        <is>
          <t>WHE-4186</t>
        </is>
      </c>
      <c r="C30" s="96" t="n">
        <v>46130</v>
      </c>
      <c r="D30" s="27" t="n">
        <v>2070</v>
      </c>
      <c r="E30" s="25" t="inlineStr">
        <is>
          <t>RN-INV#208</t>
        </is>
      </c>
      <c r="F30" s="27" t="n">
        <v>2070</v>
      </c>
      <c r="G30" s="27" t="n">
        <v>0</v>
      </c>
      <c r="H30" s="25" t="inlineStr">
        <is>
          <t>مطابق</t>
        </is>
      </c>
      <c r="I30" s="25" t="n"/>
    </row>
    <row r="31">
      <c r="A31" s="25" t="inlineStr">
        <is>
          <t>WHE</t>
        </is>
      </c>
      <c r="B31" s="25" t="inlineStr">
        <is>
          <t>WHE-4192</t>
        </is>
      </c>
      <c r="C31" s="96" t="n">
        <v>46132</v>
      </c>
      <c r="D31" s="27" t="n">
        <v>3100</v>
      </c>
      <c r="E31" s="25" t="inlineStr">
        <is>
          <t>RN-INV#211</t>
        </is>
      </c>
      <c r="F31" s="27" t="n">
        <v>3100</v>
      </c>
      <c r="G31" s="27" t="n">
        <v>0</v>
      </c>
      <c r="H31" s="25" t="inlineStr">
        <is>
          <t>مطابق</t>
        </is>
      </c>
      <c r="I31" s="25" t="n"/>
    </row>
    <row r="32">
      <c r="A32" s="25" t="inlineStr">
        <is>
          <t>WHE</t>
        </is>
      </c>
      <c r="B32" s="25" t="inlineStr">
        <is>
          <t>WHE-4199</t>
        </is>
      </c>
      <c r="C32" s="96" t="n">
        <v>46134</v>
      </c>
      <c r="D32" s="27" t="n">
        <v>2602.5</v>
      </c>
      <c r="E32" s="25" t="inlineStr">
        <is>
          <t>RN-INV#214</t>
        </is>
      </c>
      <c r="F32" s="27" t="n">
        <v>2602.5</v>
      </c>
      <c r="G32" s="27" t="n">
        <v>0</v>
      </c>
      <c r="H32" s="25" t="inlineStr">
        <is>
          <t>مطابق</t>
        </is>
      </c>
      <c r="I32" s="25" t="n"/>
    </row>
    <row r="33">
      <c r="A33" s="25" t="inlineStr">
        <is>
          <t>WHE</t>
        </is>
      </c>
      <c r="B33" s="25" t="inlineStr">
        <is>
          <t>WHE-4204</t>
        </is>
      </c>
      <c r="C33" s="96" t="n">
        <v>46134</v>
      </c>
      <c r="D33" s="27" t="n">
        <v>1180</v>
      </c>
      <c r="E33" s="25" t="inlineStr">
        <is>
          <t>RN-INV#215</t>
        </is>
      </c>
      <c r="F33" s="27" t="n">
        <v>1180</v>
      </c>
      <c r="G33" s="27" t="n">
        <v>0</v>
      </c>
      <c r="H33" s="25" t="inlineStr">
        <is>
          <t>مطابق</t>
        </is>
      </c>
      <c r="I33" s="25" t="n"/>
    </row>
    <row r="34">
      <c r="A34" s="25" t="inlineStr">
        <is>
          <t>WHE</t>
        </is>
      </c>
      <c r="B34" s="25" t="inlineStr">
        <is>
          <t>WHE-4210</t>
        </is>
      </c>
      <c r="C34" s="96" t="n">
        <v>46137</v>
      </c>
      <c r="D34" s="27" t="n">
        <v>6711.25</v>
      </c>
      <c r="E34" s="25" t="inlineStr">
        <is>
          <t>RN-INV#217</t>
        </is>
      </c>
      <c r="F34" s="27" t="n">
        <v>6711.25</v>
      </c>
      <c r="G34" s="27" t="n">
        <v>0</v>
      </c>
      <c r="H34" s="25" t="inlineStr">
        <is>
          <t>مطابق</t>
        </is>
      </c>
      <c r="I34" s="25" t="n"/>
    </row>
    <row r="35">
      <c r="A35" s="25" t="inlineStr">
        <is>
          <t>WHE</t>
        </is>
      </c>
      <c r="B35" s="25" t="inlineStr">
        <is>
          <t>WHE-4218</t>
        </is>
      </c>
      <c r="C35" s="96" t="n">
        <v>46138</v>
      </c>
      <c r="D35" s="27" t="n">
        <v>810</v>
      </c>
      <c r="E35" s="25" t="inlineStr">
        <is>
          <t>RN-INV#219</t>
        </is>
      </c>
      <c r="F35" s="27" t="n">
        <v>810</v>
      </c>
      <c r="G35" s="27" t="n">
        <v>0</v>
      </c>
      <c r="H35" s="25" t="inlineStr">
        <is>
          <t>مطابق</t>
        </is>
      </c>
      <c r="I35" s="25" t="n"/>
    </row>
    <row r="36">
      <c r="A36" s="25" t="inlineStr">
        <is>
          <t>WHE</t>
        </is>
      </c>
      <c r="B36" s="25" t="inlineStr">
        <is>
          <t>WHE-4232</t>
        </is>
      </c>
      <c r="C36" s="96" t="n">
        <v>46141</v>
      </c>
      <c r="D36" s="27" t="n">
        <v>612.5</v>
      </c>
      <c r="E36" s="25" t="inlineStr">
        <is>
          <t>RN-INV#223</t>
        </is>
      </c>
      <c r="F36" s="27" t="n">
        <v>612.5</v>
      </c>
      <c r="G36" s="27" t="n">
        <v>0</v>
      </c>
      <c r="H36" s="25" t="inlineStr">
        <is>
          <t>مطابق</t>
        </is>
      </c>
      <c r="I36" s="25" t="n"/>
    </row>
    <row r="37">
      <c r="A37" s="25" t="inlineStr">
        <is>
          <t>WHE</t>
        </is>
      </c>
      <c r="B37" s="25" t="inlineStr">
        <is>
          <t>WHE-4261</t>
        </is>
      </c>
      <c r="C37" s="96" t="n">
        <v>46117</v>
      </c>
      <c r="D37" s="27" t="n">
        <v>4200</v>
      </c>
      <c r="E37" s="25" t="inlineStr">
        <is>
          <t>RN-INV#229</t>
        </is>
      </c>
      <c r="F37" s="27" t="n">
        <v>4200</v>
      </c>
      <c r="G37" s="27" t="n">
        <v>0</v>
      </c>
      <c r="H37" s="25" t="inlineStr">
        <is>
          <t>مطابق</t>
        </is>
      </c>
      <c r="I37" s="25" t="n"/>
    </row>
    <row r="38">
      <c r="A38" s="25" t="inlineStr">
        <is>
          <t>WHE</t>
        </is>
      </c>
      <c r="B38" s="25" t="inlineStr">
        <is>
          <t>WHE-4278</t>
        </is>
      </c>
      <c r="C38" s="96" t="n">
        <v>46178</v>
      </c>
      <c r="D38" s="27" t="n">
        <v>3328.75</v>
      </c>
      <c r="E38" s="25" t="inlineStr">
        <is>
          <t>RN-INV#233</t>
        </is>
      </c>
      <c r="F38" s="27" t="n">
        <v>3328.75</v>
      </c>
      <c r="G38" s="27" t="n">
        <v>0</v>
      </c>
      <c r="H38" s="25" t="inlineStr">
        <is>
          <t>مطابق</t>
        </is>
      </c>
      <c r="I38" s="25" t="n"/>
    </row>
    <row r="39">
      <c r="A39" s="25" t="inlineStr">
        <is>
          <t>WHE</t>
        </is>
      </c>
      <c r="B39" s="25" t="inlineStr">
        <is>
          <t>WHE-4286</t>
        </is>
      </c>
      <c r="C39" s="96" t="n">
        <v>46208</v>
      </c>
      <c r="D39" s="27" t="n">
        <v>6000</v>
      </c>
      <c r="E39" s="25" t="inlineStr">
        <is>
          <t>RN-INV#235</t>
        </is>
      </c>
      <c r="F39" s="27" t="n">
        <v>6000</v>
      </c>
      <c r="G39" s="27" t="n">
        <v>0</v>
      </c>
      <c r="H39" s="25" t="inlineStr">
        <is>
          <t>مطابق</t>
        </is>
      </c>
      <c r="I39" s="25" t="n"/>
    </row>
    <row r="40">
      <c r="A40" s="25" t="inlineStr">
        <is>
          <t>WHE</t>
        </is>
      </c>
      <c r="B40" s="25" t="inlineStr">
        <is>
          <t>WHE-4290</t>
        </is>
      </c>
      <c r="C40" s="96" t="n">
        <v>46270</v>
      </c>
      <c r="D40" s="27" t="n">
        <v>877.5</v>
      </c>
      <c r="E40" s="25" t="inlineStr">
        <is>
          <t>RN-INV#238</t>
        </is>
      </c>
      <c r="F40" s="27" t="n">
        <v>877.5</v>
      </c>
      <c r="G40" s="27" t="n">
        <v>0</v>
      </c>
      <c r="H40" s="25" t="inlineStr">
        <is>
          <t>مطابق</t>
        </is>
      </c>
      <c r="I40" s="25" t="n"/>
    </row>
    <row r="41">
      <c r="A41" s="25" t="inlineStr">
        <is>
          <t>WHE</t>
        </is>
      </c>
      <c r="B41" s="25" t="inlineStr">
        <is>
          <t>WHE-4304</t>
        </is>
      </c>
      <c r="C41" s="96" t="n">
        <v>46361</v>
      </c>
      <c r="D41" s="27" t="n">
        <v>3955</v>
      </c>
      <c r="E41" s="25" t="inlineStr">
        <is>
          <t>RN-INV#242</t>
        </is>
      </c>
      <c r="F41" s="27" t="n">
        <v>3955</v>
      </c>
      <c r="G41" s="27" t="n">
        <v>0</v>
      </c>
      <c r="H41" s="25" t="inlineStr">
        <is>
          <t>مطابق</t>
        </is>
      </c>
      <c r="I41" s="25" t="n"/>
    </row>
    <row r="42">
      <c r="A42" s="25" t="inlineStr">
        <is>
          <t>WHE</t>
        </is>
      </c>
      <c r="B42" s="25" t="inlineStr">
        <is>
          <t>WHE-4314</t>
        </is>
      </c>
      <c r="C42" s="96" t="n">
        <v>46156</v>
      </c>
      <c r="D42" s="27" t="n">
        <v>6455</v>
      </c>
      <c r="E42" s="25" t="inlineStr">
        <is>
          <t>RN-INV#247</t>
        </is>
      </c>
      <c r="F42" s="27" t="n">
        <v>6455</v>
      </c>
      <c r="G42" s="27" t="n">
        <v>0</v>
      </c>
      <c r="H42" s="25" t="inlineStr">
        <is>
          <t>مطابق</t>
        </is>
      </c>
      <c r="I42" s="25" t="n"/>
    </row>
    <row r="43">
      <c r="A43" s="25" t="inlineStr">
        <is>
          <t>WHE</t>
        </is>
      </c>
      <c r="B43" s="25" t="inlineStr">
        <is>
          <t>WHE-4327</t>
        </is>
      </c>
      <c r="C43" s="96" t="n">
        <v>46161</v>
      </c>
      <c r="D43" s="27" t="n">
        <v>5890</v>
      </c>
      <c r="E43" s="25" t="inlineStr">
        <is>
          <t>RN-INV#252</t>
        </is>
      </c>
      <c r="F43" s="27" t="n">
        <v>5890</v>
      </c>
      <c r="G43" s="27" t="n">
        <v>0</v>
      </c>
      <c r="H43" s="25" t="inlineStr">
        <is>
          <t>مطابق</t>
        </is>
      </c>
      <c r="I43" s="25" t="n"/>
    </row>
    <row r="44">
      <c r="A44" s="25" t="inlineStr">
        <is>
          <t>WHE</t>
        </is>
      </c>
      <c r="B44" s="25" t="inlineStr">
        <is>
          <t>WHE-4343</t>
        </is>
      </c>
      <c r="C44" s="96" t="n">
        <v>46167</v>
      </c>
      <c r="D44" s="27" t="n">
        <v>8328</v>
      </c>
      <c r="E44" s="25" t="inlineStr">
        <is>
          <t>RN-INV#255</t>
        </is>
      </c>
      <c r="F44" s="27" t="n">
        <v>8328</v>
      </c>
      <c r="G44" s="27" t="n">
        <v>0</v>
      </c>
      <c r="H44" s="25" t="inlineStr">
        <is>
          <t>مطابق</t>
        </is>
      </c>
      <c r="I44" s="25" t="n"/>
    </row>
    <row r="45">
      <c r="A45" s="34" t="inlineStr">
        <is>
          <t>WHT</t>
        </is>
      </c>
      <c r="B45" s="34" t="inlineStr">
        <is>
          <t>WHT-1892</t>
        </is>
      </c>
      <c r="C45" s="99" t="n">
        <v>45878</v>
      </c>
      <c r="D45" s="36" t="n">
        <v>150</v>
      </c>
      <c r="E45" s="34" t="n"/>
      <c r="F45" s="36" t="n"/>
      <c r="G45" s="36" t="n"/>
      <c r="H45" s="34" t="inlineStr">
        <is>
          <t>غير موجود بالفواتير</t>
        </is>
      </c>
      <c r="I45" s="34" t="inlineStr">
        <is>
          <t>قبل أول فاتورة مستلمة (RN-INV#25) – غالباً ضمن الفواتير 1-24</t>
        </is>
      </c>
    </row>
    <row r="46">
      <c r="A46" s="34" t="inlineStr">
        <is>
          <t>WHT</t>
        </is>
      </c>
      <c r="B46" s="34" t="inlineStr">
        <is>
          <t>WHT-1908</t>
        </is>
      </c>
      <c r="C46" s="99" t="n">
        <v>45868</v>
      </c>
      <c r="D46" s="36" t="n">
        <v>16658.75</v>
      </c>
      <c r="E46" s="34" t="n"/>
      <c r="F46" s="36" t="n"/>
      <c r="G46" s="36" t="n"/>
      <c r="H46" s="34" t="inlineStr">
        <is>
          <t>غير موجود بالفواتير</t>
        </is>
      </c>
      <c r="I46" s="34" t="inlineStr">
        <is>
          <t>قبل أول فاتورة مستلمة (RN-INV#25) – غالباً ضمن الفواتير 1-24</t>
        </is>
      </c>
    </row>
    <row r="47">
      <c r="A47" s="34" t="inlineStr">
        <is>
          <t>WHT</t>
        </is>
      </c>
      <c r="B47" s="34" t="inlineStr">
        <is>
          <t>WHT-1934</t>
        </is>
      </c>
      <c r="C47" s="99" t="n">
        <v>45885</v>
      </c>
      <c r="D47" s="36" t="n">
        <v>162.5</v>
      </c>
      <c r="E47" s="34" t="n"/>
      <c r="F47" s="36" t="n"/>
      <c r="G47" s="36" t="n"/>
      <c r="H47" s="34" t="inlineStr">
        <is>
          <t>غير موجود بالفواتير</t>
        </is>
      </c>
      <c r="I47" s="34" t="inlineStr">
        <is>
          <t>قبل أول فاتورة مستلمة (RN-INV#25) – غالباً ضمن الفواتير 1-24</t>
        </is>
      </c>
    </row>
    <row r="48">
      <c r="A48" s="34" t="inlineStr">
        <is>
          <t>WHT</t>
        </is>
      </c>
      <c r="B48" s="34" t="inlineStr">
        <is>
          <t>WHT-1937</t>
        </is>
      </c>
      <c r="C48" s="99" t="n">
        <v>45885</v>
      </c>
      <c r="D48" s="36" t="n">
        <v>50</v>
      </c>
      <c r="E48" s="34" t="n"/>
      <c r="F48" s="36" t="n"/>
      <c r="G48" s="36" t="n"/>
      <c r="H48" s="34" t="inlineStr">
        <is>
          <t>غير موجود بالفواتير</t>
        </is>
      </c>
      <c r="I48" s="34" t="inlineStr">
        <is>
          <t>قبل أول فاتورة مستلمة (RN-INV#25) – غالباً ضمن الفواتير 1-24</t>
        </is>
      </c>
    </row>
    <row r="49">
      <c r="A49" s="34" t="inlineStr">
        <is>
          <t>WHT</t>
        </is>
      </c>
      <c r="B49" s="34" t="inlineStr">
        <is>
          <t>WHT-1952</t>
        </is>
      </c>
      <c r="C49" s="99" t="n">
        <v>45887</v>
      </c>
      <c r="D49" s="36" t="n">
        <v>450</v>
      </c>
      <c r="E49" s="34" t="n"/>
      <c r="F49" s="36" t="n"/>
      <c r="G49" s="36" t="n"/>
      <c r="H49" s="34" t="inlineStr">
        <is>
          <t>غير موجود بالفواتير</t>
        </is>
      </c>
      <c r="I49" s="34" t="inlineStr">
        <is>
          <t>قبل أول فاتورة مستلمة (RN-INV#25) – غالباً ضمن الفواتير 1-24</t>
        </is>
      </c>
    </row>
    <row r="50">
      <c r="A50" s="34" t="inlineStr">
        <is>
          <t>WHT</t>
        </is>
      </c>
      <c r="B50" s="34" t="inlineStr">
        <is>
          <t>WHT-1970</t>
        </is>
      </c>
      <c r="C50" s="99" t="n">
        <v>45889</v>
      </c>
      <c r="D50" s="36" t="n">
        <v>125</v>
      </c>
      <c r="E50" s="34" t="n"/>
      <c r="F50" s="36" t="n"/>
      <c r="G50" s="36" t="n"/>
      <c r="H50" s="34" t="inlineStr">
        <is>
          <t>غير موجود بالفواتير</t>
        </is>
      </c>
      <c r="I50" s="34" t="inlineStr">
        <is>
          <t>قبل أول فاتورة مستلمة (RN-INV#25) – غالباً ضمن الفواتير 1-24</t>
        </is>
      </c>
    </row>
    <row r="51">
      <c r="A51" s="34" t="inlineStr">
        <is>
          <t>WHT</t>
        </is>
      </c>
      <c r="B51" s="34" t="inlineStr">
        <is>
          <t>WHT-1999</t>
        </is>
      </c>
      <c r="C51" s="99" t="n">
        <v>45890</v>
      </c>
      <c r="D51" s="36" t="n">
        <v>800</v>
      </c>
      <c r="E51" s="34" t="n"/>
      <c r="F51" s="36" t="n"/>
      <c r="G51" s="36" t="n"/>
      <c r="H51" s="34" t="inlineStr">
        <is>
          <t>غير موجود بالفواتير</t>
        </is>
      </c>
      <c r="I51" s="34" t="inlineStr">
        <is>
          <t>قبل أول فاتورة مستلمة (RN-INV#25) – غالباً ضمن الفواتير 1-24</t>
        </is>
      </c>
    </row>
    <row r="52">
      <c r="A52" s="34" t="inlineStr">
        <is>
          <t>WHT</t>
        </is>
      </c>
      <c r="B52" s="34" t="inlineStr">
        <is>
          <t>WHT-2007</t>
        </is>
      </c>
      <c r="C52" s="99" t="n">
        <v>45892</v>
      </c>
      <c r="D52" s="36" t="n">
        <v>155</v>
      </c>
      <c r="E52" s="34" t="n"/>
      <c r="F52" s="36" t="n"/>
      <c r="G52" s="36" t="n"/>
      <c r="H52" s="34" t="inlineStr">
        <is>
          <t>غير موجود بالفواتير</t>
        </is>
      </c>
      <c r="I52" s="34" t="inlineStr">
        <is>
          <t>قبل أول فاتورة مستلمة (RN-INV#25) – غالباً ضمن الفواتير 1-24</t>
        </is>
      </c>
    </row>
    <row r="53">
      <c r="A53" s="34" t="inlineStr">
        <is>
          <t>WHT</t>
        </is>
      </c>
      <c r="B53" s="34" t="inlineStr">
        <is>
          <t>WHT-2030</t>
        </is>
      </c>
      <c r="C53" s="99" t="n">
        <v>45894</v>
      </c>
      <c r="D53" s="36" t="n">
        <v>350</v>
      </c>
      <c r="E53" s="34" t="n"/>
      <c r="F53" s="36" t="n"/>
      <c r="G53" s="36" t="n"/>
      <c r="H53" s="34" t="inlineStr">
        <is>
          <t>غير موجود بالفواتير</t>
        </is>
      </c>
      <c r="I53" s="34" t="inlineStr">
        <is>
          <t>قبل أول فاتورة مستلمة (RN-INV#25) – غالباً ضمن الفواتير 1-24</t>
        </is>
      </c>
    </row>
    <row r="54">
      <c r="A54" s="34" t="inlineStr">
        <is>
          <t>WHT</t>
        </is>
      </c>
      <c r="B54" s="34" t="inlineStr">
        <is>
          <t>WHT-2040</t>
        </is>
      </c>
      <c r="C54" s="99" t="n">
        <v>45895</v>
      </c>
      <c r="D54" s="36" t="n">
        <v>205</v>
      </c>
      <c r="E54" s="34" t="n"/>
      <c r="F54" s="36" t="n"/>
      <c r="G54" s="36" t="n"/>
      <c r="H54" s="34" t="inlineStr">
        <is>
          <t>غير موجود بالفواتير</t>
        </is>
      </c>
      <c r="I54" s="34" t="inlineStr">
        <is>
          <t>قبل أول فاتورة مستلمة (RN-INV#25) – غالباً ضمن الفواتير 1-24</t>
        </is>
      </c>
    </row>
    <row r="55">
      <c r="A55" s="34" t="inlineStr">
        <is>
          <t>WHT</t>
        </is>
      </c>
      <c r="B55" s="34" t="inlineStr">
        <is>
          <t>WHT-2065</t>
        </is>
      </c>
      <c r="C55" s="99" t="n">
        <v>45897</v>
      </c>
      <c r="D55" s="36" t="n">
        <v>62.5</v>
      </c>
      <c r="E55" s="34" t="n"/>
      <c r="F55" s="36" t="n"/>
      <c r="G55" s="36" t="n"/>
      <c r="H55" s="34" t="inlineStr">
        <is>
          <t>غير موجود بالفواتير</t>
        </is>
      </c>
      <c r="I55" s="34" t="inlineStr">
        <is>
          <t>قبل أول فاتورة مستلمة (RN-INV#25) – غالباً ضمن الفواتير 1-24</t>
        </is>
      </c>
    </row>
    <row r="56">
      <c r="A56" s="34" t="inlineStr">
        <is>
          <t>WHT</t>
        </is>
      </c>
      <c r="B56" s="34" t="inlineStr">
        <is>
          <t>WHT-2084</t>
        </is>
      </c>
      <c r="C56" s="99" t="n">
        <v>45901</v>
      </c>
      <c r="D56" s="36" t="n">
        <v>202.5</v>
      </c>
      <c r="E56" s="34" t="n"/>
      <c r="F56" s="36" t="n"/>
      <c r="G56" s="36" t="n"/>
      <c r="H56" s="34" t="inlineStr">
        <is>
          <t>غير موجود بالفواتير</t>
        </is>
      </c>
      <c r="I56" s="34" t="inlineStr">
        <is>
          <t>قبل أول فاتورة مستلمة (RN-INV#25) – غالباً ضمن الفواتير 1-24</t>
        </is>
      </c>
    </row>
    <row r="57">
      <c r="A57" s="34" t="inlineStr">
        <is>
          <t>WHT</t>
        </is>
      </c>
      <c r="B57" s="34" t="inlineStr">
        <is>
          <t>WHT-2112</t>
        </is>
      </c>
      <c r="C57" s="99" t="n">
        <v>45904</v>
      </c>
      <c r="D57" s="36" t="n">
        <v>517.5</v>
      </c>
      <c r="E57" s="34" t="n"/>
      <c r="F57" s="36" t="n"/>
      <c r="G57" s="36" t="n"/>
      <c r="H57" s="34" t="inlineStr">
        <is>
          <t>غير موجود بالفواتير</t>
        </is>
      </c>
      <c r="I57" s="34" t="inlineStr">
        <is>
          <t>قبل أول فاتورة مستلمة (RN-INV#25) – غالباً ضمن الفواتير 1-24</t>
        </is>
      </c>
    </row>
    <row r="58">
      <c r="A58" s="34" t="inlineStr">
        <is>
          <t>WHT</t>
        </is>
      </c>
      <c r="B58" s="34" t="inlineStr">
        <is>
          <t>WHT-2144</t>
        </is>
      </c>
      <c r="C58" s="99" t="n">
        <v>45907</v>
      </c>
      <c r="D58" s="36" t="n">
        <v>650</v>
      </c>
      <c r="E58" s="34" t="n"/>
      <c r="F58" s="36" t="n"/>
      <c r="G58" s="36" t="n"/>
      <c r="H58" s="34" t="inlineStr">
        <is>
          <t>غير موجود بالفواتير</t>
        </is>
      </c>
      <c r="I58" s="34" t="inlineStr">
        <is>
          <t>قبل أول فاتورة مستلمة (RN-INV#25) – غالباً ضمن الفواتير 1-24</t>
        </is>
      </c>
    </row>
    <row r="59">
      <c r="A59" s="34" t="inlineStr">
        <is>
          <t>WHT</t>
        </is>
      </c>
      <c r="B59" s="34" t="inlineStr">
        <is>
          <t>WHT-2146</t>
        </is>
      </c>
      <c r="C59" s="99" t="n">
        <v>45908</v>
      </c>
      <c r="D59" s="36" t="n">
        <v>95</v>
      </c>
      <c r="E59" s="34" t="n"/>
      <c r="F59" s="36" t="n"/>
      <c r="G59" s="36" t="n"/>
      <c r="H59" s="34" t="inlineStr">
        <is>
          <t>غير موجود بالفواتير</t>
        </is>
      </c>
      <c r="I59" s="34" t="inlineStr">
        <is>
          <t>قبل أول فاتورة مستلمة (RN-INV#25) – غالباً ضمن الفواتير 1-24</t>
        </is>
      </c>
    </row>
    <row r="60">
      <c r="A60" s="34" t="inlineStr">
        <is>
          <t>WHT</t>
        </is>
      </c>
      <c r="B60" s="34" t="inlineStr">
        <is>
          <t>WHT-2150</t>
        </is>
      </c>
      <c r="C60" s="99" t="n">
        <v>45909</v>
      </c>
      <c r="D60" s="36" t="n">
        <v>242.5</v>
      </c>
      <c r="E60" s="34" t="n"/>
      <c r="F60" s="36" t="n"/>
      <c r="G60" s="36" t="n"/>
      <c r="H60" s="34" t="inlineStr">
        <is>
          <t>غير موجود بالفواتير</t>
        </is>
      </c>
      <c r="I60" s="34" t="inlineStr">
        <is>
          <t>قبل أول فاتورة مستلمة (RN-INV#25) – غالباً ضمن الفواتير 1-24</t>
        </is>
      </c>
    </row>
    <row r="61">
      <c r="A61" s="34" t="inlineStr">
        <is>
          <t>WHT</t>
        </is>
      </c>
      <c r="B61" s="34" t="inlineStr">
        <is>
          <t>WHT-2162</t>
        </is>
      </c>
      <c r="C61" s="99" t="n">
        <v>45911</v>
      </c>
      <c r="D61" s="36" t="n">
        <v>1827.5</v>
      </c>
      <c r="E61" s="34" t="n"/>
      <c r="F61" s="36" t="n"/>
      <c r="G61" s="36" t="n"/>
      <c r="H61" s="34" t="inlineStr">
        <is>
          <t>غير موجود بالفواتير</t>
        </is>
      </c>
      <c r="I61" s="34" t="inlineStr">
        <is>
          <t>قبل أول فاتورة مستلمة (RN-INV#25) – غالباً ضمن الفواتير 1-24</t>
        </is>
      </c>
    </row>
    <row r="62">
      <c r="A62" s="34" t="inlineStr">
        <is>
          <t>WHT</t>
        </is>
      </c>
      <c r="B62" s="34" t="inlineStr">
        <is>
          <t>WHT-2187</t>
        </is>
      </c>
      <c r="C62" s="99" t="n">
        <v>45915</v>
      </c>
      <c r="D62" s="36" t="n">
        <v>2260</v>
      </c>
      <c r="E62" s="34" t="n"/>
      <c r="F62" s="36" t="n"/>
      <c r="G62" s="36" t="n"/>
      <c r="H62" s="34" t="inlineStr">
        <is>
          <t>غير موجود بالفواتير</t>
        </is>
      </c>
      <c r="I62" s="34" t="inlineStr">
        <is>
          <t>قبل أول فاتورة مستلمة (RN-INV#25) – غالباً ضمن الفواتير 1-24</t>
        </is>
      </c>
    </row>
    <row r="63">
      <c r="A63" s="34" t="inlineStr">
        <is>
          <t>WHT</t>
        </is>
      </c>
      <c r="B63" s="34" t="inlineStr">
        <is>
          <t>WHT-2199</t>
        </is>
      </c>
      <c r="C63" s="99" t="n">
        <v>45915</v>
      </c>
      <c r="D63" s="36" t="n">
        <v>1330</v>
      </c>
      <c r="E63" s="34" t="n"/>
      <c r="F63" s="36" t="n"/>
      <c r="G63" s="36" t="n"/>
      <c r="H63" s="34" t="inlineStr">
        <is>
          <t>غير موجود بالفواتير</t>
        </is>
      </c>
      <c r="I63" s="34" t="inlineStr">
        <is>
          <t>قبل أول فاتورة مستلمة (RN-INV#25) – غالباً ضمن الفواتير 1-24</t>
        </is>
      </c>
    </row>
    <row r="64">
      <c r="A64" s="34" t="inlineStr">
        <is>
          <t>WHT</t>
        </is>
      </c>
      <c r="B64" s="34" t="inlineStr">
        <is>
          <t>WHT-2216</t>
        </is>
      </c>
      <c r="C64" s="99" t="n">
        <v>45916</v>
      </c>
      <c r="D64" s="36" t="n">
        <v>160</v>
      </c>
      <c r="E64" s="34" t="n"/>
      <c r="F64" s="36" t="n"/>
      <c r="G64" s="36" t="n"/>
      <c r="H64" s="34" t="inlineStr">
        <is>
          <t>غير موجود بالفواتير</t>
        </is>
      </c>
      <c r="I64" s="34" t="inlineStr">
        <is>
          <t>قبل أول فاتورة مستلمة (RN-INV#25) – غالباً ضمن الفواتير 1-24</t>
        </is>
      </c>
    </row>
    <row r="65">
      <c r="A65" s="34" t="inlineStr">
        <is>
          <t>WHT</t>
        </is>
      </c>
      <c r="B65" s="34" t="inlineStr">
        <is>
          <t>WHT-2228</t>
        </is>
      </c>
      <c r="C65" s="99" t="n">
        <v>45917</v>
      </c>
      <c r="D65" s="36" t="n">
        <v>180</v>
      </c>
      <c r="E65" s="34" t="n"/>
      <c r="F65" s="36" t="n"/>
      <c r="G65" s="36" t="n"/>
      <c r="H65" s="34" t="inlineStr">
        <is>
          <t>غير موجود بالفواتير</t>
        </is>
      </c>
      <c r="I65" s="34" t="inlineStr">
        <is>
          <t>قبل أول فاتورة مستلمة (RN-INV#25) – غالباً ضمن الفواتير 1-24</t>
        </is>
      </c>
    </row>
    <row r="66">
      <c r="A66" s="34" t="inlineStr">
        <is>
          <t>WHT</t>
        </is>
      </c>
      <c r="B66" s="34" t="inlineStr">
        <is>
          <t>WHT-2244</t>
        </is>
      </c>
      <c r="C66" s="99" t="n">
        <v>45918</v>
      </c>
      <c r="D66" s="36" t="n">
        <v>1400</v>
      </c>
      <c r="E66" s="34" t="n"/>
      <c r="F66" s="36" t="n"/>
      <c r="G66" s="36" t="n"/>
      <c r="H66" s="34" t="inlineStr">
        <is>
          <t>غير موجود بالفواتير</t>
        </is>
      </c>
      <c r="I66" s="34" t="inlineStr">
        <is>
          <t>قبل أول فاتورة مستلمة (RN-INV#25) – غالباً ضمن الفواتير 1-24</t>
        </is>
      </c>
    </row>
    <row r="67">
      <c r="A67" s="34" t="inlineStr">
        <is>
          <t>WHT</t>
        </is>
      </c>
      <c r="B67" s="34" t="inlineStr">
        <is>
          <t>WHT-2259</t>
        </is>
      </c>
      <c r="C67" s="99" t="n">
        <v>45920</v>
      </c>
      <c r="D67" s="36" t="n">
        <v>1305</v>
      </c>
      <c r="E67" s="34" t="n"/>
      <c r="F67" s="36" t="n"/>
      <c r="G67" s="36" t="n"/>
      <c r="H67" s="34" t="inlineStr">
        <is>
          <t>غير موجود بالفواتير</t>
        </is>
      </c>
      <c r="I67" s="34" t="inlineStr">
        <is>
          <t>قبل أول فاتورة مستلمة (RN-INV#25) – غالباً ضمن الفواتير 1-24</t>
        </is>
      </c>
    </row>
    <row r="68">
      <c r="A68" s="34" t="inlineStr">
        <is>
          <t>WHT</t>
        </is>
      </c>
      <c r="B68" s="34" t="inlineStr">
        <is>
          <t>WHT-2261</t>
        </is>
      </c>
      <c r="C68" s="99" t="n">
        <v>45921</v>
      </c>
      <c r="D68" s="36" t="n">
        <v>1690</v>
      </c>
      <c r="E68" s="34" t="n"/>
      <c r="F68" s="36" t="n"/>
      <c r="G68" s="36" t="n"/>
      <c r="H68" s="34" t="inlineStr">
        <is>
          <t>غير موجود بالفواتير</t>
        </is>
      </c>
      <c r="I68" s="34" t="inlineStr">
        <is>
          <t>قبل أول فاتورة مستلمة (RN-INV#25) – غالباً ضمن الفواتير 1-24</t>
        </is>
      </c>
    </row>
    <row r="69">
      <c r="A69" s="34" t="inlineStr">
        <is>
          <t>WHT</t>
        </is>
      </c>
      <c r="B69" s="34" t="inlineStr">
        <is>
          <t>WHT-2268</t>
        </is>
      </c>
      <c r="C69" s="99" t="n">
        <v>45922</v>
      </c>
      <c r="D69" s="36" t="n">
        <v>8812.5</v>
      </c>
      <c r="E69" s="34" t="n"/>
      <c r="F69" s="36" t="n"/>
      <c r="G69" s="36" t="n"/>
      <c r="H69" s="34" t="inlineStr">
        <is>
          <t>غير موجود بالفواتير</t>
        </is>
      </c>
      <c r="I69" s="34" t="inlineStr">
        <is>
          <t>قبل أول فاتورة مستلمة (RN-INV#25) – غالباً ضمن الفواتير 1-24</t>
        </is>
      </c>
    </row>
    <row r="70">
      <c r="A70" s="34" t="inlineStr">
        <is>
          <t>WHT</t>
        </is>
      </c>
      <c r="B70" s="34" t="inlineStr">
        <is>
          <t>WHT-2290</t>
        </is>
      </c>
      <c r="C70" s="99" t="n">
        <v>45924</v>
      </c>
      <c r="D70" s="36" t="n">
        <v>4160</v>
      </c>
      <c r="E70" s="34" t="n"/>
      <c r="F70" s="36" t="n"/>
      <c r="G70" s="36" t="n"/>
      <c r="H70" s="34" t="inlineStr">
        <is>
          <t>غير موجود بالفواتير</t>
        </is>
      </c>
      <c r="I70" s="34" t="inlineStr">
        <is>
          <t>قبل أول فاتورة مستلمة (RN-INV#25) – غالباً ضمن الفواتير 1-24</t>
        </is>
      </c>
    </row>
    <row r="71">
      <c r="A71" s="34" t="inlineStr">
        <is>
          <t>WHT</t>
        </is>
      </c>
      <c r="B71" s="34" t="inlineStr">
        <is>
          <t>WHT-2292</t>
        </is>
      </c>
      <c r="C71" s="99" t="n">
        <v>45925</v>
      </c>
      <c r="D71" s="36" t="n">
        <v>8860</v>
      </c>
      <c r="E71" s="34" t="n"/>
      <c r="F71" s="36" t="n"/>
      <c r="G71" s="36" t="n"/>
      <c r="H71" s="34" t="inlineStr">
        <is>
          <t>غير موجود بالفواتير</t>
        </is>
      </c>
      <c r="I71" s="34" t="inlineStr">
        <is>
          <t>قبل أول فاتورة مستلمة (RN-INV#25) – غالباً ضمن الفواتير 1-24</t>
        </is>
      </c>
    </row>
    <row r="72">
      <c r="A72" s="34" t="inlineStr">
        <is>
          <t>WHT</t>
        </is>
      </c>
      <c r="B72" s="34" t="inlineStr">
        <is>
          <t>WHT-2296</t>
        </is>
      </c>
      <c r="C72" s="99" t="n">
        <v>45926</v>
      </c>
      <c r="D72" s="36" t="n">
        <v>14816</v>
      </c>
      <c r="E72" s="34" t="n"/>
      <c r="F72" s="36" t="n"/>
      <c r="G72" s="36" t="n"/>
      <c r="H72" s="34" t="inlineStr">
        <is>
          <t>غير موجود بالفواتير</t>
        </is>
      </c>
      <c r="I72" s="34" t="inlineStr">
        <is>
          <t>قبل أول فاتورة مستلمة (RN-INV#25) – غالباً ضمن الفواتير 1-24</t>
        </is>
      </c>
    </row>
    <row r="73">
      <c r="A73" s="34" t="inlineStr">
        <is>
          <t>WHT</t>
        </is>
      </c>
      <c r="B73" s="34" t="inlineStr">
        <is>
          <t>WHT-2331</t>
        </is>
      </c>
      <c r="C73" s="99" t="n">
        <v>45930</v>
      </c>
      <c r="D73" s="36" t="n">
        <v>2820</v>
      </c>
      <c r="E73" s="34" t="n"/>
      <c r="F73" s="36" t="n"/>
      <c r="G73" s="36" t="n"/>
      <c r="H73" s="34" t="inlineStr">
        <is>
          <t>غير موجود بالفواتير</t>
        </is>
      </c>
      <c r="I73" s="34" t="inlineStr">
        <is>
          <t>قبل أول فاتورة مستلمة (RN-INV#25) – غالباً ضمن الفواتير 1-24</t>
        </is>
      </c>
    </row>
    <row r="74">
      <c r="A74" s="34" t="inlineStr">
        <is>
          <t>WHT</t>
        </is>
      </c>
      <c r="B74" s="34" t="inlineStr">
        <is>
          <t>WHT-2344</t>
        </is>
      </c>
      <c r="C74" s="99" t="n">
        <v>45930</v>
      </c>
      <c r="D74" s="36" t="n">
        <v>2485</v>
      </c>
      <c r="E74" s="34" t="n"/>
      <c r="F74" s="36" t="n"/>
      <c r="G74" s="36" t="n"/>
      <c r="H74" s="34" t="inlineStr">
        <is>
          <t>غير موجود بالفواتير</t>
        </is>
      </c>
      <c r="I74" s="34" t="inlineStr">
        <is>
          <t>قبل أول فاتورة مستلمة (RN-INV#25) – غالباً ضمن الفواتير 1-24</t>
        </is>
      </c>
    </row>
    <row r="75">
      <c r="A75" s="34" t="inlineStr">
        <is>
          <t>WHT</t>
        </is>
      </c>
      <c r="B75" s="34" t="inlineStr">
        <is>
          <t>WHT-2348</t>
        </is>
      </c>
      <c r="C75" s="99" t="n">
        <v>45931</v>
      </c>
      <c r="D75" s="36" t="n">
        <v>3920</v>
      </c>
      <c r="E75" s="34" t="n"/>
      <c r="F75" s="36" t="n"/>
      <c r="G75" s="36" t="n"/>
      <c r="H75" s="34" t="inlineStr">
        <is>
          <t>غير موجود بالفواتير</t>
        </is>
      </c>
      <c r="I75" s="34" t="inlineStr">
        <is>
          <t>قبل أول فاتورة مستلمة (RN-INV#25) – غالباً ضمن الفواتير 1-24</t>
        </is>
      </c>
    </row>
    <row r="76">
      <c r="A76" s="34" t="inlineStr">
        <is>
          <t>WHT</t>
        </is>
      </c>
      <c r="B76" s="34" t="inlineStr">
        <is>
          <t>WHT-2358</t>
        </is>
      </c>
      <c r="C76" s="99" t="n">
        <v>45932</v>
      </c>
      <c r="D76" s="36" t="n">
        <v>4910</v>
      </c>
      <c r="E76" s="34" t="n"/>
      <c r="F76" s="36" t="n"/>
      <c r="G76" s="36" t="n"/>
      <c r="H76" s="34" t="inlineStr">
        <is>
          <t>غير موجود بالفواتير</t>
        </is>
      </c>
      <c r="I76" s="34" t="inlineStr">
        <is>
          <t>قبل أول فاتورة مستلمة (RN-INV#25) – غالباً ضمن الفواتير 1-24</t>
        </is>
      </c>
    </row>
    <row r="77">
      <c r="A77" s="34" t="inlineStr">
        <is>
          <t>WHT</t>
        </is>
      </c>
      <c r="B77" s="34" t="inlineStr">
        <is>
          <t>WHT-2378</t>
        </is>
      </c>
      <c r="C77" s="99" t="n">
        <v>45934</v>
      </c>
      <c r="D77" s="36" t="n">
        <v>4760</v>
      </c>
      <c r="E77" s="34" t="n"/>
      <c r="F77" s="36" t="n"/>
      <c r="G77" s="36" t="n"/>
      <c r="H77" s="34" t="inlineStr">
        <is>
          <t>غير موجود بالفواتير</t>
        </is>
      </c>
      <c r="I77" s="34" t="inlineStr">
        <is>
          <t>قبل أول فاتورة مستلمة (RN-INV#25) – غالباً ضمن الفواتير 1-24</t>
        </is>
      </c>
    </row>
    <row r="78">
      <c r="A78" s="34" t="inlineStr">
        <is>
          <t>WHT</t>
        </is>
      </c>
      <c r="B78" s="34" t="inlineStr">
        <is>
          <t>WHT-2408</t>
        </is>
      </c>
      <c r="C78" s="99" t="n">
        <v>45938</v>
      </c>
      <c r="D78" s="36" t="n">
        <v>7497.5</v>
      </c>
      <c r="E78" s="34" t="n"/>
      <c r="F78" s="36" t="n"/>
      <c r="G78" s="36" t="n"/>
      <c r="H78" s="34" t="inlineStr">
        <is>
          <t>غير موجود بالفواتير</t>
        </is>
      </c>
      <c r="I78" s="34" t="inlineStr">
        <is>
          <t>قبل أول فاتورة مستلمة (RN-INV#25) – غالباً ضمن الفواتير 1-24</t>
        </is>
      </c>
    </row>
    <row r="79">
      <c r="A79" s="34" t="inlineStr">
        <is>
          <t>WHT</t>
        </is>
      </c>
      <c r="B79" s="34" t="inlineStr">
        <is>
          <t>WHT-2423</t>
        </is>
      </c>
      <c r="C79" s="99" t="n">
        <v>45939</v>
      </c>
      <c r="D79" s="36" t="n">
        <v>5790</v>
      </c>
      <c r="E79" s="34" t="n"/>
      <c r="F79" s="36" t="n"/>
      <c r="G79" s="36" t="n"/>
      <c r="H79" s="34" t="inlineStr">
        <is>
          <t>غير موجود بالفواتير</t>
        </is>
      </c>
      <c r="I79" s="34" t="inlineStr">
        <is>
          <t>قبل أول فاتورة مستلمة (RN-INV#25) – غالباً ضمن الفواتير 1-24</t>
        </is>
      </c>
    </row>
    <row r="80">
      <c r="A80" s="34" t="inlineStr">
        <is>
          <t>WHT</t>
        </is>
      </c>
      <c r="B80" s="34" t="inlineStr">
        <is>
          <t>WHT-2437</t>
        </is>
      </c>
      <c r="C80" s="99" t="n">
        <v>45941</v>
      </c>
      <c r="D80" s="36" t="n">
        <v>10270</v>
      </c>
      <c r="E80" s="34" t="n"/>
      <c r="F80" s="36" t="n"/>
      <c r="G80" s="36" t="n"/>
      <c r="H80" s="34" t="inlineStr">
        <is>
          <t>غير موجود بالفواتير</t>
        </is>
      </c>
      <c r="I80" s="34" t="inlineStr">
        <is>
          <t>قبل أول فاتورة مستلمة (RN-INV#25) – غالباً ضمن الفواتير 1-24</t>
        </is>
      </c>
    </row>
    <row r="81">
      <c r="A81" s="34" t="inlineStr">
        <is>
          <t>WHT</t>
        </is>
      </c>
      <c r="B81" s="34" t="inlineStr">
        <is>
          <t>WHT-2454</t>
        </is>
      </c>
      <c r="C81" s="99" t="n">
        <v>45942</v>
      </c>
      <c r="D81" s="36" t="n">
        <v>6282.5</v>
      </c>
      <c r="E81" s="34" t="n"/>
      <c r="F81" s="36" t="n"/>
      <c r="G81" s="36" t="n"/>
      <c r="H81" s="34" t="inlineStr">
        <is>
          <t>غير موجود بالفواتير</t>
        </is>
      </c>
      <c r="I81" s="34" t="inlineStr">
        <is>
          <t>قبل أول فاتورة مستلمة (RN-INV#25) – غالباً ضمن الفواتير 1-24</t>
        </is>
      </c>
    </row>
    <row r="82">
      <c r="A82" s="34" t="inlineStr">
        <is>
          <t>WHT</t>
        </is>
      </c>
      <c r="B82" s="34" t="inlineStr">
        <is>
          <t>WHT-2471</t>
        </is>
      </c>
      <c r="C82" s="99" t="n">
        <v>45943</v>
      </c>
      <c r="D82" s="36" t="n">
        <v>3275</v>
      </c>
      <c r="E82" s="34" t="n"/>
      <c r="F82" s="36" t="n"/>
      <c r="G82" s="36" t="n"/>
      <c r="H82" s="34" t="inlineStr">
        <is>
          <t>غير موجود بالفواتير</t>
        </is>
      </c>
      <c r="I82" s="34" t="inlineStr">
        <is>
          <t>قبل أول فاتورة مستلمة (RN-INV#25) – غالباً ضمن الفواتير 1-24</t>
        </is>
      </c>
    </row>
    <row r="83">
      <c r="A83" s="34" t="inlineStr">
        <is>
          <t>WHT</t>
        </is>
      </c>
      <c r="B83" s="34" t="inlineStr">
        <is>
          <t>WHT-2483</t>
        </is>
      </c>
      <c r="C83" s="99" t="n">
        <v>45944</v>
      </c>
      <c r="D83" s="36" t="n">
        <v>6077.5</v>
      </c>
      <c r="E83" s="34" t="n"/>
      <c r="F83" s="36" t="n"/>
      <c r="G83" s="36" t="n"/>
      <c r="H83" s="34" t="inlineStr">
        <is>
          <t>غير موجود بالفواتير</t>
        </is>
      </c>
      <c r="I83" s="34" t="inlineStr">
        <is>
          <t>قبل أول فاتورة مستلمة (RN-INV#25) – غالباً ضمن الفواتير 1-24</t>
        </is>
      </c>
    </row>
    <row r="84">
      <c r="A84" s="34" t="inlineStr">
        <is>
          <t>WHT</t>
        </is>
      </c>
      <c r="B84" s="34" t="inlineStr">
        <is>
          <t>WHT-2501</t>
        </is>
      </c>
      <c r="C84" s="99" t="n">
        <v>45945</v>
      </c>
      <c r="D84" s="36" t="n">
        <v>6087.5</v>
      </c>
      <c r="E84" s="34" t="n"/>
      <c r="F84" s="36" t="n"/>
      <c r="G84" s="36" t="n"/>
      <c r="H84" s="34" t="inlineStr">
        <is>
          <t>غير موجود بالفواتير</t>
        </is>
      </c>
      <c r="I84" s="34" t="inlineStr">
        <is>
          <t>قبل أول فاتورة مستلمة (RN-INV#25) – غالباً ضمن الفواتير 1-24</t>
        </is>
      </c>
    </row>
    <row r="85">
      <c r="A85" s="34" t="inlineStr">
        <is>
          <t>WHT</t>
        </is>
      </c>
      <c r="B85" s="34" t="inlineStr">
        <is>
          <t>WHT-2511</t>
        </is>
      </c>
      <c r="C85" s="99" t="n">
        <v>45946</v>
      </c>
      <c r="D85" s="36" t="n">
        <v>3365</v>
      </c>
      <c r="E85" s="34" t="n"/>
      <c r="F85" s="36" t="n"/>
      <c r="G85" s="36" t="n"/>
      <c r="H85" s="34" t="inlineStr">
        <is>
          <t>غير موجود بالفواتير</t>
        </is>
      </c>
      <c r="I85" s="34" t="inlineStr">
        <is>
          <t>قبل أول فاتورة مستلمة (RN-INV#25) – غالباً ضمن الفواتير 1-24</t>
        </is>
      </c>
    </row>
    <row r="86">
      <c r="A86" s="34" t="inlineStr">
        <is>
          <t>WHT</t>
        </is>
      </c>
      <c r="B86" s="34" t="inlineStr">
        <is>
          <t>WHT-2541</t>
        </is>
      </c>
      <c r="C86" s="99" t="n">
        <v>45949</v>
      </c>
      <c r="D86" s="36" t="n">
        <v>8378.75</v>
      </c>
      <c r="E86" s="34" t="n"/>
      <c r="F86" s="36" t="n"/>
      <c r="G86" s="36" t="n"/>
      <c r="H86" s="34" t="inlineStr">
        <is>
          <t>غير موجود بالفواتير</t>
        </is>
      </c>
      <c r="I86" s="34" t="inlineStr">
        <is>
          <t>قبل أول فاتورة مستلمة (RN-INV#25) – غالباً ضمن الفواتير 1-24</t>
        </is>
      </c>
    </row>
    <row r="87">
      <c r="A87" s="34" t="inlineStr">
        <is>
          <t>WHT</t>
        </is>
      </c>
      <c r="B87" s="34" t="inlineStr">
        <is>
          <t>WHT-2549</t>
        </is>
      </c>
      <c r="C87" s="99" t="n">
        <v>45950</v>
      </c>
      <c r="D87" s="36" t="n">
        <v>6680</v>
      </c>
      <c r="E87" s="34" t="n"/>
      <c r="F87" s="36" t="n"/>
      <c r="G87" s="36" t="n"/>
      <c r="H87" s="34" t="inlineStr">
        <is>
          <t>غير موجود بالفواتير</t>
        </is>
      </c>
      <c r="I87" s="34" t="inlineStr">
        <is>
          <t>قبل أول فاتورة مستلمة (RN-INV#25) – غالباً ضمن الفواتير 1-24</t>
        </is>
      </c>
    </row>
    <row r="88">
      <c r="A88" s="34" t="inlineStr">
        <is>
          <t>WHT</t>
        </is>
      </c>
      <c r="B88" s="34" t="inlineStr">
        <is>
          <t>WHT-2585</t>
        </is>
      </c>
      <c r="C88" s="99" t="n">
        <v>45951</v>
      </c>
      <c r="D88" s="36" t="n">
        <v>2355</v>
      </c>
      <c r="E88" s="34" t="n"/>
      <c r="F88" s="36" t="n"/>
      <c r="G88" s="36" t="n"/>
      <c r="H88" s="34" t="inlineStr">
        <is>
          <t>غير موجود بالفواتير</t>
        </is>
      </c>
      <c r="I88" s="34" t="inlineStr">
        <is>
          <t>قبل أول فاتورة مستلمة (RN-INV#25) – غالباً ضمن الفواتير 1-24</t>
        </is>
      </c>
    </row>
    <row r="89">
      <c r="A89" s="34" t="inlineStr">
        <is>
          <t>WHT</t>
        </is>
      </c>
      <c r="B89" s="34" t="inlineStr">
        <is>
          <t>WHT-2596</t>
        </is>
      </c>
      <c r="C89" s="99" t="n">
        <v>45952</v>
      </c>
      <c r="D89" s="36" t="n">
        <v>4715</v>
      </c>
      <c r="E89" s="34" t="n"/>
      <c r="F89" s="36" t="n"/>
      <c r="G89" s="36" t="n"/>
      <c r="H89" s="34" t="inlineStr">
        <is>
          <t>غير موجود بالفواتير</t>
        </is>
      </c>
      <c r="I89" s="34" t="inlineStr">
        <is>
          <t>قبل أول فاتورة مستلمة (RN-INV#25) – غالباً ضمن الفواتير 1-24</t>
        </is>
      </c>
    </row>
    <row r="90">
      <c r="A90" s="34" t="inlineStr">
        <is>
          <t>WHT</t>
        </is>
      </c>
      <c r="B90" s="34" t="inlineStr">
        <is>
          <t>WHT-2607</t>
        </is>
      </c>
      <c r="C90" s="99" t="n">
        <v>45953</v>
      </c>
      <c r="D90" s="36" t="n">
        <v>5998.75</v>
      </c>
      <c r="E90" s="34" t="n"/>
      <c r="F90" s="36" t="n"/>
      <c r="G90" s="36" t="n"/>
      <c r="H90" s="34" t="inlineStr">
        <is>
          <t>غير موجود بالفواتير</t>
        </is>
      </c>
      <c r="I90" s="34" t="inlineStr">
        <is>
          <t>قبل أول فاتورة مستلمة (RN-INV#25) – غالباً ضمن الفواتير 1-24</t>
        </is>
      </c>
    </row>
    <row r="91">
      <c r="A91" s="34" t="inlineStr">
        <is>
          <t>WHT</t>
        </is>
      </c>
      <c r="B91" s="34" t="inlineStr">
        <is>
          <t>WHT-2628</t>
        </is>
      </c>
      <c r="C91" s="99" t="n">
        <v>45955</v>
      </c>
      <c r="D91" s="36" t="n">
        <v>4885</v>
      </c>
      <c r="E91" s="34" t="n"/>
      <c r="F91" s="36" t="n"/>
      <c r="G91" s="36" t="n"/>
      <c r="H91" s="34" t="inlineStr">
        <is>
          <t>غير موجود بالفواتير</t>
        </is>
      </c>
      <c r="I91" s="34" t="inlineStr">
        <is>
          <t>قبل أول فاتورة مستلمة (RN-INV#25) – غالباً ضمن الفواتير 1-24</t>
        </is>
      </c>
    </row>
    <row r="92">
      <c r="A92" s="25" t="inlineStr">
        <is>
          <t>WHT</t>
        </is>
      </c>
      <c r="B92" s="25" t="inlineStr">
        <is>
          <t>WHT-2645</t>
        </is>
      </c>
      <c r="C92" s="96" t="n">
        <v>45956</v>
      </c>
      <c r="D92" s="27" t="n">
        <v>3245</v>
      </c>
      <c r="E92" s="25" t="inlineStr">
        <is>
          <t>RN-INV#25</t>
        </is>
      </c>
      <c r="F92" s="27" t="n">
        <v>3245</v>
      </c>
      <c r="G92" s="27" t="n">
        <v>0</v>
      </c>
      <c r="H92" s="25" t="inlineStr">
        <is>
          <t>مطابق</t>
        </is>
      </c>
      <c r="I92" s="25" t="n"/>
    </row>
    <row r="93">
      <c r="A93" s="25" t="inlineStr">
        <is>
          <t>WHT</t>
        </is>
      </c>
      <c r="B93" s="25" t="inlineStr">
        <is>
          <t>WHT-2660</t>
        </is>
      </c>
      <c r="C93" s="96" t="n">
        <v>45957</v>
      </c>
      <c r="D93" s="27" t="n">
        <v>4420</v>
      </c>
      <c r="E93" s="25" t="inlineStr">
        <is>
          <t>RN-INV#27</t>
        </is>
      </c>
      <c r="F93" s="27" t="n">
        <v>4420</v>
      </c>
      <c r="G93" s="27" t="n">
        <v>0</v>
      </c>
      <c r="H93" s="25" t="inlineStr">
        <is>
          <t>مطابق</t>
        </is>
      </c>
      <c r="I93" s="25" t="n"/>
    </row>
    <row r="94">
      <c r="A94" s="25" t="inlineStr">
        <is>
          <t>WHT</t>
        </is>
      </c>
      <c r="B94" s="25" t="inlineStr">
        <is>
          <t>WHT-2672</t>
        </is>
      </c>
      <c r="C94" s="96" t="n">
        <v>45958</v>
      </c>
      <c r="D94" s="27" t="n">
        <v>4645</v>
      </c>
      <c r="E94" s="25" t="inlineStr">
        <is>
          <t>RN-INV#28</t>
        </is>
      </c>
      <c r="F94" s="27" t="n">
        <v>4645</v>
      </c>
      <c r="G94" s="27" t="n">
        <v>0</v>
      </c>
      <c r="H94" s="25" t="inlineStr">
        <is>
          <t>مطابق</t>
        </is>
      </c>
      <c r="I94" s="25" t="n"/>
    </row>
    <row r="95">
      <c r="A95" s="25" t="inlineStr">
        <is>
          <t>WHT</t>
        </is>
      </c>
      <c r="B95" s="25" t="inlineStr">
        <is>
          <t>WHT-2682</t>
        </is>
      </c>
      <c r="C95" s="96" t="n">
        <v>45959</v>
      </c>
      <c r="D95" s="27" t="n">
        <v>2990</v>
      </c>
      <c r="E95" s="25" t="inlineStr">
        <is>
          <t>RN-INV#29</t>
        </is>
      </c>
      <c r="F95" s="27" t="n">
        <v>2990</v>
      </c>
      <c r="G95" s="27" t="n">
        <v>0</v>
      </c>
      <c r="H95" s="25" t="inlineStr">
        <is>
          <t>مطابق</t>
        </is>
      </c>
      <c r="I95" s="25" t="n"/>
    </row>
    <row r="96">
      <c r="A96" s="25" t="inlineStr">
        <is>
          <t>WHT</t>
        </is>
      </c>
      <c r="B96" s="25" t="inlineStr">
        <is>
          <t>WHT-2701</t>
        </is>
      </c>
      <c r="C96" s="96" t="n">
        <v>45960</v>
      </c>
      <c r="D96" s="27" t="n">
        <v>6225</v>
      </c>
      <c r="E96" s="25" t="inlineStr">
        <is>
          <t>RN-INV#30</t>
        </is>
      </c>
      <c r="F96" s="27" t="n">
        <v>6225</v>
      </c>
      <c r="G96" s="27" t="n">
        <v>0</v>
      </c>
      <c r="H96" s="25" t="inlineStr">
        <is>
          <t>مطابق</t>
        </is>
      </c>
      <c r="I96" s="25" t="n"/>
    </row>
    <row r="97">
      <c r="A97" s="25" t="inlineStr">
        <is>
          <t>WHT</t>
        </is>
      </c>
      <c r="B97" s="25" t="inlineStr">
        <is>
          <t>WHT-2714</t>
        </is>
      </c>
      <c r="C97" s="96" t="n">
        <v>45962</v>
      </c>
      <c r="D97" s="27" t="n">
        <v>8192.5</v>
      </c>
      <c r="E97" s="25" t="inlineStr">
        <is>
          <t>RN-INV#32</t>
        </is>
      </c>
      <c r="F97" s="27" t="n">
        <v>8192.5</v>
      </c>
      <c r="G97" s="27" t="n">
        <v>0</v>
      </c>
      <c r="H97" s="25" t="inlineStr">
        <is>
          <t>مطابق</t>
        </is>
      </c>
      <c r="I97" s="25" t="n"/>
    </row>
    <row r="98">
      <c r="A98" s="25" t="inlineStr">
        <is>
          <t>WHT</t>
        </is>
      </c>
      <c r="B98" s="25" t="inlineStr">
        <is>
          <t>WHT-2743</t>
        </is>
      </c>
      <c r="C98" s="96" t="n">
        <v>45963</v>
      </c>
      <c r="D98" s="27" t="n">
        <v>5930</v>
      </c>
      <c r="E98" s="25" t="inlineStr">
        <is>
          <t>RN-INV#33</t>
        </is>
      </c>
      <c r="F98" s="27" t="n">
        <v>5930</v>
      </c>
      <c r="G98" s="27" t="n">
        <v>0</v>
      </c>
      <c r="H98" s="25" t="inlineStr">
        <is>
          <t>مطابق</t>
        </is>
      </c>
      <c r="I98" s="25" t="n"/>
    </row>
    <row r="99">
      <c r="A99" s="25" t="inlineStr">
        <is>
          <t>WHT</t>
        </is>
      </c>
      <c r="B99" s="25" t="inlineStr">
        <is>
          <t>WHT-2752</t>
        </is>
      </c>
      <c r="C99" s="96" t="n">
        <v>45964</v>
      </c>
      <c r="D99" s="27" t="n">
        <v>5327.5</v>
      </c>
      <c r="E99" s="25" t="inlineStr">
        <is>
          <t>RN-INV#34</t>
        </is>
      </c>
      <c r="F99" s="27" t="n">
        <v>5327.5</v>
      </c>
      <c r="G99" s="27" t="n">
        <v>0</v>
      </c>
      <c r="H99" s="25" t="inlineStr">
        <is>
          <t>مطابق</t>
        </is>
      </c>
      <c r="I99" s="25" t="n"/>
    </row>
    <row r="100">
      <c r="A100" s="34" t="inlineStr">
        <is>
          <t>WHT</t>
        </is>
      </c>
      <c r="B100" s="34" t="inlineStr">
        <is>
          <t>WHT-2756</t>
        </is>
      </c>
      <c r="C100" s="99" t="n">
        <v>45935</v>
      </c>
      <c r="D100" s="36" t="n">
        <v>3520</v>
      </c>
      <c r="E100" s="34" t="n"/>
      <c r="F100" s="36" t="n"/>
      <c r="G100" s="36" t="n"/>
      <c r="H100" s="34" t="inlineStr">
        <is>
          <t>غير موجود بالفواتير</t>
        </is>
      </c>
      <c r="I100" s="34" t="inlineStr">
        <is>
          <t>تاريخه بالشيت أكتوبر لكن رقمه يقع بين عقود 4-5 نوفمبر – لا توجد فاتورة مبدئية له</t>
        </is>
      </c>
    </row>
    <row r="101">
      <c r="A101" s="34" t="inlineStr">
        <is>
          <t>WHT</t>
        </is>
      </c>
      <c r="B101" s="34" t="inlineStr">
        <is>
          <t>WHT-2758</t>
        </is>
      </c>
      <c r="C101" s="99" t="n">
        <v>45936</v>
      </c>
      <c r="D101" s="36" t="n">
        <v>13290</v>
      </c>
      <c r="E101" s="34" t="n"/>
      <c r="F101" s="36" t="n"/>
      <c r="G101" s="36" t="n"/>
      <c r="H101" s="34" t="inlineStr">
        <is>
          <t>غير موجود بالفواتير</t>
        </is>
      </c>
      <c r="I101" s="34" t="inlineStr">
        <is>
          <t>تاريخه بالشيت أكتوبر لكن رقمه يقع بين عقود 4-5 نوفمبر – لا توجد فاتورة مبدئية له</t>
        </is>
      </c>
    </row>
    <row r="102">
      <c r="A102" s="25" t="inlineStr">
        <is>
          <t>WHT</t>
        </is>
      </c>
      <c r="B102" s="25" t="inlineStr">
        <is>
          <t>WHT-2779</t>
        </is>
      </c>
      <c r="C102" s="96" t="n">
        <v>45966</v>
      </c>
      <c r="D102" s="27" t="n">
        <v>7530</v>
      </c>
      <c r="E102" s="25" t="inlineStr">
        <is>
          <t>RN-INV#36</t>
        </is>
      </c>
      <c r="F102" s="27" t="n">
        <v>7530</v>
      </c>
      <c r="G102" s="27" t="n">
        <v>0</v>
      </c>
      <c r="H102" s="25" t="inlineStr">
        <is>
          <t>مطابق</t>
        </is>
      </c>
      <c r="I102" s="25" t="n"/>
    </row>
    <row r="103">
      <c r="A103" s="25" t="inlineStr">
        <is>
          <t>WHT</t>
        </is>
      </c>
      <c r="B103" s="25" t="inlineStr">
        <is>
          <t>WHT-2790</t>
        </is>
      </c>
      <c r="C103" s="96" t="n">
        <v>45967</v>
      </c>
      <c r="D103" s="27" t="n">
        <v>7570</v>
      </c>
      <c r="E103" s="25" t="inlineStr">
        <is>
          <t>RN-INV#38</t>
        </is>
      </c>
      <c r="F103" s="27" t="n">
        <v>7570</v>
      </c>
      <c r="G103" s="27" t="n">
        <v>0</v>
      </c>
      <c r="H103" s="25" t="inlineStr">
        <is>
          <t>مطابق</t>
        </is>
      </c>
      <c r="I103" s="25" t="n"/>
    </row>
    <row r="104">
      <c r="A104" s="25" t="inlineStr">
        <is>
          <t>WHT</t>
        </is>
      </c>
      <c r="B104" s="25" t="inlineStr">
        <is>
          <t>WHT-2809</t>
        </is>
      </c>
      <c r="C104" s="96" t="n">
        <v>45969</v>
      </c>
      <c r="D104" s="27" t="n">
        <v>4826</v>
      </c>
      <c r="E104" s="25" t="inlineStr">
        <is>
          <t>RN-INV#41</t>
        </is>
      </c>
      <c r="F104" s="27" t="n">
        <v>4826</v>
      </c>
      <c r="G104" s="27" t="n">
        <v>0</v>
      </c>
      <c r="H104" s="25" t="inlineStr">
        <is>
          <t>مطابق</t>
        </is>
      </c>
      <c r="I104" s="25" t="n"/>
    </row>
    <row r="105">
      <c r="A105" s="25" t="inlineStr">
        <is>
          <t>WHT</t>
        </is>
      </c>
      <c r="B105" s="25" t="inlineStr">
        <is>
          <t>WHT-2819</t>
        </is>
      </c>
      <c r="C105" s="96" t="n">
        <v>45970</v>
      </c>
      <c r="D105" s="27" t="n">
        <v>5310</v>
      </c>
      <c r="E105" s="25" t="inlineStr">
        <is>
          <t>RN-INV#42</t>
        </is>
      </c>
      <c r="F105" s="27" t="n">
        <v>5310</v>
      </c>
      <c r="G105" s="27" t="n">
        <v>0</v>
      </c>
      <c r="H105" s="25" t="inlineStr">
        <is>
          <t>مطابق</t>
        </is>
      </c>
      <c r="I105" s="25" t="n"/>
    </row>
    <row r="106">
      <c r="A106" s="25" t="inlineStr">
        <is>
          <t>WHT</t>
        </is>
      </c>
      <c r="B106" s="25" t="inlineStr">
        <is>
          <t>WHT-2840</t>
        </is>
      </c>
      <c r="C106" s="96" t="n">
        <v>45971</v>
      </c>
      <c r="D106" s="27" t="n">
        <v>5745</v>
      </c>
      <c r="E106" s="25" t="inlineStr">
        <is>
          <t>RN-INV#44</t>
        </is>
      </c>
      <c r="F106" s="27" t="n">
        <v>5745</v>
      </c>
      <c r="G106" s="27" t="n">
        <v>0</v>
      </c>
      <c r="H106" s="25" t="inlineStr">
        <is>
          <t>مطابق</t>
        </is>
      </c>
      <c r="I106" s="25" t="n"/>
    </row>
    <row r="107">
      <c r="A107" s="25" t="inlineStr">
        <is>
          <t>WHT</t>
        </is>
      </c>
      <c r="B107" s="25" t="inlineStr">
        <is>
          <t>WHT-2870</t>
        </is>
      </c>
      <c r="C107" s="96" t="n">
        <v>45973</v>
      </c>
      <c r="D107" s="27" t="n">
        <v>3112.5</v>
      </c>
      <c r="E107" s="25" t="inlineStr">
        <is>
          <t>RN-INV#48</t>
        </is>
      </c>
      <c r="F107" s="27" t="n">
        <v>3112.5</v>
      </c>
      <c r="G107" s="27" t="n">
        <v>0</v>
      </c>
      <c r="H107" s="25" t="inlineStr">
        <is>
          <t>مطابق</t>
        </is>
      </c>
      <c r="I107" s="25" t="n"/>
    </row>
    <row r="108">
      <c r="A108" s="25" t="inlineStr">
        <is>
          <t>WHT</t>
        </is>
      </c>
      <c r="B108" s="25" t="inlineStr">
        <is>
          <t>WHT-2883</t>
        </is>
      </c>
      <c r="C108" s="96" t="n">
        <v>45974</v>
      </c>
      <c r="D108" s="27" t="n">
        <v>4600</v>
      </c>
      <c r="E108" s="25" t="inlineStr">
        <is>
          <t>RN-INV#50</t>
        </is>
      </c>
      <c r="F108" s="27" t="n">
        <v>4600</v>
      </c>
      <c r="G108" s="27" t="n">
        <v>0</v>
      </c>
      <c r="H108" s="25" t="inlineStr">
        <is>
          <t>مطابق</t>
        </is>
      </c>
      <c r="I108" s="25" t="n"/>
    </row>
    <row r="109">
      <c r="A109" s="25" t="inlineStr">
        <is>
          <t>WHT</t>
        </is>
      </c>
      <c r="B109" s="25" t="inlineStr">
        <is>
          <t>WHT-2897</t>
        </is>
      </c>
      <c r="C109" s="96" t="n">
        <v>45977</v>
      </c>
      <c r="D109" s="27" t="n">
        <v>900</v>
      </c>
      <c r="E109" s="25" t="inlineStr">
        <is>
          <t>RN-INV#51</t>
        </is>
      </c>
      <c r="F109" s="27" t="n">
        <v>900</v>
      </c>
      <c r="G109" s="27" t="n">
        <v>0</v>
      </c>
      <c r="H109" s="25" t="inlineStr">
        <is>
          <t>مطابق</t>
        </is>
      </c>
      <c r="I109" s="25" t="n"/>
    </row>
    <row r="110">
      <c r="A110" s="25" t="inlineStr">
        <is>
          <t>WHT</t>
        </is>
      </c>
      <c r="B110" s="25" t="inlineStr">
        <is>
          <t>WHT-2914</t>
        </is>
      </c>
      <c r="C110" s="96" t="n">
        <v>45978</v>
      </c>
      <c r="D110" s="27" t="n">
        <v>5520</v>
      </c>
      <c r="E110" s="25" t="inlineStr">
        <is>
          <t>RN-INV#53</t>
        </is>
      </c>
      <c r="F110" s="27" t="n">
        <v>5520</v>
      </c>
      <c r="G110" s="27" t="n">
        <v>0</v>
      </c>
      <c r="H110" s="25" t="inlineStr">
        <is>
          <t>مطابق</t>
        </is>
      </c>
      <c r="I110" s="25" t="n"/>
    </row>
    <row r="111">
      <c r="A111" s="25" t="inlineStr">
        <is>
          <t>WHT</t>
        </is>
      </c>
      <c r="B111" s="25" t="inlineStr">
        <is>
          <t>WHT-2951</t>
        </is>
      </c>
      <c r="C111" s="96" t="n">
        <v>45981</v>
      </c>
      <c r="D111" s="27" t="n">
        <v>5955</v>
      </c>
      <c r="E111" s="25" t="inlineStr">
        <is>
          <t>RN-INV#56</t>
        </is>
      </c>
      <c r="F111" s="27" t="n">
        <v>5955</v>
      </c>
      <c r="G111" s="27" t="n">
        <v>0</v>
      </c>
      <c r="H111" s="25" t="inlineStr">
        <is>
          <t>مطابق</t>
        </is>
      </c>
      <c r="I111" s="25" t="n"/>
    </row>
    <row r="112">
      <c r="A112" s="18" t="inlineStr">
        <is>
          <t>WHT</t>
        </is>
      </c>
      <c r="B112" s="18" t="inlineStr">
        <is>
          <t>WHT-2953</t>
        </is>
      </c>
      <c r="C112" s="98" t="n">
        <v>45981</v>
      </c>
      <c r="D112" s="19" t="n">
        <v>12742.5</v>
      </c>
      <c r="E112" s="18" t="inlineStr">
        <is>
          <t>RN-INV#57, RN-INV#58</t>
        </is>
      </c>
      <c r="F112" s="19" t="n">
        <v>12742.5</v>
      </c>
      <c r="G112" s="19" t="n">
        <v>0</v>
      </c>
      <c r="H112" s="18" t="inlineStr">
        <is>
          <t>مطابق (مكرر بفاتورتين)</t>
        </is>
      </c>
      <c r="I112" s="18" t="inlineStr">
        <is>
          <t>الفاتورتان 57 و58 بنفس العقد والقيمة – العقد مسجل مرة واحدة فقط</t>
        </is>
      </c>
    </row>
    <row r="113">
      <c r="A113" s="25" t="inlineStr">
        <is>
          <t>WHT</t>
        </is>
      </c>
      <c r="B113" s="25" t="inlineStr">
        <is>
          <t>WHT-2955</t>
        </is>
      </c>
      <c r="C113" s="96" t="n">
        <v>45982</v>
      </c>
      <c r="D113" s="27" t="n">
        <v>8847.5</v>
      </c>
      <c r="E113" s="25" t="inlineStr">
        <is>
          <t>RN-INV#59</t>
        </is>
      </c>
      <c r="F113" s="27" t="n">
        <v>8847.5</v>
      </c>
      <c r="G113" s="27" t="n">
        <v>0</v>
      </c>
      <c r="H113" s="25" t="inlineStr">
        <is>
          <t>مطابق</t>
        </is>
      </c>
      <c r="I113" s="25" t="n"/>
    </row>
    <row r="114">
      <c r="A114" s="25" t="inlineStr">
        <is>
          <t>WHT</t>
        </is>
      </c>
      <c r="B114" s="25" t="inlineStr">
        <is>
          <t>WHT-2968</t>
        </is>
      </c>
      <c r="C114" s="96" t="n">
        <v>45983</v>
      </c>
      <c r="D114" s="27" t="n">
        <v>10135</v>
      </c>
      <c r="E114" s="25" t="inlineStr">
        <is>
          <t>RN-INV#60</t>
        </is>
      </c>
      <c r="F114" s="27" t="n">
        <v>10135</v>
      </c>
      <c r="G114" s="27" t="n">
        <v>0</v>
      </c>
      <c r="H114" s="25" t="inlineStr">
        <is>
          <t>مطابق</t>
        </is>
      </c>
      <c r="I114" s="25" t="n"/>
    </row>
    <row r="115">
      <c r="A115" s="25" t="inlineStr">
        <is>
          <t>WHT</t>
        </is>
      </c>
      <c r="B115" s="25" t="inlineStr">
        <is>
          <t>WHT-2980</t>
        </is>
      </c>
      <c r="C115" s="96" t="n">
        <v>45984</v>
      </c>
      <c r="D115" s="27" t="n">
        <v>8455</v>
      </c>
      <c r="E115" s="25" t="inlineStr">
        <is>
          <t>RN-INV#63</t>
        </is>
      </c>
      <c r="F115" s="27" t="n">
        <v>8455</v>
      </c>
      <c r="G115" s="27" t="n">
        <v>0</v>
      </c>
      <c r="H115" s="25" t="inlineStr">
        <is>
          <t>مطابق</t>
        </is>
      </c>
      <c r="I115" s="25" t="n"/>
    </row>
    <row r="116">
      <c r="A116" s="25" t="inlineStr">
        <is>
          <t>WHT</t>
        </is>
      </c>
      <c r="B116" s="25" t="inlineStr">
        <is>
          <t>WHT-2997</t>
        </is>
      </c>
      <c r="C116" s="96" t="n">
        <v>45985</v>
      </c>
      <c r="D116" s="27" t="n">
        <v>6210</v>
      </c>
      <c r="E116" s="25" t="inlineStr">
        <is>
          <t>RN-INV#65</t>
        </is>
      </c>
      <c r="F116" s="27" t="n">
        <v>6210</v>
      </c>
      <c r="G116" s="27" t="n">
        <v>0</v>
      </c>
      <c r="H116" s="25" t="inlineStr">
        <is>
          <t>مطابق</t>
        </is>
      </c>
      <c r="I116" s="25" t="n"/>
    </row>
    <row r="117">
      <c r="A117" s="25" t="inlineStr">
        <is>
          <t>WHT</t>
        </is>
      </c>
      <c r="B117" s="25" t="inlineStr">
        <is>
          <t>WHT-3009</t>
        </is>
      </c>
      <c r="C117" s="96" t="n">
        <v>45986</v>
      </c>
      <c r="D117" s="27" t="n">
        <v>4080</v>
      </c>
      <c r="E117" s="25" t="inlineStr">
        <is>
          <t>RN-INV#66</t>
        </is>
      </c>
      <c r="F117" s="27" t="n">
        <v>4080</v>
      </c>
      <c r="G117" s="27" t="n">
        <v>0</v>
      </c>
      <c r="H117" s="25" t="inlineStr">
        <is>
          <t>مطابق</t>
        </is>
      </c>
      <c r="I117" s="25" t="n"/>
    </row>
    <row r="118">
      <c r="A118" s="25" t="inlineStr">
        <is>
          <t>WHT</t>
        </is>
      </c>
      <c r="B118" s="25" t="inlineStr">
        <is>
          <t>WHT-3039</t>
        </is>
      </c>
      <c r="C118" s="96" t="n">
        <v>45988</v>
      </c>
      <c r="D118" s="27" t="n">
        <v>5737.5</v>
      </c>
      <c r="E118" s="25" t="inlineStr">
        <is>
          <t>RN-INV#69</t>
        </is>
      </c>
      <c r="F118" s="27" t="n">
        <v>5737.5</v>
      </c>
      <c r="G118" s="27" t="n">
        <v>0</v>
      </c>
      <c r="H118" s="25" t="inlineStr">
        <is>
          <t>مطابق</t>
        </is>
      </c>
      <c r="I118" s="25" t="n"/>
    </row>
    <row r="119">
      <c r="A119" s="25" t="inlineStr">
        <is>
          <t>WHT</t>
        </is>
      </c>
      <c r="B119" s="25" t="inlineStr">
        <is>
          <t>WHT-3053</t>
        </is>
      </c>
      <c r="C119" s="96" t="n">
        <v>45990</v>
      </c>
      <c r="D119" s="27" t="n">
        <v>8065</v>
      </c>
      <c r="E119" s="25" t="inlineStr">
        <is>
          <t>RN-INV#71</t>
        </is>
      </c>
      <c r="F119" s="27" t="n">
        <v>8065</v>
      </c>
      <c r="G119" s="27" t="n">
        <v>0</v>
      </c>
      <c r="H119" s="25" t="inlineStr">
        <is>
          <t>مطابق</t>
        </is>
      </c>
      <c r="I119" s="25" t="n"/>
    </row>
    <row r="120">
      <c r="A120" s="25" t="inlineStr">
        <is>
          <t>WHT</t>
        </is>
      </c>
      <c r="B120" s="25" t="inlineStr">
        <is>
          <t>WHT-3074</t>
        </is>
      </c>
      <c r="C120" s="96" t="n">
        <v>45991</v>
      </c>
      <c r="D120" s="27" t="n">
        <v>5075</v>
      </c>
      <c r="E120" s="25" t="inlineStr">
        <is>
          <t>RN-INV#72</t>
        </is>
      </c>
      <c r="F120" s="27" t="n">
        <v>5075</v>
      </c>
      <c r="G120" s="27" t="n">
        <v>0</v>
      </c>
      <c r="H120" s="25" t="inlineStr">
        <is>
          <t>مطابق</t>
        </is>
      </c>
      <c r="I120" s="25" t="n"/>
    </row>
    <row r="121">
      <c r="A121" s="25" t="inlineStr">
        <is>
          <t>WHT</t>
        </is>
      </c>
      <c r="B121" s="25" t="inlineStr">
        <is>
          <t>WHT-3090</t>
        </is>
      </c>
      <c r="C121" s="96" t="n">
        <v>45992</v>
      </c>
      <c r="D121" s="27" t="n">
        <v>6787.5</v>
      </c>
      <c r="E121" s="25" t="inlineStr">
        <is>
          <t>RN-INV#74</t>
        </is>
      </c>
      <c r="F121" s="27" t="n">
        <v>6787.5</v>
      </c>
      <c r="G121" s="27" t="n">
        <v>0</v>
      </c>
      <c r="H121" s="25" t="inlineStr">
        <is>
          <t>مطابق</t>
        </is>
      </c>
      <c r="I121" s="25" t="n"/>
    </row>
    <row r="122">
      <c r="A122" s="25" t="inlineStr">
        <is>
          <t>WHT</t>
        </is>
      </c>
      <c r="B122" s="25" t="inlineStr">
        <is>
          <t>WHT-3102</t>
        </is>
      </c>
      <c r="C122" s="96" t="n">
        <v>45993</v>
      </c>
      <c r="D122" s="27" t="n">
        <v>2772.5</v>
      </c>
      <c r="E122" s="25" t="inlineStr">
        <is>
          <t>RN-INV#75</t>
        </is>
      </c>
      <c r="F122" s="27" t="n">
        <v>2772.5</v>
      </c>
      <c r="G122" s="27" t="n">
        <v>0</v>
      </c>
      <c r="H122" s="25" t="inlineStr">
        <is>
          <t>مطابق</t>
        </is>
      </c>
      <c r="I122" s="25" t="n"/>
    </row>
    <row r="123">
      <c r="A123" s="25" t="inlineStr">
        <is>
          <t>WHT</t>
        </is>
      </c>
      <c r="B123" s="25" t="inlineStr">
        <is>
          <t>WHT-3117</t>
        </is>
      </c>
      <c r="C123" s="96" t="n">
        <v>45994</v>
      </c>
      <c r="D123" s="27" t="n">
        <v>4505</v>
      </c>
      <c r="E123" s="25" t="inlineStr">
        <is>
          <t>RN-INV#76</t>
        </is>
      </c>
      <c r="F123" s="27" t="n">
        <v>4505</v>
      </c>
      <c r="G123" s="27" t="n">
        <v>0</v>
      </c>
      <c r="H123" s="25" t="inlineStr">
        <is>
          <t>مطابق</t>
        </is>
      </c>
      <c r="I123" s="25" t="n"/>
    </row>
    <row r="124">
      <c r="A124" s="25" t="inlineStr">
        <is>
          <t>WHT</t>
        </is>
      </c>
      <c r="B124" s="25" t="inlineStr">
        <is>
          <t>WHT-3133</t>
        </is>
      </c>
      <c r="C124" s="96" t="n">
        <v>45995</v>
      </c>
      <c r="D124" s="27" t="n">
        <v>2880</v>
      </c>
      <c r="E124" s="25" t="inlineStr">
        <is>
          <t>RN-INV#77</t>
        </is>
      </c>
      <c r="F124" s="27" t="n">
        <v>2880</v>
      </c>
      <c r="G124" s="27" t="n">
        <v>0</v>
      </c>
      <c r="H124" s="25" t="inlineStr">
        <is>
          <t>مطابق</t>
        </is>
      </c>
      <c r="I124" s="25" t="n"/>
    </row>
    <row r="125">
      <c r="A125" s="25" t="inlineStr">
        <is>
          <t>WHT</t>
        </is>
      </c>
      <c r="B125" s="25" t="inlineStr">
        <is>
          <t>WHT-3150</t>
        </is>
      </c>
      <c r="C125" s="96" t="n">
        <v>45997</v>
      </c>
      <c r="D125" s="27" t="n">
        <v>7617.5</v>
      </c>
      <c r="E125" s="25" t="inlineStr">
        <is>
          <t>RN-INV#79</t>
        </is>
      </c>
      <c r="F125" s="27" t="n">
        <v>7617.5</v>
      </c>
      <c r="G125" s="27" t="n">
        <v>0</v>
      </c>
      <c r="H125" s="25" t="inlineStr">
        <is>
          <t>مطابق</t>
        </is>
      </c>
      <c r="I125" s="25" t="n"/>
    </row>
    <row r="126">
      <c r="A126" s="25" t="inlineStr">
        <is>
          <t>WHT</t>
        </is>
      </c>
      <c r="B126" s="25" t="inlineStr">
        <is>
          <t>WHT-3162</t>
        </is>
      </c>
      <c r="C126" s="96" t="n">
        <v>45998</v>
      </c>
      <c r="D126" s="27" t="n">
        <v>2637.5</v>
      </c>
      <c r="E126" s="25" t="inlineStr">
        <is>
          <t>RN-INV#80</t>
        </is>
      </c>
      <c r="F126" s="27" t="n">
        <v>2637.5</v>
      </c>
      <c r="G126" s="27" t="n">
        <v>0</v>
      </c>
      <c r="H126" s="25" t="inlineStr">
        <is>
          <t>مطابق</t>
        </is>
      </c>
      <c r="I126" s="25" t="n"/>
    </row>
    <row r="127">
      <c r="A127" s="25" t="inlineStr">
        <is>
          <t>WHT</t>
        </is>
      </c>
      <c r="B127" s="25" t="inlineStr">
        <is>
          <t>WHT-3173</t>
        </is>
      </c>
      <c r="C127" s="96" t="n">
        <v>45999</v>
      </c>
      <c r="D127" s="27" t="n">
        <v>2940</v>
      </c>
      <c r="E127" s="25" t="inlineStr">
        <is>
          <t>RN-INV#81</t>
        </is>
      </c>
      <c r="F127" s="27" t="n">
        <v>2940</v>
      </c>
      <c r="G127" s="27" t="n">
        <v>0</v>
      </c>
      <c r="H127" s="25" t="inlineStr">
        <is>
          <t>مطابق</t>
        </is>
      </c>
      <c r="I127" s="25" t="n"/>
    </row>
    <row r="128">
      <c r="A128" s="25" t="inlineStr">
        <is>
          <t>WHT</t>
        </is>
      </c>
      <c r="B128" s="25" t="inlineStr">
        <is>
          <t>WHT-3197</t>
        </is>
      </c>
      <c r="C128" s="96" t="n">
        <v>46000</v>
      </c>
      <c r="D128" s="27" t="n">
        <v>2546.25</v>
      </c>
      <c r="E128" s="25" t="inlineStr">
        <is>
          <t>RN-INV#82</t>
        </is>
      </c>
      <c r="F128" s="27" t="n">
        <v>2546.25</v>
      </c>
      <c r="G128" s="27" t="n">
        <v>0</v>
      </c>
      <c r="H128" s="25" t="inlineStr">
        <is>
          <t>مطابق</t>
        </is>
      </c>
      <c r="I128" s="25" t="n"/>
    </row>
    <row r="129">
      <c r="A129" s="25" t="inlineStr">
        <is>
          <t>WHT</t>
        </is>
      </c>
      <c r="B129" s="25" t="inlineStr">
        <is>
          <t>WHT-3208</t>
        </is>
      </c>
      <c r="C129" s="96" t="n">
        <v>46001</v>
      </c>
      <c r="D129" s="27" t="n">
        <v>2253.75</v>
      </c>
      <c r="E129" s="25" t="inlineStr">
        <is>
          <t>RN-INV#83</t>
        </is>
      </c>
      <c r="F129" s="27" t="n">
        <v>2253.75</v>
      </c>
      <c r="G129" s="27" t="n">
        <v>0</v>
      </c>
      <c r="H129" s="25" t="inlineStr">
        <is>
          <t>مطابق</t>
        </is>
      </c>
      <c r="I129" s="25" t="n"/>
    </row>
    <row r="130">
      <c r="A130" s="25" t="inlineStr">
        <is>
          <t>WHT</t>
        </is>
      </c>
      <c r="B130" s="25" t="inlineStr">
        <is>
          <t>WHT-3215</t>
        </is>
      </c>
      <c r="C130" s="96" t="n">
        <v>46003</v>
      </c>
      <c r="D130" s="27" t="n">
        <v>3075</v>
      </c>
      <c r="E130" s="25" t="inlineStr">
        <is>
          <t>RN-INV#86</t>
        </is>
      </c>
      <c r="F130" s="27" t="n">
        <v>3075</v>
      </c>
      <c r="G130" s="27" t="n">
        <v>0</v>
      </c>
      <c r="H130" s="25" t="inlineStr">
        <is>
          <t>مطابق</t>
        </is>
      </c>
      <c r="I130" s="25" t="n"/>
    </row>
    <row r="131">
      <c r="A131" s="25" t="inlineStr">
        <is>
          <t>WHT</t>
        </is>
      </c>
      <c r="B131" s="25" t="inlineStr">
        <is>
          <t>WHT-3228</t>
        </is>
      </c>
      <c r="C131" s="96" t="n">
        <v>46004</v>
      </c>
      <c r="D131" s="27" t="n">
        <v>1728.75</v>
      </c>
      <c r="E131" s="25" t="inlineStr">
        <is>
          <t>RN-INV#87</t>
        </is>
      </c>
      <c r="F131" s="27" t="n">
        <v>1728.75</v>
      </c>
      <c r="G131" s="27" t="n">
        <v>0</v>
      </c>
      <c r="H131" s="25" t="inlineStr">
        <is>
          <t>مطابق</t>
        </is>
      </c>
      <c r="I131" s="25" t="n"/>
    </row>
    <row r="132">
      <c r="A132" s="25" t="inlineStr">
        <is>
          <t>WHT</t>
        </is>
      </c>
      <c r="B132" s="25" t="inlineStr">
        <is>
          <t>WHT-3241</t>
        </is>
      </c>
      <c r="C132" s="96" t="n">
        <v>46005</v>
      </c>
      <c r="D132" s="27" t="n">
        <v>1057.5</v>
      </c>
      <c r="E132" s="25" t="inlineStr">
        <is>
          <t>RN-INV#88</t>
        </is>
      </c>
      <c r="F132" s="27" t="n">
        <v>1057.5</v>
      </c>
      <c r="G132" s="27" t="n">
        <v>0</v>
      </c>
      <c r="H132" s="25" t="inlineStr">
        <is>
          <t>مطابق</t>
        </is>
      </c>
      <c r="I132" s="25" t="n"/>
    </row>
    <row r="133">
      <c r="A133" s="25" t="inlineStr">
        <is>
          <t>WHT</t>
        </is>
      </c>
      <c r="B133" s="25" t="inlineStr">
        <is>
          <t>WHT-3253</t>
        </is>
      </c>
      <c r="C133" s="96" t="n">
        <v>46006</v>
      </c>
      <c r="D133" s="27" t="n">
        <v>5730</v>
      </c>
      <c r="E133" s="25" t="inlineStr">
        <is>
          <t>RN-INV#91</t>
        </is>
      </c>
      <c r="F133" s="27" t="n">
        <v>5730</v>
      </c>
      <c r="G133" s="27" t="n">
        <v>0</v>
      </c>
      <c r="H133" s="25" t="inlineStr">
        <is>
          <t>مطابق</t>
        </is>
      </c>
      <c r="I133" s="25" t="n"/>
    </row>
    <row r="134">
      <c r="A134" s="25" t="inlineStr">
        <is>
          <t>WHT</t>
        </is>
      </c>
      <c r="B134" s="25" t="inlineStr">
        <is>
          <t>WHT-3266</t>
        </is>
      </c>
      <c r="C134" s="96" t="n">
        <v>46007</v>
      </c>
      <c r="D134" s="27" t="n">
        <v>7080</v>
      </c>
      <c r="E134" s="25" t="inlineStr">
        <is>
          <t>RN-INV#92</t>
        </is>
      </c>
      <c r="F134" s="27" t="n">
        <v>7080</v>
      </c>
      <c r="G134" s="27" t="n">
        <v>0</v>
      </c>
      <c r="H134" s="25" t="inlineStr">
        <is>
          <t>مطابق</t>
        </is>
      </c>
      <c r="I134" s="25" t="n"/>
    </row>
    <row r="135">
      <c r="A135" s="25" t="inlineStr">
        <is>
          <t>WHT</t>
        </is>
      </c>
      <c r="B135" s="25" t="inlineStr">
        <is>
          <t>WHT-3270</t>
        </is>
      </c>
      <c r="C135" s="96" t="n">
        <v>46008</v>
      </c>
      <c r="D135" s="27" t="n">
        <v>1785</v>
      </c>
      <c r="E135" s="25" t="inlineStr">
        <is>
          <t>RN-INV#93</t>
        </is>
      </c>
      <c r="F135" s="27" t="n">
        <v>1785</v>
      </c>
      <c r="G135" s="27" t="n">
        <v>0</v>
      </c>
      <c r="H135" s="25" t="inlineStr">
        <is>
          <t>مطابق</t>
        </is>
      </c>
      <c r="I135" s="25" t="n"/>
    </row>
    <row r="136">
      <c r="A136" s="25" t="inlineStr">
        <is>
          <t>WHT</t>
        </is>
      </c>
      <c r="B136" s="25" t="inlineStr">
        <is>
          <t>WHT-3294</t>
        </is>
      </c>
      <c r="C136" s="96" t="n">
        <v>46011</v>
      </c>
      <c r="D136" s="27" t="n">
        <v>885</v>
      </c>
      <c r="E136" s="25" t="inlineStr">
        <is>
          <t>RN-INV#95</t>
        </is>
      </c>
      <c r="F136" s="27" t="n">
        <v>885</v>
      </c>
      <c r="G136" s="27" t="n">
        <v>0</v>
      </c>
      <c r="H136" s="25" t="inlineStr">
        <is>
          <t>مطابق</t>
        </is>
      </c>
      <c r="I136" s="25" t="n"/>
    </row>
    <row r="137">
      <c r="A137" s="25" t="inlineStr">
        <is>
          <t>WHT</t>
        </is>
      </c>
      <c r="B137" s="25" t="inlineStr">
        <is>
          <t>WHT-3303</t>
        </is>
      </c>
      <c r="C137" s="96" t="n">
        <v>46012</v>
      </c>
      <c r="D137" s="27" t="n">
        <v>970</v>
      </c>
      <c r="E137" s="25" t="inlineStr">
        <is>
          <t>RN-INV#96</t>
        </is>
      </c>
      <c r="F137" s="27" t="n">
        <v>970</v>
      </c>
      <c r="G137" s="27" t="n">
        <v>0</v>
      </c>
      <c r="H137" s="25" t="inlineStr">
        <is>
          <t>مطابق</t>
        </is>
      </c>
      <c r="I137" s="25" t="n"/>
    </row>
    <row r="138">
      <c r="A138" s="25" t="inlineStr">
        <is>
          <t>WHT</t>
        </is>
      </c>
      <c r="B138" s="25" t="inlineStr">
        <is>
          <t>WHT-3316</t>
        </is>
      </c>
      <c r="C138" s="96" t="n">
        <v>46013</v>
      </c>
      <c r="D138" s="27" t="n">
        <v>615</v>
      </c>
      <c r="E138" s="25" t="inlineStr">
        <is>
          <t>RN-INV#97</t>
        </is>
      </c>
      <c r="F138" s="27" t="n">
        <v>615</v>
      </c>
      <c r="G138" s="27" t="n">
        <v>0</v>
      </c>
      <c r="H138" s="25" t="inlineStr">
        <is>
          <t>مطابق</t>
        </is>
      </c>
      <c r="I138" s="25" t="n"/>
    </row>
    <row r="139">
      <c r="A139" s="25" t="inlineStr">
        <is>
          <t>WHT</t>
        </is>
      </c>
      <c r="B139" s="25" t="inlineStr">
        <is>
          <t>WHT-3329</t>
        </is>
      </c>
      <c r="C139" s="96" t="n">
        <v>46014</v>
      </c>
      <c r="D139" s="27" t="n">
        <v>1380</v>
      </c>
      <c r="E139" s="25" t="inlineStr">
        <is>
          <t>RN-INV#98</t>
        </is>
      </c>
      <c r="F139" s="27" t="n">
        <v>1380</v>
      </c>
      <c r="G139" s="27" t="n">
        <v>0</v>
      </c>
      <c r="H139" s="25" t="inlineStr">
        <is>
          <t>مطابق</t>
        </is>
      </c>
      <c r="I139" s="25" t="n"/>
    </row>
    <row r="140">
      <c r="A140" s="34" t="inlineStr">
        <is>
          <t>WHT</t>
        </is>
      </c>
      <c r="B140" s="34" t="inlineStr">
        <is>
          <t>WHT-3343</t>
        </is>
      </c>
      <c r="C140" s="99" t="n">
        <v>46015</v>
      </c>
      <c r="D140" s="36" t="n">
        <v>870</v>
      </c>
      <c r="E140" s="34" t="n"/>
      <c r="F140" s="36" t="n"/>
      <c r="G140" s="36" t="n"/>
      <c r="H140" s="34" t="inlineStr">
        <is>
          <t>غير موجود بالفواتير</t>
        </is>
      </c>
      <c r="I140" s="34" t="inlineStr">
        <is>
          <t>لا توجد فاتورة مبدئية لهذا العقد</t>
        </is>
      </c>
    </row>
    <row r="141">
      <c r="A141" s="34" t="inlineStr">
        <is>
          <t>WHT</t>
        </is>
      </c>
      <c r="B141" s="34" t="inlineStr">
        <is>
          <t>WHT-3349</t>
        </is>
      </c>
      <c r="C141" s="99" t="n">
        <v>46016</v>
      </c>
      <c r="D141" s="36" t="n">
        <v>1541.25</v>
      </c>
      <c r="E141" s="34" t="n"/>
      <c r="F141" s="36" t="n"/>
      <c r="G141" s="36" t="n"/>
      <c r="H141" s="34" t="inlineStr">
        <is>
          <t>غير موجود بالفواتير</t>
        </is>
      </c>
      <c r="I141" s="34" t="inlineStr">
        <is>
          <t>لا توجد فاتورة مبدئية لهذا العقد</t>
        </is>
      </c>
    </row>
    <row r="142">
      <c r="A142" s="25" t="inlineStr">
        <is>
          <t>WHT</t>
        </is>
      </c>
      <c r="B142" s="25" t="inlineStr">
        <is>
          <t>WHT-3355</t>
        </is>
      </c>
      <c r="C142" s="96" t="n">
        <v>46018</v>
      </c>
      <c r="D142" s="27" t="n">
        <v>4845</v>
      </c>
      <c r="E142" s="25" t="inlineStr">
        <is>
          <t>RN-INV#99</t>
        </is>
      </c>
      <c r="F142" s="27" t="n">
        <v>4845</v>
      </c>
      <c r="G142" s="27" t="n">
        <v>0</v>
      </c>
      <c r="H142" s="25" t="inlineStr">
        <is>
          <t>مطابق</t>
        </is>
      </c>
      <c r="I142" s="25" t="n"/>
    </row>
    <row r="143">
      <c r="A143" s="25" t="inlineStr">
        <is>
          <t>WHT</t>
        </is>
      </c>
      <c r="B143" s="25" t="inlineStr">
        <is>
          <t>WHT-3426</t>
        </is>
      </c>
      <c r="C143" s="96" t="n">
        <v>46055</v>
      </c>
      <c r="D143" s="27" t="n">
        <v>790</v>
      </c>
      <c r="E143" s="25" t="inlineStr">
        <is>
          <t>RN-INV#107</t>
        </is>
      </c>
      <c r="F143" s="27" t="n">
        <v>790</v>
      </c>
      <c r="G143" s="27" t="n">
        <v>0</v>
      </c>
      <c r="H143" s="25" t="inlineStr">
        <is>
          <t>مطابق</t>
        </is>
      </c>
      <c r="I143" s="25" t="n"/>
    </row>
    <row r="144">
      <c r="A144" s="25" t="inlineStr">
        <is>
          <t>WHT</t>
        </is>
      </c>
      <c r="B144" s="25" t="inlineStr">
        <is>
          <t>WHT-3431</t>
        </is>
      </c>
      <c r="C144" s="96" t="n">
        <v>46106</v>
      </c>
      <c r="D144" s="27" t="n">
        <v>1412.5</v>
      </c>
      <c r="E144" s="25" t="inlineStr">
        <is>
          <t>RN-INV#108</t>
        </is>
      </c>
      <c r="F144" s="27" t="n">
        <v>1412.5</v>
      </c>
      <c r="G144" s="27" t="n">
        <v>0</v>
      </c>
      <c r="H144" s="25" t="inlineStr">
        <is>
          <t>مطابق</t>
        </is>
      </c>
      <c r="I144" s="25" t="n"/>
    </row>
    <row r="145">
      <c r="A145" s="25" t="inlineStr">
        <is>
          <t>WHT</t>
        </is>
      </c>
      <c r="B145" s="25" t="inlineStr">
        <is>
          <t>WHT-3448</t>
        </is>
      </c>
      <c r="C145" s="96" t="n">
        <v>46114</v>
      </c>
      <c r="D145" s="27" t="n">
        <v>42695</v>
      </c>
      <c r="E145" s="25" t="inlineStr">
        <is>
          <t>RN-INV#109</t>
        </is>
      </c>
      <c r="F145" s="27" t="n">
        <v>42695</v>
      </c>
      <c r="G145" s="27" t="n">
        <v>0</v>
      </c>
      <c r="H145" s="25" t="inlineStr">
        <is>
          <t>مطابق</t>
        </is>
      </c>
      <c r="I145" s="25" t="n"/>
    </row>
    <row r="146">
      <c r="A146" s="25" t="inlineStr">
        <is>
          <t>WHT</t>
        </is>
      </c>
      <c r="B146" s="25" t="inlineStr">
        <is>
          <t>WHT-3464</t>
        </is>
      </c>
      <c r="C146" s="96" t="n">
        <v>46174</v>
      </c>
      <c r="D146" s="27" t="n">
        <v>1972.5</v>
      </c>
      <c r="E146" s="25" t="inlineStr">
        <is>
          <t>RN-INV#110</t>
        </is>
      </c>
      <c r="F146" s="27" t="n">
        <v>1972.5</v>
      </c>
      <c r="G146" s="27" t="n">
        <v>0</v>
      </c>
      <c r="H146" s="25" t="inlineStr">
        <is>
          <t>مطابق</t>
        </is>
      </c>
      <c r="I146" s="25" t="n"/>
    </row>
    <row r="147">
      <c r="A147" s="25" t="inlineStr">
        <is>
          <t>WHT</t>
        </is>
      </c>
      <c r="B147" s="25" t="inlineStr">
        <is>
          <t>WHT-3488</t>
        </is>
      </c>
      <c r="C147" s="96" t="n">
        <v>46174</v>
      </c>
      <c r="D147" s="27" t="n">
        <v>3500</v>
      </c>
      <c r="E147" s="25" t="inlineStr">
        <is>
          <t>RN-INV#112</t>
        </is>
      </c>
      <c r="F147" s="27" t="n">
        <v>3500</v>
      </c>
      <c r="G147" s="27" t="n">
        <v>0</v>
      </c>
      <c r="H147" s="25" t="inlineStr">
        <is>
          <t>مطابق</t>
        </is>
      </c>
      <c r="I147" s="25" t="n"/>
    </row>
    <row r="148">
      <c r="A148" s="25" t="inlineStr">
        <is>
          <t>WHT</t>
        </is>
      </c>
      <c r="B148" s="25" t="inlineStr">
        <is>
          <t>WHT-3496</t>
        </is>
      </c>
      <c r="C148" s="96" t="n">
        <v>46204</v>
      </c>
      <c r="D148" s="27" t="n">
        <v>1095</v>
      </c>
      <c r="E148" s="25" t="inlineStr">
        <is>
          <t>RN-INV#113</t>
        </is>
      </c>
      <c r="F148" s="27" t="n">
        <v>1095</v>
      </c>
      <c r="G148" s="27" t="n">
        <v>0</v>
      </c>
      <c r="H148" s="25" t="inlineStr">
        <is>
          <t>مطابق</t>
        </is>
      </c>
      <c r="I148" s="25" t="n"/>
    </row>
    <row r="149">
      <c r="A149" s="25" t="inlineStr">
        <is>
          <t>WHT</t>
        </is>
      </c>
      <c r="B149" s="25" t="inlineStr">
        <is>
          <t>WHT-3503</t>
        </is>
      </c>
      <c r="C149" s="96" t="n">
        <v>46235</v>
      </c>
      <c r="D149" s="27" t="n">
        <v>2020</v>
      </c>
      <c r="E149" s="25" t="inlineStr">
        <is>
          <t>RN-INV#114</t>
        </is>
      </c>
      <c r="F149" s="27" t="n">
        <v>2020</v>
      </c>
      <c r="G149" s="27" t="n">
        <v>0</v>
      </c>
      <c r="H149" s="25" t="inlineStr">
        <is>
          <t>مطابق</t>
        </is>
      </c>
      <c r="I149" s="25" t="n"/>
    </row>
    <row r="150">
      <c r="A150" s="25" t="inlineStr">
        <is>
          <t>WHT</t>
        </is>
      </c>
      <c r="B150" s="25" t="inlineStr">
        <is>
          <t>WHT-3518</t>
        </is>
      </c>
      <c r="C150" s="96" t="n">
        <v>46296</v>
      </c>
      <c r="D150" s="27" t="n">
        <v>2175</v>
      </c>
      <c r="E150" s="25" t="inlineStr">
        <is>
          <t>RN-INV#115</t>
        </is>
      </c>
      <c r="F150" s="27" t="n">
        <v>2175</v>
      </c>
      <c r="G150" s="27" t="n">
        <v>0</v>
      </c>
      <c r="H150" s="25" t="inlineStr">
        <is>
          <t>مطابق</t>
        </is>
      </c>
      <c r="I150" s="25" t="n"/>
    </row>
    <row r="151">
      <c r="A151" s="25" t="inlineStr">
        <is>
          <t>WHT</t>
        </is>
      </c>
      <c r="B151" s="25" t="inlineStr">
        <is>
          <t>WHT-3543</t>
        </is>
      </c>
      <c r="C151" s="96" t="n">
        <v>46357</v>
      </c>
      <c r="D151" s="27" t="n">
        <v>5655</v>
      </c>
      <c r="E151" s="25" t="inlineStr">
        <is>
          <t>RN-INV#116</t>
        </is>
      </c>
      <c r="F151" s="27" t="n">
        <v>5655</v>
      </c>
      <c r="G151" s="27" t="n">
        <v>0</v>
      </c>
      <c r="H151" s="25" t="inlineStr">
        <is>
          <t>مطابق</t>
        </is>
      </c>
      <c r="I151" s="25" t="n"/>
    </row>
    <row r="152">
      <c r="A152" s="25" t="inlineStr">
        <is>
          <t>WHT</t>
        </is>
      </c>
      <c r="B152" s="25" t="inlineStr">
        <is>
          <t>WHT-3549</t>
        </is>
      </c>
      <c r="C152" s="96" t="n">
        <v>46035</v>
      </c>
      <c r="D152" s="27" t="n">
        <v>2130</v>
      </c>
      <c r="E152" s="25" t="inlineStr">
        <is>
          <t>RN-INV#117</t>
        </is>
      </c>
      <c r="F152" s="27" t="n">
        <v>2130</v>
      </c>
      <c r="G152" s="27" t="n">
        <v>0</v>
      </c>
      <c r="H152" s="25" t="inlineStr">
        <is>
          <t>مطابق</t>
        </is>
      </c>
      <c r="I152" s="25" t="n"/>
    </row>
    <row r="153">
      <c r="A153" s="25" t="inlineStr">
        <is>
          <t>WHT</t>
        </is>
      </c>
      <c r="B153" s="25" t="inlineStr">
        <is>
          <t>WHT-3560</t>
        </is>
      </c>
      <c r="C153" s="96" t="n">
        <v>46036</v>
      </c>
      <c r="D153" s="27" t="n">
        <v>2250</v>
      </c>
      <c r="E153" s="25" t="inlineStr">
        <is>
          <t>RN-INV#118</t>
        </is>
      </c>
      <c r="F153" s="27" t="n">
        <v>2250</v>
      </c>
      <c r="G153" s="27" t="n">
        <v>0</v>
      </c>
      <c r="H153" s="25" t="inlineStr">
        <is>
          <t>مطابق</t>
        </is>
      </c>
      <c r="I153" s="25" t="n"/>
    </row>
    <row r="154">
      <c r="A154" s="25" t="inlineStr">
        <is>
          <t>WHT</t>
        </is>
      </c>
      <c r="B154" s="25" t="inlineStr">
        <is>
          <t>WHT-3568</t>
        </is>
      </c>
      <c r="C154" s="96" t="n">
        <v>46037</v>
      </c>
      <c r="D154" s="27" t="n">
        <v>2205</v>
      </c>
      <c r="E154" s="25" t="inlineStr">
        <is>
          <t>RN-INV#119</t>
        </is>
      </c>
      <c r="F154" s="27" t="n">
        <v>2205</v>
      </c>
      <c r="G154" s="27" t="n">
        <v>0</v>
      </c>
      <c r="H154" s="25" t="inlineStr">
        <is>
          <t>مطابق</t>
        </is>
      </c>
      <c r="I154" s="25" t="n"/>
    </row>
    <row r="155">
      <c r="A155" s="25" t="inlineStr">
        <is>
          <t>WHT</t>
        </is>
      </c>
      <c r="B155" s="25" t="inlineStr">
        <is>
          <t>WHT-3580</t>
        </is>
      </c>
      <c r="C155" s="96" t="n">
        <v>46039</v>
      </c>
      <c r="D155" s="27" t="n">
        <v>3227.5</v>
      </c>
      <c r="E155" s="25" t="inlineStr">
        <is>
          <t>RN-INV#121</t>
        </is>
      </c>
      <c r="F155" s="27" t="n">
        <v>3227.5</v>
      </c>
      <c r="G155" s="27" t="n">
        <v>0</v>
      </c>
      <c r="H155" s="25" t="inlineStr">
        <is>
          <t>مطابق</t>
        </is>
      </c>
      <c r="I155" s="25" t="n"/>
    </row>
    <row r="156">
      <c r="A156" s="25" t="inlineStr">
        <is>
          <t>WHT</t>
        </is>
      </c>
      <c r="B156" s="25" t="inlineStr">
        <is>
          <t>WHT-3591</t>
        </is>
      </c>
      <c r="C156" s="96" t="n">
        <v>46040</v>
      </c>
      <c r="D156" s="27" t="n">
        <v>3225</v>
      </c>
      <c r="E156" s="25" t="inlineStr">
        <is>
          <t>RN-INV#122</t>
        </is>
      </c>
      <c r="F156" s="27" t="n">
        <v>3225</v>
      </c>
      <c r="G156" s="27" t="n">
        <v>0</v>
      </c>
      <c r="H156" s="25" t="inlineStr">
        <is>
          <t>مطابق</t>
        </is>
      </c>
      <c r="I156" s="25" t="n"/>
    </row>
    <row r="157">
      <c r="A157" s="25" t="inlineStr">
        <is>
          <t>WHT</t>
        </is>
      </c>
      <c r="B157" s="25" t="inlineStr">
        <is>
          <t>WHT-3603</t>
        </is>
      </c>
      <c r="C157" s="96" t="n">
        <v>46041</v>
      </c>
      <c r="D157" s="27" t="n">
        <v>2347.5</v>
      </c>
      <c r="E157" s="25" t="inlineStr">
        <is>
          <t>RN-INV#123</t>
        </is>
      </c>
      <c r="F157" s="27" t="n">
        <v>2347.5</v>
      </c>
      <c r="G157" s="27" t="n">
        <v>0</v>
      </c>
      <c r="H157" s="25" t="inlineStr">
        <is>
          <t>مطابق</t>
        </is>
      </c>
      <c r="I157" s="25" t="n"/>
    </row>
    <row r="158">
      <c r="A158" s="25" t="inlineStr">
        <is>
          <t>WHT</t>
        </is>
      </c>
      <c r="B158" s="25" t="inlineStr">
        <is>
          <t>WHT-3623</t>
        </is>
      </c>
      <c r="C158" s="96" t="n">
        <v>46044</v>
      </c>
      <c r="D158" s="27" t="n">
        <v>3382.5</v>
      </c>
      <c r="E158" s="25" t="inlineStr">
        <is>
          <t>RN-INV#125</t>
        </is>
      </c>
      <c r="F158" s="27" t="n">
        <v>3382.5</v>
      </c>
      <c r="G158" s="27" t="n">
        <v>0</v>
      </c>
      <c r="H158" s="25" t="inlineStr">
        <is>
          <t>مطابق</t>
        </is>
      </c>
      <c r="I158" s="25" t="n"/>
    </row>
    <row r="159">
      <c r="A159" s="25" t="inlineStr">
        <is>
          <t>WHT</t>
        </is>
      </c>
      <c r="B159" s="25" t="inlineStr">
        <is>
          <t>WHT-3629</t>
        </is>
      </c>
      <c r="C159" s="96" t="n">
        <v>46046</v>
      </c>
      <c r="D159" s="27" t="n">
        <v>2430</v>
      </c>
      <c r="E159" s="25" t="inlineStr">
        <is>
          <t>RN-INV#126</t>
        </is>
      </c>
      <c r="F159" s="27" t="n">
        <v>2430</v>
      </c>
      <c r="G159" s="27" t="n">
        <v>0</v>
      </c>
      <c r="H159" s="25" t="inlineStr">
        <is>
          <t>مطابق</t>
        </is>
      </c>
      <c r="I159" s="25" t="n"/>
    </row>
    <row r="160">
      <c r="A160" s="25" t="inlineStr">
        <is>
          <t>WHT</t>
        </is>
      </c>
      <c r="B160" s="25" t="inlineStr">
        <is>
          <t>WHT-3633</t>
        </is>
      </c>
      <c r="C160" s="96" t="n">
        <v>46047</v>
      </c>
      <c r="D160" s="27" t="n">
        <v>1852.5</v>
      </c>
      <c r="E160" s="25" t="inlineStr">
        <is>
          <t>RN-INV#127</t>
        </is>
      </c>
      <c r="F160" s="27" t="n">
        <v>1852.5</v>
      </c>
      <c r="G160" s="27" t="n">
        <v>0</v>
      </c>
      <c r="H160" s="25" t="inlineStr">
        <is>
          <t>مطابق</t>
        </is>
      </c>
      <c r="I160" s="25" t="n"/>
    </row>
    <row r="161">
      <c r="A161" s="25" t="inlineStr">
        <is>
          <t>WHT</t>
        </is>
      </c>
      <c r="B161" s="25" t="inlineStr">
        <is>
          <t>WHT-3654</t>
        </is>
      </c>
      <c r="C161" s="96" t="n">
        <v>46048</v>
      </c>
      <c r="D161" s="27" t="n">
        <v>2622.5</v>
      </c>
      <c r="E161" s="25" t="inlineStr">
        <is>
          <t>RN-INV#128</t>
        </is>
      </c>
      <c r="F161" s="27" t="n">
        <v>2622.5</v>
      </c>
      <c r="G161" s="27" t="n">
        <v>0</v>
      </c>
      <c r="H161" s="25" t="inlineStr">
        <is>
          <t>مطابق</t>
        </is>
      </c>
      <c r="I161" s="25" t="n"/>
    </row>
    <row r="162">
      <c r="A162" s="25" t="inlineStr">
        <is>
          <t>WHT</t>
        </is>
      </c>
      <c r="B162" s="25" t="inlineStr">
        <is>
          <t>WHT-3679</t>
        </is>
      </c>
      <c r="C162" s="96" t="n">
        <v>46049</v>
      </c>
      <c r="D162" s="27" t="n">
        <v>1172.5</v>
      </c>
      <c r="E162" s="25" t="inlineStr">
        <is>
          <t>RN-INV#130</t>
        </is>
      </c>
      <c r="F162" s="27" t="n">
        <v>1172.5</v>
      </c>
      <c r="G162" s="27" t="n">
        <v>0</v>
      </c>
      <c r="H162" s="25" t="inlineStr">
        <is>
          <t>مطابق</t>
        </is>
      </c>
      <c r="I162" s="25" t="n"/>
    </row>
    <row r="163">
      <c r="A163" s="25" t="inlineStr">
        <is>
          <t>WHT</t>
        </is>
      </c>
      <c r="B163" s="25" t="inlineStr">
        <is>
          <t>WHT-3687</t>
        </is>
      </c>
      <c r="C163" s="96" t="n">
        <v>46050</v>
      </c>
      <c r="D163" s="27" t="n">
        <v>6142.5</v>
      </c>
      <c r="E163" s="25" t="inlineStr">
        <is>
          <t>RN-INV#131</t>
        </is>
      </c>
      <c r="F163" s="27" t="n">
        <v>6142.5</v>
      </c>
      <c r="G163" s="27" t="n">
        <v>0</v>
      </c>
      <c r="H163" s="25" t="inlineStr">
        <is>
          <t>مطابق</t>
        </is>
      </c>
      <c r="I163" s="25" t="n"/>
    </row>
    <row r="164">
      <c r="A164" s="25" t="inlineStr">
        <is>
          <t>WHT</t>
        </is>
      </c>
      <c r="B164" s="25" t="inlineStr">
        <is>
          <t>WHT-3697</t>
        </is>
      </c>
      <c r="C164" s="96" t="n">
        <v>46051</v>
      </c>
      <c r="D164" s="27" t="n">
        <v>2850</v>
      </c>
      <c r="E164" s="25" t="inlineStr">
        <is>
          <t>RN-INV#132</t>
        </is>
      </c>
      <c r="F164" s="27" t="n">
        <v>2850</v>
      </c>
      <c r="G164" s="27" t="n">
        <v>0</v>
      </c>
      <c r="H164" s="25" t="inlineStr">
        <is>
          <t>مطابق</t>
        </is>
      </c>
      <c r="I164" s="25" t="n"/>
    </row>
    <row r="165">
      <c r="A165" s="25" t="inlineStr">
        <is>
          <t>WHT</t>
        </is>
      </c>
      <c r="B165" s="25" t="inlineStr">
        <is>
          <t>WHT-3700</t>
        </is>
      </c>
      <c r="C165" s="96" t="n">
        <v>46053</v>
      </c>
      <c r="D165" s="27" t="n">
        <v>5397.5</v>
      </c>
      <c r="E165" s="25" t="inlineStr">
        <is>
          <t>RN-INV#133</t>
        </is>
      </c>
      <c r="F165" s="27" t="n">
        <v>5397.5</v>
      </c>
      <c r="G165" s="27" t="n">
        <v>0</v>
      </c>
      <c r="H165" s="25" t="inlineStr">
        <is>
          <t>مطابق</t>
        </is>
      </c>
      <c r="I165" s="25" t="n"/>
    </row>
    <row r="166">
      <c r="A166" s="25" t="inlineStr">
        <is>
          <t>WHT</t>
        </is>
      </c>
      <c r="B166" s="25" t="inlineStr">
        <is>
          <t>WHT-3716</t>
        </is>
      </c>
      <c r="C166" s="96" t="n">
        <v>46056</v>
      </c>
      <c r="D166" s="27" t="n">
        <v>4575</v>
      </c>
      <c r="E166" s="25" t="inlineStr">
        <is>
          <t>RN-INV#135</t>
        </is>
      </c>
      <c r="F166" s="27" t="n">
        <v>4575</v>
      </c>
      <c r="G166" s="27" t="n">
        <v>0</v>
      </c>
      <c r="H166" s="25" t="inlineStr">
        <is>
          <t>مطابق</t>
        </is>
      </c>
      <c r="I166" s="25" t="n"/>
    </row>
    <row r="167">
      <c r="A167" s="25" t="inlineStr">
        <is>
          <t>WHT</t>
        </is>
      </c>
      <c r="B167" s="25" t="inlineStr">
        <is>
          <t>WHT-3732</t>
        </is>
      </c>
      <c r="C167" s="96" t="n">
        <v>46082</v>
      </c>
      <c r="D167" s="27" t="n">
        <v>4887.5</v>
      </c>
      <c r="E167" s="25" t="inlineStr">
        <is>
          <t>RN-INV#136</t>
        </is>
      </c>
      <c r="F167" s="27" t="n">
        <v>4887.5</v>
      </c>
      <c r="G167" s="27" t="n">
        <v>0</v>
      </c>
      <c r="H167" s="25" t="inlineStr">
        <is>
          <t>مطابق</t>
        </is>
      </c>
      <c r="I167" s="25" t="n"/>
    </row>
    <row r="168">
      <c r="A168" s="25" t="inlineStr">
        <is>
          <t>WHT</t>
        </is>
      </c>
      <c r="B168" s="25" t="inlineStr">
        <is>
          <t>WHT-3746</t>
        </is>
      </c>
      <c r="C168" s="96" t="n">
        <v>46107</v>
      </c>
      <c r="D168" s="27" t="n">
        <v>3750</v>
      </c>
      <c r="E168" s="25" t="inlineStr">
        <is>
          <t>RN-INV#137</t>
        </is>
      </c>
      <c r="F168" s="27" t="n">
        <v>3750</v>
      </c>
      <c r="G168" s="27" t="n">
        <v>0</v>
      </c>
      <c r="H168" s="25" t="inlineStr">
        <is>
          <t>مطابق</t>
        </is>
      </c>
      <c r="I168" s="25" t="n"/>
    </row>
    <row r="169">
      <c r="A169" s="25" t="inlineStr">
        <is>
          <t>WHT</t>
        </is>
      </c>
      <c r="B169" s="25" t="inlineStr">
        <is>
          <t>WHT-3755</t>
        </is>
      </c>
      <c r="C169" s="96" t="n">
        <v>46116</v>
      </c>
      <c r="D169" s="27" t="n">
        <v>5205</v>
      </c>
      <c r="E169" s="25" t="inlineStr">
        <is>
          <t>RN-INV#139</t>
        </is>
      </c>
      <c r="F169" s="27" t="n">
        <v>5205</v>
      </c>
      <c r="G169" s="27" t="n">
        <v>0</v>
      </c>
      <c r="H169" s="25" t="inlineStr">
        <is>
          <t>مطابق</t>
        </is>
      </c>
      <c r="I169" s="25" t="n"/>
    </row>
    <row r="170">
      <c r="A170" s="25" t="inlineStr">
        <is>
          <t>WHT</t>
        </is>
      </c>
      <c r="B170" s="25" t="inlineStr">
        <is>
          <t>WHT-3766</t>
        </is>
      </c>
      <c r="C170" s="96" t="n">
        <v>46058</v>
      </c>
      <c r="D170" s="27" t="n">
        <v>6875</v>
      </c>
      <c r="E170" s="25" t="inlineStr">
        <is>
          <t>RN-INV#143</t>
        </is>
      </c>
      <c r="F170" s="27" t="n">
        <v>6875</v>
      </c>
      <c r="G170" s="27" t="n">
        <v>0</v>
      </c>
      <c r="H170" s="25" t="inlineStr">
        <is>
          <t>مطابق</t>
        </is>
      </c>
      <c r="I170" s="25" t="n"/>
    </row>
    <row r="171">
      <c r="A171" s="25" t="inlineStr">
        <is>
          <t>WHT</t>
        </is>
      </c>
      <c r="B171" s="25" t="inlineStr">
        <is>
          <t>WHT-3775</t>
        </is>
      </c>
      <c r="C171" s="96" t="n">
        <v>46205</v>
      </c>
      <c r="D171" s="27" t="n">
        <v>5235</v>
      </c>
      <c r="E171" s="25" t="inlineStr">
        <is>
          <t>RN-INV#144</t>
        </is>
      </c>
      <c r="F171" s="27" t="n">
        <v>5235</v>
      </c>
      <c r="G171" s="27" t="n">
        <v>0</v>
      </c>
      <c r="H171" s="25" t="inlineStr">
        <is>
          <t>مطابق</t>
        </is>
      </c>
      <c r="I171" s="25" t="n"/>
    </row>
    <row r="172">
      <c r="A172" s="25" t="inlineStr">
        <is>
          <t>WHT</t>
        </is>
      </c>
      <c r="B172" s="25" t="inlineStr">
        <is>
          <t>WHT-3782</t>
        </is>
      </c>
      <c r="C172" s="96" t="n">
        <v>46236</v>
      </c>
      <c r="D172" s="27" t="n">
        <v>5725</v>
      </c>
      <c r="E172" s="25" t="inlineStr">
        <is>
          <t>RN-INV#145</t>
        </is>
      </c>
      <c r="F172" s="27" t="n">
        <v>5725</v>
      </c>
      <c r="G172" s="27" t="n">
        <v>0</v>
      </c>
      <c r="H172" s="25" t="inlineStr">
        <is>
          <t>مطابق</t>
        </is>
      </c>
      <c r="I172" s="25" t="n"/>
    </row>
    <row r="173">
      <c r="A173" s="25" t="inlineStr">
        <is>
          <t>WHT</t>
        </is>
      </c>
      <c r="B173" s="25" t="inlineStr">
        <is>
          <t>WHT-3786</t>
        </is>
      </c>
      <c r="C173" s="96" t="n">
        <v>46267</v>
      </c>
      <c r="D173" s="27" t="n">
        <v>6900</v>
      </c>
      <c r="E173" s="25" t="inlineStr">
        <is>
          <t>RN-INV#147</t>
        </is>
      </c>
      <c r="F173" s="27" t="n">
        <v>6900</v>
      </c>
      <c r="G173" s="27" t="n">
        <v>0</v>
      </c>
      <c r="H173" s="25" t="inlineStr">
        <is>
          <t>مطابق</t>
        </is>
      </c>
      <c r="I173" s="25" t="n"/>
    </row>
    <row r="174">
      <c r="A174" s="25" t="inlineStr">
        <is>
          <t>WHT</t>
        </is>
      </c>
      <c r="B174" s="25" t="inlineStr">
        <is>
          <t>WHT-3804</t>
        </is>
      </c>
      <c r="C174" s="96" t="n">
        <v>46297</v>
      </c>
      <c r="D174" s="27" t="n">
        <v>4472.5</v>
      </c>
      <c r="E174" s="25" t="inlineStr">
        <is>
          <t>RN-INV#148</t>
        </is>
      </c>
      <c r="F174" s="27" t="n">
        <v>4472.5</v>
      </c>
      <c r="G174" s="27" t="n">
        <v>0</v>
      </c>
      <c r="H174" s="25" t="inlineStr">
        <is>
          <t>مطابق</t>
        </is>
      </c>
      <c r="I174" s="25" t="n"/>
    </row>
    <row r="175">
      <c r="A175" s="25" t="inlineStr">
        <is>
          <t>WHT</t>
        </is>
      </c>
      <c r="B175" s="25" t="inlineStr">
        <is>
          <t>WHT-3814</t>
        </is>
      </c>
      <c r="C175" s="96" t="n">
        <v>46328</v>
      </c>
      <c r="D175" s="27" t="n">
        <v>6267.5</v>
      </c>
      <c r="E175" s="25" t="inlineStr">
        <is>
          <t>RN-INV#150</t>
        </is>
      </c>
      <c r="F175" s="27" t="n">
        <v>6267.5</v>
      </c>
      <c r="G175" s="27" t="n">
        <v>0</v>
      </c>
      <c r="H175" s="25" t="inlineStr">
        <is>
          <t>مطابق</t>
        </is>
      </c>
      <c r="I175" s="25" t="n"/>
    </row>
    <row r="176">
      <c r="A176" s="25" t="inlineStr">
        <is>
          <t>WHT</t>
        </is>
      </c>
      <c r="B176" s="25" t="inlineStr">
        <is>
          <t>WHT-3828</t>
        </is>
      </c>
      <c r="C176" s="96" t="n">
        <v>46358</v>
      </c>
      <c r="D176" s="27" t="n">
        <v>5862.5</v>
      </c>
      <c r="E176" s="25" t="inlineStr">
        <is>
          <t>RN-INV#151</t>
        </is>
      </c>
      <c r="F176" s="27" t="n">
        <v>5862.5</v>
      </c>
      <c r="G176" s="27" t="n">
        <v>0</v>
      </c>
      <c r="H176" s="25" t="inlineStr">
        <is>
          <t>مطابق</t>
        </is>
      </c>
      <c r="I176" s="25" t="n"/>
    </row>
    <row r="177">
      <c r="A177" s="18" t="inlineStr">
        <is>
          <t>WHT</t>
        </is>
      </c>
      <c r="B177" s="18" t="inlineStr">
        <is>
          <t>WHT-3837</t>
        </is>
      </c>
      <c r="C177" s="98" t="n">
        <v>46067</v>
      </c>
      <c r="D177" s="19" t="n">
        <v>7380</v>
      </c>
      <c r="E177" s="18" t="inlineStr">
        <is>
          <t>RN-INV#153</t>
        </is>
      </c>
      <c r="F177" s="19" t="n">
        <v>7380</v>
      </c>
      <c r="G177" s="19" t="n">
        <v>0</v>
      </c>
      <c r="H177" s="18" t="inlineStr">
        <is>
          <t>مطابق (رقم العقد غير مكتوب بالفاتورة)</t>
        </is>
      </c>
      <c r="I177" s="18" t="inlineStr">
        <is>
          <t>الفاتورة مكتوب فيها "WHT-" فقط – مطابقة بالقيمة والتاريخ</t>
        </is>
      </c>
    </row>
    <row r="178">
      <c r="A178" s="25" t="inlineStr">
        <is>
          <t>WHT</t>
        </is>
      </c>
      <c r="B178" s="25" t="inlineStr">
        <is>
          <t>WHT-3851</t>
        </is>
      </c>
      <c r="C178" s="96" t="n">
        <v>46068</v>
      </c>
      <c r="D178" s="27" t="n">
        <v>5520</v>
      </c>
      <c r="E178" s="25" t="inlineStr">
        <is>
          <t>RN-INV#155</t>
        </is>
      </c>
      <c r="F178" s="27" t="n">
        <v>5520</v>
      </c>
      <c r="G178" s="27" t="n">
        <v>0</v>
      </c>
      <c r="H178" s="25" t="inlineStr">
        <is>
          <t>مطابق</t>
        </is>
      </c>
      <c r="I178" s="25" t="n"/>
    </row>
    <row r="179">
      <c r="A179" s="18" t="inlineStr">
        <is>
          <t>WHT</t>
        </is>
      </c>
      <c r="B179" s="18" t="inlineStr">
        <is>
          <t>WHT-3857</t>
        </is>
      </c>
      <c r="C179" s="98" t="n">
        <v>46069</v>
      </c>
      <c r="D179" s="19" t="n">
        <v>5448.75</v>
      </c>
      <c r="E179" s="18" t="inlineStr">
        <is>
          <t>RN-INV#156</t>
        </is>
      </c>
      <c r="F179" s="19" t="n">
        <v>5448.75</v>
      </c>
      <c r="G179" s="19" t="n">
        <v>0</v>
      </c>
      <c r="H179" s="18" t="inlineStr">
        <is>
          <t>مطابق (رقم العقد غير مكتوب بالفاتورة)</t>
        </is>
      </c>
      <c r="I179" s="18" t="inlineStr">
        <is>
          <t>الفاتورة مكتوب فيها "WHT-" فقط – مطابقة بالقيمة والتاريخ</t>
        </is>
      </c>
    </row>
    <row r="180">
      <c r="A180" s="25" t="inlineStr">
        <is>
          <t>WHT</t>
        </is>
      </c>
      <c r="B180" s="25" t="inlineStr">
        <is>
          <t>WHT-3864</t>
        </is>
      </c>
      <c r="C180" s="96" t="n">
        <v>46070</v>
      </c>
      <c r="D180" s="27" t="n">
        <v>6536.25</v>
      </c>
      <c r="E180" s="25" t="inlineStr">
        <is>
          <t>RN-INV#157</t>
        </is>
      </c>
      <c r="F180" s="27" t="n">
        <v>6536.25</v>
      </c>
      <c r="G180" s="27" t="n">
        <v>0</v>
      </c>
      <c r="H180" s="25" t="inlineStr">
        <is>
          <t>مطابق</t>
        </is>
      </c>
      <c r="I180" s="25" t="n"/>
    </row>
    <row r="181">
      <c r="A181" s="25" t="inlineStr">
        <is>
          <t>WHT</t>
        </is>
      </c>
      <c r="B181" s="25" t="inlineStr">
        <is>
          <t>WHT-3875</t>
        </is>
      </c>
      <c r="C181" s="96" t="n">
        <v>46071</v>
      </c>
      <c r="D181" s="27" t="n">
        <v>4275</v>
      </c>
      <c r="E181" s="25" t="inlineStr">
        <is>
          <t>RN-INV#159</t>
        </is>
      </c>
      <c r="F181" s="27" t="n">
        <v>4275</v>
      </c>
      <c r="G181" s="27" t="n">
        <v>0</v>
      </c>
      <c r="H181" s="25" t="inlineStr">
        <is>
          <t>مطابق</t>
        </is>
      </c>
      <c r="I181" s="25" t="n"/>
    </row>
    <row r="182">
      <c r="A182" s="25" t="inlineStr">
        <is>
          <t>WHT</t>
        </is>
      </c>
      <c r="B182" s="25" t="inlineStr">
        <is>
          <t>WHT-3885</t>
        </is>
      </c>
      <c r="C182" s="96" t="n">
        <v>46073</v>
      </c>
      <c r="D182" s="27" t="n">
        <v>5175</v>
      </c>
      <c r="E182" s="25" t="inlineStr">
        <is>
          <t>RN-INV#161</t>
        </is>
      </c>
      <c r="F182" s="27" t="n">
        <v>5175</v>
      </c>
      <c r="G182" s="27" t="n">
        <v>0</v>
      </c>
      <c r="H182" s="25" t="inlineStr">
        <is>
          <t>مطابق</t>
        </is>
      </c>
      <c r="I182" s="25" t="n"/>
    </row>
    <row r="183">
      <c r="A183" s="25" t="inlineStr">
        <is>
          <t>WHT</t>
        </is>
      </c>
      <c r="B183" s="25" t="inlineStr">
        <is>
          <t>WHT-3905</t>
        </is>
      </c>
      <c r="C183" s="96" t="n">
        <v>46074</v>
      </c>
      <c r="D183" s="27" t="n">
        <v>4030</v>
      </c>
      <c r="E183" s="25" t="inlineStr">
        <is>
          <t>RN-INV#162</t>
        </is>
      </c>
      <c r="F183" s="27" t="n">
        <v>4030</v>
      </c>
      <c r="G183" s="27" t="n">
        <v>0</v>
      </c>
      <c r="H183" s="25" t="inlineStr">
        <is>
          <t>مطابق</t>
        </is>
      </c>
      <c r="I183" s="25" t="n"/>
    </row>
    <row r="184">
      <c r="A184" s="25" t="inlineStr">
        <is>
          <t>WHT</t>
        </is>
      </c>
      <c r="B184" s="25" t="inlineStr">
        <is>
          <t>WHT-3909</t>
        </is>
      </c>
      <c r="C184" s="96" t="n">
        <v>46075</v>
      </c>
      <c r="D184" s="27" t="n">
        <v>2787.5</v>
      </c>
      <c r="E184" s="25" t="inlineStr">
        <is>
          <t>RN-INV#163</t>
        </is>
      </c>
      <c r="F184" s="27" t="n">
        <v>2787.5</v>
      </c>
      <c r="G184" s="27" t="n">
        <v>0</v>
      </c>
      <c r="H184" s="25" t="inlineStr">
        <is>
          <t>مطابق</t>
        </is>
      </c>
      <c r="I184" s="25" t="n"/>
    </row>
    <row r="185">
      <c r="A185" s="25" t="inlineStr">
        <is>
          <t>WHT</t>
        </is>
      </c>
      <c r="B185" s="25" t="inlineStr">
        <is>
          <t>WHT-3918</t>
        </is>
      </c>
      <c r="C185" s="96" t="n">
        <v>46076</v>
      </c>
      <c r="D185" s="27" t="n">
        <v>3787.5</v>
      </c>
      <c r="E185" s="25" t="inlineStr">
        <is>
          <t>RN-INV#165</t>
        </is>
      </c>
      <c r="F185" s="27" t="n">
        <v>3787.5</v>
      </c>
      <c r="G185" s="27" t="n">
        <v>0</v>
      </c>
      <c r="H185" s="25" t="inlineStr">
        <is>
          <t>مطابق</t>
        </is>
      </c>
      <c r="I185" s="25" t="n"/>
    </row>
    <row r="186">
      <c r="A186" s="25" t="inlineStr">
        <is>
          <t>WHT</t>
        </is>
      </c>
      <c r="B186" s="25" t="inlineStr">
        <is>
          <t>WHT-3924</t>
        </is>
      </c>
      <c r="C186" s="96" t="n">
        <v>46077</v>
      </c>
      <c r="D186" s="27" t="n">
        <v>2020</v>
      </c>
      <c r="E186" s="25" t="inlineStr">
        <is>
          <t>RN-INV#167</t>
        </is>
      </c>
      <c r="F186" s="27" t="n">
        <v>2020</v>
      </c>
      <c r="G186" s="27" t="n">
        <v>0</v>
      </c>
      <c r="H186" s="25" t="inlineStr">
        <is>
          <t>مطابق</t>
        </is>
      </c>
      <c r="I186" s="25" t="n"/>
    </row>
    <row r="187">
      <c r="A187" s="25" t="inlineStr">
        <is>
          <t>WHT</t>
        </is>
      </c>
      <c r="B187" s="25" t="inlineStr">
        <is>
          <t>WHT-3934</t>
        </is>
      </c>
      <c r="C187" s="96" t="n">
        <v>46078</v>
      </c>
      <c r="D187" s="27" t="n">
        <v>2790</v>
      </c>
      <c r="E187" s="25" t="inlineStr">
        <is>
          <t>RN-INV#169</t>
        </is>
      </c>
      <c r="F187" s="27" t="n">
        <v>2790</v>
      </c>
      <c r="G187" s="27" t="n">
        <v>0</v>
      </c>
      <c r="H187" s="25" t="inlineStr">
        <is>
          <t>مطابق</t>
        </is>
      </c>
      <c r="I187" s="25" t="n"/>
    </row>
    <row r="188">
      <c r="A188" s="25" t="inlineStr">
        <is>
          <t>WHT</t>
        </is>
      </c>
      <c r="B188" s="25" t="inlineStr">
        <is>
          <t>WHT-3946</t>
        </is>
      </c>
      <c r="C188" s="96" t="n">
        <v>46095</v>
      </c>
      <c r="D188" s="27" t="n">
        <v>2575</v>
      </c>
      <c r="E188" s="25" t="inlineStr">
        <is>
          <t>RN-INV#170</t>
        </is>
      </c>
      <c r="F188" s="27" t="n">
        <v>2575</v>
      </c>
      <c r="G188" s="27" t="n">
        <v>0</v>
      </c>
      <c r="H188" s="25" t="inlineStr">
        <is>
          <t>مطابق</t>
        </is>
      </c>
      <c r="I188" s="25" t="n"/>
    </row>
    <row r="189">
      <c r="A189" s="25" t="inlineStr">
        <is>
          <t>WHT</t>
        </is>
      </c>
      <c r="B189" s="25" t="inlineStr">
        <is>
          <t>WHT-3951</t>
        </is>
      </c>
      <c r="C189" s="96" t="n">
        <v>46059</v>
      </c>
      <c r="D189" s="27" t="n">
        <v>3205</v>
      </c>
      <c r="E189" s="25" t="inlineStr">
        <is>
          <t>RN-INV#171</t>
        </is>
      </c>
      <c r="F189" s="27" t="n">
        <v>3205</v>
      </c>
      <c r="G189" s="27" t="n">
        <v>0</v>
      </c>
      <c r="H189" s="25" t="inlineStr">
        <is>
          <t>مطابق</t>
        </is>
      </c>
      <c r="I189" s="25" t="n"/>
    </row>
    <row r="190">
      <c r="A190" s="25" t="inlineStr">
        <is>
          <t>WHT</t>
        </is>
      </c>
      <c r="B190" s="25" t="inlineStr">
        <is>
          <t>WHT-3955</t>
        </is>
      </c>
      <c r="C190" s="96" t="n">
        <v>46023</v>
      </c>
      <c r="D190" s="27" t="n">
        <v>1665</v>
      </c>
      <c r="E190" s="25" t="inlineStr">
        <is>
          <t>RN-INV#172</t>
        </is>
      </c>
      <c r="F190" s="27" t="n">
        <v>1665</v>
      </c>
      <c r="G190" s="27" t="n">
        <v>0</v>
      </c>
      <c r="H190" s="25" t="inlineStr">
        <is>
          <t>مطابق</t>
        </is>
      </c>
      <c r="I190" s="25" t="n"/>
    </row>
    <row r="191">
      <c r="A191" s="25" t="inlineStr">
        <is>
          <t>WHT</t>
        </is>
      </c>
      <c r="B191" s="25" t="inlineStr">
        <is>
          <t>WHT-3966</t>
        </is>
      </c>
      <c r="C191" s="96" t="n">
        <v>46028</v>
      </c>
      <c r="D191" s="27" t="n">
        <v>1320</v>
      </c>
      <c r="E191" s="25" t="inlineStr">
        <is>
          <t>RN-INV#175</t>
        </is>
      </c>
      <c r="F191" s="27" t="n">
        <v>1320</v>
      </c>
      <c r="G191" s="27" t="n">
        <v>0</v>
      </c>
      <c r="H191" s="25" t="inlineStr">
        <is>
          <t>مطابق</t>
        </is>
      </c>
      <c r="I191" s="25" t="n"/>
    </row>
    <row r="192">
      <c r="A192" s="25" t="inlineStr">
        <is>
          <t>WHT</t>
        </is>
      </c>
      <c r="B192" s="25" t="inlineStr">
        <is>
          <t>WHT-3968</t>
        </is>
      </c>
      <c r="C192" s="96" t="n">
        <v>46206</v>
      </c>
      <c r="D192" s="27" t="n">
        <v>1910</v>
      </c>
      <c r="E192" s="25" t="inlineStr">
        <is>
          <t>RN-INV#176</t>
        </is>
      </c>
      <c r="F192" s="27" t="n">
        <v>1910</v>
      </c>
      <c r="G192" s="27" t="n">
        <v>0</v>
      </c>
      <c r="H192" s="25" t="inlineStr">
        <is>
          <t>مطابق</t>
        </is>
      </c>
      <c r="I192" s="25" t="n"/>
    </row>
    <row r="193">
      <c r="A193" s="25" t="inlineStr">
        <is>
          <t>WHT</t>
        </is>
      </c>
      <c r="B193" s="25" t="inlineStr">
        <is>
          <t>WHT-3978</t>
        </is>
      </c>
      <c r="C193" s="96" t="n">
        <v>46237</v>
      </c>
      <c r="D193" s="27" t="n">
        <v>2537.5</v>
      </c>
      <c r="E193" s="25" t="inlineStr">
        <is>
          <t>RN-INV#177</t>
        </is>
      </c>
      <c r="F193" s="27" t="n">
        <v>2537.5</v>
      </c>
      <c r="G193" s="27" t="n">
        <v>0</v>
      </c>
      <c r="H193" s="25" t="inlineStr">
        <is>
          <t>مطابق</t>
        </is>
      </c>
      <c r="I193" s="25" t="n"/>
    </row>
    <row r="194">
      <c r="A194" s="25" t="inlineStr">
        <is>
          <t>WHT</t>
        </is>
      </c>
      <c r="B194" s="25" t="inlineStr">
        <is>
          <t>WHT-3988</t>
        </is>
      </c>
      <c r="C194" s="96" t="n">
        <v>46268</v>
      </c>
      <c r="D194" s="27" t="n">
        <v>1762.5</v>
      </c>
      <c r="E194" s="25" t="inlineStr">
        <is>
          <t>RN-INV#178</t>
        </is>
      </c>
      <c r="F194" s="27" t="n">
        <v>1762.5</v>
      </c>
      <c r="G194" s="27" t="n">
        <v>0</v>
      </c>
      <c r="H194" s="25" t="inlineStr">
        <is>
          <t>مطابق</t>
        </is>
      </c>
      <c r="I194" s="25" t="n"/>
    </row>
    <row r="195">
      <c r="A195" s="25" t="inlineStr">
        <is>
          <t>WHT</t>
        </is>
      </c>
      <c r="B195" s="25" t="inlineStr">
        <is>
          <t>WHT-3993</t>
        </is>
      </c>
      <c r="C195" s="96" t="n">
        <v>46298</v>
      </c>
      <c r="D195" s="27" t="n">
        <v>1261.25</v>
      </c>
      <c r="E195" s="25" t="inlineStr">
        <is>
          <t>RN-INV#180</t>
        </is>
      </c>
      <c r="F195" s="27" t="n">
        <v>1261.25</v>
      </c>
      <c r="G195" s="27" t="n">
        <v>0</v>
      </c>
      <c r="H195" s="25" t="inlineStr">
        <is>
          <t>مطابق</t>
        </is>
      </c>
      <c r="I195" s="25" t="n"/>
    </row>
    <row r="196">
      <c r="A196" s="25" t="inlineStr">
        <is>
          <t>WHT</t>
        </is>
      </c>
      <c r="B196" s="25" t="inlineStr">
        <is>
          <t>WHT-3999</t>
        </is>
      </c>
      <c r="C196" s="96" t="n">
        <v>46329</v>
      </c>
      <c r="D196" s="27" t="n">
        <v>3133.75</v>
      </c>
      <c r="E196" s="25" t="inlineStr">
        <is>
          <t>RN-INV#181</t>
        </is>
      </c>
      <c r="F196" s="27" t="n">
        <v>3133.75</v>
      </c>
      <c r="G196" s="27" t="n">
        <v>0</v>
      </c>
      <c r="H196" s="25" t="inlineStr">
        <is>
          <t>مطابق</t>
        </is>
      </c>
      <c r="I196" s="25" t="n"/>
    </row>
    <row r="197">
      <c r="A197" s="25" t="inlineStr">
        <is>
          <t>WHT</t>
        </is>
      </c>
      <c r="B197" s="25" t="inlineStr">
        <is>
          <t>WHT-4010</t>
        </is>
      </c>
      <c r="C197" s="96" t="n">
        <v>46359</v>
      </c>
      <c r="D197" s="27" t="n">
        <v>1870</v>
      </c>
      <c r="E197" s="25" t="inlineStr">
        <is>
          <t>RN-INV#182</t>
        </is>
      </c>
      <c r="F197" s="27" t="n">
        <v>1870</v>
      </c>
      <c r="G197" s="27" t="n">
        <v>0</v>
      </c>
      <c r="H197" s="25" t="inlineStr">
        <is>
          <t>مطابق</t>
        </is>
      </c>
      <c r="I197" s="25" t="n"/>
    </row>
    <row r="198">
      <c r="A198" s="25" t="inlineStr">
        <is>
          <t>WHT</t>
        </is>
      </c>
      <c r="B198" s="25" t="inlineStr">
        <is>
          <t>WHT-4015</t>
        </is>
      </c>
      <c r="C198" s="96" t="n">
        <v>46110</v>
      </c>
      <c r="D198" s="27" t="n">
        <v>2212.5</v>
      </c>
      <c r="E198" s="25" t="inlineStr">
        <is>
          <t>RN-INV#183</t>
        </is>
      </c>
      <c r="F198" s="27" t="n">
        <v>2212.5</v>
      </c>
      <c r="G198" s="27" t="n">
        <v>0</v>
      </c>
      <c r="H198" s="25" t="inlineStr">
        <is>
          <t>مطابق</t>
        </is>
      </c>
      <c r="I198" s="25" t="n"/>
    </row>
    <row r="199">
      <c r="A199" s="25" t="inlineStr">
        <is>
          <t>WHT</t>
        </is>
      </c>
      <c r="B199" s="25" t="inlineStr">
        <is>
          <t>WHT-4018</t>
        </is>
      </c>
      <c r="C199" s="96" t="n">
        <v>46096</v>
      </c>
      <c r="D199" s="27" t="n">
        <v>3240</v>
      </c>
      <c r="E199" s="25" t="inlineStr">
        <is>
          <t>RN-INV#185</t>
        </is>
      </c>
      <c r="F199" s="27" t="n">
        <v>3240</v>
      </c>
      <c r="G199" s="27" t="n">
        <v>0</v>
      </c>
      <c r="H199" s="25" t="inlineStr">
        <is>
          <t>مطابق</t>
        </is>
      </c>
      <c r="I199" s="25" t="n"/>
    </row>
    <row r="200">
      <c r="A200" s="25" t="inlineStr">
        <is>
          <t>WHT</t>
        </is>
      </c>
      <c r="B200" s="25" t="inlineStr">
        <is>
          <t>WHT-4022</t>
        </is>
      </c>
      <c r="C200" s="96" t="n">
        <v>46097</v>
      </c>
      <c r="D200" s="27" t="n">
        <v>2180</v>
      </c>
      <c r="E200" s="25" t="inlineStr">
        <is>
          <t>RN-INV#186</t>
        </is>
      </c>
      <c r="F200" s="27" t="n">
        <v>2180</v>
      </c>
      <c r="G200" s="27" t="n">
        <v>0</v>
      </c>
      <c r="H200" s="25" t="inlineStr">
        <is>
          <t>مطابق</t>
        </is>
      </c>
      <c r="I200" s="25" t="n"/>
    </row>
    <row r="201">
      <c r="A201" s="25" t="inlineStr">
        <is>
          <t>WHT</t>
        </is>
      </c>
      <c r="B201" s="25" t="inlineStr">
        <is>
          <t>WHT-4034</t>
        </is>
      </c>
      <c r="C201" s="96" t="n">
        <v>46098</v>
      </c>
      <c r="D201" s="27" t="n">
        <v>1117.5</v>
      </c>
      <c r="E201" s="25" t="inlineStr">
        <is>
          <t>RN-INV#187</t>
        </is>
      </c>
      <c r="F201" s="27" t="n">
        <v>1117.5</v>
      </c>
      <c r="G201" s="27" t="n">
        <v>0</v>
      </c>
      <c r="H201" s="25" t="inlineStr">
        <is>
          <t>مطابق</t>
        </is>
      </c>
      <c r="I201" s="25" t="n"/>
    </row>
    <row r="202">
      <c r="A202" s="25" t="inlineStr">
        <is>
          <t>WHT</t>
        </is>
      </c>
      <c r="B202" s="25" t="inlineStr">
        <is>
          <t>WHT-4048</t>
        </is>
      </c>
      <c r="C202" s="96" t="n">
        <v>46099</v>
      </c>
      <c r="D202" s="27" t="n">
        <v>1710</v>
      </c>
      <c r="E202" s="25" t="inlineStr">
        <is>
          <t>RN-INV#188</t>
        </is>
      </c>
      <c r="F202" s="27" t="n">
        <v>1710</v>
      </c>
      <c r="G202" s="27" t="n">
        <v>0</v>
      </c>
      <c r="H202" s="25" t="inlineStr">
        <is>
          <t>مطابق</t>
        </is>
      </c>
      <c r="I202" s="25" t="n"/>
    </row>
    <row r="203">
      <c r="A203" s="25" t="inlineStr">
        <is>
          <t>WHT</t>
        </is>
      </c>
      <c r="B203" s="25" t="inlineStr">
        <is>
          <t>WHT-4052</t>
        </is>
      </c>
      <c r="C203" s="96" t="n">
        <v>46100</v>
      </c>
      <c r="D203" s="27" t="n">
        <v>3332.5</v>
      </c>
      <c r="E203" s="25" t="inlineStr">
        <is>
          <t>RN-INV#190</t>
        </is>
      </c>
      <c r="F203" s="27" t="n">
        <v>3332.5</v>
      </c>
      <c r="G203" s="27" t="n">
        <v>0</v>
      </c>
      <c r="H203" s="25" t="inlineStr">
        <is>
          <t>مطابق</t>
        </is>
      </c>
      <c r="I203" s="25" t="n"/>
    </row>
    <row r="204">
      <c r="A204" s="25" t="inlineStr">
        <is>
          <t>WHT</t>
        </is>
      </c>
      <c r="B204" s="25" t="inlineStr">
        <is>
          <t>WHT-4062</t>
        </is>
      </c>
      <c r="C204" s="96" t="n">
        <v>46111</v>
      </c>
      <c r="D204" s="27" t="n">
        <v>636.25</v>
      </c>
      <c r="E204" s="25" t="inlineStr">
        <is>
          <t>RN-INV#191</t>
        </is>
      </c>
      <c r="F204" s="27" t="n">
        <v>636.25</v>
      </c>
      <c r="G204" s="27" t="n">
        <v>0</v>
      </c>
      <c r="H204" s="25" t="inlineStr">
        <is>
          <t>مطابق</t>
        </is>
      </c>
      <c r="I204" s="25" t="n"/>
    </row>
    <row r="205">
      <c r="A205" s="25" t="inlineStr">
        <is>
          <t>WHT</t>
        </is>
      </c>
      <c r="B205" s="25" t="inlineStr">
        <is>
          <t>WHT-4065</t>
        </is>
      </c>
      <c r="C205" s="96" t="n">
        <v>46112</v>
      </c>
      <c r="D205" s="27" t="n">
        <v>543.75</v>
      </c>
      <c r="E205" s="25" t="inlineStr">
        <is>
          <t>RN-INV#192</t>
        </is>
      </c>
      <c r="F205" s="27" t="n">
        <v>543.75</v>
      </c>
      <c r="G205" s="27" t="n">
        <v>0</v>
      </c>
      <c r="H205" s="25" t="inlineStr">
        <is>
          <t>مطابق</t>
        </is>
      </c>
      <c r="I205" s="25" t="n"/>
    </row>
    <row r="206">
      <c r="A206" s="25" t="inlineStr">
        <is>
          <t>WHT</t>
        </is>
      </c>
      <c r="B206" s="25" t="inlineStr">
        <is>
          <t>WHT-4075</t>
        </is>
      </c>
      <c r="C206" s="96" t="n">
        <v>46024</v>
      </c>
      <c r="D206" s="27" t="n">
        <v>1140</v>
      </c>
      <c r="E206" s="25" t="inlineStr">
        <is>
          <t>RN-INV#193</t>
        </is>
      </c>
      <c r="F206" s="27" t="n">
        <v>1140</v>
      </c>
      <c r="G206" s="27" t="n">
        <v>0</v>
      </c>
      <c r="H206" s="25" t="inlineStr">
        <is>
          <t>مطابق</t>
        </is>
      </c>
      <c r="I206" s="25" t="n"/>
    </row>
    <row r="207">
      <c r="A207" s="25" t="inlineStr">
        <is>
          <t>WHT</t>
        </is>
      </c>
      <c r="B207" s="25" t="inlineStr">
        <is>
          <t>WHT-4086</t>
        </is>
      </c>
      <c r="C207" s="96" t="n">
        <v>46113</v>
      </c>
      <c r="D207" s="27" t="n">
        <v>255</v>
      </c>
      <c r="E207" s="25" t="inlineStr">
        <is>
          <t>RN-INV#194</t>
        </is>
      </c>
      <c r="F207" s="27" t="n">
        <v>255</v>
      </c>
      <c r="G207" s="27" t="n">
        <v>0</v>
      </c>
      <c r="H207" s="25" t="inlineStr">
        <is>
          <t>مطابق</t>
        </is>
      </c>
      <c r="I207" s="25" t="n"/>
    </row>
    <row r="208">
      <c r="A208" s="25" t="inlineStr">
        <is>
          <t>WHT</t>
        </is>
      </c>
      <c r="B208" s="25" t="inlineStr">
        <is>
          <t>WHT-4092</t>
        </is>
      </c>
      <c r="C208" s="96" t="n">
        <v>46026</v>
      </c>
      <c r="D208" s="27" t="n">
        <v>1306.75</v>
      </c>
      <c r="E208" s="25" t="inlineStr">
        <is>
          <t>RN-INV#195</t>
        </is>
      </c>
      <c r="F208" s="27" t="n">
        <v>1306.75</v>
      </c>
      <c r="G208" s="27" t="n">
        <v>0</v>
      </c>
      <c r="H208" s="25" t="inlineStr">
        <is>
          <t>مطابق</t>
        </is>
      </c>
      <c r="I208" s="25" t="n"/>
    </row>
    <row r="209">
      <c r="A209" s="25" t="inlineStr">
        <is>
          <t>WHT</t>
        </is>
      </c>
      <c r="B209" s="25" t="inlineStr">
        <is>
          <t>WHT-4097</t>
        </is>
      </c>
      <c r="C209" s="96" t="n">
        <v>46057</v>
      </c>
      <c r="D209" s="27" t="n">
        <v>675</v>
      </c>
      <c r="E209" s="25" t="inlineStr">
        <is>
          <t>RN-INV#196</t>
        </is>
      </c>
      <c r="F209" s="27" t="n">
        <v>675</v>
      </c>
      <c r="G209" s="27" t="n">
        <v>0</v>
      </c>
      <c r="H209" s="25" t="inlineStr">
        <is>
          <t>مطابق</t>
        </is>
      </c>
      <c r="I209" s="25" t="n"/>
    </row>
    <row r="210">
      <c r="A210" s="25" t="inlineStr">
        <is>
          <t>WHT</t>
        </is>
      </c>
      <c r="B210" s="25" t="inlineStr">
        <is>
          <t>WHT-4103</t>
        </is>
      </c>
      <c r="C210" s="96" t="n">
        <v>46146</v>
      </c>
      <c r="D210" s="27" t="n">
        <v>590</v>
      </c>
      <c r="E210" s="25" t="inlineStr">
        <is>
          <t>RN-INV#197</t>
        </is>
      </c>
      <c r="F210" s="27" t="n">
        <v>590</v>
      </c>
      <c r="G210" s="27" t="n">
        <v>0</v>
      </c>
      <c r="H210" s="25" t="inlineStr">
        <is>
          <t>مطابق</t>
        </is>
      </c>
      <c r="I210" s="25" t="n"/>
    </row>
    <row r="211">
      <c r="A211" s="25" t="inlineStr">
        <is>
          <t>WHT</t>
        </is>
      </c>
      <c r="B211" s="25" t="inlineStr">
        <is>
          <t>WHT-4108</t>
        </is>
      </c>
      <c r="C211" s="96" t="n">
        <v>46177</v>
      </c>
      <c r="D211" s="27" t="n">
        <v>722.5</v>
      </c>
      <c r="E211" s="25" t="inlineStr">
        <is>
          <t>RN-INV#198</t>
        </is>
      </c>
      <c r="F211" s="27" t="n">
        <v>722.5</v>
      </c>
      <c r="G211" s="27" t="n">
        <v>0</v>
      </c>
      <c r="H211" s="25" t="inlineStr">
        <is>
          <t>مطابق</t>
        </is>
      </c>
      <c r="I211" s="25" t="n"/>
    </row>
    <row r="212">
      <c r="A212" s="25" t="inlineStr">
        <is>
          <t>WHT</t>
        </is>
      </c>
      <c r="B212" s="25" t="inlineStr">
        <is>
          <t>WHT-4112</t>
        </is>
      </c>
      <c r="C212" s="96" t="n">
        <v>46238</v>
      </c>
      <c r="D212" s="27" t="n">
        <v>2030</v>
      </c>
      <c r="E212" s="25" t="inlineStr">
        <is>
          <t>RN-INV#199</t>
        </is>
      </c>
      <c r="F212" s="27" t="n">
        <v>2030</v>
      </c>
      <c r="G212" s="27" t="n">
        <v>0</v>
      </c>
      <c r="H212" s="25" t="inlineStr">
        <is>
          <t>مطابق</t>
        </is>
      </c>
      <c r="I212" s="25" t="n"/>
    </row>
    <row r="213">
      <c r="A213" s="25" t="inlineStr">
        <is>
          <t>WHT</t>
        </is>
      </c>
      <c r="B213" s="25" t="inlineStr">
        <is>
          <t>WHT-4128</t>
        </is>
      </c>
      <c r="C213" s="96" t="n">
        <v>46269</v>
      </c>
      <c r="D213" s="27" t="n">
        <v>2650</v>
      </c>
      <c r="E213" s="25" t="inlineStr">
        <is>
          <t>RN-INV#200</t>
        </is>
      </c>
      <c r="F213" s="27" t="n">
        <v>2650</v>
      </c>
      <c r="G213" s="27" t="n">
        <v>0</v>
      </c>
      <c r="H213" s="25" t="inlineStr">
        <is>
          <t>مطابق</t>
        </is>
      </c>
      <c r="I213" s="25" t="n"/>
    </row>
    <row r="214">
      <c r="A214" s="25" t="inlineStr">
        <is>
          <t>WHT</t>
        </is>
      </c>
      <c r="B214" s="25" t="inlineStr">
        <is>
          <t>WHT-4134</t>
        </is>
      </c>
      <c r="C214" s="96" t="n">
        <v>46360</v>
      </c>
      <c r="D214" s="27" t="n">
        <v>1000</v>
      </c>
      <c r="E214" s="25" t="inlineStr">
        <is>
          <t>RN-INV#202</t>
        </is>
      </c>
      <c r="F214" s="27" t="n">
        <v>1000</v>
      </c>
      <c r="G214" s="27" t="n">
        <v>0</v>
      </c>
      <c r="H214" s="25" t="inlineStr">
        <is>
          <t>مطابق</t>
        </is>
      </c>
      <c r="I214" s="25" t="n"/>
    </row>
    <row r="215">
      <c r="A215" s="25" t="inlineStr">
        <is>
          <t>WHT</t>
        </is>
      </c>
      <c r="B215" s="25" t="inlineStr">
        <is>
          <t>WHT-4149</t>
        </is>
      </c>
      <c r="C215" s="96" t="n">
        <v>46025</v>
      </c>
      <c r="D215" s="27" t="n">
        <v>500</v>
      </c>
      <c r="E215" s="25" t="inlineStr">
        <is>
          <t>RN-INV#203</t>
        </is>
      </c>
      <c r="F215" s="27" t="n">
        <v>500</v>
      </c>
      <c r="G215" s="27" t="n">
        <v>0</v>
      </c>
      <c r="H215" s="25" t="inlineStr">
        <is>
          <t>مطابق</t>
        </is>
      </c>
      <c r="I215" s="25" t="n"/>
    </row>
    <row r="216">
      <c r="A216" s="25" t="inlineStr">
        <is>
          <t>WHT</t>
        </is>
      </c>
      <c r="B216" s="25" t="inlineStr">
        <is>
          <t>WHT-4152</t>
        </is>
      </c>
      <c r="C216" s="96" t="n">
        <v>46128</v>
      </c>
      <c r="D216" s="27" t="n">
        <v>1335</v>
      </c>
      <c r="E216" s="25" t="inlineStr">
        <is>
          <t>RN-INV#204</t>
        </is>
      </c>
      <c r="F216" s="27" t="n">
        <v>1335</v>
      </c>
      <c r="G216" s="27" t="n">
        <v>0</v>
      </c>
      <c r="H216" s="25" t="inlineStr">
        <is>
          <t>مطابق</t>
        </is>
      </c>
      <c r="I216" s="25" t="n"/>
    </row>
    <row r="217">
      <c r="A217" s="25" t="inlineStr">
        <is>
          <t>WHT</t>
        </is>
      </c>
      <c r="B217" s="25" t="inlineStr">
        <is>
          <t>WHT-4181</t>
        </is>
      </c>
      <c r="C217" s="96" t="n">
        <v>46130</v>
      </c>
      <c r="D217" s="27" t="n">
        <v>1195</v>
      </c>
      <c r="E217" s="25" t="inlineStr">
        <is>
          <t>RN-INV#206</t>
        </is>
      </c>
      <c r="F217" s="27" t="n">
        <v>1195</v>
      </c>
      <c r="G217" s="27" t="n">
        <v>0</v>
      </c>
      <c r="H217" s="25" t="inlineStr">
        <is>
          <t>مطابق</t>
        </is>
      </c>
      <c r="I217" s="25" t="n"/>
    </row>
    <row r="218">
      <c r="A218" s="25" t="inlineStr">
        <is>
          <t>WHT</t>
        </is>
      </c>
      <c r="B218" s="25" t="inlineStr">
        <is>
          <t>WHT-4187</t>
        </is>
      </c>
      <c r="C218" s="96" t="n">
        <v>46131</v>
      </c>
      <c r="D218" s="27" t="n">
        <v>2850</v>
      </c>
      <c r="E218" s="25" t="inlineStr">
        <is>
          <t>RN-INV#209</t>
        </is>
      </c>
      <c r="F218" s="27" t="n">
        <v>2850</v>
      </c>
      <c r="G218" s="27" t="n">
        <v>0</v>
      </c>
      <c r="H218" s="25" t="inlineStr">
        <is>
          <t>مطابق</t>
        </is>
      </c>
      <c r="I218" s="25" t="n"/>
    </row>
    <row r="219">
      <c r="A219" s="25" t="inlineStr">
        <is>
          <t>WHT</t>
        </is>
      </c>
      <c r="B219" s="25" t="inlineStr">
        <is>
          <t>WHT-4191</t>
        </is>
      </c>
      <c r="C219" s="96" t="n">
        <v>46132</v>
      </c>
      <c r="D219" s="27" t="n">
        <v>1400</v>
      </c>
      <c r="E219" s="25" t="inlineStr">
        <is>
          <t>RN-INV#210</t>
        </is>
      </c>
      <c r="F219" s="27" t="n">
        <v>1400</v>
      </c>
      <c r="G219" s="27" t="n">
        <v>0</v>
      </c>
      <c r="H219" s="25" t="inlineStr">
        <is>
          <t>مطابق</t>
        </is>
      </c>
      <c r="I219" s="25" t="n"/>
    </row>
    <row r="220">
      <c r="A220" s="25" t="inlineStr">
        <is>
          <t>WHT</t>
        </is>
      </c>
      <c r="B220" s="25" t="inlineStr">
        <is>
          <t>WHT-4193</t>
        </is>
      </c>
      <c r="C220" s="96" t="n">
        <v>46133</v>
      </c>
      <c r="D220" s="27" t="n">
        <v>1390</v>
      </c>
      <c r="E220" s="25" t="inlineStr">
        <is>
          <t>RN-INV#212</t>
        </is>
      </c>
      <c r="F220" s="27" t="n">
        <v>1390</v>
      </c>
      <c r="G220" s="27" t="n">
        <v>0</v>
      </c>
      <c r="H220" s="25" t="inlineStr">
        <is>
          <t>مطابق</t>
        </is>
      </c>
      <c r="I220" s="25" t="n"/>
    </row>
    <row r="221">
      <c r="A221" s="25" t="inlineStr">
        <is>
          <t>WHT</t>
        </is>
      </c>
      <c r="B221" s="25" t="inlineStr">
        <is>
          <t>WHT-4198</t>
        </is>
      </c>
      <c r="C221" s="96" t="n">
        <v>46134</v>
      </c>
      <c r="D221" s="27" t="n">
        <v>555</v>
      </c>
      <c r="E221" s="25" t="inlineStr">
        <is>
          <t>RN-INV#213</t>
        </is>
      </c>
      <c r="F221" s="27" t="n">
        <v>555</v>
      </c>
      <c r="G221" s="27" t="n">
        <v>0</v>
      </c>
      <c r="H221" s="25" t="inlineStr">
        <is>
          <t>مطابق</t>
        </is>
      </c>
      <c r="I221" s="25" t="n"/>
    </row>
    <row r="222">
      <c r="A222" s="25" t="inlineStr">
        <is>
          <t>WHT</t>
        </is>
      </c>
      <c r="B222" s="25" t="inlineStr">
        <is>
          <t>WHT-4207</t>
        </is>
      </c>
      <c r="C222" s="96" t="n">
        <v>46138</v>
      </c>
      <c r="D222" s="27" t="n">
        <v>2160</v>
      </c>
      <c r="E222" s="25" t="inlineStr">
        <is>
          <t>RN-INV#216</t>
        </is>
      </c>
      <c r="F222" s="27" t="n">
        <v>2160</v>
      </c>
      <c r="G222" s="27" t="n">
        <v>0</v>
      </c>
      <c r="H222" s="25" t="inlineStr">
        <is>
          <t>مطابق</t>
        </is>
      </c>
      <c r="I222" s="25" t="n"/>
    </row>
    <row r="223">
      <c r="A223" s="25" t="inlineStr">
        <is>
          <t>WHT</t>
        </is>
      </c>
      <c r="B223" s="25" t="inlineStr">
        <is>
          <t>WHT-4214</t>
        </is>
      </c>
      <c r="C223" s="96" t="n">
        <v>46138</v>
      </c>
      <c r="D223" s="27" t="n">
        <v>2157.5</v>
      </c>
      <c r="E223" s="25" t="inlineStr">
        <is>
          <t>RN-INV#218</t>
        </is>
      </c>
      <c r="F223" s="27" t="n">
        <v>2157.5</v>
      </c>
      <c r="G223" s="27" t="n">
        <v>0</v>
      </c>
      <c r="H223" s="25" t="inlineStr">
        <is>
          <t>مطابق</t>
        </is>
      </c>
      <c r="I223" s="25" t="n"/>
    </row>
    <row r="224">
      <c r="A224" s="25" t="inlineStr">
        <is>
          <t>WHT</t>
        </is>
      </c>
      <c r="B224" s="25" t="inlineStr">
        <is>
          <t>WHT-4219</t>
        </is>
      </c>
      <c r="C224" s="96" t="n">
        <v>46139</v>
      </c>
      <c r="D224" s="27" t="n">
        <v>1835</v>
      </c>
      <c r="E224" s="25" t="inlineStr">
        <is>
          <t>RN-INV#220</t>
        </is>
      </c>
      <c r="F224" s="27" t="n">
        <v>1835</v>
      </c>
      <c r="G224" s="27" t="n">
        <v>0</v>
      </c>
      <c r="H224" s="25" t="inlineStr">
        <is>
          <t>مطابق</t>
        </is>
      </c>
      <c r="I224" s="25" t="n"/>
    </row>
    <row r="225">
      <c r="A225" s="25" t="inlineStr">
        <is>
          <t>WHT</t>
        </is>
      </c>
      <c r="B225" s="25" t="inlineStr">
        <is>
          <t>WHT-4226</t>
        </is>
      </c>
      <c r="C225" s="96" t="n">
        <v>46141</v>
      </c>
      <c r="D225" s="27" t="n">
        <v>1327.5</v>
      </c>
      <c r="E225" s="25" t="inlineStr">
        <is>
          <t>RN-INV#221</t>
        </is>
      </c>
      <c r="F225" s="27" t="n">
        <v>1327.5</v>
      </c>
      <c r="G225" s="27" t="n">
        <v>0</v>
      </c>
      <c r="H225" s="25" t="inlineStr">
        <is>
          <t>مطابق</t>
        </is>
      </c>
      <c r="I225" s="25" t="n"/>
    </row>
    <row r="226">
      <c r="A226" s="25" t="inlineStr">
        <is>
          <t>WHT</t>
        </is>
      </c>
      <c r="B226" s="25" t="inlineStr">
        <is>
          <t>WHT-4230</t>
        </is>
      </c>
      <c r="C226" s="96" t="n">
        <v>46141</v>
      </c>
      <c r="D226" s="27" t="n">
        <v>757.5</v>
      </c>
      <c r="E226" s="25" t="inlineStr">
        <is>
          <t>RN-INV#222</t>
        </is>
      </c>
      <c r="F226" s="27" t="n">
        <v>757.5</v>
      </c>
      <c r="G226" s="27" t="n">
        <v>0</v>
      </c>
      <c r="H226" s="25" t="inlineStr">
        <is>
          <t>مطابق</t>
        </is>
      </c>
      <c r="I226" s="25" t="n"/>
    </row>
    <row r="227">
      <c r="A227" s="25" t="inlineStr">
        <is>
          <t>WHT</t>
        </is>
      </c>
      <c r="B227" s="25" t="inlineStr">
        <is>
          <t>WHT-4234</t>
        </is>
      </c>
      <c r="C227" s="96" t="n">
        <v>46142</v>
      </c>
      <c r="D227" s="27" t="n">
        <v>1350</v>
      </c>
      <c r="E227" s="25" t="inlineStr">
        <is>
          <t>RN-INV#224</t>
        </is>
      </c>
      <c r="F227" s="27" t="n">
        <v>1350</v>
      </c>
      <c r="G227" s="27" t="n">
        <v>0</v>
      </c>
      <c r="H227" s="25" t="inlineStr">
        <is>
          <t>مطابق</t>
        </is>
      </c>
      <c r="I227" s="25" t="n"/>
    </row>
    <row r="228">
      <c r="A228" s="25" t="inlineStr">
        <is>
          <t>WHT</t>
        </is>
      </c>
      <c r="B228" s="25" t="inlineStr">
        <is>
          <t>WHT-4243</t>
        </is>
      </c>
      <c r="C228" s="96" t="n">
        <v>46144</v>
      </c>
      <c r="D228" s="27" t="n">
        <v>1350</v>
      </c>
      <c r="E228" s="25" t="inlineStr">
        <is>
          <t>RN-INV#225</t>
        </is>
      </c>
      <c r="F228" s="27" t="n">
        <v>1350</v>
      </c>
      <c r="G228" s="27" t="n">
        <v>0</v>
      </c>
      <c r="H228" s="25" t="inlineStr">
        <is>
          <t>مطابق</t>
        </is>
      </c>
      <c r="I228" s="25" t="n"/>
    </row>
    <row r="229">
      <c r="A229" s="25" t="inlineStr">
        <is>
          <t>WHT</t>
        </is>
      </c>
      <c r="B229" s="25" t="inlineStr">
        <is>
          <t>WHT-4247</t>
        </is>
      </c>
      <c r="C229" s="96" t="n">
        <v>46145</v>
      </c>
      <c r="D229" s="27" t="n">
        <v>895</v>
      </c>
      <c r="E229" s="25" t="inlineStr">
        <is>
          <t>RN-INV#226</t>
        </is>
      </c>
      <c r="F229" s="27" t="n">
        <v>895</v>
      </c>
      <c r="G229" s="27" t="n">
        <v>0</v>
      </c>
      <c r="H229" s="25" t="inlineStr">
        <is>
          <t>مطابق</t>
        </is>
      </c>
      <c r="I229" s="25" t="n"/>
    </row>
    <row r="230">
      <c r="A230" s="25" t="inlineStr">
        <is>
          <t>WHT</t>
        </is>
      </c>
      <c r="B230" s="25" t="inlineStr">
        <is>
          <t>WHT-4260</t>
        </is>
      </c>
      <c r="C230" s="96" t="n">
        <v>46117</v>
      </c>
      <c r="D230" s="27" t="n">
        <v>1950</v>
      </c>
      <c r="E230" s="25" t="inlineStr">
        <is>
          <t>RN-INV#228</t>
        </is>
      </c>
      <c r="F230" s="27" t="n">
        <v>1950</v>
      </c>
      <c r="G230" s="27" t="n">
        <v>0</v>
      </c>
      <c r="H230" s="25" t="inlineStr">
        <is>
          <t>مطابق</t>
        </is>
      </c>
      <c r="I230" s="25" t="n"/>
    </row>
    <row r="231">
      <c r="A231" s="25" t="inlineStr">
        <is>
          <t>WHT</t>
        </is>
      </c>
      <c r="B231" s="25" t="inlineStr">
        <is>
          <t>WHT-4270</t>
        </is>
      </c>
      <c r="C231" s="96" t="n">
        <v>46117</v>
      </c>
      <c r="D231" s="27" t="n">
        <v>2895</v>
      </c>
      <c r="E231" s="25" t="inlineStr">
        <is>
          <t>RN-INV#230</t>
        </is>
      </c>
      <c r="F231" s="27" t="n">
        <v>2895</v>
      </c>
      <c r="G231" s="27" t="n">
        <v>0</v>
      </c>
      <c r="H231" s="25" t="inlineStr">
        <is>
          <t>مطابق</t>
        </is>
      </c>
      <c r="I231" s="25" t="n"/>
    </row>
    <row r="232">
      <c r="A232" s="25" t="inlineStr">
        <is>
          <t>WHT</t>
        </is>
      </c>
      <c r="B232" s="25" t="inlineStr">
        <is>
          <t>WHT-4276</t>
        </is>
      </c>
      <c r="C232" s="96" t="n">
        <v>46147</v>
      </c>
      <c r="D232" s="27" t="n">
        <v>2880</v>
      </c>
      <c r="E232" s="25" t="inlineStr">
        <is>
          <t>RN-INV#232</t>
        </is>
      </c>
      <c r="F232" s="27" t="n">
        <v>2880</v>
      </c>
      <c r="G232" s="27" t="n">
        <v>0</v>
      </c>
      <c r="H232" s="25" t="inlineStr">
        <is>
          <t>مطابق</t>
        </is>
      </c>
      <c r="I232" s="25" t="n"/>
    </row>
    <row r="233">
      <c r="A233" s="25" t="inlineStr">
        <is>
          <t>WHT</t>
        </is>
      </c>
      <c r="B233" s="25" t="inlineStr">
        <is>
          <t>WHT-4285</t>
        </is>
      </c>
      <c r="C233" s="96" t="n">
        <v>46208</v>
      </c>
      <c r="D233" s="27" t="n">
        <v>3330</v>
      </c>
      <c r="E233" s="25" t="inlineStr">
        <is>
          <t>RN-INV#234</t>
        </is>
      </c>
      <c r="F233" s="27" t="n">
        <v>3330</v>
      </c>
      <c r="G233" s="27" t="n">
        <v>0</v>
      </c>
      <c r="H233" s="25" t="inlineStr">
        <is>
          <t>مطابق</t>
        </is>
      </c>
      <c r="I233" s="25" t="n"/>
    </row>
    <row r="234">
      <c r="A234" s="25" t="inlineStr">
        <is>
          <t>WHT</t>
        </is>
      </c>
      <c r="B234" s="25" t="inlineStr">
        <is>
          <t>WHT-4287</t>
        </is>
      </c>
      <c r="C234" s="96" t="n">
        <v>46208</v>
      </c>
      <c r="D234" s="27" t="n">
        <v>3060</v>
      </c>
      <c r="E234" s="25" t="inlineStr">
        <is>
          <t>RN-INV#236</t>
        </is>
      </c>
      <c r="F234" s="27" t="n">
        <v>3060</v>
      </c>
      <c r="G234" s="27" t="n">
        <v>0</v>
      </c>
      <c r="H234" s="25" t="inlineStr">
        <is>
          <t>مطابق</t>
        </is>
      </c>
      <c r="I234" s="25" t="n"/>
    </row>
    <row r="235">
      <c r="A235" s="25" t="inlineStr">
        <is>
          <t>WHT</t>
        </is>
      </c>
      <c r="B235" s="25" t="inlineStr">
        <is>
          <t>WHT-4289</t>
        </is>
      </c>
      <c r="C235" s="96" t="n">
        <v>46270</v>
      </c>
      <c r="D235" s="27" t="n">
        <v>4337.5</v>
      </c>
      <c r="E235" s="25" t="inlineStr">
        <is>
          <t>RN-INV#237</t>
        </is>
      </c>
      <c r="F235" s="27" t="n">
        <v>4337.5</v>
      </c>
      <c r="G235" s="27" t="n">
        <v>0</v>
      </c>
      <c r="H235" s="25" t="inlineStr">
        <is>
          <t>مطابق</t>
        </is>
      </c>
      <c r="I235" s="25" t="n"/>
    </row>
    <row r="236">
      <c r="A236" s="25" t="inlineStr">
        <is>
          <t>WHT</t>
        </is>
      </c>
      <c r="B236" s="25" t="inlineStr">
        <is>
          <t>WHT-4299</t>
        </is>
      </c>
      <c r="C236" s="96" t="n">
        <v>46300</v>
      </c>
      <c r="D236" s="27" t="n">
        <v>2415</v>
      </c>
      <c r="E236" s="25" t="inlineStr">
        <is>
          <t>RN-INV#240</t>
        </is>
      </c>
      <c r="F236" s="27" t="n">
        <v>2415</v>
      </c>
      <c r="G236" s="27" t="n">
        <v>0</v>
      </c>
      <c r="H236" s="25" t="inlineStr">
        <is>
          <t>مطابق</t>
        </is>
      </c>
      <c r="I236" s="25" t="n"/>
    </row>
    <row r="237">
      <c r="A237" s="25" t="inlineStr">
        <is>
          <t>WHT</t>
        </is>
      </c>
      <c r="B237" s="25" t="inlineStr">
        <is>
          <t>WHT-4303</t>
        </is>
      </c>
      <c r="C237" s="96" t="n">
        <v>46331</v>
      </c>
      <c r="D237" s="27" t="n">
        <v>3225</v>
      </c>
      <c r="E237" s="25" t="inlineStr">
        <is>
          <t>RN-INV#241</t>
        </is>
      </c>
      <c r="F237" s="27" t="n">
        <v>3225</v>
      </c>
      <c r="G237" s="27" t="n">
        <v>0</v>
      </c>
      <c r="H237" s="25" t="inlineStr">
        <is>
          <t>مطابق</t>
        </is>
      </c>
      <c r="I237" s="25" t="n"/>
    </row>
    <row r="238">
      <c r="A238" s="25" t="inlineStr">
        <is>
          <t>WHT</t>
        </is>
      </c>
      <c r="B238" s="25" t="inlineStr">
        <is>
          <t>WHT-4307</t>
        </is>
      </c>
      <c r="C238" s="96" t="n">
        <v>46361</v>
      </c>
      <c r="D238" s="27" t="n">
        <v>2448.75</v>
      </c>
      <c r="E238" s="25" t="inlineStr">
        <is>
          <t>RN-INV#244</t>
        </is>
      </c>
      <c r="F238" s="27" t="n">
        <v>2448.75</v>
      </c>
      <c r="G238" s="27" t="n">
        <v>0</v>
      </c>
      <c r="H238" s="25" t="inlineStr">
        <is>
          <t>مطابق</t>
        </is>
      </c>
      <c r="I238" s="25" t="n"/>
    </row>
    <row r="239">
      <c r="A239" s="25" t="inlineStr">
        <is>
          <t>WHT</t>
        </is>
      </c>
      <c r="B239" s="25" t="inlineStr">
        <is>
          <t>WHT-4309</t>
        </is>
      </c>
      <c r="C239" s="96" t="n">
        <v>46155</v>
      </c>
      <c r="D239" s="27" t="n">
        <v>2531</v>
      </c>
      <c r="E239" s="25" t="inlineStr">
        <is>
          <t>RN-INV#245</t>
        </is>
      </c>
      <c r="F239" s="27" t="n">
        <v>2531</v>
      </c>
      <c r="G239" s="27" t="n">
        <v>0</v>
      </c>
      <c r="H239" s="25" t="inlineStr">
        <is>
          <t>مطابق</t>
        </is>
      </c>
      <c r="I239" s="25" t="n"/>
    </row>
    <row r="240">
      <c r="A240" s="25" t="inlineStr">
        <is>
          <t>WHT</t>
        </is>
      </c>
      <c r="B240" s="25" t="inlineStr">
        <is>
          <t>WHT-4313</t>
        </is>
      </c>
      <c r="C240" s="96" t="n">
        <v>46156</v>
      </c>
      <c r="D240" s="27" t="n">
        <v>3370</v>
      </c>
      <c r="E240" s="25" t="inlineStr">
        <is>
          <t>RN-INV#246</t>
        </is>
      </c>
      <c r="F240" s="27" t="n">
        <v>3370</v>
      </c>
      <c r="G240" s="27" t="n">
        <v>0</v>
      </c>
      <c r="H240" s="25" t="inlineStr">
        <is>
          <t>مطابق</t>
        </is>
      </c>
      <c r="I240" s="25" t="n"/>
    </row>
    <row r="241">
      <c r="A241" s="25" t="inlineStr">
        <is>
          <t>WHT</t>
        </is>
      </c>
      <c r="B241" s="25" t="inlineStr">
        <is>
          <t>WHT-4317</t>
        </is>
      </c>
      <c r="C241" s="96" t="n">
        <v>46158</v>
      </c>
      <c r="D241" s="27" t="n">
        <v>3525</v>
      </c>
      <c r="E241" s="25" t="inlineStr">
        <is>
          <t>RN-INV#248</t>
        </is>
      </c>
      <c r="F241" s="27" t="n">
        <v>3525</v>
      </c>
      <c r="G241" s="27" t="n">
        <v>0</v>
      </c>
      <c r="H241" s="25" t="inlineStr">
        <is>
          <t>مطابق</t>
        </is>
      </c>
      <c r="I241" s="25" t="n"/>
    </row>
    <row r="242">
      <c r="A242" s="25" t="inlineStr">
        <is>
          <t>WHT</t>
        </is>
      </c>
      <c r="B242" s="25" t="inlineStr">
        <is>
          <t>WHT-4322</t>
        </is>
      </c>
      <c r="C242" s="96" t="n">
        <v>46160</v>
      </c>
      <c r="D242" s="27" t="n">
        <v>2892</v>
      </c>
      <c r="E242" s="25" t="inlineStr">
        <is>
          <t>RN-INV#249</t>
        </is>
      </c>
      <c r="F242" s="27" t="n">
        <v>2892</v>
      </c>
      <c r="G242" s="27" t="n">
        <v>0</v>
      </c>
      <c r="H242" s="25" t="inlineStr">
        <is>
          <t>مطابق</t>
        </is>
      </c>
      <c r="I242" s="25" t="n"/>
    </row>
    <row r="243">
      <c r="A243" s="25" t="inlineStr">
        <is>
          <t>WHT</t>
        </is>
      </c>
      <c r="B243" s="25" t="inlineStr">
        <is>
          <t>WHT-4326</t>
        </is>
      </c>
      <c r="C243" s="96" t="n">
        <v>46161</v>
      </c>
      <c r="D243" s="27" t="n">
        <v>2145</v>
      </c>
      <c r="E243" s="25" t="inlineStr">
        <is>
          <t>RN-INV#251</t>
        </is>
      </c>
      <c r="F243" s="27" t="n">
        <v>2145</v>
      </c>
      <c r="G243" s="27" t="n">
        <v>0</v>
      </c>
      <c r="H243" s="25" t="inlineStr">
        <is>
          <t>مطابق</t>
        </is>
      </c>
      <c r="I243" s="25" t="n"/>
    </row>
    <row r="244">
      <c r="A244" s="25" t="inlineStr">
        <is>
          <t>WHT</t>
        </is>
      </c>
      <c r="B244" s="25" t="inlineStr">
        <is>
          <t>WHT-4340</t>
        </is>
      </c>
      <c r="C244" s="96" t="n">
        <v>46166</v>
      </c>
      <c r="D244" s="27" t="n">
        <v>1570</v>
      </c>
      <c r="E244" s="25" t="inlineStr">
        <is>
          <t>RN-INV#253</t>
        </is>
      </c>
      <c r="F244" s="27" t="n">
        <v>1570</v>
      </c>
      <c r="G244" s="27" t="n">
        <v>0</v>
      </c>
      <c r="H244" s="25" t="inlineStr">
        <is>
          <t>مطابق</t>
        </is>
      </c>
      <c r="I244" s="25" t="n"/>
    </row>
    <row r="245">
      <c r="A245" s="25" t="inlineStr">
        <is>
          <t>WHT</t>
        </is>
      </c>
      <c r="B245" s="25" t="inlineStr">
        <is>
          <t>WHT-4342</t>
        </is>
      </c>
      <c r="C245" s="96" t="n">
        <v>46167</v>
      </c>
      <c r="D245" s="27" t="n">
        <v>2950</v>
      </c>
      <c r="E245" s="25" t="inlineStr">
        <is>
          <t>RN-INV#254</t>
        </is>
      </c>
      <c r="F245" s="27" t="n">
        <v>2950</v>
      </c>
      <c r="G245" s="27" t="n">
        <v>0</v>
      </c>
      <c r="H245" s="25" t="inlineStr">
        <is>
          <t>مطابق</t>
        </is>
      </c>
      <c r="I245" s="25" t="n"/>
    </row>
    <row r="246">
      <c r="A246" s="25" t="inlineStr">
        <is>
          <t>WHT</t>
        </is>
      </c>
      <c r="B246" s="25" t="inlineStr">
        <is>
          <t>WHT-4346</t>
        </is>
      </c>
      <c r="C246" s="96" t="n">
        <v>46167</v>
      </c>
      <c r="D246" s="27" t="n">
        <v>4417.5</v>
      </c>
      <c r="E246" s="25" t="inlineStr">
        <is>
          <t>RN-INV#256</t>
        </is>
      </c>
      <c r="F246" s="27" t="n">
        <v>4417.5</v>
      </c>
      <c r="G246" s="27" t="n">
        <v>0</v>
      </c>
      <c r="H246" s="25" t="inlineStr">
        <is>
          <t>مطابق</t>
        </is>
      </c>
      <c r="I246" s="25" t="n"/>
    </row>
    <row r="247">
      <c r="A247" s="25" t="inlineStr">
        <is>
          <t>WHT</t>
        </is>
      </c>
      <c r="B247" s="25" t="inlineStr">
        <is>
          <t>WHT-4347</t>
        </is>
      </c>
      <c r="C247" s="96" t="n">
        <v>46172</v>
      </c>
      <c r="D247" s="27" t="n">
        <v>4420</v>
      </c>
      <c r="E247" s="25" t="inlineStr">
        <is>
          <t>RN-INV#257</t>
        </is>
      </c>
      <c r="F247" s="27" t="n">
        <v>4420</v>
      </c>
      <c r="G247" s="27" t="n">
        <v>0</v>
      </c>
      <c r="H247" s="25" t="inlineStr">
        <is>
          <t>مطابق</t>
        </is>
      </c>
      <c r="I247" s="25" t="n"/>
    </row>
    <row r="248">
      <c r="A248" s="25" t="inlineStr">
        <is>
          <t>WHT</t>
        </is>
      </c>
      <c r="B248" s="25" t="inlineStr">
        <is>
          <t>WHT-4348</t>
        </is>
      </c>
      <c r="C248" s="96" t="n">
        <v>46173</v>
      </c>
      <c r="D248" s="27" t="n">
        <v>2765</v>
      </c>
      <c r="E248" s="25" t="inlineStr">
        <is>
          <t>RN-INV#258</t>
        </is>
      </c>
      <c r="F248" s="27" t="n">
        <v>2765</v>
      </c>
      <c r="G248" s="27" t="n">
        <v>0</v>
      </c>
      <c r="H248" s="25" t="inlineStr">
        <is>
          <t>مطابق</t>
        </is>
      </c>
      <c r="I248" s="25" t="n"/>
    </row>
    <row r="249">
      <c r="A249" s="25" t="inlineStr">
        <is>
          <t>WHT</t>
        </is>
      </c>
      <c r="B249" s="25" t="inlineStr">
        <is>
          <t>WHT-4349</t>
        </is>
      </c>
      <c r="C249" s="96" t="n">
        <v>46173</v>
      </c>
      <c r="D249" s="27" t="n">
        <v>1395</v>
      </c>
      <c r="E249" s="25" t="inlineStr">
        <is>
          <t>RN-INV#259</t>
        </is>
      </c>
      <c r="F249" s="27" t="n">
        <v>1395</v>
      </c>
      <c r="G249" s="27" t="n">
        <v>0</v>
      </c>
      <c r="H249" s="25" t="inlineStr">
        <is>
          <t>مطابق</t>
        </is>
      </c>
      <c r="I249" s="25" t="n"/>
    </row>
    <row r="250">
      <c r="A250" s="25" t="inlineStr">
        <is>
          <t>WHT</t>
        </is>
      </c>
      <c r="B250" s="25" t="inlineStr">
        <is>
          <t>WHT-4352</t>
        </is>
      </c>
      <c r="C250" s="96" t="n">
        <v>46081</v>
      </c>
      <c r="D250" s="27" t="n">
        <v>2349</v>
      </c>
      <c r="E250" s="25" t="inlineStr">
        <is>
          <t>RN-INV#260</t>
        </is>
      </c>
      <c r="F250" s="27" t="n">
        <v>2349</v>
      </c>
      <c r="G250" s="27" t="n">
        <v>0</v>
      </c>
      <c r="H250" s="25" t="inlineStr">
        <is>
          <t>مطابق</t>
        </is>
      </c>
      <c r="I250" s="25" t="n"/>
    </row>
    <row r="251">
      <c r="A251" s="25" t="inlineStr">
        <is>
          <t>WHT</t>
        </is>
      </c>
      <c r="B251" s="25" t="inlineStr">
        <is>
          <t>WHT-4357</t>
        </is>
      </c>
      <c r="C251" s="96" t="n">
        <v>46083</v>
      </c>
      <c r="D251" s="27" t="n">
        <v>2065</v>
      </c>
      <c r="E251" s="25" t="inlineStr">
        <is>
          <t>RN-INV#261</t>
        </is>
      </c>
      <c r="F251" s="27" t="n">
        <v>2065</v>
      </c>
      <c r="G251" s="27" t="n">
        <v>0</v>
      </c>
      <c r="H251" s="25" t="inlineStr">
        <is>
          <t>مطابق</t>
        </is>
      </c>
      <c r="I251" s="25" t="n"/>
    </row>
  </sheetData>
  <autoFilter ref="A1:I251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F8"/>
  <sheetViews>
    <sheetView rightToLeft="1" zoomScale="10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20" customWidth="1" min="5" max="5"/>
    <col width="34" customWidth="1" min="6" max="6"/>
  </cols>
  <sheetData>
    <row r="1">
      <c r="A1" s="61" t="inlineStr">
        <is>
          <t>رقم الفاتورة</t>
        </is>
      </c>
      <c r="B1" s="61" t="inlineStr">
        <is>
          <t>التاريخ</t>
        </is>
      </c>
      <c r="C1" s="61" t="inlineStr">
        <is>
          <t>رقم العقد بالفاتورة</t>
        </is>
      </c>
      <c r="D1" s="61" t="inlineStr">
        <is>
          <t>القيمة</t>
        </is>
      </c>
      <c r="E1" s="61" t="inlineStr">
        <is>
          <t>المندوب</t>
        </is>
      </c>
      <c r="F1" s="61" t="inlineStr">
        <is>
          <t>ملاحظة</t>
        </is>
      </c>
    </row>
    <row r="2">
      <c r="A2" t="inlineStr">
        <is>
          <t>RN-INV#39</t>
        </is>
      </c>
      <c r="B2" s="105" t="n">
        <v>45969</v>
      </c>
      <c r="C2" t="inlineStr">
        <is>
          <t>WHT-2804</t>
        </is>
      </c>
      <c r="D2" s="58" t="n">
        <v>14850</v>
      </c>
      <c r="E2" t="inlineStr">
        <is>
          <t>م/ عادل أبو خالد</t>
        </is>
      </c>
      <c r="F2" t="inlineStr">
        <is>
          <t>العقد غير مدرج في الشيت</t>
        </is>
      </c>
    </row>
    <row r="3">
      <c r="A3" t="inlineStr">
        <is>
          <t>RN-INV#101</t>
        </is>
      </c>
      <c r="B3" s="105" t="n">
        <v>46019</v>
      </c>
      <c r="C3" t="inlineStr">
        <is>
          <t>WHT-3368</t>
        </is>
      </c>
      <c r="D3" s="58" t="n">
        <v>1245</v>
      </c>
      <c r="E3" t="inlineStr">
        <is>
          <t>عصمت الله خان</t>
        </is>
      </c>
      <c r="F3" t="inlineStr">
        <is>
          <t>العقد غير مدرج في الشيت</t>
        </is>
      </c>
    </row>
    <row r="4">
      <c r="A4" t="inlineStr">
        <is>
          <t>RN-INV#102</t>
        </is>
      </c>
      <c r="B4" s="105" t="n">
        <v>46021</v>
      </c>
      <c r="C4" t="inlineStr">
        <is>
          <t>WHT-3379</t>
        </is>
      </c>
      <c r="D4" s="58" t="n">
        <v>1132.5</v>
      </c>
      <c r="E4" t="inlineStr">
        <is>
          <t>عصمت الله خان</t>
        </is>
      </c>
      <c r="F4" t="inlineStr">
        <is>
          <t>العقد غير مدرج في الشيت</t>
        </is>
      </c>
    </row>
    <row r="5">
      <c r="A5" t="inlineStr">
        <is>
          <t>RN-INV#104</t>
        </is>
      </c>
      <c r="B5" s="105" t="n">
        <v>46021</v>
      </c>
      <c r="C5" t="inlineStr">
        <is>
          <t>WHE-3402</t>
        </is>
      </c>
      <c r="D5" s="58" t="n">
        <v>6097.5</v>
      </c>
      <c r="E5" t="inlineStr">
        <is>
          <t>عماد حمدي</t>
        </is>
      </c>
      <c r="F5" t="inlineStr">
        <is>
          <t>العقد غير مدرج في الشيت</t>
        </is>
      </c>
    </row>
    <row r="6">
      <c r="A6" t="inlineStr">
        <is>
          <t>RN-INV#105</t>
        </is>
      </c>
      <c r="B6" s="105" t="n">
        <v>46022</v>
      </c>
      <c r="C6" t="inlineStr">
        <is>
          <t>WHT-3404</t>
        </is>
      </c>
      <c r="D6" s="58" t="n">
        <v>2630</v>
      </c>
      <c r="E6" t="inlineStr">
        <is>
          <t>عصمت الله خان</t>
        </is>
      </c>
      <c r="F6" t="inlineStr">
        <is>
          <t>العقد غير مدرج في الشيت</t>
        </is>
      </c>
    </row>
    <row r="7">
      <c r="A7" t="inlineStr">
        <is>
          <t>RN-INV#262</t>
        </is>
      </c>
      <c r="B7" s="105" t="n">
        <v>46176</v>
      </c>
      <c r="C7" t="inlineStr">
        <is>
          <t>WHE-4358</t>
        </is>
      </c>
      <c r="D7" s="58" t="n">
        <v>4810</v>
      </c>
      <c r="E7" t="inlineStr">
        <is>
          <t>عماد حمدي</t>
        </is>
      </c>
      <c r="F7" t="inlineStr">
        <is>
          <t>بعد 1-6-2026 (خارج فترة الشيت)</t>
        </is>
      </c>
    </row>
    <row r="8">
      <c r="A8" t="inlineStr">
        <is>
          <t>RN-INV#263</t>
        </is>
      </c>
      <c r="B8" s="105" t="n">
        <v>46176</v>
      </c>
      <c r="C8" t="inlineStr">
        <is>
          <t>WHT-4360</t>
        </is>
      </c>
      <c r="D8" s="58" t="n">
        <v>1542.5</v>
      </c>
      <c r="E8" t="inlineStr">
        <is>
          <t>عصمت الله خان</t>
        </is>
      </c>
      <c r="F8" t="inlineStr">
        <is>
          <t>بعد 1-6-2026 (خارج فترة الشيت)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K240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8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70" customWidth="1" min="11" max="11"/>
  </cols>
  <sheetData>
    <row r="1">
      <c r="A1" s="15" t="inlineStr">
        <is>
          <t>رقم الفاتورة</t>
        </is>
      </c>
      <c r="B1" s="15" t="inlineStr">
        <is>
          <t>تاريخ الفاتورة</t>
        </is>
      </c>
      <c r="C1" s="15" t="inlineStr">
        <is>
          <t>رقم العقد</t>
        </is>
      </c>
      <c r="D1" s="15" t="inlineStr">
        <is>
          <t>قيمة الفاتورة</t>
        </is>
      </c>
      <c r="E1" s="15" t="inlineStr">
        <is>
          <t>المندوب</t>
        </is>
      </c>
      <c r="F1" s="15" t="inlineStr">
        <is>
          <t>رقم المستند بالكشف</t>
        </is>
      </c>
      <c r="G1" s="15" t="inlineStr">
        <is>
          <t>تاريخ الكشف</t>
        </is>
      </c>
      <c r="H1" s="15" t="inlineStr">
        <is>
          <t>العقد بالكشف</t>
        </is>
      </c>
      <c r="I1" s="15" t="inlineStr">
        <is>
          <t>القيمة بالكشف</t>
        </is>
      </c>
      <c r="J1" s="15" t="inlineStr">
        <is>
          <t>الحالة</t>
        </is>
      </c>
      <c r="K1" s="15" t="inlineStr">
        <is>
          <t>الملاحظات</t>
        </is>
      </c>
    </row>
    <row r="2">
      <c r="A2" s="34" t="inlineStr">
        <is>
          <t>RN-INV#25</t>
        </is>
      </c>
      <c r="B2" s="99" t="n">
        <v>45957</v>
      </c>
      <c r="C2" s="34" t="inlineStr">
        <is>
          <t>WHT-2645</t>
        </is>
      </c>
      <c r="D2" s="36" t="n">
        <v>3245</v>
      </c>
      <c r="E2" s="34" t="inlineStr">
        <is>
          <t>عصمت الله خان</t>
        </is>
      </c>
      <c r="F2" s="34" t="n"/>
      <c r="G2" s="34" t="n"/>
      <c r="H2" s="34" t="n"/>
      <c r="I2" s="34" t="n"/>
      <c r="J2" s="34" t="inlineStr">
        <is>
          <t>غير مسجلة بالكشف</t>
        </is>
      </c>
      <c r="K2" s="34" t="inlineStr">
        <is>
          <t>قبل بداية الكشف (1-11-2025) – يجب أن تكون ضمن الرصيد الافتتاحي</t>
        </is>
      </c>
    </row>
    <row r="3">
      <c r="A3" s="34" t="inlineStr">
        <is>
          <t>RN-INV#26</t>
        </is>
      </c>
      <c r="B3" s="99" t="n">
        <v>45957</v>
      </c>
      <c r="C3" s="34" t="inlineStr">
        <is>
          <t>WHK-2656</t>
        </is>
      </c>
      <c r="D3" s="36" t="n">
        <v>900</v>
      </c>
      <c r="E3" s="34" t="inlineStr">
        <is>
          <t>م/ عادل أبو خالد</t>
        </is>
      </c>
      <c r="F3" s="34" t="n"/>
      <c r="G3" s="34" t="n"/>
      <c r="H3" s="34" t="n"/>
      <c r="I3" s="34" t="n"/>
      <c r="J3" s="34" t="inlineStr">
        <is>
          <t>غير مسجلة بالكشف</t>
        </is>
      </c>
      <c r="K3" s="34" t="inlineStr">
        <is>
          <t>قبل بداية الكشف (1-11-2025) – يجب أن تكون ضمن الرصيد الافتتاحي</t>
        </is>
      </c>
    </row>
    <row r="4">
      <c r="A4" s="34" t="inlineStr">
        <is>
          <t>RN-INV#27</t>
        </is>
      </c>
      <c r="B4" s="99" t="n">
        <v>45958</v>
      </c>
      <c r="C4" s="34" t="inlineStr">
        <is>
          <t>WHT-2660</t>
        </is>
      </c>
      <c r="D4" s="36" t="n">
        <v>4420</v>
      </c>
      <c r="E4" s="34" t="inlineStr">
        <is>
          <t>عصمت الله خان</t>
        </is>
      </c>
      <c r="F4" s="34" t="n"/>
      <c r="G4" s="34" t="n"/>
      <c r="H4" s="34" t="n"/>
      <c r="I4" s="34" t="n"/>
      <c r="J4" s="34" t="inlineStr">
        <is>
          <t>غير مسجلة بالكشف</t>
        </is>
      </c>
      <c r="K4" s="34" t="inlineStr">
        <is>
          <t>قبل بداية الكشف (1-11-2025) – يجب أن تكون ضمن الرصيد الافتتاحي</t>
        </is>
      </c>
    </row>
    <row r="5">
      <c r="A5" s="34" t="inlineStr">
        <is>
          <t>RN-INV#28</t>
        </is>
      </c>
      <c r="B5" s="99" t="n">
        <v>45959</v>
      </c>
      <c r="C5" s="34" t="inlineStr">
        <is>
          <t>WHT-2672</t>
        </is>
      </c>
      <c r="D5" s="36" t="n">
        <v>4645</v>
      </c>
      <c r="E5" s="34" t="inlineStr">
        <is>
          <t>عصمت الله خان</t>
        </is>
      </c>
      <c r="F5" s="34" t="n"/>
      <c r="G5" s="34" t="n"/>
      <c r="H5" s="34" t="n"/>
      <c r="I5" s="34" t="n"/>
      <c r="J5" s="34" t="inlineStr">
        <is>
          <t>غير مسجلة بالكشف</t>
        </is>
      </c>
      <c r="K5" s="34" t="inlineStr">
        <is>
          <t>قبل بداية الكشف (1-11-2025) – يجب أن تكون ضمن الرصيد الافتتاحي</t>
        </is>
      </c>
    </row>
    <row r="6">
      <c r="A6" s="34" t="inlineStr">
        <is>
          <t>RN-INV#29</t>
        </is>
      </c>
      <c r="B6" s="99" t="n">
        <v>45960</v>
      </c>
      <c r="C6" s="34" t="inlineStr">
        <is>
          <t>WHT-2682</t>
        </is>
      </c>
      <c r="D6" s="36" t="n">
        <v>2990</v>
      </c>
      <c r="E6" s="34" t="inlineStr">
        <is>
          <t>عصمت الله خان</t>
        </is>
      </c>
      <c r="F6" s="34" t="n"/>
      <c r="G6" s="34" t="n"/>
      <c r="H6" s="34" t="n"/>
      <c r="I6" s="34" t="n"/>
      <c r="J6" s="34" t="inlineStr">
        <is>
          <t>غير مسجلة بالكشف</t>
        </is>
      </c>
      <c r="K6" s="34" t="inlineStr">
        <is>
          <t>قبل بداية الكشف (1-11-2025) – يجب أن تكون ضمن الرصيد الافتتاحي</t>
        </is>
      </c>
    </row>
    <row r="7">
      <c r="A7" s="34" t="inlineStr">
        <is>
          <t>RN-INV#30</t>
        </is>
      </c>
      <c r="B7" s="99" t="n">
        <v>45961</v>
      </c>
      <c r="C7" s="34" t="inlineStr">
        <is>
          <t>WHT-2701</t>
        </is>
      </c>
      <c r="D7" s="36" t="n">
        <v>6225</v>
      </c>
      <c r="E7" s="34" t="inlineStr">
        <is>
          <t>عصمت الله خان</t>
        </is>
      </c>
      <c r="F7" s="34" t="n"/>
      <c r="G7" s="34" t="n"/>
      <c r="H7" s="34" t="n"/>
      <c r="I7" s="34" t="n"/>
      <c r="J7" s="34" t="inlineStr">
        <is>
          <t>غير مسجلة بالكشف</t>
        </is>
      </c>
      <c r="K7" s="34" t="inlineStr">
        <is>
          <t>قبل بداية الكشف (1-11-2025) – يجب أن تكون ضمن الرصيد الافتتاحي</t>
        </is>
      </c>
    </row>
    <row r="8">
      <c r="A8" s="18" t="inlineStr">
        <is>
          <t>RN-INV#31</t>
        </is>
      </c>
      <c r="B8" s="98" t="n">
        <v>45963</v>
      </c>
      <c r="C8" s="18" t="inlineStr">
        <is>
          <t>WHK-2712</t>
        </is>
      </c>
      <c r="D8" s="19" t="n">
        <v>1125</v>
      </c>
      <c r="E8" s="18" t="inlineStr">
        <is>
          <t>م/ عادل أبو خالد</t>
        </is>
      </c>
      <c r="F8" s="18" t="inlineStr">
        <is>
          <t>2712</t>
        </is>
      </c>
      <c r="G8" s="98" t="n">
        <v>45962</v>
      </c>
      <c r="H8" s="18" t="inlineStr">
        <is>
          <t>WHK-2712</t>
        </is>
      </c>
      <c r="I8" s="19" t="n">
        <v>1125</v>
      </c>
      <c r="J8" s="18" t="inlineStr">
        <is>
          <t>مسجلة مع ملاحظة</t>
        </is>
      </c>
      <c r="K8" s="18" t="inlineStr">
        <is>
          <t>رقم المستند بالكشف 2712 خطأ – الصحيح 31</t>
        </is>
      </c>
    </row>
    <row r="9">
      <c r="A9" s="18" t="inlineStr">
        <is>
          <t>RN-INV#32</t>
        </is>
      </c>
      <c r="B9" s="98" t="n">
        <v>45963</v>
      </c>
      <c r="C9" s="18" t="inlineStr">
        <is>
          <t>WHT-2714</t>
        </is>
      </c>
      <c r="D9" s="19" t="n">
        <v>8192.5</v>
      </c>
      <c r="E9" s="18" t="inlineStr">
        <is>
          <t>عصمت الله خان</t>
        </is>
      </c>
      <c r="F9" s="18" t="inlineStr">
        <is>
          <t>2714</t>
        </is>
      </c>
      <c r="G9" s="98" t="n">
        <v>45962</v>
      </c>
      <c r="H9" s="18" t="inlineStr">
        <is>
          <t>WHT-2714</t>
        </is>
      </c>
      <c r="I9" s="19" t="n">
        <v>8192.5</v>
      </c>
      <c r="J9" s="18" t="inlineStr">
        <is>
          <t>مسجلة مع ملاحظة</t>
        </is>
      </c>
      <c r="K9" s="18" t="inlineStr">
        <is>
          <t>رقم المستند بالكشف 2714 خطأ – الصحيح 32</t>
        </is>
      </c>
    </row>
    <row r="10">
      <c r="A10" s="18" t="inlineStr">
        <is>
          <t>RN-INV#33</t>
        </is>
      </c>
      <c r="B10" s="98" t="n">
        <v>45964</v>
      </c>
      <c r="C10" s="18" t="inlineStr">
        <is>
          <t>WHT-2743</t>
        </is>
      </c>
      <c r="D10" s="19" t="n">
        <v>5930</v>
      </c>
      <c r="E10" s="18" t="inlineStr">
        <is>
          <t>عصمت الله خان</t>
        </is>
      </c>
      <c r="F10" s="18" t="inlineStr">
        <is>
          <t>2743</t>
        </is>
      </c>
      <c r="G10" s="98" t="n">
        <v>45963</v>
      </c>
      <c r="H10" s="18" t="inlineStr">
        <is>
          <t>WHT-2743</t>
        </is>
      </c>
      <c r="I10" s="19" t="n">
        <v>5930</v>
      </c>
      <c r="J10" s="18" t="inlineStr">
        <is>
          <t>مسجلة مع ملاحظة</t>
        </is>
      </c>
      <c r="K10" s="18" t="inlineStr">
        <is>
          <t>رقم المستند بالكشف 2743 خطأ – الصحيح 33</t>
        </is>
      </c>
    </row>
    <row r="11">
      <c r="A11" s="18" t="inlineStr">
        <is>
          <t>RN-INV#34</t>
        </is>
      </c>
      <c r="B11" s="98" t="n">
        <v>45965</v>
      </c>
      <c r="C11" s="18" t="inlineStr">
        <is>
          <t>WHT-2752</t>
        </is>
      </c>
      <c r="D11" s="19" t="n">
        <v>5327.5</v>
      </c>
      <c r="E11" s="18" t="inlineStr">
        <is>
          <t>عصمت الله خان</t>
        </is>
      </c>
      <c r="F11" s="18" t="inlineStr">
        <is>
          <t>2752</t>
        </is>
      </c>
      <c r="G11" s="98" t="n">
        <v>45964</v>
      </c>
      <c r="H11" s="18" t="inlineStr">
        <is>
          <t>WHT-2752</t>
        </is>
      </c>
      <c r="I11" s="19" t="n">
        <v>5327.5</v>
      </c>
      <c r="J11" s="18" t="inlineStr">
        <is>
          <t>مسجلة مع ملاحظة</t>
        </is>
      </c>
      <c r="K11" s="18" t="inlineStr">
        <is>
          <t>رقم المستند بالكشف 2752 خطأ – الصحيح 34</t>
        </is>
      </c>
    </row>
    <row r="12">
      <c r="A12" s="25" t="inlineStr">
        <is>
          <t>RN-INV#35</t>
        </is>
      </c>
      <c r="B12" s="96" t="n">
        <v>45966</v>
      </c>
      <c r="C12" s="25" t="inlineStr">
        <is>
          <t>WHK-2776</t>
        </is>
      </c>
      <c r="D12" s="27" t="n">
        <v>752.5</v>
      </c>
      <c r="E12" s="25" t="inlineStr">
        <is>
          <t>م/ عادل أبو خالد</t>
        </is>
      </c>
      <c r="F12" s="25" t="inlineStr">
        <is>
          <t>35</t>
        </is>
      </c>
      <c r="G12" s="96" t="n">
        <v>45966</v>
      </c>
      <c r="H12" s="25" t="inlineStr">
        <is>
          <t>WHK-2776</t>
        </is>
      </c>
      <c r="I12" s="27" t="n">
        <v>752.5</v>
      </c>
      <c r="J12" s="25" t="inlineStr">
        <is>
          <t>مسجلة</t>
        </is>
      </c>
      <c r="K12" s="25" t="n"/>
    </row>
    <row r="13">
      <c r="A13" s="25" t="inlineStr">
        <is>
          <t>RN-INV#36</t>
        </is>
      </c>
      <c r="B13" s="96" t="n">
        <v>45967</v>
      </c>
      <c r="C13" s="25" t="inlineStr">
        <is>
          <t>WHT-2779</t>
        </is>
      </c>
      <c r="D13" s="27" t="n">
        <v>7530</v>
      </c>
      <c r="E13" s="25" t="inlineStr">
        <is>
          <t>عصمت الله خان</t>
        </is>
      </c>
      <c r="F13" s="25" t="inlineStr">
        <is>
          <t>36</t>
        </is>
      </c>
      <c r="G13" s="96" t="n">
        <v>45966</v>
      </c>
      <c r="H13" s="25" t="inlineStr">
        <is>
          <t>WHT-2779</t>
        </is>
      </c>
      <c r="I13" s="27" t="n">
        <v>7530</v>
      </c>
      <c r="J13" s="25" t="inlineStr">
        <is>
          <t>مسجلة</t>
        </is>
      </c>
      <c r="K13" s="25" t="n"/>
    </row>
    <row r="14">
      <c r="A14" s="25" t="inlineStr">
        <is>
          <t>RN-INV#37</t>
        </is>
      </c>
      <c r="B14" s="96" t="n">
        <v>45967</v>
      </c>
      <c r="C14" s="25" t="inlineStr">
        <is>
          <t>WHK-2787</t>
        </is>
      </c>
      <c r="D14" s="27" t="n">
        <v>337.5</v>
      </c>
      <c r="E14" s="25" t="inlineStr">
        <is>
          <t>م/ عادل أبو خالد</t>
        </is>
      </c>
      <c r="F14" s="25" t="inlineStr">
        <is>
          <t>37</t>
        </is>
      </c>
      <c r="G14" s="96" t="n">
        <v>45967</v>
      </c>
      <c r="H14" s="25" t="inlineStr">
        <is>
          <t>WHK-2787</t>
        </is>
      </c>
      <c r="I14" s="27" t="n">
        <v>337.5</v>
      </c>
      <c r="J14" s="25" t="inlineStr">
        <is>
          <t>مسجلة</t>
        </is>
      </c>
      <c r="K14" s="25" t="n"/>
    </row>
    <row r="15">
      <c r="A15" s="25" t="inlineStr">
        <is>
          <t>RN-INV#38</t>
        </is>
      </c>
      <c r="B15" s="96" t="n">
        <v>45968</v>
      </c>
      <c r="C15" s="25" t="inlineStr">
        <is>
          <t>WHT-2790</t>
        </is>
      </c>
      <c r="D15" s="27" t="n">
        <v>7570</v>
      </c>
      <c r="E15" s="25" t="inlineStr">
        <is>
          <t>عصمت الله خان</t>
        </is>
      </c>
      <c r="F15" s="25" t="inlineStr">
        <is>
          <t>38</t>
        </is>
      </c>
      <c r="G15" s="96" t="n">
        <v>45967</v>
      </c>
      <c r="H15" s="25" t="inlineStr">
        <is>
          <t>WHT-2790</t>
        </is>
      </c>
      <c r="I15" s="27" t="n">
        <v>7570</v>
      </c>
      <c r="J15" s="25" t="inlineStr">
        <is>
          <t>مسجلة</t>
        </is>
      </c>
      <c r="K15" s="25" t="n"/>
    </row>
    <row r="16">
      <c r="A16" s="18" t="inlineStr">
        <is>
          <t>RN-INV#39</t>
        </is>
      </c>
      <c r="B16" s="98" t="n">
        <v>45969</v>
      </c>
      <c r="C16" s="18" t="inlineStr">
        <is>
          <t>WHT-2804</t>
        </is>
      </c>
      <c r="D16" s="19" t="n">
        <v>14850</v>
      </c>
      <c r="E16" s="18" t="inlineStr">
        <is>
          <t>م/ عادل أبو خالد</t>
        </is>
      </c>
      <c r="F16" s="18" t="inlineStr">
        <is>
          <t>39</t>
        </is>
      </c>
      <c r="G16" s="98" t="n">
        <v>45969</v>
      </c>
      <c r="H16" s="18" t="inlineStr">
        <is>
          <t>WHK-2804</t>
        </is>
      </c>
      <c r="I16" s="19" t="n">
        <v>14850</v>
      </c>
      <c r="J16" s="18" t="inlineStr">
        <is>
          <t>مسجلة مع ملاحظة</t>
        </is>
      </c>
      <c r="K16" s="18" t="inlineStr">
        <is>
          <t>بالكشف WHK-2804 وبالفاتورة WHT-2804 – البادئة الصحيحة WHK (عادل)</t>
        </is>
      </c>
    </row>
    <row r="17">
      <c r="A17" s="18" t="inlineStr">
        <is>
          <t>RN-INV#40</t>
        </is>
      </c>
      <c r="B17" s="98" t="n">
        <v>45969</v>
      </c>
      <c r="C17" s="18" t="inlineStr">
        <is>
          <t>WHK-2807</t>
        </is>
      </c>
      <c r="D17" s="19" t="n">
        <v>22000</v>
      </c>
      <c r="E17" s="18" t="inlineStr">
        <is>
          <t>م/ عادل أبو خالد</t>
        </is>
      </c>
      <c r="F17" s="18" t="inlineStr">
        <is>
          <t>40</t>
        </is>
      </c>
      <c r="G17" s="98" t="n">
        <v>45969</v>
      </c>
      <c r="H17" s="18" t="inlineStr">
        <is>
          <t>WHK-2364</t>
        </is>
      </c>
      <c r="I17" s="19" t="n">
        <v>22000</v>
      </c>
      <c r="J17" s="18" t="inlineStr">
        <is>
          <t>مسجلة مع ملاحظة</t>
        </is>
      </c>
      <c r="K17" s="18" t="inlineStr">
        <is>
          <t>مسجلة بالكشف على عقد عرعر WHK-2364 بدلاً من WHK-2807</t>
        </is>
      </c>
    </row>
    <row r="18">
      <c r="A18" s="25" t="inlineStr">
        <is>
          <t>RN-INV#41</t>
        </is>
      </c>
      <c r="B18" s="96" t="n">
        <v>45970</v>
      </c>
      <c r="C18" s="25" t="inlineStr">
        <is>
          <t>WHT-2809</t>
        </is>
      </c>
      <c r="D18" s="27" t="n">
        <v>4826</v>
      </c>
      <c r="E18" s="25" t="inlineStr">
        <is>
          <t>عصمت الله خان</t>
        </is>
      </c>
      <c r="F18" s="25" t="inlineStr">
        <is>
          <t>41</t>
        </is>
      </c>
      <c r="G18" s="96" t="n">
        <v>45969</v>
      </c>
      <c r="H18" s="25" t="inlineStr">
        <is>
          <t>WHT-2809</t>
        </is>
      </c>
      <c r="I18" s="27" t="n">
        <v>4826</v>
      </c>
      <c r="J18" s="25" t="inlineStr">
        <is>
          <t>مسجلة</t>
        </is>
      </c>
      <c r="K18" s="25" t="n"/>
    </row>
    <row r="19">
      <c r="A19" s="25" t="inlineStr">
        <is>
          <t>RN-INV#42</t>
        </is>
      </c>
      <c r="B19" s="96" t="n">
        <v>45971</v>
      </c>
      <c r="C19" s="25" t="inlineStr">
        <is>
          <t>WHT-2819</t>
        </is>
      </c>
      <c r="D19" s="27" t="n">
        <v>5310</v>
      </c>
      <c r="E19" s="25" t="inlineStr">
        <is>
          <t>عصمت الله خان</t>
        </is>
      </c>
      <c r="F19" s="25" t="inlineStr">
        <is>
          <t>42</t>
        </is>
      </c>
      <c r="G19" s="96" t="n">
        <v>45970</v>
      </c>
      <c r="H19" s="25" t="inlineStr">
        <is>
          <t>WHT-2819</t>
        </is>
      </c>
      <c r="I19" s="27" t="n">
        <v>5310</v>
      </c>
      <c r="J19" s="25" t="inlineStr">
        <is>
          <t>مسجلة</t>
        </is>
      </c>
      <c r="K19" s="25" t="n"/>
    </row>
    <row r="20">
      <c r="A20" s="25" t="inlineStr">
        <is>
          <t>RN-INV#43</t>
        </is>
      </c>
      <c r="B20" s="96" t="n">
        <v>45971</v>
      </c>
      <c r="C20" s="25" t="inlineStr">
        <is>
          <t>WHK-2835</t>
        </is>
      </c>
      <c r="D20" s="27" t="n">
        <v>9047.5</v>
      </c>
      <c r="E20" s="25" t="inlineStr">
        <is>
          <t>م/ عادل أبو خالد</t>
        </is>
      </c>
      <c r="F20" s="25" t="inlineStr">
        <is>
          <t>43</t>
        </is>
      </c>
      <c r="G20" s="96" t="n">
        <v>45971</v>
      </c>
      <c r="H20" s="25" t="inlineStr">
        <is>
          <t>WHK-2835</t>
        </is>
      </c>
      <c r="I20" s="27" t="n">
        <v>9047.5</v>
      </c>
      <c r="J20" s="25" t="inlineStr">
        <is>
          <t>مسجلة</t>
        </is>
      </c>
      <c r="K20" s="25" t="n"/>
    </row>
    <row r="21">
      <c r="A21" s="25" t="inlineStr">
        <is>
          <t>RN-INV#44</t>
        </is>
      </c>
      <c r="B21" s="96" t="n">
        <v>45972</v>
      </c>
      <c r="C21" s="25" t="inlineStr">
        <is>
          <t>WHT-2840</t>
        </is>
      </c>
      <c r="D21" s="27" t="n">
        <v>5745</v>
      </c>
      <c r="E21" s="25" t="inlineStr">
        <is>
          <t>عصمت الله خان</t>
        </is>
      </c>
      <c r="F21" s="25" t="inlineStr">
        <is>
          <t>44</t>
        </is>
      </c>
      <c r="G21" s="96" t="n">
        <v>45971</v>
      </c>
      <c r="H21" s="25" t="inlineStr">
        <is>
          <t>WHT-2840</t>
        </is>
      </c>
      <c r="I21" s="27" t="n">
        <v>5745</v>
      </c>
      <c r="J21" s="25" t="inlineStr">
        <is>
          <t>مسجلة</t>
        </is>
      </c>
      <c r="K21" s="25" t="n"/>
    </row>
    <row r="22">
      <c r="A22" s="18" t="inlineStr">
        <is>
          <t>RN-INV#45</t>
        </is>
      </c>
      <c r="B22" s="98" t="n">
        <v>45972</v>
      </c>
      <c r="C22" s="18" t="inlineStr">
        <is>
          <t>RNW-2842</t>
        </is>
      </c>
      <c r="D22" s="19" t="n">
        <v>22687.5</v>
      </c>
      <c r="E22" s="18" t="inlineStr">
        <is>
          <t>م/ عادل أبو خالد</t>
        </is>
      </c>
      <c r="F22" s="18" t="inlineStr">
        <is>
          <t>45</t>
        </is>
      </c>
      <c r="G22" s="98" t="n">
        <v>45972</v>
      </c>
      <c r="H22" s="18" t="inlineStr">
        <is>
          <t>WHK-2364</t>
        </is>
      </c>
      <c r="I22" s="19" t="n">
        <v>22687.5</v>
      </c>
      <c r="J22" s="18" t="inlineStr">
        <is>
          <t>مسجلة مع ملاحظة</t>
        </is>
      </c>
      <c r="K22" s="18" t="inlineStr">
        <is>
          <t>مسجلة بالكشف على عقد عرعر WHK-2364 بدلاً من RNW-2842</t>
        </is>
      </c>
    </row>
    <row r="23">
      <c r="A23" s="25" t="inlineStr">
        <is>
          <t>RN-INV#46</t>
        </is>
      </c>
      <c r="B23" s="96" t="n">
        <v>45972</v>
      </c>
      <c r="C23" s="25" t="inlineStr">
        <is>
          <t>WHK-2853</t>
        </is>
      </c>
      <c r="D23" s="27" t="n">
        <v>7500</v>
      </c>
      <c r="E23" s="25" t="inlineStr">
        <is>
          <t>م/ عادل أبو خالد</t>
        </is>
      </c>
      <c r="F23" s="25" t="inlineStr">
        <is>
          <t>46</t>
        </is>
      </c>
      <c r="G23" s="96" t="n">
        <v>45972</v>
      </c>
      <c r="H23" s="25" t="inlineStr">
        <is>
          <t>WHK-2853</t>
        </is>
      </c>
      <c r="I23" s="27" t="n">
        <v>7500</v>
      </c>
      <c r="J23" s="25" t="inlineStr">
        <is>
          <t>مسجلة</t>
        </is>
      </c>
      <c r="K23" s="25" t="n"/>
    </row>
    <row r="24">
      <c r="A24" s="25" t="inlineStr">
        <is>
          <t>RN-INV#47</t>
        </is>
      </c>
      <c r="B24" s="96" t="n">
        <v>45973</v>
      </c>
      <c r="C24" s="25" t="inlineStr">
        <is>
          <t>WHK-2868</t>
        </is>
      </c>
      <c r="D24" s="27" t="n">
        <v>1500</v>
      </c>
      <c r="E24" s="25" t="inlineStr">
        <is>
          <t>م/ عادل أبو خالد</t>
        </is>
      </c>
      <c r="F24" s="25" t="inlineStr">
        <is>
          <t>47</t>
        </is>
      </c>
      <c r="G24" s="96" t="n">
        <v>45973</v>
      </c>
      <c r="H24" s="25" t="inlineStr">
        <is>
          <t>WHK-2868</t>
        </is>
      </c>
      <c r="I24" s="27" t="n">
        <v>1500</v>
      </c>
      <c r="J24" s="25" t="inlineStr">
        <is>
          <t>مسجلة</t>
        </is>
      </c>
      <c r="K24" s="25" t="n"/>
    </row>
    <row r="25">
      <c r="A25" s="25" t="inlineStr">
        <is>
          <t>RN-INV#48</t>
        </is>
      </c>
      <c r="B25" s="96" t="n">
        <v>45974</v>
      </c>
      <c r="C25" s="25" t="inlineStr">
        <is>
          <t>WHT-2870</t>
        </is>
      </c>
      <c r="D25" s="27" t="n">
        <v>3112.5</v>
      </c>
      <c r="E25" s="25" t="inlineStr">
        <is>
          <t>عصمت الله خان</t>
        </is>
      </c>
      <c r="F25" s="25" t="inlineStr">
        <is>
          <t>48</t>
        </is>
      </c>
      <c r="G25" s="96" t="n">
        <v>45973</v>
      </c>
      <c r="H25" s="25" t="inlineStr">
        <is>
          <t>WHT-2870</t>
        </is>
      </c>
      <c r="I25" s="27" t="n">
        <v>3112.5</v>
      </c>
      <c r="J25" s="25" t="inlineStr">
        <is>
          <t>مسجلة</t>
        </is>
      </c>
      <c r="K25" s="25" t="n"/>
    </row>
    <row r="26">
      <c r="A26" s="25" t="inlineStr">
        <is>
          <t>RN-INV#49</t>
        </is>
      </c>
      <c r="B26" s="96" t="n">
        <v>45974</v>
      </c>
      <c r="C26" s="25" t="inlineStr">
        <is>
          <t>WHK-2881</t>
        </is>
      </c>
      <c r="D26" s="27" t="n">
        <v>1759.5</v>
      </c>
      <c r="E26" s="25" t="inlineStr">
        <is>
          <t>م/ عادل أبو خالد</t>
        </is>
      </c>
      <c r="F26" s="25" t="inlineStr">
        <is>
          <t>49</t>
        </is>
      </c>
      <c r="G26" s="96" t="n">
        <v>45974</v>
      </c>
      <c r="H26" s="25" t="inlineStr">
        <is>
          <t>WHK-2881</t>
        </is>
      </c>
      <c r="I26" s="27" t="n">
        <v>1759.5</v>
      </c>
      <c r="J26" s="25" t="inlineStr">
        <is>
          <t>مسجلة</t>
        </is>
      </c>
      <c r="K26" s="25" t="n"/>
    </row>
    <row r="27">
      <c r="A27" s="25" t="inlineStr">
        <is>
          <t>RN-INV#50</t>
        </is>
      </c>
      <c r="B27" s="96" t="n">
        <v>45975</v>
      </c>
      <c r="C27" s="25" t="inlineStr">
        <is>
          <t>WHT-2883</t>
        </is>
      </c>
      <c r="D27" s="27" t="n">
        <v>4600</v>
      </c>
      <c r="E27" s="25" t="inlineStr">
        <is>
          <t>عصمت الله خان</t>
        </is>
      </c>
      <c r="F27" s="25" t="inlineStr">
        <is>
          <t>50</t>
        </is>
      </c>
      <c r="G27" s="96" t="n">
        <v>45974</v>
      </c>
      <c r="H27" s="25" t="inlineStr">
        <is>
          <t>WHT-2883</t>
        </is>
      </c>
      <c r="I27" s="27" t="n">
        <v>4600</v>
      </c>
      <c r="J27" s="25" t="inlineStr">
        <is>
          <t>مسجلة</t>
        </is>
      </c>
      <c r="K27" s="25" t="n"/>
    </row>
    <row r="28">
      <c r="A28" s="25" t="inlineStr">
        <is>
          <t>RN-INV#51</t>
        </is>
      </c>
      <c r="B28" s="96" t="n">
        <v>45977</v>
      </c>
      <c r="C28" s="25" t="inlineStr">
        <is>
          <t>WHT-2897</t>
        </is>
      </c>
      <c r="D28" s="27" t="n">
        <v>900</v>
      </c>
      <c r="E28" s="25" t="inlineStr">
        <is>
          <t>عصمت الله خان</t>
        </is>
      </c>
      <c r="F28" s="25" t="inlineStr">
        <is>
          <t>51</t>
        </is>
      </c>
      <c r="G28" s="96" t="n">
        <v>45977</v>
      </c>
      <c r="H28" s="25" t="inlineStr">
        <is>
          <t>WHT-2897</t>
        </is>
      </c>
      <c r="I28" s="27" t="n">
        <v>900</v>
      </c>
      <c r="J28" s="25" t="inlineStr">
        <is>
          <t>مسجلة</t>
        </is>
      </c>
      <c r="K28" s="25" t="n"/>
    </row>
    <row r="29">
      <c r="A29" s="25" t="inlineStr">
        <is>
          <t>RN-INV#52</t>
        </is>
      </c>
      <c r="B29" s="96" t="n">
        <v>45978</v>
      </c>
      <c r="C29" s="25" t="inlineStr">
        <is>
          <t>WHK-2912</t>
        </is>
      </c>
      <c r="D29" s="27" t="n">
        <v>2650</v>
      </c>
      <c r="E29" s="25" t="inlineStr">
        <is>
          <t>م/ عادل أبو خالد</t>
        </is>
      </c>
      <c r="F29" s="25" t="inlineStr">
        <is>
          <t>52</t>
        </is>
      </c>
      <c r="G29" s="96" t="n">
        <v>45978</v>
      </c>
      <c r="H29" s="25" t="inlineStr">
        <is>
          <t>WHK-2912</t>
        </is>
      </c>
      <c r="I29" s="27" t="n">
        <v>2650</v>
      </c>
      <c r="J29" s="25" t="inlineStr">
        <is>
          <t>مسجلة</t>
        </is>
      </c>
      <c r="K29" s="25" t="n"/>
    </row>
    <row r="30">
      <c r="A30" s="25" t="inlineStr">
        <is>
          <t>RN-INV#53</t>
        </is>
      </c>
      <c r="B30" s="96" t="n">
        <v>45979</v>
      </c>
      <c r="C30" s="25" t="inlineStr">
        <is>
          <t>WHT-2914</t>
        </is>
      </c>
      <c r="D30" s="27" t="n">
        <v>5520</v>
      </c>
      <c r="E30" s="25" t="inlineStr">
        <is>
          <t>عصمت الله خان</t>
        </is>
      </c>
      <c r="F30" s="25" t="inlineStr">
        <is>
          <t>53</t>
        </is>
      </c>
      <c r="G30" s="96" t="n">
        <v>45978</v>
      </c>
      <c r="H30" s="25" t="inlineStr">
        <is>
          <t>WHT-2914</t>
        </is>
      </c>
      <c r="I30" s="27" t="n">
        <v>5520</v>
      </c>
      <c r="J30" s="25" t="inlineStr">
        <is>
          <t>مسجلة</t>
        </is>
      </c>
      <c r="K30" s="25" t="n"/>
    </row>
    <row r="31">
      <c r="A31" s="18" t="inlineStr">
        <is>
          <t>RN-INV#54</t>
        </is>
      </c>
      <c r="B31" s="98" t="n">
        <v>45981</v>
      </c>
      <c r="C31" s="18" t="inlineStr">
        <is>
          <t>RNW-2945</t>
        </is>
      </c>
      <c r="D31" s="19" t="n">
        <v>23100</v>
      </c>
      <c r="E31" s="18" t="inlineStr">
        <is>
          <t>م/ عادل أبو خالد</t>
        </is>
      </c>
      <c r="F31" s="18" t="inlineStr">
        <is>
          <t>54</t>
        </is>
      </c>
      <c r="G31" s="98" t="n">
        <v>45980</v>
      </c>
      <c r="H31" s="18" t="inlineStr">
        <is>
          <t>WHK-2364</t>
        </is>
      </c>
      <c r="I31" s="19" t="n">
        <v>23100</v>
      </c>
      <c r="J31" s="18" t="inlineStr">
        <is>
          <t>مسجلة مع ملاحظة</t>
        </is>
      </c>
      <c r="K31" s="18" t="inlineStr">
        <is>
          <t>مسجلة بالكشف على عقد عرعر WHK-2364 بدلاً من RNW-2945</t>
        </is>
      </c>
    </row>
    <row r="32">
      <c r="A32" s="25" t="inlineStr">
        <is>
          <t>RN-INV#55</t>
        </is>
      </c>
      <c r="B32" s="96" t="n">
        <v>45981</v>
      </c>
      <c r="C32" s="25" t="inlineStr">
        <is>
          <t>WHK-2948</t>
        </is>
      </c>
      <c r="D32" s="27" t="n">
        <v>1535</v>
      </c>
      <c r="E32" s="25" t="inlineStr">
        <is>
          <t>م/ عادل أبو خالد</t>
        </is>
      </c>
      <c r="F32" s="25" t="inlineStr">
        <is>
          <t>55</t>
        </is>
      </c>
      <c r="G32" s="96" t="n">
        <v>45981</v>
      </c>
      <c r="H32" s="25" t="inlineStr">
        <is>
          <t>WHK-2948</t>
        </is>
      </c>
      <c r="I32" s="27" t="n">
        <v>1535</v>
      </c>
      <c r="J32" s="25" t="inlineStr">
        <is>
          <t>مسجلة</t>
        </is>
      </c>
      <c r="K32" s="25" t="n"/>
    </row>
    <row r="33">
      <c r="A33" s="25" t="inlineStr">
        <is>
          <t>RN-INV#56</t>
        </is>
      </c>
      <c r="B33" s="96" t="n">
        <v>45981</v>
      </c>
      <c r="C33" s="25" t="inlineStr">
        <is>
          <t>WHT-2951</t>
        </is>
      </c>
      <c r="D33" s="27" t="n">
        <v>5955</v>
      </c>
      <c r="E33" s="25" t="inlineStr">
        <is>
          <t>عصمت الله خان</t>
        </is>
      </c>
      <c r="F33" s="25" t="inlineStr">
        <is>
          <t>56</t>
        </is>
      </c>
      <c r="G33" s="96" t="n">
        <v>45979</v>
      </c>
      <c r="H33" s="25" t="inlineStr">
        <is>
          <t>WHT-2951</t>
        </is>
      </c>
      <c r="I33" s="27" t="n">
        <v>5955</v>
      </c>
      <c r="J33" s="25" t="inlineStr">
        <is>
          <t>مسجلة</t>
        </is>
      </c>
      <c r="K33" s="25" t="n"/>
    </row>
    <row r="34">
      <c r="A34" s="18" t="inlineStr">
        <is>
          <t>RN-INV#57</t>
        </is>
      </c>
      <c r="B34" s="98" t="n">
        <v>45982</v>
      </c>
      <c r="C34" s="18" t="inlineStr">
        <is>
          <t>WHT-2953</t>
        </is>
      </c>
      <c r="D34" s="19" t="n">
        <v>12742.5</v>
      </c>
      <c r="E34" s="18" t="inlineStr">
        <is>
          <t>عصمت الله خان</t>
        </is>
      </c>
      <c r="F34" s="18" t="inlineStr">
        <is>
          <t>58</t>
        </is>
      </c>
      <c r="G34" s="98" t="n">
        <v>45980</v>
      </c>
      <c r="H34" s="18" t="inlineStr">
        <is>
          <t>WHT-2953</t>
        </is>
      </c>
      <c r="I34" s="19" t="n">
        <v>12742.5</v>
      </c>
      <c r="J34" s="18" t="inlineStr">
        <is>
          <t>مسجلة مع ملاحظة</t>
        </is>
      </c>
      <c r="K34" s="18" t="inlineStr">
        <is>
          <t>الفاتورتان 57 و58 بنفس العقد WHT-2953 ونفس القيمة – مسجلة بالكشف مرة واحدة فقط (مستند 58)</t>
        </is>
      </c>
    </row>
    <row r="35">
      <c r="A35" s="34" t="inlineStr">
        <is>
          <t>RN-INV#58</t>
        </is>
      </c>
      <c r="B35" s="99" t="n">
        <v>45982</v>
      </c>
      <c r="C35" s="34" t="inlineStr">
        <is>
          <t>WHT-2953</t>
        </is>
      </c>
      <c r="D35" s="36" t="n">
        <v>12742.5</v>
      </c>
      <c r="E35" s="34" t="inlineStr">
        <is>
          <t>عصمت الله خان</t>
        </is>
      </c>
      <c r="F35" s="34" t="n"/>
      <c r="G35" s="34" t="n"/>
      <c r="H35" s="34" t="n"/>
      <c r="I35" s="34" t="n"/>
      <c r="J35" s="34" t="inlineStr">
        <is>
          <t>غير مسجلة بالكشف</t>
        </is>
      </c>
      <c r="K35" s="34" t="inlineStr">
        <is>
          <t>مكررة مع الفاتورة 57 – غير مسجلة بالكشف (يُرجّح إلغاء إحداهما)</t>
        </is>
      </c>
    </row>
    <row r="36">
      <c r="A36" s="25" t="inlineStr">
        <is>
          <t>RN-INV#59</t>
        </is>
      </c>
      <c r="B36" s="96" t="n">
        <v>45982</v>
      </c>
      <c r="C36" s="25" t="inlineStr">
        <is>
          <t>WHT-2955</t>
        </is>
      </c>
      <c r="D36" s="27" t="n">
        <v>8847.5</v>
      </c>
      <c r="E36" s="25" t="inlineStr">
        <is>
          <t>عصمت الله خان</t>
        </is>
      </c>
      <c r="F36" s="25" t="inlineStr">
        <is>
          <t>59</t>
        </is>
      </c>
      <c r="G36" s="96" t="n">
        <v>45981</v>
      </c>
      <c r="H36" s="25" t="inlineStr">
        <is>
          <t>WHT-2955</t>
        </is>
      </c>
      <c r="I36" s="27" t="n">
        <v>8847.5</v>
      </c>
      <c r="J36" s="25" t="inlineStr">
        <is>
          <t>مسجلة</t>
        </is>
      </c>
      <c r="K36" s="25" t="n"/>
    </row>
    <row r="37">
      <c r="A37" s="25" t="inlineStr">
        <is>
          <t>RN-INV#60</t>
        </is>
      </c>
      <c r="B37" s="96" t="n">
        <v>45984</v>
      </c>
      <c r="C37" s="25" t="inlineStr">
        <is>
          <t>WHT-2968</t>
        </is>
      </c>
      <c r="D37" s="27" t="n">
        <v>10135</v>
      </c>
      <c r="E37" s="25" t="inlineStr">
        <is>
          <t>عصمت الله خان</t>
        </is>
      </c>
      <c r="F37" s="25" t="inlineStr">
        <is>
          <t>60</t>
        </is>
      </c>
      <c r="G37" s="96" t="n">
        <v>45983</v>
      </c>
      <c r="H37" s="25" t="inlineStr">
        <is>
          <t>WHT-2968</t>
        </is>
      </c>
      <c r="I37" s="27" t="n">
        <v>10135</v>
      </c>
      <c r="J37" s="25" t="inlineStr">
        <is>
          <t>مسجلة</t>
        </is>
      </c>
      <c r="K37" s="25" t="n"/>
    </row>
    <row r="38">
      <c r="A38" s="25" t="inlineStr">
        <is>
          <t>RN-INV#61</t>
        </is>
      </c>
      <c r="B38" s="96" t="n">
        <v>45984</v>
      </c>
      <c r="C38" s="25" t="inlineStr">
        <is>
          <t>WHK-2971</t>
        </is>
      </c>
      <c r="D38" s="27" t="n">
        <v>6090</v>
      </c>
      <c r="E38" s="25" t="inlineStr">
        <is>
          <t>م/ عادل أبو خالد</t>
        </is>
      </c>
      <c r="F38" s="25" t="inlineStr">
        <is>
          <t>61</t>
        </is>
      </c>
      <c r="G38" s="96" t="n">
        <v>45983</v>
      </c>
      <c r="H38" s="25" t="inlineStr">
        <is>
          <t>WHK-2971</t>
        </is>
      </c>
      <c r="I38" s="27" t="n">
        <v>6090</v>
      </c>
      <c r="J38" s="25" t="inlineStr">
        <is>
          <t>مسجلة</t>
        </is>
      </c>
      <c r="K38" s="25" t="n"/>
    </row>
    <row r="39">
      <c r="A39" s="25" t="inlineStr">
        <is>
          <t>RN-INV#62</t>
        </is>
      </c>
      <c r="B39" s="96" t="n">
        <v>45984</v>
      </c>
      <c r="C39" s="25" t="inlineStr">
        <is>
          <t>WHE-2973</t>
        </is>
      </c>
      <c r="D39" s="27" t="n">
        <v>6315</v>
      </c>
      <c r="E39" s="25" t="inlineStr">
        <is>
          <t>عماد حمدي</t>
        </is>
      </c>
      <c r="F39" s="25" t="inlineStr">
        <is>
          <t>62</t>
        </is>
      </c>
      <c r="G39" s="96" t="n">
        <v>45983</v>
      </c>
      <c r="H39" s="25" t="inlineStr">
        <is>
          <t>WHE-2973</t>
        </is>
      </c>
      <c r="I39" s="27" t="n">
        <v>6315</v>
      </c>
      <c r="J39" s="25" t="inlineStr">
        <is>
          <t>مسجلة</t>
        </is>
      </c>
      <c r="K39" s="25" t="n"/>
    </row>
    <row r="40">
      <c r="A40" s="25" t="inlineStr">
        <is>
          <t>RN-INV#63</t>
        </is>
      </c>
      <c r="B40" s="96" t="n">
        <v>45985</v>
      </c>
      <c r="C40" s="25" t="inlineStr">
        <is>
          <t>WHT-2980</t>
        </is>
      </c>
      <c r="D40" s="27" t="n">
        <v>8455</v>
      </c>
      <c r="E40" s="25" t="inlineStr">
        <is>
          <t>عصمت الله خان</t>
        </is>
      </c>
      <c r="F40" s="25" t="inlineStr">
        <is>
          <t>63</t>
        </is>
      </c>
      <c r="G40" s="96" t="n">
        <v>45984</v>
      </c>
      <c r="H40" s="25" t="inlineStr">
        <is>
          <t>WHT-2980</t>
        </is>
      </c>
      <c r="I40" s="27" t="n">
        <v>8455</v>
      </c>
      <c r="J40" s="25" t="inlineStr">
        <is>
          <t>مسجلة</t>
        </is>
      </c>
      <c r="K40" s="25" t="n"/>
    </row>
    <row r="41">
      <c r="A41" s="25" t="inlineStr">
        <is>
          <t>RN-INV#64</t>
        </is>
      </c>
      <c r="B41" s="96" t="n">
        <v>45985</v>
      </c>
      <c r="C41" s="25" t="inlineStr">
        <is>
          <t>WHK-2995</t>
        </is>
      </c>
      <c r="D41" s="27" t="n">
        <v>4200</v>
      </c>
      <c r="E41" s="25" t="inlineStr">
        <is>
          <t>م/ عادل أبو خالد</t>
        </is>
      </c>
      <c r="F41" s="25" t="inlineStr">
        <is>
          <t>64</t>
        </is>
      </c>
      <c r="G41" s="96" t="n">
        <v>45985</v>
      </c>
      <c r="H41" s="25" t="inlineStr">
        <is>
          <t>WHK-2995</t>
        </is>
      </c>
      <c r="I41" s="27" t="n">
        <v>4200</v>
      </c>
      <c r="J41" s="25" t="inlineStr">
        <is>
          <t>مسجلة</t>
        </is>
      </c>
      <c r="K41" s="25" t="n"/>
    </row>
    <row r="42">
      <c r="A42" s="25" t="inlineStr">
        <is>
          <t>RN-INV#65</t>
        </is>
      </c>
      <c r="B42" s="96" t="n">
        <v>45986</v>
      </c>
      <c r="C42" s="25" t="inlineStr">
        <is>
          <t>WHT-2997</t>
        </is>
      </c>
      <c r="D42" s="27" t="n">
        <v>6210</v>
      </c>
      <c r="E42" s="25" t="inlineStr">
        <is>
          <t>عصمت الله خان</t>
        </is>
      </c>
      <c r="F42" s="25" t="inlineStr">
        <is>
          <t>65</t>
        </is>
      </c>
      <c r="G42" s="96" t="n">
        <v>45985</v>
      </c>
      <c r="H42" s="25" t="inlineStr">
        <is>
          <t>WHT-2997</t>
        </is>
      </c>
      <c r="I42" s="27" t="n">
        <v>6210</v>
      </c>
      <c r="J42" s="25" t="inlineStr">
        <is>
          <t>مسجلة</t>
        </is>
      </c>
      <c r="K42" s="25" t="n"/>
    </row>
    <row r="43">
      <c r="A43" s="25" t="inlineStr">
        <is>
          <t>RN-INV#66</t>
        </is>
      </c>
      <c r="B43" s="96" t="n">
        <v>45987</v>
      </c>
      <c r="C43" s="25" t="inlineStr">
        <is>
          <t>WHT-3009</t>
        </is>
      </c>
      <c r="D43" s="27" t="n">
        <v>4080</v>
      </c>
      <c r="E43" s="25" t="inlineStr">
        <is>
          <t>عصمت الله خان</t>
        </is>
      </c>
      <c r="F43" s="25" t="inlineStr">
        <is>
          <t>66</t>
        </is>
      </c>
      <c r="G43" s="96" t="n">
        <v>45986</v>
      </c>
      <c r="H43" s="25" t="inlineStr">
        <is>
          <t>WHT-3009</t>
        </is>
      </c>
      <c r="I43" s="27" t="n">
        <v>4080</v>
      </c>
      <c r="J43" s="25" t="inlineStr">
        <is>
          <t>مسجلة</t>
        </is>
      </c>
      <c r="K43" s="25" t="n"/>
    </row>
    <row r="44">
      <c r="A44" s="25" t="inlineStr">
        <is>
          <t>RN-INV#67</t>
        </is>
      </c>
      <c r="B44" s="96" t="n">
        <v>45987</v>
      </c>
      <c r="C44" s="25" t="inlineStr">
        <is>
          <t>WHE-3011</t>
        </is>
      </c>
      <c r="D44" s="27" t="n">
        <v>8300.5</v>
      </c>
      <c r="E44" s="25" t="inlineStr">
        <is>
          <t>عماد حمدي</t>
        </is>
      </c>
      <c r="F44" s="25" t="inlineStr">
        <is>
          <t>67</t>
        </is>
      </c>
      <c r="G44" s="96" t="n">
        <v>45986</v>
      </c>
      <c r="H44" s="25" t="inlineStr">
        <is>
          <t>WHE-3011</t>
        </is>
      </c>
      <c r="I44" s="27" t="n">
        <v>8300.5</v>
      </c>
      <c r="J44" s="25" t="inlineStr">
        <is>
          <t>مسجلة</t>
        </is>
      </c>
      <c r="K44" s="25" t="n"/>
    </row>
    <row r="45">
      <c r="A45" s="25" t="inlineStr">
        <is>
          <t>RN-INV#68</t>
        </is>
      </c>
      <c r="B45" s="96" t="n">
        <v>45988</v>
      </c>
      <c r="C45" s="25" t="inlineStr">
        <is>
          <t>WHK-3029</t>
        </is>
      </c>
      <c r="D45" s="27" t="n">
        <v>157.5</v>
      </c>
      <c r="E45" s="25" t="inlineStr">
        <is>
          <t>م/ عادل أبو خالد</t>
        </is>
      </c>
      <c r="F45" s="25" t="inlineStr">
        <is>
          <t>68</t>
        </is>
      </c>
      <c r="G45" s="96" t="n">
        <v>45987</v>
      </c>
      <c r="H45" s="25" t="inlineStr">
        <is>
          <t>WHK-3029</t>
        </is>
      </c>
      <c r="I45" s="27" t="n">
        <v>157.5</v>
      </c>
      <c r="J45" s="25" t="inlineStr">
        <is>
          <t>مسجلة</t>
        </is>
      </c>
      <c r="K45" s="25" t="n"/>
    </row>
    <row r="46">
      <c r="A46" s="25" t="inlineStr">
        <is>
          <t>RN-INV#69</t>
        </is>
      </c>
      <c r="B46" s="96" t="n">
        <v>45989</v>
      </c>
      <c r="C46" s="25" t="inlineStr">
        <is>
          <t>WHT-3039</t>
        </is>
      </c>
      <c r="D46" s="27" t="n">
        <v>5737.5</v>
      </c>
      <c r="E46" s="25" t="inlineStr">
        <is>
          <t>عصمت الله خان</t>
        </is>
      </c>
      <c r="F46" s="25" t="inlineStr">
        <is>
          <t>69</t>
        </is>
      </c>
      <c r="G46" s="96" t="n">
        <v>45988</v>
      </c>
      <c r="H46" s="25" t="inlineStr">
        <is>
          <t>WHT-3039</t>
        </is>
      </c>
      <c r="I46" s="27" t="n">
        <v>5737.5</v>
      </c>
      <c r="J46" s="25" t="inlineStr">
        <is>
          <t>مسجلة</t>
        </is>
      </c>
      <c r="K46" s="25" t="n"/>
    </row>
    <row r="47">
      <c r="A47" s="25" t="inlineStr">
        <is>
          <t>RN-INV#70</t>
        </is>
      </c>
      <c r="B47" s="96" t="n">
        <v>45989</v>
      </c>
      <c r="C47" s="25" t="inlineStr">
        <is>
          <t>WHE-3041</t>
        </is>
      </c>
      <c r="D47" s="27" t="n">
        <v>7387.5</v>
      </c>
      <c r="E47" s="25" t="inlineStr">
        <is>
          <t>عماد حمدي</t>
        </is>
      </c>
      <c r="F47" s="25" t="inlineStr">
        <is>
          <t>70</t>
        </is>
      </c>
      <c r="G47" s="96" t="n">
        <v>45989</v>
      </c>
      <c r="H47" s="25" t="inlineStr">
        <is>
          <t>WHE-3041</t>
        </is>
      </c>
      <c r="I47" s="27" t="n">
        <v>7387.5</v>
      </c>
      <c r="J47" s="25" t="inlineStr">
        <is>
          <t>مسجلة</t>
        </is>
      </c>
      <c r="K47" s="25" t="n"/>
    </row>
    <row r="48">
      <c r="A48" s="25" t="inlineStr">
        <is>
          <t>RN-INV#71</t>
        </is>
      </c>
      <c r="B48" s="96" t="n">
        <v>45991</v>
      </c>
      <c r="C48" s="25" t="inlineStr">
        <is>
          <t>WHT-3053</t>
        </is>
      </c>
      <c r="D48" s="27" t="n">
        <v>8065</v>
      </c>
      <c r="E48" s="25" t="inlineStr">
        <is>
          <t>عصمت الله خان</t>
        </is>
      </c>
      <c r="F48" s="25" t="inlineStr">
        <is>
          <t>71</t>
        </is>
      </c>
      <c r="G48" s="96" t="n">
        <v>45990</v>
      </c>
      <c r="H48" s="25" t="inlineStr">
        <is>
          <t>WHT-3053</t>
        </is>
      </c>
      <c r="I48" s="27" t="n">
        <v>8065</v>
      </c>
      <c r="J48" s="25" t="inlineStr">
        <is>
          <t>مسجلة</t>
        </is>
      </c>
      <c r="K48" s="25" t="n"/>
    </row>
    <row r="49">
      <c r="A49" s="25" t="inlineStr">
        <is>
          <t>RN-INV#72</t>
        </is>
      </c>
      <c r="B49" s="96" t="n">
        <v>45992</v>
      </c>
      <c r="C49" s="25" t="inlineStr">
        <is>
          <t>WHT-3074</t>
        </is>
      </c>
      <c r="D49" s="27" t="n">
        <v>5075</v>
      </c>
      <c r="E49" s="25" t="inlineStr">
        <is>
          <t>عصمت الله خان</t>
        </is>
      </c>
      <c r="F49" s="25" t="inlineStr">
        <is>
          <t>72</t>
        </is>
      </c>
      <c r="G49" s="96" t="n">
        <v>45991</v>
      </c>
      <c r="H49" s="25" t="inlineStr">
        <is>
          <t>WHT-3074</t>
        </is>
      </c>
      <c r="I49" s="27" t="n">
        <v>5075</v>
      </c>
      <c r="J49" s="25" t="inlineStr">
        <is>
          <t>مسجلة</t>
        </is>
      </c>
      <c r="K49" s="25" t="n"/>
    </row>
    <row r="50">
      <c r="A50" s="25" t="inlineStr">
        <is>
          <t>RN-INV#73</t>
        </is>
      </c>
      <c r="B50" s="96" t="n">
        <v>45992</v>
      </c>
      <c r="C50" s="25" t="inlineStr">
        <is>
          <t>WHE-3076</t>
        </is>
      </c>
      <c r="D50" s="27" t="n">
        <v>8400</v>
      </c>
      <c r="E50" s="25" t="inlineStr">
        <is>
          <t>عماد حمدي</t>
        </is>
      </c>
      <c r="F50" s="25" t="inlineStr">
        <is>
          <t>73</t>
        </is>
      </c>
      <c r="G50" s="96" t="n">
        <v>45991</v>
      </c>
      <c r="H50" s="25" t="inlineStr">
        <is>
          <t>WHE-3076</t>
        </is>
      </c>
      <c r="I50" s="27" t="n">
        <v>8400</v>
      </c>
      <c r="J50" s="25" t="inlineStr">
        <is>
          <t>مسجلة</t>
        </is>
      </c>
      <c r="K50" s="25" t="n"/>
    </row>
    <row r="51">
      <c r="A51" s="25" t="inlineStr">
        <is>
          <t>RN-INV#74</t>
        </is>
      </c>
      <c r="B51" s="96" t="n">
        <v>45993</v>
      </c>
      <c r="C51" s="25" t="inlineStr">
        <is>
          <t>WHT-3090</t>
        </is>
      </c>
      <c r="D51" s="27" t="n">
        <v>6787.5</v>
      </c>
      <c r="E51" s="25" t="inlineStr">
        <is>
          <t>عصمت الله خان</t>
        </is>
      </c>
      <c r="F51" s="25" t="inlineStr">
        <is>
          <t>74</t>
        </is>
      </c>
      <c r="G51" s="96" t="n">
        <v>45992</v>
      </c>
      <c r="H51" s="25" t="inlineStr">
        <is>
          <t>WHT-3090</t>
        </is>
      </c>
      <c r="I51" s="27" t="n">
        <v>6787.5</v>
      </c>
      <c r="J51" s="25" t="inlineStr">
        <is>
          <t>مسجلة</t>
        </is>
      </c>
      <c r="K51" s="25" t="n"/>
    </row>
    <row r="52">
      <c r="A52" s="25" t="inlineStr">
        <is>
          <t>RN-INV#75</t>
        </is>
      </c>
      <c r="B52" s="96" t="n">
        <v>45994</v>
      </c>
      <c r="C52" s="25" t="inlineStr">
        <is>
          <t>WHT-3102</t>
        </is>
      </c>
      <c r="D52" s="27" t="n">
        <v>2772.5</v>
      </c>
      <c r="E52" s="25" t="inlineStr">
        <is>
          <t>عصمت الله خان</t>
        </is>
      </c>
      <c r="F52" s="25" t="inlineStr">
        <is>
          <t>75</t>
        </is>
      </c>
      <c r="G52" s="96" t="n">
        <v>45993</v>
      </c>
      <c r="H52" s="25" t="inlineStr">
        <is>
          <t>WHT-3102</t>
        </is>
      </c>
      <c r="I52" s="27" t="n">
        <v>2772.5</v>
      </c>
      <c r="J52" s="25" t="inlineStr">
        <is>
          <t>مسجلة</t>
        </is>
      </c>
      <c r="K52" s="25" t="n"/>
    </row>
    <row r="53">
      <c r="A53" s="25" t="inlineStr">
        <is>
          <t>RN-INV#76</t>
        </is>
      </c>
      <c r="B53" s="96" t="n">
        <v>45995</v>
      </c>
      <c r="C53" s="25" t="inlineStr">
        <is>
          <t>WHT-3117</t>
        </is>
      </c>
      <c r="D53" s="27" t="n">
        <v>4505</v>
      </c>
      <c r="E53" s="25" t="inlineStr">
        <is>
          <t>عصمت الله خان</t>
        </is>
      </c>
      <c r="F53" s="25" t="inlineStr">
        <is>
          <t>76</t>
        </is>
      </c>
      <c r="G53" s="96" t="n">
        <v>45994</v>
      </c>
      <c r="H53" s="25" t="inlineStr">
        <is>
          <t>WHT-3117</t>
        </is>
      </c>
      <c r="I53" s="27" t="n">
        <v>4505</v>
      </c>
      <c r="J53" s="25" t="inlineStr">
        <is>
          <t>مسجلة</t>
        </is>
      </c>
      <c r="K53" s="25" t="n"/>
    </row>
    <row r="54">
      <c r="A54" s="25" t="inlineStr">
        <is>
          <t>RN-INV#77</t>
        </is>
      </c>
      <c r="B54" s="96" t="n">
        <v>45996</v>
      </c>
      <c r="C54" s="25" t="inlineStr">
        <is>
          <t>WHT-3133</t>
        </is>
      </c>
      <c r="D54" s="27" t="n">
        <v>2880</v>
      </c>
      <c r="E54" s="25" t="inlineStr">
        <is>
          <t>عصمت الله خان</t>
        </is>
      </c>
      <c r="F54" s="25" t="inlineStr">
        <is>
          <t>77</t>
        </is>
      </c>
      <c r="G54" s="96" t="n">
        <v>45995</v>
      </c>
      <c r="H54" s="25" t="inlineStr">
        <is>
          <t>WHT-3133</t>
        </is>
      </c>
      <c r="I54" s="27" t="n">
        <v>2880</v>
      </c>
      <c r="J54" s="25" t="inlineStr">
        <is>
          <t>مسجلة</t>
        </is>
      </c>
      <c r="K54" s="25" t="n"/>
    </row>
    <row r="55">
      <c r="A55" s="25" t="inlineStr">
        <is>
          <t>RN-INV#78</t>
        </is>
      </c>
      <c r="B55" s="96" t="n">
        <v>45996</v>
      </c>
      <c r="C55" s="25" t="inlineStr">
        <is>
          <t>WHK-3135</t>
        </is>
      </c>
      <c r="D55" s="27" t="n">
        <v>1680</v>
      </c>
      <c r="E55" s="25" t="inlineStr">
        <is>
          <t>م/ عادل أبو خالد</t>
        </is>
      </c>
      <c r="F55" s="25" t="inlineStr">
        <is>
          <t>78</t>
        </is>
      </c>
      <c r="G55" s="96" t="n">
        <v>45995</v>
      </c>
      <c r="H55" s="25" t="inlineStr">
        <is>
          <t>WHK-3135</t>
        </is>
      </c>
      <c r="I55" s="27" t="n">
        <v>1680</v>
      </c>
      <c r="J55" s="25" t="inlineStr">
        <is>
          <t>مسجلة</t>
        </is>
      </c>
      <c r="K55" s="25" t="n"/>
    </row>
    <row r="56">
      <c r="A56" s="25" t="inlineStr">
        <is>
          <t>RN-INV#79</t>
        </is>
      </c>
      <c r="B56" s="96" t="n">
        <v>45998</v>
      </c>
      <c r="C56" s="25" t="inlineStr">
        <is>
          <t>WHT-3150</t>
        </is>
      </c>
      <c r="D56" s="27" t="n">
        <v>7617.5</v>
      </c>
      <c r="E56" s="25" t="inlineStr">
        <is>
          <t>عصمت الله خان</t>
        </is>
      </c>
      <c r="F56" s="25" t="inlineStr">
        <is>
          <t>79</t>
        </is>
      </c>
      <c r="G56" s="96" t="n">
        <v>45997</v>
      </c>
      <c r="H56" s="25" t="inlineStr">
        <is>
          <t>WHT-3150</t>
        </is>
      </c>
      <c r="I56" s="27" t="n">
        <v>7617.5</v>
      </c>
      <c r="J56" s="25" t="inlineStr">
        <is>
          <t>مسجلة</t>
        </is>
      </c>
      <c r="K56" s="25" t="n"/>
    </row>
    <row r="57">
      <c r="A57" s="25" t="inlineStr">
        <is>
          <t>RN-INV#80</t>
        </is>
      </c>
      <c r="B57" s="96" t="n">
        <v>45999</v>
      </c>
      <c r="C57" s="25" t="inlineStr">
        <is>
          <t>WHT-3162</t>
        </is>
      </c>
      <c r="D57" s="27" t="n">
        <v>2637.5</v>
      </c>
      <c r="E57" s="25" t="inlineStr">
        <is>
          <t>عصمت الله خان</t>
        </is>
      </c>
      <c r="F57" s="25" t="inlineStr">
        <is>
          <t>80</t>
        </is>
      </c>
      <c r="G57" s="96" t="n">
        <v>45998</v>
      </c>
      <c r="H57" s="25" t="inlineStr">
        <is>
          <t>WHT-3162</t>
        </is>
      </c>
      <c r="I57" s="27" t="n">
        <v>2637.5</v>
      </c>
      <c r="J57" s="25" t="inlineStr">
        <is>
          <t>مسجلة</t>
        </is>
      </c>
      <c r="K57" s="25" t="n"/>
    </row>
    <row r="58">
      <c r="A58" s="25" t="inlineStr">
        <is>
          <t>RN-INV#81</t>
        </is>
      </c>
      <c r="B58" s="96" t="n">
        <v>46000</v>
      </c>
      <c r="C58" s="25" t="inlineStr">
        <is>
          <t>WHT-3173</t>
        </is>
      </c>
      <c r="D58" s="27" t="n">
        <v>2940</v>
      </c>
      <c r="E58" s="25" t="inlineStr">
        <is>
          <t>عصمت الله خان</t>
        </is>
      </c>
      <c r="F58" s="25" t="inlineStr">
        <is>
          <t>81</t>
        </is>
      </c>
      <c r="G58" s="96" t="n">
        <v>45999</v>
      </c>
      <c r="H58" s="25" t="inlineStr">
        <is>
          <t>WHT-3173</t>
        </is>
      </c>
      <c r="I58" s="27" t="n">
        <v>2940</v>
      </c>
      <c r="J58" s="25" t="inlineStr">
        <is>
          <t>مسجلة</t>
        </is>
      </c>
      <c r="K58" s="25" t="n"/>
    </row>
    <row r="59">
      <c r="A59" s="25" t="inlineStr">
        <is>
          <t>RN-INV#82</t>
        </is>
      </c>
      <c r="B59" s="96" t="n">
        <v>46001</v>
      </c>
      <c r="C59" s="25" t="inlineStr">
        <is>
          <t>WHT-3197</t>
        </is>
      </c>
      <c r="D59" s="27" t="n">
        <v>2546.25</v>
      </c>
      <c r="E59" s="25" t="inlineStr">
        <is>
          <t>عصمت الله خان</t>
        </is>
      </c>
      <c r="F59" s="25" t="inlineStr">
        <is>
          <t>82</t>
        </is>
      </c>
      <c r="G59" s="96" t="n">
        <v>46000</v>
      </c>
      <c r="H59" s="25" t="inlineStr">
        <is>
          <t>WHT-3197</t>
        </is>
      </c>
      <c r="I59" s="27" t="n">
        <v>2546.25</v>
      </c>
      <c r="J59" s="25" t="inlineStr">
        <is>
          <t>مسجلة</t>
        </is>
      </c>
      <c r="K59" s="25" t="n"/>
    </row>
    <row r="60">
      <c r="A60" s="25" t="inlineStr">
        <is>
          <t>RN-INV#83</t>
        </is>
      </c>
      <c r="B60" s="96" t="n">
        <v>46002</v>
      </c>
      <c r="C60" s="25" t="inlineStr">
        <is>
          <t>WHT-3208</t>
        </is>
      </c>
      <c r="D60" s="27" t="n">
        <v>2253.75</v>
      </c>
      <c r="E60" s="25" t="inlineStr">
        <is>
          <t>عصمت الله خان</t>
        </is>
      </c>
      <c r="F60" s="25" t="inlineStr">
        <is>
          <t>83</t>
        </is>
      </c>
      <c r="G60" s="96" t="n">
        <v>46001</v>
      </c>
      <c r="H60" s="25" t="inlineStr">
        <is>
          <t>WHT-3208</t>
        </is>
      </c>
      <c r="I60" s="27" t="n">
        <v>2253.75</v>
      </c>
      <c r="J60" s="25" t="inlineStr">
        <is>
          <t>مسجلة</t>
        </is>
      </c>
      <c r="K60" s="25" t="n"/>
    </row>
    <row r="61">
      <c r="A61" s="18" t="inlineStr">
        <is>
          <t>RN-INV#84</t>
        </is>
      </c>
      <c r="B61" s="98" t="n">
        <v>46002</v>
      </c>
      <c r="C61" s="18" t="inlineStr">
        <is>
          <t>RNW-3210</t>
        </is>
      </c>
      <c r="D61" s="19" t="n">
        <v>23375</v>
      </c>
      <c r="E61" s="18" t="inlineStr">
        <is>
          <t>م/ عادل أبو خالد</t>
        </is>
      </c>
      <c r="F61" s="18" t="inlineStr">
        <is>
          <t>84</t>
        </is>
      </c>
      <c r="G61" s="98" t="n">
        <v>46002</v>
      </c>
      <c r="H61" s="18" t="inlineStr">
        <is>
          <t>WHK-2364</t>
        </is>
      </c>
      <c r="I61" s="19" t="n">
        <v>23375</v>
      </c>
      <c r="J61" s="18" t="inlineStr">
        <is>
          <t>مسجلة مع ملاحظة</t>
        </is>
      </c>
      <c r="K61" s="18" t="inlineStr">
        <is>
          <t>مسجلة بالكشف على عقد عرعر WHK-2364 بدلاً من RNW-3210</t>
        </is>
      </c>
    </row>
    <row r="62">
      <c r="A62" s="25" t="inlineStr">
        <is>
          <t>RN-INV#85</t>
        </is>
      </c>
      <c r="B62" s="96" t="n">
        <v>46002</v>
      </c>
      <c r="C62" s="25" t="inlineStr">
        <is>
          <t>WHE-3212</t>
        </is>
      </c>
      <c r="D62" s="27" t="n">
        <v>10731.25</v>
      </c>
      <c r="E62" s="25" t="inlineStr">
        <is>
          <t>عماد حمدي</t>
        </is>
      </c>
      <c r="F62" s="25" t="inlineStr">
        <is>
          <t>85</t>
        </is>
      </c>
      <c r="G62" s="96" t="n">
        <v>46002</v>
      </c>
      <c r="H62" s="25" t="inlineStr">
        <is>
          <t>WHE-3212</t>
        </is>
      </c>
      <c r="I62" s="27" t="n">
        <v>10731.25</v>
      </c>
      <c r="J62" s="25" t="inlineStr">
        <is>
          <t>مسجلة</t>
        </is>
      </c>
      <c r="K62" s="25" t="n"/>
    </row>
    <row r="63">
      <c r="A63" s="25" t="inlineStr">
        <is>
          <t>RN-INV#86</t>
        </is>
      </c>
      <c r="B63" s="96" t="n">
        <v>46003</v>
      </c>
      <c r="C63" s="25" t="inlineStr">
        <is>
          <t>WHT-3215</t>
        </is>
      </c>
      <c r="D63" s="27" t="n">
        <v>3075</v>
      </c>
      <c r="E63" s="25" t="inlineStr">
        <is>
          <t>عصمت الله خان</t>
        </is>
      </c>
      <c r="F63" s="25" t="inlineStr">
        <is>
          <t>86</t>
        </is>
      </c>
      <c r="G63" s="96" t="n">
        <v>46002</v>
      </c>
      <c r="H63" s="25" t="inlineStr">
        <is>
          <t>WHT-3215</t>
        </is>
      </c>
      <c r="I63" s="27" t="n">
        <v>3075</v>
      </c>
      <c r="J63" s="25" t="inlineStr">
        <is>
          <t>مسجلة</t>
        </is>
      </c>
      <c r="K63" s="25" t="n"/>
    </row>
    <row r="64">
      <c r="A64" s="25" t="inlineStr">
        <is>
          <t>RN-INV#87</t>
        </is>
      </c>
      <c r="B64" s="96" t="n">
        <v>46005</v>
      </c>
      <c r="C64" s="25" t="inlineStr">
        <is>
          <t>WHT-3228</t>
        </is>
      </c>
      <c r="D64" s="27" t="n">
        <v>1728.75</v>
      </c>
      <c r="E64" s="25" t="inlineStr">
        <is>
          <t>عصمت الله خان</t>
        </is>
      </c>
      <c r="F64" s="25" t="inlineStr">
        <is>
          <t>87</t>
        </is>
      </c>
      <c r="G64" s="96" t="n">
        <v>46004</v>
      </c>
      <c r="H64" s="25" t="inlineStr">
        <is>
          <t>WHT-3228</t>
        </is>
      </c>
      <c r="I64" s="27" t="n">
        <v>1728.75</v>
      </c>
      <c r="J64" s="25" t="inlineStr">
        <is>
          <t>مسجلة</t>
        </is>
      </c>
      <c r="K64" s="25" t="n"/>
    </row>
    <row r="65">
      <c r="A65" s="25" t="inlineStr">
        <is>
          <t>RN-INV#88</t>
        </is>
      </c>
      <c r="B65" s="96" t="n">
        <v>46006</v>
      </c>
      <c r="C65" s="25" t="inlineStr">
        <is>
          <t>WHT-3241</t>
        </is>
      </c>
      <c r="D65" s="27" t="n">
        <v>1057.5</v>
      </c>
      <c r="E65" s="25" t="inlineStr">
        <is>
          <t>عصمت الله خان</t>
        </is>
      </c>
      <c r="F65" s="25" t="inlineStr">
        <is>
          <t>88</t>
        </is>
      </c>
      <c r="G65" s="96" t="n">
        <v>46005</v>
      </c>
      <c r="H65" s="25" t="inlineStr">
        <is>
          <t>WHT-3241</t>
        </is>
      </c>
      <c r="I65" s="27" t="n">
        <v>1057.5</v>
      </c>
      <c r="J65" s="25" t="inlineStr">
        <is>
          <t>مسجلة</t>
        </is>
      </c>
      <c r="K65" s="25" t="n"/>
    </row>
    <row r="66">
      <c r="A66" s="25" t="inlineStr">
        <is>
          <t>RN-INV#89</t>
        </is>
      </c>
      <c r="B66" s="96" t="n">
        <v>46006</v>
      </c>
      <c r="C66" s="25" t="inlineStr">
        <is>
          <t>WHK-3243</t>
        </is>
      </c>
      <c r="D66" s="27" t="n">
        <v>1875</v>
      </c>
      <c r="E66" s="25" t="inlineStr">
        <is>
          <t>م/ عادل أبو خالد</t>
        </is>
      </c>
      <c r="F66" s="25" t="inlineStr">
        <is>
          <t>89</t>
        </is>
      </c>
      <c r="G66" s="96" t="n">
        <v>46005</v>
      </c>
      <c r="H66" s="25" t="inlineStr">
        <is>
          <t>WHK-3243</t>
        </is>
      </c>
      <c r="I66" s="27" t="n">
        <v>1875</v>
      </c>
      <c r="J66" s="25" t="inlineStr">
        <is>
          <t>مسجلة</t>
        </is>
      </c>
      <c r="K66" s="25" t="n"/>
    </row>
    <row r="67">
      <c r="A67" s="25" t="inlineStr">
        <is>
          <t>RN-INV#90</t>
        </is>
      </c>
      <c r="B67" s="96" t="n">
        <v>46006</v>
      </c>
      <c r="C67" s="25" t="inlineStr">
        <is>
          <t>WHE-3245</t>
        </is>
      </c>
      <c r="D67" s="27" t="n">
        <v>4845.5</v>
      </c>
      <c r="E67" s="25" t="inlineStr">
        <is>
          <t>عماد حمدي</t>
        </is>
      </c>
      <c r="F67" s="25" t="inlineStr">
        <is>
          <t>90</t>
        </is>
      </c>
      <c r="G67" s="96" t="n">
        <v>46005</v>
      </c>
      <c r="H67" s="25" t="inlineStr">
        <is>
          <t>WHE-3245</t>
        </is>
      </c>
      <c r="I67" s="27" t="n">
        <v>4845.5</v>
      </c>
      <c r="J67" s="25" t="inlineStr">
        <is>
          <t>مسجلة</t>
        </is>
      </c>
      <c r="K67" s="25" t="n"/>
    </row>
    <row r="68">
      <c r="A68" s="25" t="inlineStr">
        <is>
          <t>RN-INV#91</t>
        </is>
      </c>
      <c r="B68" s="96" t="n">
        <v>46007</v>
      </c>
      <c r="C68" s="25" t="inlineStr">
        <is>
          <t>WHT-3253</t>
        </is>
      </c>
      <c r="D68" s="27" t="n">
        <v>5730</v>
      </c>
      <c r="E68" s="25" t="inlineStr">
        <is>
          <t>عصمت الله خان</t>
        </is>
      </c>
      <c r="F68" s="25" t="inlineStr">
        <is>
          <t>91</t>
        </is>
      </c>
      <c r="G68" s="96" t="n">
        <v>46006</v>
      </c>
      <c r="H68" s="25" t="inlineStr">
        <is>
          <t>WHT-3253</t>
        </is>
      </c>
      <c r="I68" s="27" t="n">
        <v>5730</v>
      </c>
      <c r="J68" s="25" t="inlineStr">
        <is>
          <t>مسجلة</t>
        </is>
      </c>
      <c r="K68" s="25" t="n"/>
    </row>
    <row r="69">
      <c r="A69" s="25" t="inlineStr">
        <is>
          <t>RN-INV#92</t>
        </is>
      </c>
      <c r="B69" s="96" t="n">
        <v>46008</v>
      </c>
      <c r="C69" s="25" t="inlineStr">
        <is>
          <t>WHT-3266</t>
        </is>
      </c>
      <c r="D69" s="27" t="n">
        <v>7080</v>
      </c>
      <c r="E69" s="25" t="inlineStr">
        <is>
          <t>عصمت الله خان</t>
        </is>
      </c>
      <c r="F69" s="25" t="inlineStr">
        <is>
          <t>92</t>
        </is>
      </c>
      <c r="G69" s="96" t="n">
        <v>46007</v>
      </c>
      <c r="H69" s="25" t="inlineStr">
        <is>
          <t>WHT-3266</t>
        </is>
      </c>
      <c r="I69" s="27" t="n">
        <v>7080</v>
      </c>
      <c r="J69" s="25" t="inlineStr">
        <is>
          <t>مسجلة</t>
        </is>
      </c>
      <c r="K69" s="25" t="n"/>
    </row>
    <row r="70">
      <c r="A70" s="25" t="inlineStr">
        <is>
          <t>RN-INV#93</t>
        </is>
      </c>
      <c r="B70" s="96" t="n">
        <v>46009</v>
      </c>
      <c r="C70" s="25" t="inlineStr">
        <is>
          <t>WHT-3270</t>
        </is>
      </c>
      <c r="D70" s="27" t="n">
        <v>1785</v>
      </c>
      <c r="E70" s="25" t="inlineStr">
        <is>
          <t>عصمت الله خان</t>
        </is>
      </c>
      <c r="F70" s="25" t="inlineStr">
        <is>
          <t>93</t>
        </is>
      </c>
      <c r="G70" s="96" t="n">
        <v>46008</v>
      </c>
      <c r="H70" s="25" t="inlineStr">
        <is>
          <t>WHT-3270</t>
        </is>
      </c>
      <c r="I70" s="27" t="n">
        <v>1785</v>
      </c>
      <c r="J70" s="25" t="inlineStr">
        <is>
          <t>مسجلة</t>
        </is>
      </c>
      <c r="K70" s="25" t="n"/>
    </row>
    <row r="71">
      <c r="A71" s="25" t="inlineStr">
        <is>
          <t>RN-INV#94</t>
        </is>
      </c>
      <c r="B71" s="96" t="n">
        <v>46009</v>
      </c>
      <c r="C71" s="25" t="inlineStr">
        <is>
          <t>WHE-3274</t>
        </is>
      </c>
      <c r="D71" s="27" t="n">
        <v>6818.5</v>
      </c>
      <c r="E71" s="25" t="inlineStr">
        <is>
          <t>عماد حمدي</t>
        </is>
      </c>
      <c r="F71" s="25" t="inlineStr">
        <is>
          <t>94</t>
        </is>
      </c>
      <c r="G71" s="96" t="n">
        <v>46008</v>
      </c>
      <c r="H71" s="25" t="inlineStr">
        <is>
          <t>WHE-3274</t>
        </is>
      </c>
      <c r="I71" s="27" t="n">
        <v>6818.5</v>
      </c>
      <c r="J71" s="25" t="inlineStr">
        <is>
          <t>مسجلة</t>
        </is>
      </c>
      <c r="K71" s="25" t="n"/>
    </row>
    <row r="72">
      <c r="A72" s="25" t="inlineStr">
        <is>
          <t>RN-INV#95</t>
        </is>
      </c>
      <c r="B72" s="96" t="n">
        <v>46012</v>
      </c>
      <c r="C72" s="25" t="inlineStr">
        <is>
          <t>WHT-3294</t>
        </is>
      </c>
      <c r="D72" s="27" t="n">
        <v>885</v>
      </c>
      <c r="E72" s="25" t="inlineStr">
        <is>
          <t>عصمت الله خان</t>
        </is>
      </c>
      <c r="F72" s="25" t="inlineStr">
        <is>
          <t>95</t>
        </is>
      </c>
      <c r="G72" s="96" t="n">
        <v>46011</v>
      </c>
      <c r="H72" s="25" t="inlineStr">
        <is>
          <t>WHT-3294</t>
        </is>
      </c>
      <c r="I72" s="27" t="n">
        <v>885</v>
      </c>
      <c r="J72" s="25" t="inlineStr">
        <is>
          <t>مسجلة</t>
        </is>
      </c>
      <c r="K72" s="25" t="n"/>
    </row>
    <row r="73">
      <c r="A73" s="25" t="inlineStr">
        <is>
          <t>RN-INV#96</t>
        </is>
      </c>
      <c r="B73" s="96" t="n">
        <v>46013</v>
      </c>
      <c r="C73" s="25" t="inlineStr">
        <is>
          <t>WHT-3303</t>
        </is>
      </c>
      <c r="D73" s="27" t="n">
        <v>970</v>
      </c>
      <c r="E73" s="25" t="inlineStr">
        <is>
          <t>عصمت الله خان</t>
        </is>
      </c>
      <c r="F73" s="25" t="inlineStr">
        <is>
          <t>96</t>
        </is>
      </c>
      <c r="G73" s="96" t="n">
        <v>46012</v>
      </c>
      <c r="H73" s="25" t="inlineStr">
        <is>
          <t>WHT-3303</t>
        </is>
      </c>
      <c r="I73" s="27" t="n">
        <v>970</v>
      </c>
      <c r="J73" s="25" t="inlineStr">
        <is>
          <t>مسجلة</t>
        </is>
      </c>
      <c r="K73" s="25" t="n"/>
    </row>
    <row r="74">
      <c r="A74" s="25" t="inlineStr">
        <is>
          <t>RN-INV#97</t>
        </is>
      </c>
      <c r="B74" s="96" t="n">
        <v>46014</v>
      </c>
      <c r="C74" s="25" t="inlineStr">
        <is>
          <t>WHT-3316</t>
        </is>
      </c>
      <c r="D74" s="27" t="n">
        <v>615</v>
      </c>
      <c r="E74" s="25" t="inlineStr">
        <is>
          <t>عصمت الله خان</t>
        </is>
      </c>
      <c r="F74" s="25" t="inlineStr">
        <is>
          <t>97</t>
        </is>
      </c>
      <c r="G74" s="96" t="n">
        <v>46013</v>
      </c>
      <c r="H74" s="25" t="inlineStr">
        <is>
          <t>WHT-3316</t>
        </is>
      </c>
      <c r="I74" s="27" t="n">
        <v>615</v>
      </c>
      <c r="J74" s="25" t="inlineStr">
        <is>
          <t>مسجلة</t>
        </is>
      </c>
      <c r="K74" s="25" t="n"/>
    </row>
    <row r="75">
      <c r="A75" s="25" t="inlineStr">
        <is>
          <t>RN-INV#98</t>
        </is>
      </c>
      <c r="B75" s="96" t="n">
        <v>46016</v>
      </c>
      <c r="C75" s="25" t="inlineStr">
        <is>
          <t>WHT-3329</t>
        </is>
      </c>
      <c r="D75" s="27" t="n">
        <v>1380</v>
      </c>
      <c r="E75" s="25" t="inlineStr">
        <is>
          <t>عصمت الله خان</t>
        </is>
      </c>
      <c r="F75" s="25" t="inlineStr">
        <is>
          <t>98</t>
        </is>
      </c>
      <c r="G75" s="96" t="n">
        <v>46014</v>
      </c>
      <c r="H75" s="25" t="inlineStr">
        <is>
          <t>WHT-3329</t>
        </is>
      </c>
      <c r="I75" s="27" t="n">
        <v>1380</v>
      </c>
      <c r="J75" s="25" t="inlineStr">
        <is>
          <t>مسجلة</t>
        </is>
      </c>
      <c r="K75" s="25" t="n"/>
    </row>
    <row r="76">
      <c r="A76" s="25" t="inlineStr">
        <is>
          <t>RN-INV#99</t>
        </is>
      </c>
      <c r="B76" s="96" t="n">
        <v>46019</v>
      </c>
      <c r="C76" s="25" t="inlineStr">
        <is>
          <t>WHT-3355</t>
        </is>
      </c>
      <c r="D76" s="27" t="n">
        <v>4845</v>
      </c>
      <c r="E76" s="25" t="inlineStr">
        <is>
          <t>عصمت الله خان</t>
        </is>
      </c>
      <c r="F76" s="25" t="inlineStr">
        <is>
          <t>99</t>
        </is>
      </c>
      <c r="G76" s="96" t="n">
        <v>46018</v>
      </c>
      <c r="H76" s="25" t="inlineStr">
        <is>
          <t>WHT-3355</t>
        </is>
      </c>
      <c r="I76" s="27" t="n">
        <v>4845</v>
      </c>
      <c r="J76" s="25" t="inlineStr">
        <is>
          <t>مسجلة</t>
        </is>
      </c>
      <c r="K76" s="25" t="n"/>
    </row>
    <row r="77">
      <c r="A77" s="18" t="inlineStr">
        <is>
          <t>RN-INV#100</t>
        </is>
      </c>
      <c r="B77" s="98" t="n">
        <v>46019</v>
      </c>
      <c r="C77" s="18" t="inlineStr">
        <is>
          <t>RNW-3357</t>
        </is>
      </c>
      <c r="D77" s="19" t="n">
        <v>22500</v>
      </c>
      <c r="E77" s="18" t="inlineStr">
        <is>
          <t>م/ عادل أبو خالد</t>
        </is>
      </c>
      <c r="F77" s="18" t="inlineStr">
        <is>
          <t>100</t>
        </is>
      </c>
      <c r="G77" s="98" t="n">
        <v>46018</v>
      </c>
      <c r="H77" s="18" t="inlineStr">
        <is>
          <t>WHK-2364</t>
        </is>
      </c>
      <c r="I77" s="19" t="n">
        <v>22500</v>
      </c>
      <c r="J77" s="18" t="inlineStr">
        <is>
          <t>مسجلة مع ملاحظة</t>
        </is>
      </c>
      <c r="K77" s="18" t="inlineStr">
        <is>
          <t>مسجلة بالكشف على عقد عرعر WHK-2364 بدلاً من RNW-3357</t>
        </is>
      </c>
    </row>
    <row r="78">
      <c r="A78" s="25" t="inlineStr">
        <is>
          <t>RN-INV#101</t>
        </is>
      </c>
      <c r="B78" s="96" t="n">
        <v>46019</v>
      </c>
      <c r="C78" s="25" t="inlineStr">
        <is>
          <t>WHT-3368</t>
        </is>
      </c>
      <c r="D78" s="27" t="n">
        <v>1245</v>
      </c>
      <c r="E78" s="25" t="inlineStr">
        <is>
          <t>عصمت الله خان</t>
        </is>
      </c>
      <c r="F78" s="25" t="inlineStr">
        <is>
          <t>101</t>
        </is>
      </c>
      <c r="G78" s="96" t="n">
        <v>46019</v>
      </c>
      <c r="H78" s="25" t="inlineStr">
        <is>
          <t>WHT-3368</t>
        </is>
      </c>
      <c r="I78" s="27" t="n">
        <v>1245</v>
      </c>
      <c r="J78" s="25" t="inlineStr">
        <is>
          <t>مسجلة</t>
        </is>
      </c>
      <c r="K78" s="25" t="n"/>
    </row>
    <row r="79">
      <c r="A79" s="25" t="inlineStr">
        <is>
          <t>RN-INV#102</t>
        </is>
      </c>
      <c r="B79" s="96" t="n">
        <v>46021</v>
      </c>
      <c r="C79" s="25" t="inlineStr">
        <is>
          <t>WHT-3379</t>
        </is>
      </c>
      <c r="D79" s="27" t="n">
        <v>1132.5</v>
      </c>
      <c r="E79" s="25" t="inlineStr">
        <is>
          <t>عصمت الله خان</t>
        </is>
      </c>
      <c r="F79" s="25" t="inlineStr">
        <is>
          <t>102</t>
        </is>
      </c>
      <c r="G79" s="96" t="n">
        <v>46020</v>
      </c>
      <c r="H79" s="25" t="inlineStr">
        <is>
          <t>WHT-3379</t>
        </is>
      </c>
      <c r="I79" s="27" t="n">
        <v>1132.5</v>
      </c>
      <c r="J79" s="25" t="inlineStr">
        <is>
          <t>مسجلة</t>
        </is>
      </c>
      <c r="K79" s="25" t="n"/>
    </row>
    <row r="80">
      <c r="A80" s="25" t="inlineStr">
        <is>
          <t>RN-INV#103</t>
        </is>
      </c>
      <c r="B80" s="96" t="n">
        <v>46021</v>
      </c>
      <c r="C80" s="25" t="inlineStr">
        <is>
          <t>WHK-3400</t>
        </is>
      </c>
      <c r="D80" s="27" t="n">
        <v>505</v>
      </c>
      <c r="E80" s="25" t="inlineStr">
        <is>
          <t>م/ عادل أبو خالد</t>
        </is>
      </c>
      <c r="F80" s="25" t="inlineStr">
        <is>
          <t>103</t>
        </is>
      </c>
      <c r="G80" s="96" t="n">
        <v>46021</v>
      </c>
      <c r="H80" s="25" t="inlineStr">
        <is>
          <t>WHK-3400</t>
        </is>
      </c>
      <c r="I80" s="27" t="n">
        <v>505</v>
      </c>
      <c r="J80" s="25" t="inlineStr">
        <is>
          <t>مسجلة</t>
        </is>
      </c>
      <c r="K80" s="25" t="n"/>
    </row>
    <row r="81">
      <c r="A81" s="25" t="inlineStr">
        <is>
          <t>RN-INV#104</t>
        </is>
      </c>
      <c r="B81" s="96" t="n">
        <v>46021</v>
      </c>
      <c r="C81" s="25" t="inlineStr">
        <is>
          <t>WHE-3402</t>
        </is>
      </c>
      <c r="D81" s="27" t="n">
        <v>6097.5</v>
      </c>
      <c r="E81" s="25" t="inlineStr">
        <is>
          <t>عماد حمدي</t>
        </is>
      </c>
      <c r="F81" s="25" t="inlineStr">
        <is>
          <t>104</t>
        </is>
      </c>
      <c r="G81" s="96" t="n">
        <v>46021</v>
      </c>
      <c r="H81" s="25" t="inlineStr">
        <is>
          <t>WHE-3402</t>
        </is>
      </c>
      <c r="I81" s="27" t="n">
        <v>6097.5</v>
      </c>
      <c r="J81" s="25" t="inlineStr">
        <is>
          <t>مسجلة</t>
        </is>
      </c>
      <c r="K81" s="25" t="n"/>
    </row>
    <row r="82">
      <c r="A82" s="25" t="inlineStr">
        <is>
          <t>RN-INV#105</t>
        </is>
      </c>
      <c r="B82" s="96" t="n">
        <v>46022</v>
      </c>
      <c r="C82" s="25" t="inlineStr">
        <is>
          <t>WHT-3404</t>
        </is>
      </c>
      <c r="D82" s="27" t="n">
        <v>2630</v>
      </c>
      <c r="E82" s="25" t="inlineStr">
        <is>
          <t>عصمت الله خان</t>
        </is>
      </c>
      <c r="F82" s="25" t="inlineStr">
        <is>
          <t>105</t>
        </is>
      </c>
      <c r="G82" s="96" t="n">
        <v>46021</v>
      </c>
      <c r="H82" s="25" t="inlineStr">
        <is>
          <t>WHT-3404</t>
        </is>
      </c>
      <c r="I82" s="27" t="n">
        <v>2630</v>
      </c>
      <c r="J82" s="25" t="inlineStr">
        <is>
          <t>مسجلة</t>
        </is>
      </c>
      <c r="K82" s="25" t="n"/>
    </row>
    <row r="83">
      <c r="A83" s="25" t="inlineStr">
        <is>
          <t>RN-INV#106</t>
        </is>
      </c>
      <c r="B83" s="96" t="n">
        <v>46024</v>
      </c>
      <c r="C83" s="25" t="inlineStr">
        <is>
          <t>WHE-3424</t>
        </is>
      </c>
      <c r="D83" s="27" t="n">
        <v>6577.5</v>
      </c>
      <c r="E83" s="25" t="inlineStr">
        <is>
          <t>عماد حمدي</t>
        </is>
      </c>
      <c r="F83" s="25" t="inlineStr">
        <is>
          <t>106</t>
        </is>
      </c>
      <c r="G83" s="96" t="n">
        <v>46023</v>
      </c>
      <c r="H83" s="25" t="inlineStr">
        <is>
          <t>WHE-3424</t>
        </is>
      </c>
      <c r="I83" s="27" t="n">
        <v>6577.5</v>
      </c>
      <c r="J83" s="25" t="inlineStr">
        <is>
          <t>مسجلة</t>
        </is>
      </c>
      <c r="K83" s="25" t="n"/>
    </row>
    <row r="84">
      <c r="A84" s="25" t="inlineStr">
        <is>
          <t>RN-INV#107</t>
        </is>
      </c>
      <c r="B84" s="96" t="n">
        <v>46024</v>
      </c>
      <c r="C84" s="25" t="inlineStr">
        <is>
          <t>WHT-3426</t>
        </is>
      </c>
      <c r="D84" s="27" t="n">
        <v>790</v>
      </c>
      <c r="E84" s="25" t="inlineStr">
        <is>
          <t>عصمت الله خان</t>
        </is>
      </c>
      <c r="F84" s="25" t="inlineStr">
        <is>
          <t>107</t>
        </is>
      </c>
      <c r="G84" s="96" t="n">
        <v>46023</v>
      </c>
      <c r="H84" s="25" t="inlineStr">
        <is>
          <t>WHT-3426</t>
        </is>
      </c>
      <c r="I84" s="27" t="n">
        <v>790</v>
      </c>
      <c r="J84" s="25" t="inlineStr">
        <is>
          <t>مسجلة</t>
        </is>
      </c>
      <c r="K84" s="25" t="n"/>
    </row>
    <row r="85">
      <c r="A85" s="25" t="inlineStr">
        <is>
          <t>RN-INV#108</t>
        </is>
      </c>
      <c r="B85" s="96" t="n">
        <v>46026</v>
      </c>
      <c r="C85" s="25" t="inlineStr">
        <is>
          <t>WHT-3431</t>
        </is>
      </c>
      <c r="D85" s="27" t="n">
        <v>1412.5</v>
      </c>
      <c r="E85" s="25" t="inlineStr">
        <is>
          <t>عصمت الله خان</t>
        </is>
      </c>
      <c r="F85" s="25" t="inlineStr">
        <is>
          <t>108</t>
        </is>
      </c>
      <c r="G85" s="96" t="n">
        <v>46025</v>
      </c>
      <c r="H85" s="25" t="inlineStr">
        <is>
          <t>WHT-3431</t>
        </is>
      </c>
      <c r="I85" s="27" t="n">
        <v>1412.5</v>
      </c>
      <c r="J85" s="25" t="inlineStr">
        <is>
          <t>مسجلة</t>
        </is>
      </c>
      <c r="K85" s="25" t="n"/>
    </row>
    <row r="86">
      <c r="A86" s="25" t="inlineStr">
        <is>
          <t>RN-INV#109</t>
        </is>
      </c>
      <c r="B86" s="96" t="n">
        <v>46027</v>
      </c>
      <c r="C86" s="25" t="inlineStr">
        <is>
          <t>WHT-3448</t>
        </is>
      </c>
      <c r="D86" s="27" t="n">
        <v>42695</v>
      </c>
      <c r="E86" s="25" t="inlineStr">
        <is>
          <t>عصمت الله خان</t>
        </is>
      </c>
      <c r="F86" s="25" t="inlineStr">
        <is>
          <t>109</t>
        </is>
      </c>
      <c r="G86" s="96" t="n">
        <v>46026</v>
      </c>
      <c r="H86" s="25" t="inlineStr">
        <is>
          <t>WHT-3448</t>
        </is>
      </c>
      <c r="I86" s="27" t="n">
        <v>42695</v>
      </c>
      <c r="J86" s="25" t="inlineStr">
        <is>
          <t>مسجلة</t>
        </is>
      </c>
      <c r="K86" s="25" t="n"/>
    </row>
    <row r="87">
      <c r="A87" s="25" t="inlineStr">
        <is>
          <t>RN-INV#110</t>
        </is>
      </c>
      <c r="B87" s="96" t="n">
        <v>46028</v>
      </c>
      <c r="C87" s="25" t="inlineStr">
        <is>
          <t>WHT-3464</t>
        </is>
      </c>
      <c r="D87" s="27" t="n">
        <v>1972.5</v>
      </c>
      <c r="E87" s="25" t="inlineStr">
        <is>
          <t>عصمت الله خان</t>
        </is>
      </c>
      <c r="F87" s="25" t="inlineStr">
        <is>
          <t>110</t>
        </is>
      </c>
      <c r="G87" s="96" t="n">
        <v>46027</v>
      </c>
      <c r="H87" s="25" t="inlineStr">
        <is>
          <t>WHT-3464</t>
        </is>
      </c>
      <c r="I87" s="27" t="n">
        <v>1972.5</v>
      </c>
      <c r="J87" s="25" t="inlineStr">
        <is>
          <t>مسجلة</t>
        </is>
      </c>
      <c r="K87" s="25" t="n"/>
    </row>
    <row r="88">
      <c r="A88" s="25" t="inlineStr">
        <is>
          <t>RN-INV#111</t>
        </is>
      </c>
      <c r="B88" s="96" t="n">
        <v>46028</v>
      </c>
      <c r="C88" s="25" t="inlineStr">
        <is>
          <t>WHE-3475</t>
        </is>
      </c>
      <c r="D88" s="27" t="n">
        <v>8985</v>
      </c>
      <c r="E88" s="25" t="inlineStr">
        <is>
          <t>عماد حمدي</t>
        </is>
      </c>
      <c r="F88" s="25" t="inlineStr">
        <is>
          <t>111</t>
        </is>
      </c>
      <c r="G88" s="96" t="n">
        <v>46027</v>
      </c>
      <c r="H88" s="25" t="inlineStr">
        <is>
          <t>WHE-3475</t>
        </is>
      </c>
      <c r="I88" s="27" t="n">
        <v>8985</v>
      </c>
      <c r="J88" s="25" t="inlineStr">
        <is>
          <t>مسجلة</t>
        </is>
      </c>
      <c r="K88" s="25" t="n"/>
    </row>
    <row r="89">
      <c r="A89" s="25" t="inlineStr">
        <is>
          <t>RN-INV#112</t>
        </is>
      </c>
      <c r="B89" s="96" t="n">
        <v>46029</v>
      </c>
      <c r="C89" s="25" t="inlineStr">
        <is>
          <t>WHT-3488</t>
        </is>
      </c>
      <c r="D89" s="27" t="n">
        <v>3500</v>
      </c>
      <c r="E89" s="25" t="inlineStr">
        <is>
          <t>عصمت الله خان</t>
        </is>
      </c>
      <c r="F89" s="25" t="inlineStr">
        <is>
          <t>112</t>
        </is>
      </c>
      <c r="G89" s="96" t="n">
        <v>46028</v>
      </c>
      <c r="H89" s="25" t="inlineStr">
        <is>
          <t>WHT-3488</t>
        </is>
      </c>
      <c r="I89" s="27" t="n">
        <v>3500</v>
      </c>
      <c r="J89" s="25" t="inlineStr">
        <is>
          <t>مسجلة</t>
        </is>
      </c>
      <c r="K89" s="25" t="n"/>
    </row>
    <row r="90">
      <c r="A90" s="25" t="inlineStr">
        <is>
          <t>RN-INV#113</t>
        </is>
      </c>
      <c r="B90" s="96" t="n">
        <v>46030</v>
      </c>
      <c r="C90" s="25" t="inlineStr">
        <is>
          <t>WHT-3496</t>
        </is>
      </c>
      <c r="D90" s="27" t="n">
        <v>1095</v>
      </c>
      <c r="E90" s="25" t="inlineStr">
        <is>
          <t>عصمت الله خان</t>
        </is>
      </c>
      <c r="F90" s="25" t="inlineStr">
        <is>
          <t>113</t>
        </is>
      </c>
      <c r="G90" s="96" t="n">
        <v>46029</v>
      </c>
      <c r="H90" s="25" t="inlineStr">
        <is>
          <t>WHT-3496</t>
        </is>
      </c>
      <c r="I90" s="27" t="n">
        <v>1095</v>
      </c>
      <c r="J90" s="25" t="inlineStr">
        <is>
          <t>مسجلة</t>
        </is>
      </c>
      <c r="K90" s="25" t="n"/>
    </row>
    <row r="91">
      <c r="A91" s="25" t="inlineStr">
        <is>
          <t>RN-INV#114</t>
        </is>
      </c>
      <c r="B91" s="96" t="n">
        <v>46031</v>
      </c>
      <c r="C91" s="25" t="inlineStr">
        <is>
          <t>WHT-3503</t>
        </is>
      </c>
      <c r="D91" s="27" t="n">
        <v>2020</v>
      </c>
      <c r="E91" s="25" t="inlineStr">
        <is>
          <t>عصمت الله خان</t>
        </is>
      </c>
      <c r="F91" s="25" t="inlineStr">
        <is>
          <t>114</t>
        </is>
      </c>
      <c r="G91" s="96" t="n">
        <v>46030</v>
      </c>
      <c r="H91" s="25" t="inlineStr">
        <is>
          <t>WHT-3503</t>
        </is>
      </c>
      <c r="I91" s="27" t="n">
        <v>2020</v>
      </c>
      <c r="J91" s="25" t="inlineStr">
        <is>
          <t>مسجلة</t>
        </is>
      </c>
      <c r="K91" s="25" t="n"/>
    </row>
    <row r="92">
      <c r="A92" s="25" t="inlineStr">
        <is>
          <t>RN-INV#115</t>
        </is>
      </c>
      <c r="B92" s="96" t="n">
        <v>46033</v>
      </c>
      <c r="C92" s="25" t="inlineStr">
        <is>
          <t>WHT-3518</t>
        </is>
      </c>
      <c r="D92" s="27" t="n">
        <v>2175</v>
      </c>
      <c r="E92" s="25" t="inlineStr">
        <is>
          <t>عصمت الله خان</t>
        </is>
      </c>
      <c r="F92" s="25" t="inlineStr">
        <is>
          <t>115</t>
        </is>
      </c>
      <c r="G92" s="96" t="n">
        <v>46032</v>
      </c>
      <c r="H92" s="25" t="inlineStr">
        <is>
          <t>WHT-3518</t>
        </is>
      </c>
      <c r="I92" s="27" t="n">
        <v>2175</v>
      </c>
      <c r="J92" s="25" t="inlineStr">
        <is>
          <t>مسجلة</t>
        </is>
      </c>
      <c r="K92" s="25" t="n"/>
    </row>
    <row r="93">
      <c r="A93" s="25" t="inlineStr">
        <is>
          <t>RN-INV#116</t>
        </is>
      </c>
      <c r="B93" s="96" t="n">
        <v>46035</v>
      </c>
      <c r="C93" s="25" t="inlineStr">
        <is>
          <t>WHT-3543</t>
        </is>
      </c>
      <c r="D93" s="27" t="n">
        <v>5655</v>
      </c>
      <c r="E93" s="25" t="inlineStr">
        <is>
          <t>عصمت الله خان</t>
        </is>
      </c>
      <c r="F93" s="25" t="inlineStr">
        <is>
          <t>116</t>
        </is>
      </c>
      <c r="G93" s="96" t="n">
        <v>46034</v>
      </c>
      <c r="H93" s="25" t="inlineStr">
        <is>
          <t>WHT-3543</t>
        </is>
      </c>
      <c r="I93" s="27" t="n">
        <v>5655</v>
      </c>
      <c r="J93" s="25" t="inlineStr">
        <is>
          <t>مسجلة</t>
        </is>
      </c>
      <c r="K93" s="25" t="n"/>
    </row>
    <row r="94">
      <c r="A94" s="25" t="inlineStr">
        <is>
          <t>RN-INV#117</t>
        </is>
      </c>
      <c r="B94" s="96" t="n">
        <v>46035</v>
      </c>
      <c r="C94" s="25" t="inlineStr">
        <is>
          <t>WHT-3549</t>
        </is>
      </c>
      <c r="D94" s="27" t="n">
        <v>2130</v>
      </c>
      <c r="E94" s="25" t="inlineStr">
        <is>
          <t>عصمت الله خان</t>
        </is>
      </c>
      <c r="F94" s="25" t="inlineStr">
        <is>
          <t>117</t>
        </is>
      </c>
      <c r="G94" s="96" t="n">
        <v>46035</v>
      </c>
      <c r="H94" s="25" t="inlineStr">
        <is>
          <t>WHT-3549</t>
        </is>
      </c>
      <c r="I94" s="27" t="n">
        <v>2130</v>
      </c>
      <c r="J94" s="25" t="inlineStr">
        <is>
          <t>مسجلة</t>
        </is>
      </c>
      <c r="K94" s="25" t="n"/>
    </row>
    <row r="95">
      <c r="A95" s="25" t="inlineStr">
        <is>
          <t>RN-INV#118</t>
        </is>
      </c>
      <c r="B95" s="96" t="n">
        <v>46036</v>
      </c>
      <c r="C95" s="25" t="inlineStr">
        <is>
          <t>WHT-3560</t>
        </is>
      </c>
      <c r="D95" s="27" t="n">
        <v>2250</v>
      </c>
      <c r="E95" s="25" t="inlineStr">
        <is>
          <t>عصمت الله خان</t>
        </is>
      </c>
      <c r="F95" s="25" t="inlineStr">
        <is>
          <t>118</t>
        </is>
      </c>
      <c r="G95" s="96" t="n">
        <v>46036</v>
      </c>
      <c r="H95" s="25" t="inlineStr">
        <is>
          <t>WHT-3560</t>
        </is>
      </c>
      <c r="I95" s="27" t="n">
        <v>2250</v>
      </c>
      <c r="J95" s="25" t="inlineStr">
        <is>
          <t>مسجلة</t>
        </is>
      </c>
      <c r="K95" s="25" t="n"/>
    </row>
    <row r="96">
      <c r="A96" s="25" t="inlineStr">
        <is>
          <t>RN-INV#119</t>
        </is>
      </c>
      <c r="B96" s="96" t="n">
        <v>46038</v>
      </c>
      <c r="C96" s="25" t="inlineStr">
        <is>
          <t>WHT-3568</t>
        </is>
      </c>
      <c r="D96" s="27" t="n">
        <v>2205</v>
      </c>
      <c r="E96" s="25" t="inlineStr">
        <is>
          <t>عصمت الله خان</t>
        </is>
      </c>
      <c r="F96" s="25" t="inlineStr">
        <is>
          <t>119</t>
        </is>
      </c>
      <c r="G96" s="96" t="n">
        <v>46037</v>
      </c>
      <c r="H96" s="25" t="inlineStr">
        <is>
          <t>WHT-3568</t>
        </is>
      </c>
      <c r="I96" s="27" t="n">
        <v>2205</v>
      </c>
      <c r="J96" s="25" t="inlineStr">
        <is>
          <t>مسجلة</t>
        </is>
      </c>
      <c r="K96" s="25" t="n"/>
    </row>
    <row r="97">
      <c r="A97" s="25" t="inlineStr">
        <is>
          <t>RN-INV#120</t>
        </is>
      </c>
      <c r="B97" s="96" t="n">
        <v>46038</v>
      </c>
      <c r="C97" s="25" t="inlineStr">
        <is>
          <t>WHE-3570</t>
        </is>
      </c>
      <c r="D97" s="27" t="n">
        <v>8562.5</v>
      </c>
      <c r="E97" s="25" t="inlineStr">
        <is>
          <t>عماد حمدي</t>
        </is>
      </c>
      <c r="F97" s="25" t="inlineStr">
        <is>
          <t>120</t>
        </is>
      </c>
      <c r="G97" s="96" t="n">
        <v>46037</v>
      </c>
      <c r="H97" s="25" t="inlineStr">
        <is>
          <t>WHE-3570</t>
        </is>
      </c>
      <c r="I97" s="27" t="n">
        <v>8562.5</v>
      </c>
      <c r="J97" s="25" t="inlineStr">
        <is>
          <t>مسجلة</t>
        </is>
      </c>
      <c r="K97" s="25" t="n"/>
    </row>
    <row r="98">
      <c r="A98" s="25" t="inlineStr">
        <is>
          <t>RN-INV#121</t>
        </is>
      </c>
      <c r="B98" s="96" t="n">
        <v>46040</v>
      </c>
      <c r="C98" s="25" t="inlineStr">
        <is>
          <t>WHT-3580</t>
        </is>
      </c>
      <c r="D98" s="27" t="n">
        <v>3227.5</v>
      </c>
      <c r="E98" s="25" t="inlineStr">
        <is>
          <t>عصمت الله خان</t>
        </is>
      </c>
      <c r="F98" s="25" t="inlineStr">
        <is>
          <t>121</t>
        </is>
      </c>
      <c r="G98" s="96" t="n">
        <v>46039</v>
      </c>
      <c r="H98" s="25" t="inlineStr">
        <is>
          <t>WHT-3580</t>
        </is>
      </c>
      <c r="I98" s="27" t="n">
        <v>3227.5</v>
      </c>
      <c r="J98" s="25" t="inlineStr">
        <is>
          <t>مسجلة</t>
        </is>
      </c>
      <c r="K98" s="25" t="n"/>
    </row>
    <row r="99">
      <c r="A99" s="25" t="inlineStr">
        <is>
          <t>RN-INV#122</t>
        </is>
      </c>
      <c r="B99" s="96" t="n">
        <v>46040</v>
      </c>
      <c r="C99" s="25" t="inlineStr">
        <is>
          <t>WHT-3591</t>
        </is>
      </c>
      <c r="D99" s="27" t="n">
        <v>3225</v>
      </c>
      <c r="E99" s="25" t="inlineStr">
        <is>
          <t>عصمت الله خان</t>
        </is>
      </c>
      <c r="F99" s="25" t="inlineStr">
        <is>
          <t>122</t>
        </is>
      </c>
      <c r="G99" s="96" t="n">
        <v>46040</v>
      </c>
      <c r="H99" s="25" t="inlineStr">
        <is>
          <t>WHT-3591</t>
        </is>
      </c>
      <c r="I99" s="27" t="n">
        <v>3225</v>
      </c>
      <c r="J99" s="25" t="inlineStr">
        <is>
          <t>مسجلة</t>
        </is>
      </c>
      <c r="K99" s="25" t="n"/>
    </row>
    <row r="100">
      <c r="A100" s="25" t="inlineStr">
        <is>
          <t>RN-INV#123</t>
        </is>
      </c>
      <c r="B100" s="96" t="n">
        <v>46042</v>
      </c>
      <c r="C100" s="25" t="inlineStr">
        <is>
          <t>WHT-3603</t>
        </is>
      </c>
      <c r="D100" s="27" t="n">
        <v>2347.5</v>
      </c>
      <c r="E100" s="25" t="inlineStr">
        <is>
          <t>عصمت الله خان</t>
        </is>
      </c>
      <c r="F100" s="25" t="inlineStr">
        <is>
          <t>123</t>
        </is>
      </c>
      <c r="G100" s="96" t="n">
        <v>46041</v>
      </c>
      <c r="H100" s="25" t="inlineStr">
        <is>
          <t>WHT-3603</t>
        </is>
      </c>
      <c r="I100" s="27" t="n">
        <v>2347.5</v>
      </c>
      <c r="J100" s="25" t="inlineStr">
        <is>
          <t>مسجلة</t>
        </is>
      </c>
      <c r="K100" s="25" t="n"/>
    </row>
    <row r="101">
      <c r="A101" s="25" t="inlineStr">
        <is>
          <t>RN-INV#124</t>
        </is>
      </c>
      <c r="B101" s="96" t="n">
        <v>46043</v>
      </c>
      <c r="C101" s="25" t="inlineStr">
        <is>
          <t>WHE-3615</t>
        </is>
      </c>
      <c r="D101" s="27" t="n">
        <v>6699.5</v>
      </c>
      <c r="E101" s="25" t="inlineStr">
        <is>
          <t>عماد حمدي</t>
        </is>
      </c>
      <c r="F101" s="25" t="inlineStr">
        <is>
          <t>124</t>
        </is>
      </c>
      <c r="G101" s="96" t="n">
        <v>46042</v>
      </c>
      <c r="H101" s="25" t="inlineStr">
        <is>
          <t>WHE-3615</t>
        </is>
      </c>
      <c r="I101" s="27" t="n">
        <v>6699.5</v>
      </c>
      <c r="J101" s="25" t="inlineStr">
        <is>
          <t>مسجلة</t>
        </is>
      </c>
      <c r="K101" s="25" t="n"/>
    </row>
    <row r="102">
      <c r="A102" s="25" t="inlineStr">
        <is>
          <t>RN-INV#125</t>
        </is>
      </c>
      <c r="B102" s="96" t="n">
        <v>46045</v>
      </c>
      <c r="C102" s="25" t="inlineStr">
        <is>
          <t>WHT-3623</t>
        </is>
      </c>
      <c r="D102" s="27" t="n">
        <v>3382.5</v>
      </c>
      <c r="E102" s="25" t="inlineStr">
        <is>
          <t>عصمت الله خان</t>
        </is>
      </c>
      <c r="F102" s="25" t="inlineStr">
        <is>
          <t>125</t>
        </is>
      </c>
      <c r="G102" s="96" t="n">
        <v>46044</v>
      </c>
      <c r="H102" s="25" t="inlineStr">
        <is>
          <t>WHT-3623</t>
        </is>
      </c>
      <c r="I102" s="27" t="n">
        <v>3382.5</v>
      </c>
      <c r="J102" s="25" t="inlineStr">
        <is>
          <t>مسجلة</t>
        </is>
      </c>
      <c r="K102" s="25" t="n"/>
    </row>
    <row r="103">
      <c r="A103" s="25" t="inlineStr">
        <is>
          <t>RN-INV#126</t>
        </is>
      </c>
      <c r="B103" s="96" t="n">
        <v>46047</v>
      </c>
      <c r="C103" s="25" t="inlineStr">
        <is>
          <t>WHT-3629</t>
        </is>
      </c>
      <c r="D103" s="27" t="n">
        <v>2430</v>
      </c>
      <c r="E103" s="25" t="inlineStr">
        <is>
          <t>عصمت الله خان</t>
        </is>
      </c>
      <c r="F103" s="25" t="inlineStr">
        <is>
          <t>126</t>
        </is>
      </c>
      <c r="G103" s="96" t="n">
        <v>46046</v>
      </c>
      <c r="H103" s="25" t="inlineStr">
        <is>
          <t>WHT-3629</t>
        </is>
      </c>
      <c r="I103" s="27" t="n">
        <v>2430</v>
      </c>
      <c r="J103" s="25" t="inlineStr">
        <is>
          <t>مسجلة</t>
        </is>
      </c>
      <c r="K103" s="25" t="n"/>
    </row>
    <row r="104">
      <c r="A104" s="25" t="inlineStr">
        <is>
          <t>RN-INV#127</t>
        </is>
      </c>
      <c r="B104" s="96" t="n">
        <v>46048</v>
      </c>
      <c r="C104" s="25" t="inlineStr">
        <is>
          <t>WHT-3633</t>
        </is>
      </c>
      <c r="D104" s="27" t="n">
        <v>1852.5</v>
      </c>
      <c r="E104" s="25" t="inlineStr">
        <is>
          <t>عصمت الله خان</t>
        </is>
      </c>
      <c r="F104" s="25" t="inlineStr">
        <is>
          <t>127</t>
        </is>
      </c>
      <c r="G104" s="96" t="n">
        <v>46047</v>
      </c>
      <c r="H104" s="25" t="inlineStr">
        <is>
          <t>WHT-3633</t>
        </is>
      </c>
      <c r="I104" s="27" t="n">
        <v>1852.5</v>
      </c>
      <c r="J104" s="25" t="inlineStr">
        <is>
          <t>مسجلة</t>
        </is>
      </c>
      <c r="K104" s="25" t="n"/>
    </row>
    <row r="105">
      <c r="A105" s="25" t="inlineStr">
        <is>
          <t>RN-INV#128</t>
        </is>
      </c>
      <c r="B105" s="96" t="n">
        <v>46049</v>
      </c>
      <c r="C105" s="25" t="inlineStr">
        <is>
          <t>WHT-3654</t>
        </is>
      </c>
      <c r="D105" s="27" t="n">
        <v>2622.5</v>
      </c>
      <c r="E105" s="25" t="inlineStr">
        <is>
          <t>عصمت الله خان</t>
        </is>
      </c>
      <c r="F105" s="25" t="inlineStr">
        <is>
          <t>128</t>
        </is>
      </c>
      <c r="G105" s="96" t="n">
        <v>46048</v>
      </c>
      <c r="H105" s="25" t="inlineStr">
        <is>
          <t>WHT-3654</t>
        </is>
      </c>
      <c r="I105" s="27" t="n">
        <v>2622.5</v>
      </c>
      <c r="J105" s="25" t="inlineStr">
        <is>
          <t>مسجلة</t>
        </is>
      </c>
      <c r="K105" s="25" t="n"/>
    </row>
    <row r="106">
      <c r="A106" s="25" t="inlineStr">
        <is>
          <t>RN-INV#129</t>
        </is>
      </c>
      <c r="B106" s="96" t="n">
        <v>46049</v>
      </c>
      <c r="C106" s="25" t="inlineStr">
        <is>
          <t>WHE-3657</t>
        </is>
      </c>
      <c r="D106" s="27" t="n">
        <v>4881.25</v>
      </c>
      <c r="E106" s="25" t="inlineStr">
        <is>
          <t>عماد حمدي</t>
        </is>
      </c>
      <c r="F106" s="25" t="inlineStr">
        <is>
          <t>129</t>
        </is>
      </c>
      <c r="G106" s="96" t="n">
        <v>46048</v>
      </c>
      <c r="H106" s="25" t="inlineStr">
        <is>
          <t>WHE-3657</t>
        </is>
      </c>
      <c r="I106" s="27" t="n">
        <v>4881.25</v>
      </c>
      <c r="J106" s="25" t="inlineStr">
        <is>
          <t>مسجلة</t>
        </is>
      </c>
      <c r="K106" s="25" t="n"/>
    </row>
    <row r="107">
      <c r="A107" s="25" t="inlineStr">
        <is>
          <t>RN-INV#130</t>
        </is>
      </c>
      <c r="B107" s="96" t="n">
        <v>46049</v>
      </c>
      <c r="C107" s="25" t="inlineStr">
        <is>
          <t>WHT-3679</t>
        </is>
      </c>
      <c r="D107" s="27" t="n">
        <v>1172.5</v>
      </c>
      <c r="E107" s="25" t="inlineStr">
        <is>
          <t>عصمت الله خان</t>
        </is>
      </c>
      <c r="F107" s="25" t="inlineStr">
        <is>
          <t>130</t>
        </is>
      </c>
      <c r="G107" s="96" t="n">
        <v>46049</v>
      </c>
      <c r="H107" s="25" t="inlineStr">
        <is>
          <t>WHT-3679</t>
        </is>
      </c>
      <c r="I107" s="27" t="n">
        <v>1172.5</v>
      </c>
      <c r="J107" s="25" t="inlineStr">
        <is>
          <t>مسجلة</t>
        </is>
      </c>
      <c r="K107" s="25" t="n"/>
    </row>
    <row r="108">
      <c r="A108" s="25" t="inlineStr">
        <is>
          <t>RN-INV#131</t>
        </is>
      </c>
      <c r="B108" s="96" t="n">
        <v>46051</v>
      </c>
      <c r="C108" s="25" t="inlineStr">
        <is>
          <t>WHT-3687</t>
        </is>
      </c>
      <c r="D108" s="27" t="n">
        <v>6142.5</v>
      </c>
      <c r="E108" s="25" t="inlineStr">
        <is>
          <t>عصمت الله خان</t>
        </is>
      </c>
      <c r="F108" s="25" t="inlineStr">
        <is>
          <t>131</t>
        </is>
      </c>
      <c r="G108" s="96" t="n">
        <v>46050</v>
      </c>
      <c r="H108" s="25" t="inlineStr">
        <is>
          <t>WHT-3687</t>
        </is>
      </c>
      <c r="I108" s="27" t="n">
        <v>6142.5</v>
      </c>
      <c r="J108" s="25" t="inlineStr">
        <is>
          <t>مسجلة</t>
        </is>
      </c>
      <c r="K108" s="25" t="n"/>
    </row>
    <row r="109">
      <c r="A109" s="25" t="inlineStr">
        <is>
          <t>RN-INV#132</t>
        </is>
      </c>
      <c r="B109" s="96" t="n">
        <v>46052</v>
      </c>
      <c r="C109" s="25" t="inlineStr">
        <is>
          <t>WHT-3697</t>
        </is>
      </c>
      <c r="D109" s="27" t="n">
        <v>2850</v>
      </c>
      <c r="E109" s="25" t="inlineStr">
        <is>
          <t>عصمت الله خان</t>
        </is>
      </c>
      <c r="F109" s="25" t="inlineStr">
        <is>
          <t>132</t>
        </is>
      </c>
      <c r="G109" s="96" t="n">
        <v>46051</v>
      </c>
      <c r="H109" s="25" t="inlineStr">
        <is>
          <t>WHT-3697</t>
        </is>
      </c>
      <c r="I109" s="27" t="n">
        <v>2850</v>
      </c>
      <c r="J109" s="25" t="inlineStr">
        <is>
          <t>مسجلة</t>
        </is>
      </c>
      <c r="K109" s="25" t="n"/>
    </row>
    <row r="110">
      <c r="A110" s="25" t="inlineStr">
        <is>
          <t>RN-INV#133</t>
        </is>
      </c>
      <c r="B110" s="96" t="n">
        <v>46054</v>
      </c>
      <c r="C110" s="25" t="inlineStr">
        <is>
          <t>WHT-3700</t>
        </is>
      </c>
      <c r="D110" s="27" t="n">
        <v>5397.5</v>
      </c>
      <c r="E110" s="25" t="inlineStr">
        <is>
          <t>عصمت الله خان</t>
        </is>
      </c>
      <c r="F110" s="25" t="inlineStr">
        <is>
          <t>133</t>
        </is>
      </c>
      <c r="G110" s="96" t="n">
        <v>46053</v>
      </c>
      <c r="H110" s="25" t="inlineStr">
        <is>
          <t>WHT-3700</t>
        </is>
      </c>
      <c r="I110" s="27" t="n">
        <v>5397.5</v>
      </c>
      <c r="J110" s="25" t="inlineStr">
        <is>
          <t>مسجلة</t>
        </is>
      </c>
      <c r="K110" s="25" t="n"/>
    </row>
    <row r="111">
      <c r="A111" s="25" t="inlineStr">
        <is>
          <t>RN-INV#134</t>
        </is>
      </c>
      <c r="B111" s="96" t="n">
        <v>46054</v>
      </c>
      <c r="C111" s="25" t="inlineStr">
        <is>
          <t>WHE-3702</t>
        </is>
      </c>
      <c r="D111" s="27" t="n">
        <v>4311.25</v>
      </c>
      <c r="E111" s="25" t="inlineStr">
        <is>
          <t>عماد حمدي</t>
        </is>
      </c>
      <c r="F111" s="25" t="inlineStr">
        <is>
          <t>134</t>
        </is>
      </c>
      <c r="G111" s="96" t="n">
        <v>46053</v>
      </c>
      <c r="H111" s="25" t="inlineStr">
        <is>
          <t>WHE-3702</t>
        </is>
      </c>
      <c r="I111" s="27" t="n">
        <v>4311.25</v>
      </c>
      <c r="J111" s="25" t="inlineStr">
        <is>
          <t>مسجلة</t>
        </is>
      </c>
      <c r="K111" s="25" t="n"/>
    </row>
    <row r="112">
      <c r="A112" s="25" t="inlineStr">
        <is>
          <t>RN-INV#135</t>
        </is>
      </c>
      <c r="B112" s="96" t="n">
        <v>46055</v>
      </c>
      <c r="C112" s="25" t="inlineStr">
        <is>
          <t>WHT-3716</t>
        </is>
      </c>
      <c r="D112" s="27" t="n">
        <v>4575</v>
      </c>
      <c r="E112" s="25" t="inlineStr">
        <is>
          <t>عصمت الله خان</t>
        </is>
      </c>
      <c r="F112" s="25" t="inlineStr">
        <is>
          <t>135</t>
        </is>
      </c>
      <c r="G112" s="96" t="n">
        <v>46054</v>
      </c>
      <c r="H112" s="25" t="inlineStr">
        <is>
          <t>WHT-3716</t>
        </is>
      </c>
      <c r="I112" s="27" t="n">
        <v>4575</v>
      </c>
      <c r="J112" s="25" t="inlineStr">
        <is>
          <t>مسجلة</t>
        </is>
      </c>
      <c r="K112" s="25" t="n"/>
    </row>
    <row r="113">
      <c r="A113" s="25" t="inlineStr">
        <is>
          <t>RN-INV#136</t>
        </is>
      </c>
      <c r="B113" s="96" t="n">
        <v>46056</v>
      </c>
      <c r="C113" s="25" t="inlineStr">
        <is>
          <t>WHT-3732</t>
        </is>
      </c>
      <c r="D113" s="27" t="n">
        <v>4887.5</v>
      </c>
      <c r="E113" s="25" t="inlineStr">
        <is>
          <t>عصمت الله خان</t>
        </is>
      </c>
      <c r="F113" s="25" t="inlineStr">
        <is>
          <t>136</t>
        </is>
      </c>
      <c r="G113" s="96" t="n">
        <v>46055</v>
      </c>
      <c r="H113" s="25" t="inlineStr">
        <is>
          <t>WHT-3732</t>
        </is>
      </c>
      <c r="I113" s="27" t="n">
        <v>4887.5</v>
      </c>
      <c r="J113" s="25" t="inlineStr">
        <is>
          <t>مسجلة</t>
        </is>
      </c>
      <c r="K113" s="25" t="n"/>
    </row>
    <row r="114">
      <c r="A114" s="25" t="inlineStr">
        <is>
          <t>RN-INV#137</t>
        </is>
      </c>
      <c r="B114" s="96" t="n">
        <v>46057</v>
      </c>
      <c r="C114" s="25" t="inlineStr">
        <is>
          <t>WHT-3746</t>
        </is>
      </c>
      <c r="D114" s="27" t="n">
        <v>3750</v>
      </c>
      <c r="E114" s="25" t="inlineStr">
        <is>
          <t>عصمت الله خان</t>
        </is>
      </c>
      <c r="F114" s="25" t="inlineStr">
        <is>
          <t>137</t>
        </is>
      </c>
      <c r="G114" s="96" t="n">
        <v>46056</v>
      </c>
      <c r="H114" s="25" t="inlineStr">
        <is>
          <t>WHT-3746</t>
        </is>
      </c>
      <c r="I114" s="27" t="n">
        <v>3750</v>
      </c>
      <c r="J114" s="25" t="inlineStr">
        <is>
          <t>مسجلة</t>
        </is>
      </c>
      <c r="K114" s="25" t="n"/>
    </row>
    <row r="115">
      <c r="A115" s="25" t="inlineStr">
        <is>
          <t>RN-INV#138</t>
        </is>
      </c>
      <c r="B115" s="96" t="n">
        <v>46057</v>
      </c>
      <c r="C115" s="25" t="inlineStr">
        <is>
          <t>WHE-3748</t>
        </is>
      </c>
      <c r="D115" s="27" t="n">
        <v>5237.5</v>
      </c>
      <c r="E115" s="25" t="inlineStr">
        <is>
          <t>عماد حمدي</t>
        </is>
      </c>
      <c r="F115" s="25" t="inlineStr">
        <is>
          <t>138</t>
        </is>
      </c>
      <c r="G115" s="96" t="n">
        <v>46056</v>
      </c>
      <c r="H115" s="25" t="inlineStr">
        <is>
          <t>WHE-3748</t>
        </is>
      </c>
      <c r="I115" s="27" t="n">
        <v>5237.5</v>
      </c>
      <c r="J115" s="25" t="inlineStr">
        <is>
          <t>مسجلة</t>
        </is>
      </c>
      <c r="K115" s="25" t="n"/>
    </row>
    <row r="116">
      <c r="A116" s="25" t="inlineStr">
        <is>
          <t>RN-INV#139</t>
        </is>
      </c>
      <c r="B116" s="96" t="n">
        <v>46058</v>
      </c>
      <c r="C116" s="25" t="inlineStr">
        <is>
          <t>WHT-3755</t>
        </is>
      </c>
      <c r="D116" s="27" t="n">
        <v>5205</v>
      </c>
      <c r="E116" s="25" t="inlineStr">
        <is>
          <t>عصمت الله خان</t>
        </is>
      </c>
      <c r="F116" s="25" t="inlineStr">
        <is>
          <t>139</t>
        </is>
      </c>
      <c r="G116" s="96" t="n">
        <v>46057</v>
      </c>
      <c r="H116" s="25" t="inlineStr">
        <is>
          <t>WHT-3755</t>
        </is>
      </c>
      <c r="I116" s="27" t="n">
        <v>5205</v>
      </c>
      <c r="J116" s="25" t="inlineStr">
        <is>
          <t>مسجلة</t>
        </is>
      </c>
      <c r="K116" s="25" t="n"/>
    </row>
    <row r="117">
      <c r="A117" s="25" t="inlineStr">
        <is>
          <t>RN-INV#140</t>
        </is>
      </c>
      <c r="B117" s="96" t="n">
        <v>46058</v>
      </c>
      <c r="C117" s="25" t="inlineStr">
        <is>
          <t>WHK-3758</t>
        </is>
      </c>
      <c r="D117" s="27" t="n">
        <v>20300</v>
      </c>
      <c r="E117" s="25" t="inlineStr">
        <is>
          <t>م/ عادل أبو خالد</t>
        </is>
      </c>
      <c r="F117" s="25" t="inlineStr">
        <is>
          <t>140</t>
        </is>
      </c>
      <c r="G117" s="96" t="n">
        <v>46058</v>
      </c>
      <c r="H117" s="25" t="inlineStr">
        <is>
          <t>WHK-3758</t>
        </is>
      </c>
      <c r="I117" s="27" t="n">
        <v>20300</v>
      </c>
      <c r="J117" s="25" t="inlineStr">
        <is>
          <t>مسجلة</t>
        </is>
      </c>
      <c r="K117" s="25" t="n"/>
    </row>
    <row r="118">
      <c r="A118" s="25" t="inlineStr">
        <is>
          <t>RN-INV#141</t>
        </is>
      </c>
      <c r="B118" s="96" t="n">
        <v>46058</v>
      </c>
      <c r="C118" s="25" t="inlineStr">
        <is>
          <t>WHK-3760</t>
        </is>
      </c>
      <c r="D118" s="27" t="n">
        <v>30850</v>
      </c>
      <c r="E118" s="25" t="inlineStr">
        <is>
          <t>م/ عادل أبو خالد</t>
        </is>
      </c>
      <c r="F118" s="25" t="inlineStr">
        <is>
          <t>141</t>
        </is>
      </c>
      <c r="G118" s="96" t="n">
        <v>46058</v>
      </c>
      <c r="H118" s="25" t="inlineStr">
        <is>
          <t>WHK-3760</t>
        </is>
      </c>
      <c r="I118" s="27" t="n">
        <v>30850</v>
      </c>
      <c r="J118" s="25" t="inlineStr">
        <is>
          <t>مسجلة</t>
        </is>
      </c>
      <c r="K118" s="25" t="n"/>
    </row>
    <row r="119">
      <c r="A119" s="25" t="inlineStr">
        <is>
          <t>RN-INV#142</t>
        </is>
      </c>
      <c r="B119" s="96" t="n">
        <v>46058</v>
      </c>
      <c r="C119" s="25" t="inlineStr">
        <is>
          <t>WHE-3764</t>
        </is>
      </c>
      <c r="D119" s="27" t="n">
        <v>7425</v>
      </c>
      <c r="E119" s="25" t="inlineStr">
        <is>
          <t>عماد حمدي</t>
        </is>
      </c>
      <c r="F119" s="25" t="inlineStr">
        <is>
          <t>142</t>
        </is>
      </c>
      <c r="G119" s="96" t="n">
        <v>46058</v>
      </c>
      <c r="H119" s="25" t="inlineStr">
        <is>
          <t>WHE-3764</t>
        </is>
      </c>
      <c r="I119" s="27" t="n">
        <v>7425</v>
      </c>
      <c r="J119" s="25" t="inlineStr">
        <is>
          <t>مسجلة</t>
        </is>
      </c>
      <c r="K119" s="25" t="n"/>
    </row>
    <row r="120">
      <c r="A120" s="25" t="inlineStr">
        <is>
          <t>RN-INV#143</t>
        </is>
      </c>
      <c r="B120" s="96" t="n">
        <v>46059</v>
      </c>
      <c r="C120" s="25" t="inlineStr">
        <is>
          <t>WHT-3766</t>
        </is>
      </c>
      <c r="D120" s="27" t="n">
        <v>6875</v>
      </c>
      <c r="E120" s="25" t="inlineStr">
        <is>
          <t>عصمت الله خان</t>
        </is>
      </c>
      <c r="F120" s="25" t="inlineStr">
        <is>
          <t>143</t>
        </is>
      </c>
      <c r="G120" s="96" t="n">
        <v>46058</v>
      </c>
      <c r="H120" s="25" t="inlineStr">
        <is>
          <t>WHT-3766</t>
        </is>
      </c>
      <c r="I120" s="27" t="n">
        <v>6875</v>
      </c>
      <c r="J120" s="25" t="inlineStr">
        <is>
          <t>مسجلة</t>
        </is>
      </c>
      <c r="K120" s="25" t="n"/>
    </row>
    <row r="121">
      <c r="A121" s="25" t="inlineStr">
        <is>
          <t>RN-INV#144</t>
        </is>
      </c>
      <c r="B121" s="96" t="n">
        <v>46061</v>
      </c>
      <c r="C121" s="25" t="inlineStr">
        <is>
          <t>WHT-3775</t>
        </is>
      </c>
      <c r="D121" s="27" t="n">
        <v>5235</v>
      </c>
      <c r="E121" s="25" t="inlineStr">
        <is>
          <t>عصمت الله خان</t>
        </is>
      </c>
      <c r="F121" s="25" t="inlineStr">
        <is>
          <t>144</t>
        </is>
      </c>
      <c r="G121" s="96" t="n">
        <v>46060</v>
      </c>
      <c r="H121" s="25" t="inlineStr">
        <is>
          <t>WHT-3775</t>
        </is>
      </c>
      <c r="I121" s="27" t="n">
        <v>5235</v>
      </c>
      <c r="J121" s="25" t="inlineStr">
        <is>
          <t>مسجلة</t>
        </is>
      </c>
      <c r="K121" s="25" t="n"/>
    </row>
    <row r="122">
      <c r="A122" s="25" t="inlineStr">
        <is>
          <t>RN-INV#145</t>
        </is>
      </c>
      <c r="B122" s="96" t="n">
        <v>46062</v>
      </c>
      <c r="C122" s="25" t="inlineStr">
        <is>
          <t>WHT-3782</t>
        </is>
      </c>
      <c r="D122" s="27" t="n">
        <v>5725</v>
      </c>
      <c r="E122" s="25" t="inlineStr">
        <is>
          <t>عصمت الله خان</t>
        </is>
      </c>
      <c r="F122" s="25" t="inlineStr">
        <is>
          <t>145</t>
        </is>
      </c>
      <c r="G122" s="96" t="n">
        <v>46061</v>
      </c>
      <c r="H122" s="25" t="inlineStr">
        <is>
          <t>WHT-3782</t>
        </is>
      </c>
      <c r="I122" s="27" t="n">
        <v>5725</v>
      </c>
      <c r="J122" s="25" t="inlineStr">
        <is>
          <t>مسجلة</t>
        </is>
      </c>
      <c r="K122" s="25" t="n"/>
    </row>
    <row r="123">
      <c r="A123" s="25" t="inlineStr">
        <is>
          <t>RN-INV#146</t>
        </is>
      </c>
      <c r="B123" s="96" t="n">
        <v>46062</v>
      </c>
      <c r="C123" s="25" t="inlineStr">
        <is>
          <t>WHE-3784</t>
        </is>
      </c>
      <c r="D123" s="27" t="n">
        <v>6660</v>
      </c>
      <c r="E123" s="25" t="inlineStr">
        <is>
          <t>عماد حمدي</t>
        </is>
      </c>
      <c r="F123" s="25" t="inlineStr">
        <is>
          <t>146</t>
        </is>
      </c>
      <c r="G123" s="96" t="n">
        <v>46062</v>
      </c>
      <c r="H123" s="25" t="inlineStr">
        <is>
          <t>WHE-3784</t>
        </is>
      </c>
      <c r="I123" s="27" t="n">
        <v>6660</v>
      </c>
      <c r="J123" s="25" t="inlineStr">
        <is>
          <t>مسجلة</t>
        </is>
      </c>
      <c r="K123" s="25" t="n"/>
    </row>
    <row r="124">
      <c r="A124" s="25" t="inlineStr">
        <is>
          <t>RN-INV#147</t>
        </is>
      </c>
      <c r="B124" s="96" t="n">
        <v>46063</v>
      </c>
      <c r="C124" s="25" t="inlineStr">
        <is>
          <t>WHT-3786</t>
        </is>
      </c>
      <c r="D124" s="27" t="n">
        <v>6900</v>
      </c>
      <c r="E124" s="25" t="inlineStr">
        <is>
          <t>عصمت الله خان</t>
        </is>
      </c>
      <c r="F124" s="25" t="inlineStr">
        <is>
          <t>147</t>
        </is>
      </c>
      <c r="G124" s="96" t="n">
        <v>46062</v>
      </c>
      <c r="H124" s="25" t="inlineStr">
        <is>
          <t>WHT-3786</t>
        </is>
      </c>
      <c r="I124" s="27" t="n">
        <v>6900</v>
      </c>
      <c r="J124" s="25" t="inlineStr">
        <is>
          <t>مسجلة</t>
        </is>
      </c>
      <c r="K124" s="25" t="n"/>
    </row>
    <row r="125">
      <c r="A125" s="18" t="inlineStr">
        <is>
          <t>RN-INV#148</t>
        </is>
      </c>
      <c r="B125" s="98" t="n">
        <v>46064</v>
      </c>
      <c r="C125" s="18" t="inlineStr">
        <is>
          <t>WHT-3804</t>
        </is>
      </c>
      <c r="D125" s="19" t="n">
        <v>4472.5</v>
      </c>
      <c r="E125" s="18" t="inlineStr">
        <is>
          <t>عصمت الله خان</t>
        </is>
      </c>
      <c r="F125" s="18" t="inlineStr">
        <is>
          <t>148</t>
        </is>
      </c>
      <c r="G125" s="98" t="n">
        <v>46063</v>
      </c>
      <c r="H125" s="18" t="inlineStr">
        <is>
          <t>WHT-3786</t>
        </is>
      </c>
      <c r="I125" s="19" t="n">
        <v>4472.5</v>
      </c>
      <c r="J125" s="18" t="inlineStr">
        <is>
          <t>مسجلة مع ملاحظة</t>
        </is>
      </c>
      <c r="K125" s="18" t="inlineStr">
        <is>
          <t>رقم العقد بالكشف WHT-3786 خطأ – الصحيح WHT-3804 (حسب الفاتورة)</t>
        </is>
      </c>
    </row>
    <row r="126">
      <c r="A126" s="25" t="inlineStr">
        <is>
          <t>RN-INV#149</t>
        </is>
      </c>
      <c r="B126" s="96" t="n">
        <v>46064</v>
      </c>
      <c r="C126" s="25" t="inlineStr">
        <is>
          <t>WHK-3809</t>
        </is>
      </c>
      <c r="D126" s="27" t="n">
        <v>3125</v>
      </c>
      <c r="E126" s="25" t="inlineStr">
        <is>
          <t>م/ عادل أبو خالد</t>
        </is>
      </c>
      <c r="F126" s="25" t="inlineStr">
        <is>
          <t>149</t>
        </is>
      </c>
      <c r="G126" s="96" t="n">
        <v>46064</v>
      </c>
      <c r="H126" s="25" t="inlineStr">
        <is>
          <t>WHK-3809</t>
        </is>
      </c>
      <c r="I126" s="27" t="n">
        <v>3125</v>
      </c>
      <c r="J126" s="25" t="inlineStr">
        <is>
          <t>مسجلة</t>
        </is>
      </c>
      <c r="K126" s="25" t="n"/>
    </row>
    <row r="127">
      <c r="A127" s="25" t="inlineStr">
        <is>
          <t>RN-INV#150</t>
        </is>
      </c>
      <c r="B127" s="96" t="n">
        <v>46064</v>
      </c>
      <c r="C127" s="25" t="inlineStr">
        <is>
          <t>WHT-3814</t>
        </is>
      </c>
      <c r="D127" s="27" t="n">
        <v>6267.5</v>
      </c>
      <c r="E127" s="25" t="inlineStr">
        <is>
          <t>عصمت الله خان</t>
        </is>
      </c>
      <c r="F127" s="25" t="inlineStr">
        <is>
          <t>150</t>
        </is>
      </c>
      <c r="G127" s="96" t="n">
        <v>46064</v>
      </c>
      <c r="H127" s="25" t="inlineStr">
        <is>
          <t>WHT-3814</t>
        </is>
      </c>
      <c r="I127" s="27" t="n">
        <v>6267.5</v>
      </c>
      <c r="J127" s="25" t="inlineStr">
        <is>
          <t>مسجلة</t>
        </is>
      </c>
      <c r="K127" s="25" t="n"/>
    </row>
    <row r="128">
      <c r="A128" s="25" t="inlineStr">
        <is>
          <t>RN-INV#151</t>
        </is>
      </c>
      <c r="B128" s="96" t="n">
        <v>46065</v>
      </c>
      <c r="C128" s="25" t="inlineStr">
        <is>
          <t>WHT-3828</t>
        </is>
      </c>
      <c r="D128" s="27" t="n">
        <v>5862.5</v>
      </c>
      <c r="E128" s="25" t="inlineStr">
        <is>
          <t>عصمت الله خان</t>
        </is>
      </c>
      <c r="F128" s="25" t="inlineStr">
        <is>
          <t>151</t>
        </is>
      </c>
      <c r="G128" s="96" t="n">
        <v>46065</v>
      </c>
      <c r="H128" s="25" t="inlineStr">
        <is>
          <t>WHT-3828</t>
        </is>
      </c>
      <c r="I128" s="27" t="n">
        <v>5862.5</v>
      </c>
      <c r="J128" s="25" t="inlineStr">
        <is>
          <t>مسجلة</t>
        </is>
      </c>
      <c r="K128" s="25" t="n"/>
    </row>
    <row r="129">
      <c r="A129" s="25" t="inlineStr">
        <is>
          <t>RN-INV#152</t>
        </is>
      </c>
      <c r="B129" s="96" t="n">
        <v>46066</v>
      </c>
      <c r="C129" s="25" t="inlineStr">
        <is>
          <t>WHE-3834</t>
        </is>
      </c>
      <c r="D129" s="27" t="n">
        <v>4628.75</v>
      </c>
      <c r="E129" s="25" t="inlineStr">
        <is>
          <t>عماد حمدي</t>
        </is>
      </c>
      <c r="F129" s="25" t="inlineStr">
        <is>
          <t>152</t>
        </is>
      </c>
      <c r="G129" s="96" t="n">
        <v>46065</v>
      </c>
      <c r="H129" s="25" t="inlineStr">
        <is>
          <t>WHE-3834</t>
        </is>
      </c>
      <c r="I129" s="27" t="n">
        <v>4628.75</v>
      </c>
      <c r="J129" s="25" t="inlineStr">
        <is>
          <t>مسجلة</t>
        </is>
      </c>
      <c r="K129" s="25" t="n"/>
    </row>
    <row r="130">
      <c r="A130" s="18" t="inlineStr">
        <is>
          <t>RN-INV#153</t>
        </is>
      </c>
      <c r="B130" s="98" t="n">
        <v>46067</v>
      </c>
      <c r="C130" s="18" t="inlineStr">
        <is>
          <t>WHT-</t>
        </is>
      </c>
      <c r="D130" s="19" t="n">
        <v>7380</v>
      </c>
      <c r="E130" s="18" t="inlineStr">
        <is>
          <t>عصمت الله خان</t>
        </is>
      </c>
      <c r="F130" s="18" t="inlineStr">
        <is>
          <t>153</t>
        </is>
      </c>
      <c r="G130" s="98" t="n">
        <v>46067</v>
      </c>
      <c r="H130" s="18" t="inlineStr">
        <is>
          <t>WHT-3837</t>
        </is>
      </c>
      <c r="I130" s="19" t="n">
        <v>7380</v>
      </c>
      <c r="J130" s="18" t="inlineStr">
        <is>
          <t>مسجلة مع ملاحظة</t>
        </is>
      </c>
      <c r="K130" s="18" t="inlineStr">
        <is>
          <t>رقم العقد ناقص بالفاتورة – بالكشف WHT-3837</t>
        </is>
      </c>
    </row>
    <row r="131">
      <c r="A131" s="25" t="inlineStr">
        <is>
          <t>RN-INV#154</t>
        </is>
      </c>
      <c r="B131" s="96" t="n">
        <v>46068</v>
      </c>
      <c r="C131" s="25" t="inlineStr">
        <is>
          <t>WHE-3842</t>
        </is>
      </c>
      <c r="D131" s="27" t="n">
        <v>9600</v>
      </c>
      <c r="E131" s="25" t="inlineStr">
        <is>
          <t>عماد حمدي</t>
        </is>
      </c>
      <c r="F131" s="25" t="inlineStr">
        <is>
          <t>154</t>
        </is>
      </c>
      <c r="G131" s="96" t="n">
        <v>46067</v>
      </c>
      <c r="H131" s="25" t="inlineStr">
        <is>
          <t>WHE-3842</t>
        </is>
      </c>
      <c r="I131" s="27" t="n">
        <v>9600</v>
      </c>
      <c r="J131" s="25" t="inlineStr">
        <is>
          <t>مسجلة</t>
        </is>
      </c>
      <c r="K131" s="25" t="n"/>
    </row>
    <row r="132">
      <c r="A132" s="25" t="inlineStr">
        <is>
          <t>RN-INV#155</t>
        </is>
      </c>
      <c r="B132" s="96" t="n">
        <v>46069</v>
      </c>
      <c r="C132" s="25" t="inlineStr">
        <is>
          <t>WHT-3851</t>
        </is>
      </c>
      <c r="D132" s="27" t="n">
        <v>5520</v>
      </c>
      <c r="E132" s="25" t="inlineStr">
        <is>
          <t>عصمت الله خان</t>
        </is>
      </c>
      <c r="F132" s="25" t="inlineStr">
        <is>
          <t>155</t>
        </is>
      </c>
      <c r="G132" s="96" t="n">
        <v>46068</v>
      </c>
      <c r="H132" s="25" t="inlineStr">
        <is>
          <t>WHT-3851</t>
        </is>
      </c>
      <c r="I132" s="27" t="n">
        <v>5520</v>
      </c>
      <c r="J132" s="25" t="inlineStr">
        <is>
          <t>مسجلة</t>
        </is>
      </c>
      <c r="K132" s="25" t="n"/>
    </row>
    <row r="133">
      <c r="A133" s="18" t="inlineStr">
        <is>
          <t>RN-INV#156</t>
        </is>
      </c>
      <c r="B133" s="98" t="n">
        <v>46070</v>
      </c>
      <c r="C133" s="18" t="inlineStr">
        <is>
          <t>WHT-</t>
        </is>
      </c>
      <c r="D133" s="19" t="n">
        <v>5448.75</v>
      </c>
      <c r="E133" s="18" t="inlineStr">
        <is>
          <t>عصمت الله خان</t>
        </is>
      </c>
      <c r="F133" s="18" t="inlineStr">
        <is>
          <t>156</t>
        </is>
      </c>
      <c r="G133" s="98" t="n">
        <v>46069</v>
      </c>
      <c r="H133" s="18" t="inlineStr">
        <is>
          <t>WHT-3857</t>
        </is>
      </c>
      <c r="I133" s="19" t="n">
        <v>5447.75</v>
      </c>
      <c r="J133" s="18" t="inlineStr">
        <is>
          <t>مسجلة مع ملاحظة</t>
        </is>
      </c>
      <c r="K133" s="18" t="inlineStr">
        <is>
          <t>فرق في القيمة: الفاتورة 5448.75 والكشف 5447.75 | رقم العقد ناقص بالفاتورة – بالكشف WHT-3857</t>
        </is>
      </c>
    </row>
    <row r="134">
      <c r="A134" s="25" t="inlineStr">
        <is>
          <t>RN-INV#157</t>
        </is>
      </c>
      <c r="B134" s="96" t="n">
        <v>46070</v>
      </c>
      <c r="C134" s="25" t="inlineStr">
        <is>
          <t>WHT-3864</t>
        </is>
      </c>
      <c r="D134" s="27" t="n">
        <v>6536.25</v>
      </c>
      <c r="E134" s="25" t="inlineStr">
        <is>
          <t>عصمت الله خان</t>
        </is>
      </c>
      <c r="F134" s="25" t="inlineStr">
        <is>
          <t>157</t>
        </is>
      </c>
      <c r="G134" s="96" t="n">
        <v>46070</v>
      </c>
      <c r="H134" s="25" t="inlineStr">
        <is>
          <t>WHT-3864</t>
        </is>
      </c>
      <c r="I134" s="27" t="n">
        <v>6536.25</v>
      </c>
      <c r="J134" s="25" t="inlineStr">
        <is>
          <t>مسجلة</t>
        </is>
      </c>
      <c r="K134" s="25" t="n"/>
    </row>
    <row r="135">
      <c r="A135" s="25" t="inlineStr">
        <is>
          <t>RN-INV#158</t>
        </is>
      </c>
      <c r="B135" s="96" t="n">
        <v>46071</v>
      </c>
      <c r="C135" s="25" t="inlineStr">
        <is>
          <t>WHE-3869</t>
        </is>
      </c>
      <c r="D135" s="27" t="n">
        <v>5768.75</v>
      </c>
      <c r="E135" s="25" t="inlineStr">
        <is>
          <t>عماد حمدي</t>
        </is>
      </c>
      <c r="F135" s="25" t="inlineStr">
        <is>
          <t>158</t>
        </is>
      </c>
      <c r="G135" s="96" t="n">
        <v>46070</v>
      </c>
      <c r="H135" s="25" t="inlineStr">
        <is>
          <t>WHE-3869</t>
        </is>
      </c>
      <c r="I135" s="27" t="n">
        <v>5768.75</v>
      </c>
      <c r="J135" s="25" t="inlineStr">
        <is>
          <t>مسجلة</t>
        </is>
      </c>
      <c r="K135" s="25" t="n"/>
    </row>
    <row r="136">
      <c r="A136" s="25" t="inlineStr">
        <is>
          <t>RN-INV#159</t>
        </is>
      </c>
      <c r="B136" s="96" t="n">
        <v>46072</v>
      </c>
      <c r="C136" s="25" t="inlineStr">
        <is>
          <t>WHT-3875</t>
        </is>
      </c>
      <c r="D136" s="27" t="n">
        <v>4275</v>
      </c>
      <c r="E136" s="25" t="inlineStr">
        <is>
          <t>عصمت الله خان</t>
        </is>
      </c>
      <c r="F136" s="25" t="inlineStr">
        <is>
          <t>159</t>
        </is>
      </c>
      <c r="G136" s="96" t="n">
        <v>46071</v>
      </c>
      <c r="H136" s="25" t="inlineStr">
        <is>
          <t>WHT-3875</t>
        </is>
      </c>
      <c r="I136" s="27" t="n">
        <v>4275</v>
      </c>
      <c r="J136" s="25" t="inlineStr">
        <is>
          <t>مسجلة</t>
        </is>
      </c>
      <c r="K136" s="25" t="n"/>
    </row>
    <row r="137">
      <c r="A137" s="18" t="inlineStr">
        <is>
          <t>RN-INV#160</t>
        </is>
      </c>
      <c r="B137" s="98" t="n">
        <v>46072</v>
      </c>
      <c r="C137" s="18" t="inlineStr">
        <is>
          <t>WHK-</t>
        </is>
      </c>
      <c r="D137" s="19" t="n">
        <v>2012.5</v>
      </c>
      <c r="E137" s="18" t="inlineStr">
        <is>
          <t>م/ عادل أبو خالد</t>
        </is>
      </c>
      <c r="F137" s="18" t="inlineStr">
        <is>
          <t>160</t>
        </is>
      </c>
      <c r="G137" s="98" t="n">
        <v>46072</v>
      </c>
      <c r="H137" s="18" t="inlineStr">
        <is>
          <t>WHK-3878</t>
        </is>
      </c>
      <c r="I137" s="19" t="n">
        <v>2012.5</v>
      </c>
      <c r="J137" s="18" t="inlineStr">
        <is>
          <t>مسجلة مع ملاحظة</t>
        </is>
      </c>
      <c r="K137" s="18" t="inlineStr">
        <is>
          <t>رقم العقد ناقص بالفاتورة – بالكشف WHK-3878</t>
        </is>
      </c>
    </row>
    <row r="138">
      <c r="A138" s="25" t="inlineStr">
        <is>
          <t>RN-INV#161</t>
        </is>
      </c>
      <c r="B138" s="96" t="n">
        <v>46073</v>
      </c>
      <c r="C138" s="25" t="inlineStr">
        <is>
          <t>WHT-3885</t>
        </is>
      </c>
      <c r="D138" s="27" t="n">
        <v>5175</v>
      </c>
      <c r="E138" s="25" t="inlineStr">
        <is>
          <t>عصمت الله خان</t>
        </is>
      </c>
      <c r="F138" s="25" t="inlineStr">
        <is>
          <t>161</t>
        </is>
      </c>
      <c r="G138" s="96" t="n">
        <v>46073</v>
      </c>
      <c r="H138" s="25" t="inlineStr">
        <is>
          <t>WHT-3885</t>
        </is>
      </c>
      <c r="I138" s="27" t="n">
        <v>5175</v>
      </c>
      <c r="J138" s="25" t="inlineStr">
        <is>
          <t>مسجلة</t>
        </is>
      </c>
      <c r="K138" s="25" t="n"/>
    </row>
    <row r="139">
      <c r="A139" s="25" t="inlineStr">
        <is>
          <t>RN-INV#162</t>
        </is>
      </c>
      <c r="B139" s="96" t="n">
        <v>46075</v>
      </c>
      <c r="C139" s="25" t="inlineStr">
        <is>
          <t>WHT-3905</t>
        </is>
      </c>
      <c r="D139" s="27" t="n">
        <v>4030</v>
      </c>
      <c r="E139" s="25" t="inlineStr">
        <is>
          <t>عصمت الله خان</t>
        </is>
      </c>
      <c r="F139" s="25" t="inlineStr">
        <is>
          <t>162</t>
        </is>
      </c>
      <c r="G139" s="96" t="n">
        <v>46074</v>
      </c>
      <c r="H139" s="25" t="inlineStr">
        <is>
          <t>WHT-3905</t>
        </is>
      </c>
      <c r="I139" s="27" t="n">
        <v>4030</v>
      </c>
      <c r="J139" s="25" t="inlineStr">
        <is>
          <t>مسجلة</t>
        </is>
      </c>
      <c r="K139" s="25" t="n"/>
    </row>
    <row r="140">
      <c r="A140" s="25" t="inlineStr">
        <is>
          <t>RN-INV#163</t>
        </is>
      </c>
      <c r="B140" s="96" t="n">
        <v>46076</v>
      </c>
      <c r="C140" s="25" t="inlineStr">
        <is>
          <t>WHT-3909</t>
        </is>
      </c>
      <c r="D140" s="27" t="n">
        <v>2787.5</v>
      </c>
      <c r="E140" s="25" t="inlineStr">
        <is>
          <t>عصمت الله خان</t>
        </is>
      </c>
      <c r="F140" s="25" t="inlineStr">
        <is>
          <t>163</t>
        </is>
      </c>
      <c r="G140" s="96" t="n">
        <v>46075</v>
      </c>
      <c r="H140" s="25" t="inlineStr">
        <is>
          <t>WHT-3909</t>
        </is>
      </c>
      <c r="I140" s="27" t="n">
        <v>2787.5</v>
      </c>
      <c r="J140" s="25" t="inlineStr">
        <is>
          <t>مسجلة</t>
        </is>
      </c>
      <c r="K140" s="25" t="n"/>
    </row>
    <row r="141">
      <c r="A141" s="25" t="inlineStr">
        <is>
          <t>RN-INV#164</t>
        </is>
      </c>
      <c r="B141" s="96" t="n">
        <v>46076</v>
      </c>
      <c r="C141" s="25" t="inlineStr">
        <is>
          <t>WHE-3912</t>
        </is>
      </c>
      <c r="D141" s="27" t="n">
        <v>4952.5</v>
      </c>
      <c r="E141" s="25" t="inlineStr">
        <is>
          <t>عماد حمدي</t>
        </is>
      </c>
      <c r="F141" s="25" t="inlineStr">
        <is>
          <t>164</t>
        </is>
      </c>
      <c r="G141" s="96" t="n">
        <v>46075</v>
      </c>
      <c r="H141" s="25" t="inlineStr">
        <is>
          <t>WHE-3912</t>
        </is>
      </c>
      <c r="I141" s="27" t="n">
        <v>4952.5</v>
      </c>
      <c r="J141" s="25" t="inlineStr">
        <is>
          <t>مسجلة</t>
        </is>
      </c>
      <c r="K141" s="25" t="n"/>
    </row>
    <row r="142">
      <c r="A142" s="18" t="inlineStr">
        <is>
          <t>RN-INV#165</t>
        </is>
      </c>
      <c r="B142" s="98" t="n">
        <v>46084</v>
      </c>
      <c r="C142" s="18" t="inlineStr">
        <is>
          <t>WHT-3918</t>
        </is>
      </c>
      <c r="D142" s="19" t="n">
        <v>3787.5</v>
      </c>
      <c r="E142" s="18" t="inlineStr">
        <is>
          <t>عصمت الله خان</t>
        </is>
      </c>
      <c r="F142" s="18" t="inlineStr">
        <is>
          <t>165</t>
        </is>
      </c>
      <c r="G142" s="98" t="n">
        <v>46076</v>
      </c>
      <c r="H142" s="18" t="inlineStr">
        <is>
          <t>WHT-3918</t>
        </is>
      </c>
      <c r="I142" s="19" t="n">
        <v>3787.5</v>
      </c>
      <c r="J142" s="18" t="inlineStr">
        <is>
          <t>مسجلة مع ملاحظة</t>
        </is>
      </c>
      <c r="K142" s="18" t="inlineStr">
        <is>
          <t>فرق تاريخ 8 يوم (الكشف 2026-02-23)</t>
        </is>
      </c>
    </row>
    <row r="143">
      <c r="A143" s="18" t="inlineStr">
        <is>
          <t>RN-INV#166</t>
        </is>
      </c>
      <c r="B143" s="98" t="n">
        <v>46084</v>
      </c>
      <c r="C143" s="18" t="inlineStr">
        <is>
          <t>WHK-3923</t>
        </is>
      </c>
      <c r="D143" s="19" t="n">
        <v>6862.5</v>
      </c>
      <c r="E143" s="18" t="inlineStr">
        <is>
          <t>م/ عادل أبو خالد</t>
        </is>
      </c>
      <c r="F143" s="18" t="inlineStr">
        <is>
          <t>102</t>
        </is>
      </c>
      <c r="G143" s="98" t="n">
        <v>46077</v>
      </c>
      <c r="H143" s="18" t="inlineStr">
        <is>
          <t>WHK-3923</t>
        </is>
      </c>
      <c r="I143" s="19" t="n">
        <v>6862.5</v>
      </c>
      <c r="J143" s="18" t="inlineStr">
        <is>
          <t>مسجلة مع ملاحظة</t>
        </is>
      </c>
      <c r="K143" s="18" t="inlineStr">
        <is>
          <t>رقم المستند بالكشف 102 خطأ – الصحيح 166 | فرق تاريخ 7 يوم (الكشف 2026-02-24)</t>
        </is>
      </c>
    </row>
    <row r="144">
      <c r="A144" s="18" t="inlineStr">
        <is>
          <t>RN-INV#167</t>
        </is>
      </c>
      <c r="B144" s="98" t="n">
        <v>46084</v>
      </c>
      <c r="C144" s="18" t="inlineStr">
        <is>
          <t>WHT-3924</t>
        </is>
      </c>
      <c r="D144" s="19" t="n">
        <v>2020</v>
      </c>
      <c r="E144" s="18" t="inlineStr">
        <is>
          <t>عصمت الله خان</t>
        </is>
      </c>
      <c r="F144" s="18" t="inlineStr">
        <is>
          <t>167</t>
        </is>
      </c>
      <c r="G144" s="98" t="n">
        <v>46077</v>
      </c>
      <c r="H144" s="18" t="inlineStr">
        <is>
          <t>WHT-3924</t>
        </is>
      </c>
      <c r="I144" s="19" t="n">
        <v>2020</v>
      </c>
      <c r="J144" s="18" t="inlineStr">
        <is>
          <t>مسجلة مع ملاحظة</t>
        </is>
      </c>
      <c r="K144" s="18" t="inlineStr">
        <is>
          <t>فرق تاريخ 7 يوم (الكشف 2026-02-24)</t>
        </is>
      </c>
    </row>
    <row r="145">
      <c r="A145" s="18" t="inlineStr">
        <is>
          <t>RN-INV#168</t>
        </is>
      </c>
      <c r="B145" s="98" t="n">
        <v>46084</v>
      </c>
      <c r="C145" s="18" t="inlineStr">
        <is>
          <t>WHE-3936</t>
        </is>
      </c>
      <c r="D145" s="19" t="n">
        <v>5331.25</v>
      </c>
      <c r="E145" s="18" t="inlineStr">
        <is>
          <t>عماد حمدي</t>
        </is>
      </c>
      <c r="F145" s="18" t="inlineStr">
        <is>
          <t>105</t>
        </is>
      </c>
      <c r="G145" s="98" t="n">
        <v>46078</v>
      </c>
      <c r="H145" s="18" t="inlineStr">
        <is>
          <t>WHE-3936</t>
        </is>
      </c>
      <c r="I145" s="19" t="n">
        <v>5331.25</v>
      </c>
      <c r="J145" s="18" t="inlineStr">
        <is>
          <t>مسجلة مع ملاحظة</t>
        </is>
      </c>
      <c r="K145" s="18" t="inlineStr">
        <is>
          <t>رقم المستند بالكشف 105 خطأ – الصحيح 168 | فرق تاريخ 6 يوم (الكشف 2026-02-25)</t>
        </is>
      </c>
    </row>
    <row r="146">
      <c r="A146" s="18" t="inlineStr">
        <is>
          <t>RN-INV#169</t>
        </is>
      </c>
      <c r="B146" s="98" t="n">
        <v>46084</v>
      </c>
      <c r="C146" s="18" t="inlineStr">
        <is>
          <t>WHT-3934</t>
        </is>
      </c>
      <c r="D146" s="19" t="n">
        <v>2790</v>
      </c>
      <c r="E146" s="18" t="inlineStr">
        <is>
          <t>عصمت الله خان</t>
        </is>
      </c>
      <c r="F146" s="18" t="inlineStr">
        <is>
          <t>169</t>
        </is>
      </c>
      <c r="G146" s="98" t="n">
        <v>46078</v>
      </c>
      <c r="H146" s="18" t="inlineStr">
        <is>
          <t>WHT-3934</t>
        </is>
      </c>
      <c r="I146" s="19" t="n">
        <v>2790</v>
      </c>
      <c r="J146" s="18" t="inlineStr">
        <is>
          <t>مسجلة مع ملاحظة</t>
        </is>
      </c>
      <c r="K146" s="18" t="inlineStr">
        <is>
          <t>فرق تاريخ 6 يوم (الكشف 2026-02-25)</t>
        </is>
      </c>
    </row>
    <row r="147">
      <c r="A147" s="18" t="inlineStr">
        <is>
          <t>RN-INV#170</t>
        </is>
      </c>
      <c r="B147" s="98" t="n">
        <v>46084</v>
      </c>
      <c r="C147" s="18" t="inlineStr">
        <is>
          <t>WHT-3946</t>
        </is>
      </c>
      <c r="D147" s="19" t="n">
        <v>2575</v>
      </c>
      <c r="E147" s="18" t="inlineStr">
        <is>
          <t>عصمت الله خان</t>
        </is>
      </c>
      <c r="F147" s="18" t="inlineStr">
        <is>
          <t>170</t>
        </is>
      </c>
      <c r="G147" s="98" t="n">
        <v>46081</v>
      </c>
      <c r="H147" s="18" t="inlineStr">
        <is>
          <t>WHT-3946</t>
        </is>
      </c>
      <c r="I147" s="19" t="n">
        <v>2575</v>
      </c>
      <c r="J147" s="18" t="inlineStr">
        <is>
          <t>مسجلة مع ملاحظة</t>
        </is>
      </c>
      <c r="K147" s="18" t="inlineStr">
        <is>
          <t>فرق تاريخ 3 يوم (الكشف 2026-02-28)</t>
        </is>
      </c>
    </row>
    <row r="148">
      <c r="A148" s="25" t="inlineStr">
        <is>
          <t>RN-INV#171</t>
        </is>
      </c>
      <c r="B148" s="96" t="n">
        <v>46084</v>
      </c>
      <c r="C148" s="25" t="inlineStr">
        <is>
          <t>WHT-3951</t>
        </is>
      </c>
      <c r="D148" s="27" t="n">
        <v>3205</v>
      </c>
      <c r="E148" s="25" t="inlineStr">
        <is>
          <t>عصمت الله خان</t>
        </is>
      </c>
      <c r="F148" s="25" t="inlineStr">
        <is>
          <t>171</t>
        </is>
      </c>
      <c r="G148" s="96" t="n">
        <v>46082</v>
      </c>
      <c r="H148" s="25" t="inlineStr">
        <is>
          <t>WHT-3951</t>
        </is>
      </c>
      <c r="I148" s="27" t="n">
        <v>3205</v>
      </c>
      <c r="J148" s="25" t="inlineStr">
        <is>
          <t>مسجلة</t>
        </is>
      </c>
      <c r="K148" s="25" t="n"/>
    </row>
    <row r="149">
      <c r="A149" s="18" t="inlineStr">
        <is>
          <t>RN-INV#172</t>
        </is>
      </c>
      <c r="B149" s="98" t="n">
        <v>46084</v>
      </c>
      <c r="C149" s="18" t="inlineStr">
        <is>
          <t>WHT-3955</t>
        </is>
      </c>
      <c r="D149" s="19" t="n">
        <v>1665</v>
      </c>
      <c r="E149" s="18" t="inlineStr">
        <is>
          <t>عصمت الله خان</t>
        </is>
      </c>
      <c r="F149" s="18" t="inlineStr">
        <is>
          <t>171</t>
        </is>
      </c>
      <c r="G149" s="98" t="n">
        <v>46083</v>
      </c>
      <c r="H149" s="18" t="inlineStr">
        <is>
          <t>WHT-3955</t>
        </is>
      </c>
      <c r="I149" s="19" t="n">
        <v>1665</v>
      </c>
      <c r="J149" s="18" t="inlineStr">
        <is>
          <t>مسجلة مع ملاحظة</t>
        </is>
      </c>
      <c r="K149" s="18" t="inlineStr">
        <is>
          <t>رقم المستند بالكشف 171 خطأ – الصحيح 172</t>
        </is>
      </c>
    </row>
    <row r="150">
      <c r="A150" s="25" t="inlineStr">
        <is>
          <t>RN-INV#173</t>
        </is>
      </c>
      <c r="B150" s="96" t="n">
        <v>46085</v>
      </c>
      <c r="C150" s="25" t="inlineStr">
        <is>
          <t>WHE-3962</t>
        </is>
      </c>
      <c r="D150" s="27" t="n">
        <v>5463.75</v>
      </c>
      <c r="E150" s="25" t="inlineStr">
        <is>
          <t>عماد حمدي</t>
        </is>
      </c>
      <c r="F150" s="25" t="inlineStr">
        <is>
          <t>173</t>
        </is>
      </c>
      <c r="G150" s="96" t="n">
        <v>46085</v>
      </c>
      <c r="H150" s="25" t="inlineStr">
        <is>
          <t>WHE-3962</t>
        </is>
      </c>
      <c r="I150" s="27" t="n">
        <v>5463.75</v>
      </c>
      <c r="J150" s="25" t="inlineStr">
        <is>
          <t>مسجلة</t>
        </is>
      </c>
      <c r="K150" s="25" t="n"/>
    </row>
    <row r="151">
      <c r="A151" s="25" t="inlineStr">
        <is>
          <t>RN-INV#174</t>
        </is>
      </c>
      <c r="B151" s="96" t="n">
        <v>46085</v>
      </c>
      <c r="C151" s="25" t="inlineStr">
        <is>
          <t>WHK-3963</t>
        </is>
      </c>
      <c r="D151" s="27" t="n">
        <v>2700</v>
      </c>
      <c r="E151" s="25" t="inlineStr">
        <is>
          <t>م/ عادل أبو خالد</t>
        </is>
      </c>
      <c r="F151" s="25" t="inlineStr">
        <is>
          <t>174</t>
        </is>
      </c>
      <c r="G151" s="96" t="n">
        <v>46085</v>
      </c>
      <c r="H151" s="25" t="inlineStr">
        <is>
          <t>WHK-3963</t>
        </is>
      </c>
      <c r="I151" s="27" t="n">
        <v>2700</v>
      </c>
      <c r="J151" s="25" t="inlineStr">
        <is>
          <t>مسجلة</t>
        </is>
      </c>
      <c r="K151" s="25" t="n"/>
    </row>
    <row r="152">
      <c r="A152" s="25" t="inlineStr">
        <is>
          <t>RN-INV#175</t>
        </is>
      </c>
      <c r="B152" s="96" t="n">
        <v>46086</v>
      </c>
      <c r="C152" s="25" t="inlineStr">
        <is>
          <t>WHT-3966</t>
        </is>
      </c>
      <c r="D152" s="27" t="n">
        <v>1320</v>
      </c>
      <c r="E152" s="25" t="inlineStr">
        <is>
          <t>عصمت الله خان</t>
        </is>
      </c>
      <c r="F152" s="25" t="inlineStr">
        <is>
          <t>175</t>
        </is>
      </c>
      <c r="G152" s="96" t="n">
        <v>46086</v>
      </c>
      <c r="H152" s="25" t="inlineStr">
        <is>
          <t>WHT-3966</t>
        </is>
      </c>
      <c r="I152" s="27" t="n">
        <v>1320</v>
      </c>
      <c r="J152" s="25" t="inlineStr">
        <is>
          <t>مسجلة</t>
        </is>
      </c>
      <c r="K152" s="25" t="n"/>
    </row>
    <row r="153">
      <c r="A153" s="25" t="inlineStr">
        <is>
          <t>RN-INV#176</t>
        </is>
      </c>
      <c r="B153" s="96" t="n">
        <v>46088</v>
      </c>
      <c r="C153" s="25" t="inlineStr">
        <is>
          <t>WHT-3968</t>
        </is>
      </c>
      <c r="D153" s="27" t="n">
        <v>1910</v>
      </c>
      <c r="E153" s="25" t="inlineStr">
        <is>
          <t>عصمت الله خان</t>
        </is>
      </c>
      <c r="F153" s="25" t="inlineStr">
        <is>
          <t>176</t>
        </is>
      </c>
      <c r="G153" s="96" t="n">
        <v>46088</v>
      </c>
      <c r="H153" s="25" t="inlineStr">
        <is>
          <t>WHT-3968</t>
        </is>
      </c>
      <c r="I153" s="27" t="n">
        <v>1910</v>
      </c>
      <c r="J153" s="25" t="inlineStr">
        <is>
          <t>مسجلة</t>
        </is>
      </c>
      <c r="K153" s="25" t="n"/>
    </row>
    <row r="154">
      <c r="A154" s="25" t="inlineStr">
        <is>
          <t>RN-INV#177</t>
        </is>
      </c>
      <c r="B154" s="96" t="n">
        <v>46089</v>
      </c>
      <c r="C154" s="25" t="inlineStr">
        <is>
          <t>WHT-3978</t>
        </is>
      </c>
      <c r="D154" s="27" t="n">
        <v>2537.5</v>
      </c>
      <c r="E154" s="25" t="inlineStr">
        <is>
          <t>عصمت الله خان</t>
        </is>
      </c>
      <c r="F154" s="25" t="inlineStr">
        <is>
          <t>177</t>
        </is>
      </c>
      <c r="G154" s="96" t="n">
        <v>46089</v>
      </c>
      <c r="H154" s="25" t="inlineStr">
        <is>
          <t>WHT-3978</t>
        </is>
      </c>
      <c r="I154" s="27" t="n">
        <v>2537.5</v>
      </c>
      <c r="J154" s="25" t="inlineStr">
        <is>
          <t>مسجلة</t>
        </is>
      </c>
      <c r="K154" s="25" t="n"/>
    </row>
    <row r="155">
      <c r="A155" s="25" t="inlineStr">
        <is>
          <t>RN-INV#178</t>
        </is>
      </c>
      <c r="B155" s="96" t="n">
        <v>46090</v>
      </c>
      <c r="C155" s="25" t="inlineStr">
        <is>
          <t>WHT-3988</t>
        </is>
      </c>
      <c r="D155" s="27" t="n">
        <v>1762.5</v>
      </c>
      <c r="E155" s="25" t="inlineStr">
        <is>
          <t>عصمت الله خان</t>
        </is>
      </c>
      <c r="F155" s="25" t="inlineStr">
        <is>
          <t>178</t>
        </is>
      </c>
      <c r="G155" s="96" t="n">
        <v>46090</v>
      </c>
      <c r="H155" s="25" t="inlineStr">
        <is>
          <t>WHT-3988</t>
        </is>
      </c>
      <c r="I155" s="27" t="n">
        <v>1762.5</v>
      </c>
      <c r="J155" s="25" t="inlineStr">
        <is>
          <t>مسجلة</t>
        </is>
      </c>
      <c r="K155" s="25" t="n"/>
    </row>
    <row r="156">
      <c r="A156" s="25" t="inlineStr">
        <is>
          <t>RN-INV#179</t>
        </is>
      </c>
      <c r="B156" s="96" t="n">
        <v>46090</v>
      </c>
      <c r="C156" s="25" t="inlineStr">
        <is>
          <t>WHE-3990</t>
        </is>
      </c>
      <c r="D156" s="27" t="n">
        <v>6240</v>
      </c>
      <c r="E156" s="25" t="inlineStr">
        <is>
          <t>عماد حمدي</t>
        </is>
      </c>
      <c r="F156" s="25" t="inlineStr">
        <is>
          <t>179</t>
        </is>
      </c>
      <c r="G156" s="96" t="n">
        <v>46090</v>
      </c>
      <c r="H156" s="25" t="inlineStr">
        <is>
          <t>WHE-3990</t>
        </is>
      </c>
      <c r="I156" s="27" t="n">
        <v>6240</v>
      </c>
      <c r="J156" s="25" t="inlineStr">
        <is>
          <t>مسجلة</t>
        </is>
      </c>
      <c r="K156" s="25" t="n"/>
    </row>
    <row r="157">
      <c r="A157" s="25" t="inlineStr">
        <is>
          <t>RN-INV#180</t>
        </is>
      </c>
      <c r="B157" s="96" t="n">
        <v>46091</v>
      </c>
      <c r="C157" s="25" t="inlineStr">
        <is>
          <t>WHT-3993</t>
        </is>
      </c>
      <c r="D157" s="27" t="n">
        <v>1261.25</v>
      </c>
      <c r="E157" s="25" t="inlineStr">
        <is>
          <t>عصمت الله خان</t>
        </is>
      </c>
      <c r="F157" s="25" t="inlineStr">
        <is>
          <t>180</t>
        </is>
      </c>
      <c r="G157" s="96" t="n">
        <v>46091</v>
      </c>
      <c r="H157" s="25" t="inlineStr">
        <is>
          <t>WHT-3993</t>
        </is>
      </c>
      <c r="I157" s="27" t="n">
        <v>1261.25</v>
      </c>
      <c r="J157" s="25" t="inlineStr">
        <is>
          <t>مسجلة</t>
        </is>
      </c>
      <c r="K157" s="25" t="n"/>
    </row>
    <row r="158">
      <c r="A158" s="25" t="inlineStr">
        <is>
          <t>RN-INV#181</t>
        </is>
      </c>
      <c r="B158" s="96" t="n">
        <v>46092</v>
      </c>
      <c r="C158" s="25" t="inlineStr">
        <is>
          <t>WHT-3999</t>
        </is>
      </c>
      <c r="D158" s="27" t="n">
        <v>3133.75</v>
      </c>
      <c r="E158" s="25" t="inlineStr">
        <is>
          <t>عصمت الله خان</t>
        </is>
      </c>
      <c r="F158" s="25" t="inlineStr">
        <is>
          <t>181</t>
        </is>
      </c>
      <c r="G158" s="96" t="n">
        <v>46092</v>
      </c>
      <c r="H158" s="25" t="inlineStr">
        <is>
          <t>WHT-3999</t>
        </is>
      </c>
      <c r="I158" s="27" t="n">
        <v>3133.75</v>
      </c>
      <c r="J158" s="25" t="inlineStr">
        <is>
          <t>مسجلة</t>
        </is>
      </c>
      <c r="K158" s="25" t="n"/>
    </row>
    <row r="159">
      <c r="A159" s="25" t="inlineStr">
        <is>
          <t>RN-INV#182</t>
        </is>
      </c>
      <c r="B159" s="96" t="n">
        <v>46093</v>
      </c>
      <c r="C159" s="25" t="inlineStr">
        <is>
          <t>WHT-4010</t>
        </is>
      </c>
      <c r="D159" s="27" t="n">
        <v>1870</v>
      </c>
      <c r="E159" s="25" t="inlineStr">
        <is>
          <t>عصمت الله خان</t>
        </is>
      </c>
      <c r="F159" s="25" t="inlineStr">
        <is>
          <t>182</t>
        </is>
      </c>
      <c r="G159" s="96" t="n">
        <v>46093</v>
      </c>
      <c r="H159" s="25" t="inlineStr">
        <is>
          <t>WHT-4010</t>
        </is>
      </c>
      <c r="I159" s="27" t="n">
        <v>1870</v>
      </c>
      <c r="J159" s="25" t="inlineStr">
        <is>
          <t>مسجلة</t>
        </is>
      </c>
      <c r="K159" s="25" t="n"/>
    </row>
    <row r="160">
      <c r="A160" s="25" t="inlineStr">
        <is>
          <t>RN-INV#183</t>
        </is>
      </c>
      <c r="B160" s="96" t="n">
        <v>46095</v>
      </c>
      <c r="C160" s="25" t="inlineStr">
        <is>
          <t>WHT-4015</t>
        </is>
      </c>
      <c r="D160" s="27" t="n">
        <v>2212.5</v>
      </c>
      <c r="E160" s="25" t="inlineStr">
        <is>
          <t>عصمت الله خان</t>
        </is>
      </c>
      <c r="F160" s="25" t="inlineStr">
        <is>
          <t>183</t>
        </is>
      </c>
      <c r="G160" s="96" t="n">
        <v>46094</v>
      </c>
      <c r="H160" s="25" t="inlineStr">
        <is>
          <t>WHT-4015</t>
        </is>
      </c>
      <c r="I160" s="27" t="n">
        <v>2212.5</v>
      </c>
      <c r="J160" s="25" t="inlineStr">
        <is>
          <t>مسجلة</t>
        </is>
      </c>
      <c r="K160" s="25" t="n"/>
    </row>
    <row r="161">
      <c r="A161" s="18" t="inlineStr">
        <is>
          <t>RN-INV#184</t>
        </is>
      </c>
      <c r="B161" s="98" t="n">
        <v>46095</v>
      </c>
      <c r="C161" s="18" t="inlineStr">
        <is>
          <t>WHE-4016</t>
        </is>
      </c>
      <c r="D161" s="19" t="n">
        <v>6700</v>
      </c>
      <c r="E161" s="18" t="inlineStr">
        <is>
          <t>عماد حمدي</t>
        </is>
      </c>
      <c r="F161" s="18" t="inlineStr">
        <is>
          <t>184</t>
        </is>
      </c>
      <c r="G161" s="98" t="n">
        <v>46094</v>
      </c>
      <c r="H161" s="18" t="inlineStr">
        <is>
          <t>WHE-3990</t>
        </is>
      </c>
      <c r="I161" s="19" t="n">
        <v>6700</v>
      </c>
      <c r="J161" s="18" t="inlineStr">
        <is>
          <t>مسجلة مع ملاحظة</t>
        </is>
      </c>
      <c r="K161" s="18" t="inlineStr">
        <is>
          <t>رقم العقد بالكشف WHE-3990 خطأ – الصحيح WHE-4016 (حسب الفاتورة)</t>
        </is>
      </c>
    </row>
    <row r="162">
      <c r="A162" s="25" t="inlineStr">
        <is>
          <t>RN-INV#185</t>
        </is>
      </c>
      <c r="B162" s="96" t="n">
        <v>46096</v>
      </c>
      <c r="C162" s="25" t="inlineStr">
        <is>
          <t>WHT-4018</t>
        </is>
      </c>
      <c r="D162" s="27" t="n">
        <v>3240</v>
      </c>
      <c r="E162" s="25" t="inlineStr">
        <is>
          <t>عصمت الله خان</t>
        </is>
      </c>
      <c r="F162" s="25" t="inlineStr">
        <is>
          <t>185</t>
        </is>
      </c>
      <c r="G162" s="96" t="n">
        <v>46095</v>
      </c>
      <c r="H162" s="25" t="inlineStr">
        <is>
          <t>WHT-4018</t>
        </is>
      </c>
      <c r="I162" s="27" t="n">
        <v>3240</v>
      </c>
      <c r="J162" s="25" t="inlineStr">
        <is>
          <t>مسجلة</t>
        </is>
      </c>
      <c r="K162" s="25" t="n"/>
    </row>
    <row r="163">
      <c r="A163" s="25" t="inlineStr">
        <is>
          <t>RN-INV#186</t>
        </is>
      </c>
      <c r="B163" s="96" t="n">
        <v>46097</v>
      </c>
      <c r="C163" s="25" t="inlineStr">
        <is>
          <t>WHT-4022</t>
        </is>
      </c>
      <c r="D163" s="27" t="n">
        <v>2180</v>
      </c>
      <c r="E163" s="25" t="inlineStr">
        <is>
          <t>عصمت الله خان</t>
        </is>
      </c>
      <c r="F163" s="25" t="inlineStr">
        <is>
          <t>186</t>
        </is>
      </c>
      <c r="G163" s="96" t="n">
        <v>46096</v>
      </c>
      <c r="H163" s="25" t="inlineStr">
        <is>
          <t>WHT-4022</t>
        </is>
      </c>
      <c r="I163" s="27" t="n">
        <v>2180</v>
      </c>
      <c r="J163" s="25" t="inlineStr">
        <is>
          <t>مسجلة</t>
        </is>
      </c>
      <c r="K163" s="25" t="n"/>
    </row>
    <row r="164">
      <c r="A164" s="25" t="inlineStr">
        <is>
          <t>RN-INV#187</t>
        </is>
      </c>
      <c r="B164" s="96" t="n">
        <v>46098</v>
      </c>
      <c r="C164" s="25" t="inlineStr">
        <is>
          <t>WHT-4034</t>
        </is>
      </c>
      <c r="D164" s="27" t="n">
        <v>1117.5</v>
      </c>
      <c r="E164" s="25" t="inlineStr">
        <is>
          <t>عصمت الله خان</t>
        </is>
      </c>
      <c r="F164" s="25" t="inlineStr">
        <is>
          <t>187</t>
        </is>
      </c>
      <c r="G164" s="96" t="n">
        <v>46097</v>
      </c>
      <c r="H164" s="25" t="inlineStr">
        <is>
          <t>WHT-4034</t>
        </is>
      </c>
      <c r="I164" s="27" t="n">
        <v>1117.5</v>
      </c>
      <c r="J164" s="25" t="inlineStr">
        <is>
          <t>مسجلة</t>
        </is>
      </c>
      <c r="K164" s="25" t="n"/>
    </row>
    <row r="165">
      <c r="A165" s="25" t="inlineStr">
        <is>
          <t>RN-INV#188</t>
        </is>
      </c>
      <c r="B165" s="96" t="n">
        <v>46099</v>
      </c>
      <c r="C165" s="25" t="inlineStr">
        <is>
          <t>WHT-4048</t>
        </is>
      </c>
      <c r="D165" s="27" t="n">
        <v>1710</v>
      </c>
      <c r="E165" s="25" t="inlineStr">
        <is>
          <t>عصمت الله خان</t>
        </is>
      </c>
      <c r="F165" s="25" t="inlineStr">
        <is>
          <t>188</t>
        </is>
      </c>
      <c r="G165" s="96" t="n">
        <v>46098</v>
      </c>
      <c r="H165" s="25" t="inlineStr">
        <is>
          <t>WHT-4048</t>
        </is>
      </c>
      <c r="I165" s="27" t="n">
        <v>1710</v>
      </c>
      <c r="J165" s="25" t="inlineStr">
        <is>
          <t>مسجلة</t>
        </is>
      </c>
      <c r="K165" s="25" t="n"/>
    </row>
    <row r="166">
      <c r="A166" s="25" t="inlineStr">
        <is>
          <t>RN-INV#189</t>
        </is>
      </c>
      <c r="B166" s="96" t="n">
        <v>46100</v>
      </c>
      <c r="C166" s="25" t="inlineStr">
        <is>
          <t>WHE-4051</t>
        </is>
      </c>
      <c r="D166" s="27" t="n">
        <v>1355</v>
      </c>
      <c r="E166" s="25" t="inlineStr">
        <is>
          <t>عماد حمدي</t>
        </is>
      </c>
      <c r="F166" s="25" t="inlineStr">
        <is>
          <t>189</t>
        </is>
      </c>
      <c r="G166" s="96" t="n">
        <v>46100</v>
      </c>
      <c r="H166" s="25" t="inlineStr">
        <is>
          <t>WHE-4051</t>
        </is>
      </c>
      <c r="I166" s="27" t="n">
        <v>1355</v>
      </c>
      <c r="J166" s="25" t="inlineStr">
        <is>
          <t>مسجلة</t>
        </is>
      </c>
      <c r="K166" s="25" t="n"/>
    </row>
    <row r="167">
      <c r="A167" s="25" t="inlineStr">
        <is>
          <t>RN-INV#190</t>
        </is>
      </c>
      <c r="B167" s="96" t="n">
        <v>46100</v>
      </c>
      <c r="C167" s="25" t="inlineStr">
        <is>
          <t>WHT-4052</t>
        </is>
      </c>
      <c r="D167" s="27" t="n">
        <v>3332.5</v>
      </c>
      <c r="E167" s="25" t="inlineStr">
        <is>
          <t>عصمت الله خان</t>
        </is>
      </c>
      <c r="F167" s="25" t="inlineStr">
        <is>
          <t>190</t>
        </is>
      </c>
      <c r="G167" s="96" t="n">
        <v>46100</v>
      </c>
      <c r="H167" s="25" t="inlineStr">
        <is>
          <t>WHT-4052</t>
        </is>
      </c>
      <c r="I167" s="27" t="n">
        <v>3332.5</v>
      </c>
      <c r="J167" s="25" t="inlineStr">
        <is>
          <t>مسجلة</t>
        </is>
      </c>
      <c r="K167" s="25" t="n"/>
    </row>
    <row r="168">
      <c r="A168" s="18" t="inlineStr">
        <is>
          <t>RN-INV#191</t>
        </is>
      </c>
      <c r="B168" s="98" t="n">
        <v>46107</v>
      </c>
      <c r="C168" s="18" t="inlineStr">
        <is>
          <t>WHT-4062</t>
        </is>
      </c>
      <c r="D168" s="19" t="n">
        <v>636.25</v>
      </c>
      <c r="E168" s="18" t="inlineStr">
        <is>
          <t>عصمت الله خان</t>
        </is>
      </c>
      <c r="F168" s="18" t="inlineStr">
        <is>
          <t>191</t>
        </is>
      </c>
      <c r="G168" s="98" t="n">
        <v>46106</v>
      </c>
      <c r="H168" s="18" t="inlineStr">
        <is>
          <t>WHT-4052</t>
        </is>
      </c>
      <c r="I168" s="19" t="n">
        <v>636.25</v>
      </c>
      <c r="J168" s="18" t="inlineStr">
        <is>
          <t>مسجلة مع ملاحظة</t>
        </is>
      </c>
      <c r="K168" s="18" t="inlineStr">
        <is>
          <t>رقم العقد بالكشف WHT-4052 خطأ – الصحيح WHT-4062 (حسب الفاتورة)</t>
        </is>
      </c>
    </row>
    <row r="169">
      <c r="A169" s="25" t="inlineStr">
        <is>
          <t>RN-INV#192</t>
        </is>
      </c>
      <c r="B169" s="96" t="n">
        <v>46107</v>
      </c>
      <c r="C169" s="25" t="inlineStr">
        <is>
          <t>WHT-4065</t>
        </is>
      </c>
      <c r="D169" s="27" t="n">
        <v>543.75</v>
      </c>
      <c r="E169" s="25" t="inlineStr">
        <is>
          <t>عصمت الله خان</t>
        </is>
      </c>
      <c r="F169" s="25" t="inlineStr">
        <is>
          <t>192</t>
        </is>
      </c>
      <c r="G169" s="96" t="n">
        <v>46107</v>
      </c>
      <c r="H169" s="25" t="inlineStr">
        <is>
          <t>WHT-4065</t>
        </is>
      </c>
      <c r="I169" s="27" t="n">
        <v>543.75</v>
      </c>
      <c r="J169" s="25" t="inlineStr">
        <is>
          <t>مسجلة</t>
        </is>
      </c>
      <c r="K169" s="25" t="n"/>
    </row>
    <row r="170">
      <c r="A170" s="25" t="inlineStr">
        <is>
          <t>RN-INV#193</t>
        </is>
      </c>
      <c r="B170" s="96" t="n">
        <v>46110</v>
      </c>
      <c r="C170" s="25" t="inlineStr">
        <is>
          <t>WHT-4075</t>
        </is>
      </c>
      <c r="D170" s="27" t="n">
        <v>1140</v>
      </c>
      <c r="E170" s="25" t="inlineStr">
        <is>
          <t>عصمت الله خان</t>
        </is>
      </c>
      <c r="F170" s="25" t="inlineStr">
        <is>
          <t>193</t>
        </is>
      </c>
      <c r="G170" s="96" t="n">
        <v>46110</v>
      </c>
      <c r="H170" s="25" t="inlineStr">
        <is>
          <t>WHT-4075</t>
        </is>
      </c>
      <c r="I170" s="27" t="n">
        <v>1140</v>
      </c>
      <c r="J170" s="25" t="inlineStr">
        <is>
          <t>مسجلة</t>
        </is>
      </c>
      <c r="K170" s="25" t="n"/>
    </row>
    <row r="171">
      <c r="A171" s="25" t="inlineStr">
        <is>
          <t>RN-INV#194</t>
        </is>
      </c>
      <c r="B171" s="96" t="n">
        <v>46112</v>
      </c>
      <c r="C171" s="25" t="inlineStr">
        <is>
          <t>WHT-4086</t>
        </is>
      </c>
      <c r="D171" s="27" t="n">
        <v>255</v>
      </c>
      <c r="E171" s="25" t="inlineStr">
        <is>
          <t>عصمت الله خان</t>
        </is>
      </c>
      <c r="F171" s="25" t="inlineStr">
        <is>
          <t>194</t>
        </is>
      </c>
      <c r="G171" s="96" t="n">
        <v>46111</v>
      </c>
      <c r="H171" s="25" t="inlineStr">
        <is>
          <t>WHT-4086</t>
        </is>
      </c>
      <c r="I171" s="27" t="n">
        <v>255</v>
      </c>
      <c r="J171" s="25" t="inlineStr">
        <is>
          <t>مسجلة</t>
        </is>
      </c>
      <c r="K171" s="25" t="n"/>
    </row>
    <row r="172">
      <c r="A172" s="25" t="inlineStr">
        <is>
          <t>RN-INV#195</t>
        </is>
      </c>
      <c r="B172" s="96" t="n">
        <v>46112</v>
      </c>
      <c r="C172" s="25" t="inlineStr">
        <is>
          <t>WHT-4092</t>
        </is>
      </c>
      <c r="D172" s="27" t="n">
        <v>1306.75</v>
      </c>
      <c r="E172" s="25" t="inlineStr">
        <is>
          <t>عصمت الله خان</t>
        </is>
      </c>
      <c r="F172" s="25" t="inlineStr">
        <is>
          <t>195</t>
        </is>
      </c>
      <c r="G172" s="96" t="n">
        <v>46112</v>
      </c>
      <c r="H172" s="25" t="inlineStr">
        <is>
          <t>WHT-4092</t>
        </is>
      </c>
      <c r="I172" s="27" t="n">
        <v>1306.75</v>
      </c>
      <c r="J172" s="25" t="inlineStr">
        <is>
          <t>مسجلة</t>
        </is>
      </c>
      <c r="K172" s="25" t="n"/>
    </row>
    <row r="173">
      <c r="A173" s="25" t="inlineStr">
        <is>
          <t>RN-INV#196</t>
        </is>
      </c>
      <c r="B173" s="96" t="n">
        <v>46113</v>
      </c>
      <c r="C173" s="25" t="inlineStr">
        <is>
          <t>WHT-4097</t>
        </is>
      </c>
      <c r="D173" s="27" t="n">
        <v>675</v>
      </c>
      <c r="E173" s="25" t="inlineStr">
        <is>
          <t>عصمت الله خان</t>
        </is>
      </c>
      <c r="F173" s="25" t="inlineStr">
        <is>
          <t>196</t>
        </is>
      </c>
      <c r="G173" s="96" t="n">
        <v>46113</v>
      </c>
      <c r="H173" s="25" t="inlineStr">
        <is>
          <t>WHT-4097</t>
        </is>
      </c>
      <c r="I173" s="27" t="n">
        <v>675</v>
      </c>
      <c r="J173" s="25" t="inlineStr">
        <is>
          <t>مسجلة</t>
        </is>
      </c>
      <c r="K173" s="25" t="n"/>
    </row>
    <row r="174">
      <c r="A174" s="25" t="inlineStr">
        <is>
          <t>RN-INV#197</t>
        </is>
      </c>
      <c r="B174" s="96" t="n">
        <v>46114</v>
      </c>
      <c r="C174" s="25" t="inlineStr">
        <is>
          <t>WHT-4103</t>
        </is>
      </c>
      <c r="D174" s="27" t="n">
        <v>590</v>
      </c>
      <c r="E174" s="25" t="inlineStr">
        <is>
          <t>عصمت الله خان</t>
        </is>
      </c>
      <c r="F174" s="25" t="inlineStr">
        <is>
          <t>197</t>
        </is>
      </c>
      <c r="G174" s="96" t="n">
        <v>46114</v>
      </c>
      <c r="H174" s="25" t="inlineStr">
        <is>
          <t>WHT-4103</t>
        </is>
      </c>
      <c r="I174" s="27" t="n">
        <v>590</v>
      </c>
      <c r="J174" s="25" t="inlineStr">
        <is>
          <t>مسجلة</t>
        </is>
      </c>
      <c r="K174" s="25" t="n"/>
    </row>
    <row r="175">
      <c r="A175" s="25" t="inlineStr">
        <is>
          <t>RN-INV#198</t>
        </is>
      </c>
      <c r="B175" s="96" t="n">
        <v>46116</v>
      </c>
      <c r="C175" s="25" t="inlineStr">
        <is>
          <t>WHT-4108</t>
        </is>
      </c>
      <c r="D175" s="27" t="n">
        <v>722.5</v>
      </c>
      <c r="E175" s="25" t="inlineStr">
        <is>
          <t>عصمت الله خان</t>
        </is>
      </c>
      <c r="F175" s="25" t="inlineStr">
        <is>
          <t>198</t>
        </is>
      </c>
      <c r="G175" s="96" t="n">
        <v>46116</v>
      </c>
      <c r="H175" s="25" t="inlineStr">
        <is>
          <t>WHT-4108</t>
        </is>
      </c>
      <c r="I175" s="27" t="n">
        <v>722.5</v>
      </c>
      <c r="J175" s="25" t="inlineStr">
        <is>
          <t>مسجلة</t>
        </is>
      </c>
      <c r="K175" s="25" t="n"/>
    </row>
    <row r="176">
      <c r="A176" s="25" t="inlineStr">
        <is>
          <t>RN-INV#199</t>
        </is>
      </c>
      <c r="B176" s="96" t="n">
        <v>46117</v>
      </c>
      <c r="C176" s="25" t="inlineStr">
        <is>
          <t>WHT-4112</t>
        </is>
      </c>
      <c r="D176" s="27" t="n">
        <v>2030</v>
      </c>
      <c r="E176" s="25" t="inlineStr">
        <is>
          <t>عصمت الله خان</t>
        </is>
      </c>
      <c r="F176" s="25" t="inlineStr">
        <is>
          <t>199</t>
        </is>
      </c>
      <c r="G176" s="96" t="n">
        <v>46117</v>
      </c>
      <c r="H176" s="25" t="inlineStr">
        <is>
          <t>WHT-4112</t>
        </is>
      </c>
      <c r="I176" s="27" t="n">
        <v>2030</v>
      </c>
      <c r="J176" s="25" t="inlineStr">
        <is>
          <t>مسجلة</t>
        </is>
      </c>
      <c r="K176" s="25" t="n"/>
    </row>
    <row r="177">
      <c r="A177" s="25" t="inlineStr">
        <is>
          <t>RN-INV#200</t>
        </is>
      </c>
      <c r="B177" s="96" t="n">
        <v>46118</v>
      </c>
      <c r="C177" s="25" t="inlineStr">
        <is>
          <t>WHT-4128</t>
        </is>
      </c>
      <c r="D177" s="27" t="n">
        <v>2650</v>
      </c>
      <c r="E177" s="25" t="inlineStr">
        <is>
          <t>عصمت الله خان</t>
        </is>
      </c>
      <c r="F177" s="25" t="inlineStr">
        <is>
          <t>200</t>
        </is>
      </c>
      <c r="G177" s="96" t="n">
        <v>46118</v>
      </c>
      <c r="H177" s="25" t="inlineStr">
        <is>
          <t>WHT-4128</t>
        </is>
      </c>
      <c r="I177" s="27" t="n">
        <v>2650</v>
      </c>
      <c r="J177" s="25" t="inlineStr">
        <is>
          <t>مسجلة</t>
        </is>
      </c>
      <c r="K177" s="25" t="n"/>
    </row>
    <row r="178">
      <c r="A178" s="25" t="inlineStr">
        <is>
          <t>RN-INV#201</t>
        </is>
      </c>
      <c r="B178" s="96" t="n">
        <v>46119</v>
      </c>
      <c r="C178" s="25" t="inlineStr">
        <is>
          <t>WHE-4130</t>
        </is>
      </c>
      <c r="D178" s="27" t="n">
        <v>2147.5</v>
      </c>
      <c r="E178" s="25" t="inlineStr">
        <is>
          <t>عماد حمدي</t>
        </is>
      </c>
      <c r="F178" s="25" t="inlineStr">
        <is>
          <t>201</t>
        </is>
      </c>
      <c r="G178" s="96" t="n">
        <v>46118</v>
      </c>
      <c r="H178" s="25" t="inlineStr">
        <is>
          <t>WHE-4130</t>
        </is>
      </c>
      <c r="I178" s="27" t="n">
        <v>2147.5</v>
      </c>
      <c r="J178" s="25" t="inlineStr">
        <is>
          <t>مسجلة</t>
        </is>
      </c>
      <c r="K178" s="25" t="n"/>
    </row>
    <row r="179">
      <c r="A179" s="25" t="inlineStr">
        <is>
          <t>RN-INV#202</t>
        </is>
      </c>
      <c r="B179" s="96" t="n">
        <v>46120</v>
      </c>
      <c r="C179" s="25" t="inlineStr">
        <is>
          <t>WHT-4134</t>
        </is>
      </c>
      <c r="D179" s="27" t="n">
        <v>1000</v>
      </c>
      <c r="E179" s="25" t="inlineStr">
        <is>
          <t>عصمت الله خان</t>
        </is>
      </c>
      <c r="F179" s="25" t="inlineStr">
        <is>
          <t>202</t>
        </is>
      </c>
      <c r="G179" s="96" t="n">
        <v>46119</v>
      </c>
      <c r="H179" s="25" t="inlineStr">
        <is>
          <t>WHT-4134</t>
        </is>
      </c>
      <c r="I179" s="27" t="n">
        <v>1000</v>
      </c>
      <c r="J179" s="25" t="inlineStr">
        <is>
          <t>مسجلة</t>
        </is>
      </c>
      <c r="K179" s="25" t="n"/>
    </row>
    <row r="180">
      <c r="A180" s="25" t="inlineStr">
        <is>
          <t>RN-INV#203</t>
        </is>
      </c>
      <c r="B180" s="96" t="n">
        <v>46121</v>
      </c>
      <c r="C180" s="25" t="inlineStr">
        <is>
          <t>WHT-4149</t>
        </is>
      </c>
      <c r="D180" s="27" t="n">
        <v>500</v>
      </c>
      <c r="E180" s="25" t="inlineStr">
        <is>
          <t>عصمت الله خان</t>
        </is>
      </c>
      <c r="F180" s="25" t="inlineStr">
        <is>
          <t>203</t>
        </is>
      </c>
      <c r="G180" s="96" t="n">
        <v>46121</v>
      </c>
      <c r="H180" s="25" t="inlineStr">
        <is>
          <t>WHT-4149</t>
        </is>
      </c>
      <c r="I180" s="27" t="n">
        <v>500</v>
      </c>
      <c r="J180" s="25" t="inlineStr">
        <is>
          <t>مسجلة</t>
        </is>
      </c>
      <c r="K180" s="25" t="n"/>
    </row>
    <row r="181">
      <c r="A181" s="25" t="inlineStr">
        <is>
          <t>RN-INV#204</t>
        </is>
      </c>
      <c r="B181" s="96" t="n">
        <v>46124</v>
      </c>
      <c r="C181" s="25" t="inlineStr">
        <is>
          <t>WHT-4152</t>
        </is>
      </c>
      <c r="D181" s="27" t="n">
        <v>1335</v>
      </c>
      <c r="E181" s="25" t="inlineStr">
        <is>
          <t>عصمت الله خان</t>
        </is>
      </c>
      <c r="F181" s="25" t="inlineStr">
        <is>
          <t>204</t>
        </is>
      </c>
      <c r="G181" s="96" t="n">
        <v>46123</v>
      </c>
      <c r="H181" s="25" t="inlineStr">
        <is>
          <t>WHT-4152</t>
        </is>
      </c>
      <c r="I181" s="27" t="n">
        <v>1335</v>
      </c>
      <c r="J181" s="25" t="inlineStr">
        <is>
          <t>مسجلة</t>
        </is>
      </c>
      <c r="K181" s="25" t="n"/>
    </row>
    <row r="182">
      <c r="A182" s="25" t="inlineStr">
        <is>
          <t>RN-INV#205</t>
        </is>
      </c>
      <c r="B182" s="96" t="n">
        <v>46125</v>
      </c>
      <c r="C182" s="25" t="inlineStr">
        <is>
          <t>WHE-4158</t>
        </is>
      </c>
      <c r="D182" s="27" t="n">
        <v>3217.5</v>
      </c>
      <c r="E182" s="25" t="inlineStr">
        <is>
          <t>عماد حمدي</t>
        </is>
      </c>
      <c r="F182" s="25" t="inlineStr">
        <is>
          <t>205</t>
        </is>
      </c>
      <c r="G182" s="96" t="n">
        <v>46124</v>
      </c>
      <c r="H182" s="25" t="inlineStr">
        <is>
          <t>WHE-4158</t>
        </is>
      </c>
      <c r="I182" s="27" t="n">
        <v>3217.5</v>
      </c>
      <c r="J182" s="25" t="inlineStr">
        <is>
          <t>مسجلة</t>
        </is>
      </c>
      <c r="K182" s="25" t="n"/>
    </row>
    <row r="183">
      <c r="A183" s="25" t="inlineStr">
        <is>
          <t>RN-INV#206</t>
        </is>
      </c>
      <c r="B183" s="96" t="n">
        <v>46128</v>
      </c>
      <c r="C183" s="25" t="inlineStr">
        <is>
          <t>WHT-4181</t>
        </is>
      </c>
      <c r="D183" s="27" t="n">
        <v>1195</v>
      </c>
      <c r="E183" s="25" t="inlineStr">
        <is>
          <t>عصمت الله خان</t>
        </is>
      </c>
      <c r="F183" s="25" t="inlineStr">
        <is>
          <t>206</t>
        </is>
      </c>
      <c r="G183" s="96" t="n">
        <v>46127</v>
      </c>
      <c r="H183" s="25" t="inlineStr">
        <is>
          <t>WHT-4181</t>
        </is>
      </c>
      <c r="I183" s="27" t="n">
        <v>1195</v>
      </c>
      <c r="J183" s="25" t="inlineStr">
        <is>
          <t>مسجلة</t>
        </is>
      </c>
      <c r="K183" s="25" t="n"/>
    </row>
    <row r="184">
      <c r="A184" s="25" t="inlineStr">
        <is>
          <t>RN-INV#207</t>
        </is>
      </c>
      <c r="B184" s="96" t="n">
        <v>46128</v>
      </c>
      <c r="C184" s="25" t="inlineStr">
        <is>
          <t>WHE-4185</t>
        </is>
      </c>
      <c r="D184" s="27" t="n">
        <v>880</v>
      </c>
      <c r="E184" s="25" t="inlineStr">
        <is>
          <t>عماد حمدي</t>
        </is>
      </c>
      <c r="F184" s="25" t="inlineStr">
        <is>
          <t>207</t>
        </is>
      </c>
      <c r="G184" s="96" t="n">
        <v>46128</v>
      </c>
      <c r="H184" s="25" t="inlineStr">
        <is>
          <t>WHE-4185</t>
        </is>
      </c>
      <c r="I184" s="27" t="n">
        <v>880</v>
      </c>
      <c r="J184" s="25" t="inlineStr">
        <is>
          <t>مسجلة</t>
        </is>
      </c>
      <c r="K184" s="25" t="n"/>
    </row>
    <row r="185">
      <c r="A185" s="25" t="inlineStr">
        <is>
          <t>RN-INV#208</t>
        </is>
      </c>
      <c r="B185" s="96" t="n">
        <v>46130</v>
      </c>
      <c r="C185" s="25" t="inlineStr">
        <is>
          <t>WHE-4186</t>
        </is>
      </c>
      <c r="D185" s="27" t="n">
        <v>2070</v>
      </c>
      <c r="E185" s="25" t="inlineStr">
        <is>
          <t>عماد حمدي</t>
        </is>
      </c>
      <c r="F185" s="25" t="inlineStr">
        <is>
          <t>208</t>
        </is>
      </c>
      <c r="G185" s="96" t="n">
        <v>46130</v>
      </c>
      <c r="H185" s="25" t="inlineStr">
        <is>
          <t>WHE-4186</t>
        </is>
      </c>
      <c r="I185" s="27" t="n">
        <v>2070</v>
      </c>
      <c r="J185" s="25" t="inlineStr">
        <is>
          <t>مسجلة</t>
        </is>
      </c>
      <c r="K185" s="25" t="n"/>
    </row>
    <row r="186">
      <c r="A186" s="25" t="inlineStr">
        <is>
          <t>RN-INV#209</t>
        </is>
      </c>
      <c r="B186" s="96" t="n">
        <v>46130</v>
      </c>
      <c r="C186" s="25" t="inlineStr">
        <is>
          <t>WHT-4187</t>
        </is>
      </c>
      <c r="D186" s="27" t="n">
        <v>2850</v>
      </c>
      <c r="E186" s="25" t="inlineStr">
        <is>
          <t>عصمت الله خان</t>
        </is>
      </c>
      <c r="F186" s="25" t="inlineStr">
        <is>
          <t>209</t>
        </is>
      </c>
      <c r="G186" s="96" t="n">
        <v>46130</v>
      </c>
      <c r="H186" s="25" t="inlineStr">
        <is>
          <t>WHT-4187</t>
        </is>
      </c>
      <c r="I186" s="27" t="n">
        <v>2850</v>
      </c>
      <c r="J186" s="25" t="inlineStr">
        <is>
          <t>مسجلة</t>
        </is>
      </c>
      <c r="K186" s="25" t="n"/>
    </row>
    <row r="187">
      <c r="A187" s="18" t="inlineStr">
        <is>
          <t>RN-INV#210</t>
        </is>
      </c>
      <c r="B187" s="98" t="n">
        <v>46132</v>
      </c>
      <c r="C187" s="18" t="inlineStr">
        <is>
          <t>WHT-4191</t>
        </is>
      </c>
      <c r="D187" s="19" t="n">
        <v>1400</v>
      </c>
      <c r="E187" s="18" t="inlineStr">
        <is>
          <t>عصمت الله خان</t>
        </is>
      </c>
      <c r="F187" s="18" t="inlineStr">
        <is>
          <t>110</t>
        </is>
      </c>
      <c r="G187" s="98" t="n">
        <v>46131</v>
      </c>
      <c r="H187" s="18" t="inlineStr">
        <is>
          <t>WHT-4191</t>
        </is>
      </c>
      <c r="I187" s="19" t="n">
        <v>1400</v>
      </c>
      <c r="J187" s="18" t="inlineStr">
        <is>
          <t>مسجلة مع ملاحظة</t>
        </is>
      </c>
      <c r="K187" s="18" t="inlineStr">
        <is>
          <t>رقم المستند بالكشف 110 خطأ – الصحيح 210</t>
        </is>
      </c>
    </row>
    <row r="188">
      <c r="A188" s="25" t="inlineStr">
        <is>
          <t>RN-INV#211</t>
        </is>
      </c>
      <c r="B188" s="96" t="n">
        <v>46132</v>
      </c>
      <c r="C188" s="25" t="inlineStr">
        <is>
          <t>WHE-4192</t>
        </is>
      </c>
      <c r="D188" s="27" t="n">
        <v>3100</v>
      </c>
      <c r="E188" s="25" t="inlineStr">
        <is>
          <t>عماد حمدي</t>
        </is>
      </c>
      <c r="F188" s="25" t="inlineStr">
        <is>
          <t>211</t>
        </is>
      </c>
      <c r="G188" s="96" t="n">
        <v>46131</v>
      </c>
      <c r="H188" s="25" t="inlineStr">
        <is>
          <t>WHE-4192</t>
        </is>
      </c>
      <c r="I188" s="27" t="n">
        <v>3100</v>
      </c>
      <c r="J188" s="25" t="inlineStr">
        <is>
          <t>مسجلة</t>
        </is>
      </c>
      <c r="K188" s="25" t="n"/>
    </row>
    <row r="189">
      <c r="A189" s="25" t="inlineStr">
        <is>
          <t>RN-INV#212</t>
        </is>
      </c>
      <c r="B189" s="96" t="n">
        <v>46133</v>
      </c>
      <c r="C189" s="25" t="inlineStr">
        <is>
          <t>WHT-4193</t>
        </is>
      </c>
      <c r="D189" s="27" t="n">
        <v>1390</v>
      </c>
      <c r="E189" s="25" t="inlineStr">
        <is>
          <t>عصمت الله خان</t>
        </is>
      </c>
      <c r="F189" s="25" t="inlineStr">
        <is>
          <t>212</t>
        </is>
      </c>
      <c r="G189" s="96" t="n">
        <v>46132</v>
      </c>
      <c r="H189" s="25" t="inlineStr">
        <is>
          <t>WHT-4193</t>
        </is>
      </c>
      <c r="I189" s="27" t="n">
        <v>1390</v>
      </c>
      <c r="J189" s="25" t="inlineStr">
        <is>
          <t>مسجلة</t>
        </is>
      </c>
      <c r="K189" s="25" t="n"/>
    </row>
    <row r="190">
      <c r="A190" s="25" t="inlineStr">
        <is>
          <t>RN-INV#213</t>
        </is>
      </c>
      <c r="B190" s="96" t="n">
        <v>46134</v>
      </c>
      <c r="C190" s="25" t="inlineStr">
        <is>
          <t>WHT-4198</t>
        </is>
      </c>
      <c r="D190" s="27" t="n">
        <v>555</v>
      </c>
      <c r="E190" s="25" t="inlineStr">
        <is>
          <t>عصمت الله خان</t>
        </is>
      </c>
      <c r="F190" s="25" t="inlineStr">
        <is>
          <t>213</t>
        </is>
      </c>
      <c r="G190" s="96" t="n">
        <v>46133</v>
      </c>
      <c r="H190" s="25" t="inlineStr">
        <is>
          <t>WHT-4198</t>
        </is>
      </c>
      <c r="I190" s="27" t="n">
        <v>555</v>
      </c>
      <c r="J190" s="25" t="inlineStr">
        <is>
          <t>مسجلة</t>
        </is>
      </c>
      <c r="K190" s="25" t="n"/>
    </row>
    <row r="191">
      <c r="A191" s="25" t="inlineStr">
        <is>
          <t>RN-INV#214</t>
        </is>
      </c>
      <c r="B191" s="96" t="n">
        <v>46134</v>
      </c>
      <c r="C191" s="25" t="inlineStr">
        <is>
          <t>WHE-4199</t>
        </is>
      </c>
      <c r="D191" s="27" t="n">
        <v>2602.5</v>
      </c>
      <c r="E191" s="25" t="inlineStr">
        <is>
          <t>عماد حمدي</t>
        </is>
      </c>
      <c r="F191" s="25" t="inlineStr">
        <is>
          <t>214</t>
        </is>
      </c>
      <c r="G191" s="96" t="n">
        <v>46134</v>
      </c>
      <c r="H191" s="25" t="inlineStr">
        <is>
          <t>WHE-4199</t>
        </is>
      </c>
      <c r="I191" s="27" t="n">
        <v>2602.5</v>
      </c>
      <c r="J191" s="25" t="inlineStr">
        <is>
          <t>مسجلة</t>
        </is>
      </c>
      <c r="K191" s="25" t="n"/>
    </row>
    <row r="192">
      <c r="A192" s="25" t="inlineStr">
        <is>
          <t>RN-INV#215</t>
        </is>
      </c>
      <c r="B192" s="96" t="n">
        <v>46134</v>
      </c>
      <c r="C192" s="25" t="inlineStr">
        <is>
          <t>WHE-4204</t>
        </is>
      </c>
      <c r="D192" s="27" t="n">
        <v>1180</v>
      </c>
      <c r="E192" s="25" t="inlineStr">
        <is>
          <t>عماد حمدي</t>
        </is>
      </c>
      <c r="F192" s="25" t="inlineStr">
        <is>
          <t>215</t>
        </is>
      </c>
      <c r="G192" s="96" t="n">
        <v>46134</v>
      </c>
      <c r="H192" s="25" t="inlineStr">
        <is>
          <t>WHE-4204</t>
        </is>
      </c>
      <c r="I192" s="27" t="n">
        <v>1180</v>
      </c>
      <c r="J192" s="25" t="inlineStr">
        <is>
          <t>مسجلة</t>
        </is>
      </c>
      <c r="K192" s="25" t="n"/>
    </row>
    <row r="193">
      <c r="A193" s="25" t="inlineStr">
        <is>
          <t>RN-INV#216</t>
        </is>
      </c>
      <c r="B193" s="96" t="n">
        <v>46135</v>
      </c>
      <c r="C193" s="25" t="inlineStr">
        <is>
          <t>WHT-4207</t>
        </is>
      </c>
      <c r="D193" s="27" t="n">
        <v>2160</v>
      </c>
      <c r="E193" s="25" t="inlineStr">
        <is>
          <t>عصمت الله خان</t>
        </is>
      </c>
      <c r="F193" s="25" t="inlineStr">
        <is>
          <t>216</t>
        </is>
      </c>
      <c r="G193" s="96" t="n">
        <v>46134</v>
      </c>
      <c r="H193" s="25" t="inlineStr">
        <is>
          <t>WHT-4207</t>
        </is>
      </c>
      <c r="I193" s="27" t="n">
        <v>2160</v>
      </c>
      <c r="J193" s="25" t="inlineStr">
        <is>
          <t>مسجلة</t>
        </is>
      </c>
      <c r="K193" s="25" t="n"/>
    </row>
    <row r="194">
      <c r="A194" s="25" t="inlineStr">
        <is>
          <t>RN-INV#217</t>
        </is>
      </c>
      <c r="B194" s="96" t="n">
        <v>46137</v>
      </c>
      <c r="C194" s="25" t="inlineStr">
        <is>
          <t>WHE-4210</t>
        </is>
      </c>
      <c r="D194" s="27" t="n">
        <v>6711.25</v>
      </c>
      <c r="E194" s="25" t="inlineStr">
        <is>
          <t>عماد حمدي</t>
        </is>
      </c>
      <c r="F194" s="25" t="inlineStr">
        <is>
          <t>217</t>
        </is>
      </c>
      <c r="G194" s="96" t="n">
        <v>46137</v>
      </c>
      <c r="H194" s="25" t="inlineStr">
        <is>
          <t>WHE-4210</t>
        </is>
      </c>
      <c r="I194" s="27" t="n">
        <v>6711.25</v>
      </c>
      <c r="J194" s="25" t="inlineStr">
        <is>
          <t>مسجلة</t>
        </is>
      </c>
      <c r="K194" s="25" t="n"/>
    </row>
    <row r="195">
      <c r="A195" s="25" t="inlineStr">
        <is>
          <t>RN-INV#218</t>
        </is>
      </c>
      <c r="B195" s="96" t="n">
        <v>46138</v>
      </c>
      <c r="C195" s="25" t="inlineStr">
        <is>
          <t>WHT-4214</t>
        </is>
      </c>
      <c r="D195" s="27" t="n">
        <v>2157.5</v>
      </c>
      <c r="E195" s="25" t="inlineStr">
        <is>
          <t>عصمت الله خان</t>
        </is>
      </c>
      <c r="F195" s="25" t="inlineStr">
        <is>
          <t>218</t>
        </is>
      </c>
      <c r="G195" s="96" t="n">
        <v>46137</v>
      </c>
      <c r="H195" s="25" t="inlineStr">
        <is>
          <t>WHT-4214</t>
        </is>
      </c>
      <c r="I195" s="27" t="n">
        <v>2157.5</v>
      </c>
      <c r="J195" s="25" t="inlineStr">
        <is>
          <t>مسجلة</t>
        </is>
      </c>
      <c r="K195" s="25" t="n"/>
    </row>
    <row r="196">
      <c r="A196" s="25" t="inlineStr">
        <is>
          <t>RN-INV#219</t>
        </is>
      </c>
      <c r="B196" s="96" t="n">
        <v>46139</v>
      </c>
      <c r="C196" s="25" t="inlineStr">
        <is>
          <t>WHE-4218</t>
        </is>
      </c>
      <c r="D196" s="27" t="n">
        <v>810</v>
      </c>
      <c r="E196" s="25" t="inlineStr">
        <is>
          <t>عماد حمدي</t>
        </is>
      </c>
      <c r="F196" s="25" t="inlineStr">
        <is>
          <t>219</t>
        </is>
      </c>
      <c r="G196" s="96" t="n">
        <v>46138</v>
      </c>
      <c r="H196" s="25" t="inlineStr">
        <is>
          <t>WHE-4218</t>
        </is>
      </c>
      <c r="I196" s="27" t="n">
        <v>810</v>
      </c>
      <c r="J196" s="25" t="inlineStr">
        <is>
          <t>مسجلة</t>
        </is>
      </c>
      <c r="K196" s="25" t="n"/>
    </row>
    <row r="197">
      <c r="A197" s="25" t="inlineStr">
        <is>
          <t>RN-INV#220</t>
        </is>
      </c>
      <c r="B197" s="96" t="n">
        <v>46139</v>
      </c>
      <c r="C197" s="25" t="inlineStr">
        <is>
          <t>WHT-4219</t>
        </is>
      </c>
      <c r="D197" s="27" t="n">
        <v>1835</v>
      </c>
      <c r="E197" s="25" t="inlineStr">
        <is>
          <t>عصمت الله خان</t>
        </is>
      </c>
      <c r="F197" s="25" t="inlineStr">
        <is>
          <t>220</t>
        </is>
      </c>
      <c r="G197" s="96" t="n">
        <v>46138</v>
      </c>
      <c r="H197" s="25" t="inlineStr">
        <is>
          <t>WHT-4219</t>
        </is>
      </c>
      <c r="I197" s="27" t="n">
        <v>1835</v>
      </c>
      <c r="J197" s="25" t="inlineStr">
        <is>
          <t>مسجلة</t>
        </is>
      </c>
      <c r="K197" s="25" t="n"/>
    </row>
    <row r="198">
      <c r="A198" s="25" t="inlineStr">
        <is>
          <t>RN-INV#221</t>
        </is>
      </c>
      <c r="B198" s="96" t="n">
        <v>46139</v>
      </c>
      <c r="C198" s="25" t="inlineStr">
        <is>
          <t>WHT-4226</t>
        </is>
      </c>
      <c r="D198" s="27" t="n">
        <v>1327.5</v>
      </c>
      <c r="E198" s="25" t="inlineStr">
        <is>
          <t>عصمت الله خان</t>
        </is>
      </c>
      <c r="F198" s="25" t="inlineStr">
        <is>
          <t>221</t>
        </is>
      </c>
      <c r="G198" s="96" t="n">
        <v>46139</v>
      </c>
      <c r="H198" s="25" t="inlineStr">
        <is>
          <t>WHT-4226</t>
        </is>
      </c>
      <c r="I198" s="27" t="n">
        <v>1327.5</v>
      </c>
      <c r="J198" s="25" t="inlineStr">
        <is>
          <t>مسجلة</t>
        </is>
      </c>
      <c r="K198" s="25" t="n"/>
    </row>
    <row r="199">
      <c r="A199" s="25" t="inlineStr">
        <is>
          <t>RN-INV#222</t>
        </is>
      </c>
      <c r="B199" s="96" t="n">
        <v>46141</v>
      </c>
      <c r="C199" s="25" t="inlineStr">
        <is>
          <t>WHT-4230</t>
        </is>
      </c>
      <c r="D199" s="27" t="n">
        <v>757.5</v>
      </c>
      <c r="E199" s="25" t="inlineStr">
        <is>
          <t>عصمت الله خان</t>
        </is>
      </c>
      <c r="F199" s="25" t="inlineStr">
        <is>
          <t>222</t>
        </is>
      </c>
      <c r="G199" s="96" t="n">
        <v>46141</v>
      </c>
      <c r="H199" s="25" t="inlineStr">
        <is>
          <t>WHT-4230</t>
        </is>
      </c>
      <c r="I199" s="27" t="n">
        <v>757.5</v>
      </c>
      <c r="J199" s="25" t="inlineStr">
        <is>
          <t>مسجلة</t>
        </is>
      </c>
      <c r="K199" s="25" t="n"/>
    </row>
    <row r="200">
      <c r="A200" s="25" t="inlineStr">
        <is>
          <t>RN-INV#223</t>
        </is>
      </c>
      <c r="B200" s="96" t="n">
        <v>46141</v>
      </c>
      <c r="C200" s="25" t="inlineStr">
        <is>
          <t>WHE-4232</t>
        </is>
      </c>
      <c r="D200" s="27" t="n">
        <v>612.5</v>
      </c>
      <c r="E200" s="25" t="inlineStr">
        <is>
          <t>عماد حمدي</t>
        </is>
      </c>
      <c r="F200" s="25" t="inlineStr">
        <is>
          <t>223</t>
        </is>
      </c>
      <c r="G200" s="96" t="n">
        <v>46141</v>
      </c>
      <c r="H200" s="25" t="inlineStr">
        <is>
          <t>WHE-4232</t>
        </is>
      </c>
      <c r="I200" s="27" t="n">
        <v>612.5</v>
      </c>
      <c r="J200" s="25" t="inlineStr">
        <is>
          <t>مسجلة</t>
        </is>
      </c>
      <c r="K200" s="25" t="n"/>
    </row>
    <row r="201">
      <c r="A201" s="25" t="inlineStr">
        <is>
          <t>RN-INV#224</t>
        </is>
      </c>
      <c r="B201" s="96" t="n">
        <v>46142</v>
      </c>
      <c r="C201" s="25" t="inlineStr">
        <is>
          <t>WHT-4234</t>
        </is>
      </c>
      <c r="D201" s="27" t="n">
        <v>1350</v>
      </c>
      <c r="E201" s="25" t="inlineStr">
        <is>
          <t>عصمت الله خان</t>
        </is>
      </c>
      <c r="F201" s="25" t="inlineStr">
        <is>
          <t>224</t>
        </is>
      </c>
      <c r="G201" s="96" t="n">
        <v>46141</v>
      </c>
      <c r="H201" s="25" t="inlineStr">
        <is>
          <t>WHT-4234</t>
        </is>
      </c>
      <c r="I201" s="27" t="n">
        <v>1350</v>
      </c>
      <c r="J201" s="25" t="inlineStr">
        <is>
          <t>مسجلة</t>
        </is>
      </c>
      <c r="K201" s="25" t="n"/>
    </row>
    <row r="202">
      <c r="A202" s="18" t="inlineStr">
        <is>
          <t>RN-INV#225</t>
        </is>
      </c>
      <c r="B202" s="98" t="n">
        <v>46144</v>
      </c>
      <c r="C202" s="18" t="inlineStr">
        <is>
          <t>WHT-4243</t>
        </is>
      </c>
      <c r="D202" s="19" t="n">
        <v>1350</v>
      </c>
      <c r="E202" s="18" t="inlineStr">
        <is>
          <t>عصمت الله خان</t>
        </is>
      </c>
      <c r="F202" s="18" t="inlineStr">
        <is>
          <t>225</t>
        </is>
      </c>
      <c r="G202" s="98" t="n">
        <v>46142</v>
      </c>
      <c r="H202" s="18" t="inlineStr">
        <is>
          <t>WHT-4234</t>
        </is>
      </c>
      <c r="I202" s="19" t="n">
        <v>1350</v>
      </c>
      <c r="J202" s="18" t="inlineStr">
        <is>
          <t>مسجلة مع ملاحظة</t>
        </is>
      </c>
      <c r="K202" s="18" t="inlineStr">
        <is>
          <t>رقم العقد بالكشف WHT-4234 خطأ – الصحيح WHT-4243 (حسب الفاتورة)</t>
        </is>
      </c>
    </row>
    <row r="203">
      <c r="A203" s="25" t="inlineStr">
        <is>
          <t>RN-INV#226</t>
        </is>
      </c>
      <c r="B203" s="96" t="n">
        <v>46144</v>
      </c>
      <c r="C203" s="25" t="inlineStr">
        <is>
          <t>WHT-4247</t>
        </is>
      </c>
      <c r="D203" s="27" t="n">
        <v>895</v>
      </c>
      <c r="E203" s="25" t="inlineStr">
        <is>
          <t>عصمت الله خان</t>
        </is>
      </c>
      <c r="F203" s="25" t="inlineStr">
        <is>
          <t>226</t>
        </is>
      </c>
      <c r="G203" s="96" t="n">
        <v>46144</v>
      </c>
      <c r="H203" s="25" t="inlineStr">
        <is>
          <t>WHT-4247</t>
        </is>
      </c>
      <c r="I203" s="27" t="n">
        <v>895</v>
      </c>
      <c r="J203" s="25" t="inlineStr">
        <is>
          <t>مسجلة</t>
        </is>
      </c>
      <c r="K203" s="25" t="n"/>
    </row>
    <row r="204">
      <c r="A204" s="25" t="inlineStr">
        <is>
          <t>RN-INV#227</t>
        </is>
      </c>
      <c r="B204" s="96" t="n">
        <v>46145</v>
      </c>
      <c r="C204" s="25" t="inlineStr">
        <is>
          <t>WHK-4256</t>
        </is>
      </c>
      <c r="D204" s="27" t="n">
        <v>19490</v>
      </c>
      <c r="E204" s="25" t="inlineStr">
        <is>
          <t>م/ عادل أبو خالد</t>
        </is>
      </c>
      <c r="F204" s="25" t="inlineStr">
        <is>
          <t>227</t>
        </is>
      </c>
      <c r="G204" s="96" t="n">
        <v>46145</v>
      </c>
      <c r="H204" s="25" t="inlineStr">
        <is>
          <t>WHK-4256</t>
        </is>
      </c>
      <c r="I204" s="27" t="n">
        <v>19490</v>
      </c>
      <c r="J204" s="25" t="inlineStr">
        <is>
          <t>مسجلة</t>
        </is>
      </c>
      <c r="K204" s="25" t="n"/>
    </row>
    <row r="205">
      <c r="A205" s="25" t="inlineStr">
        <is>
          <t>RN-INV#228</t>
        </is>
      </c>
      <c r="B205" s="96" t="n">
        <v>46146</v>
      </c>
      <c r="C205" s="25" t="inlineStr">
        <is>
          <t>WHT-4260</t>
        </is>
      </c>
      <c r="D205" s="27" t="n">
        <v>1950</v>
      </c>
      <c r="E205" s="25" t="inlineStr">
        <is>
          <t>عصمت الله خان</t>
        </is>
      </c>
      <c r="F205" s="25" t="inlineStr">
        <is>
          <t>228</t>
        </is>
      </c>
      <c r="G205" s="96" t="n">
        <v>46145</v>
      </c>
      <c r="H205" s="25" t="inlineStr">
        <is>
          <t>WHT-4260</t>
        </is>
      </c>
      <c r="I205" s="27" t="n">
        <v>1950</v>
      </c>
      <c r="J205" s="25" t="inlineStr">
        <is>
          <t>مسجلة</t>
        </is>
      </c>
      <c r="K205" s="25" t="n"/>
    </row>
    <row r="206">
      <c r="A206" s="25" t="inlineStr">
        <is>
          <t>RN-INV#229</t>
        </is>
      </c>
      <c r="B206" s="96" t="n">
        <v>46146</v>
      </c>
      <c r="C206" s="25" t="inlineStr">
        <is>
          <t>WHE-4261</t>
        </is>
      </c>
      <c r="D206" s="27" t="n">
        <v>4200</v>
      </c>
      <c r="E206" s="25" t="inlineStr">
        <is>
          <t>عماد حمدي</t>
        </is>
      </c>
      <c r="F206" s="25" t="inlineStr">
        <is>
          <t>229</t>
        </is>
      </c>
      <c r="G206" s="96" t="n">
        <v>46145</v>
      </c>
      <c r="H206" s="25" t="inlineStr">
        <is>
          <t>WHE-4261</t>
        </is>
      </c>
      <c r="I206" s="27" t="n">
        <v>4200</v>
      </c>
      <c r="J206" s="25" t="inlineStr">
        <is>
          <t>مسجلة</t>
        </is>
      </c>
      <c r="K206" s="25" t="n"/>
    </row>
    <row r="207">
      <c r="A207" s="25" t="inlineStr">
        <is>
          <t>RN-INV#230</t>
        </is>
      </c>
      <c r="B207" s="96" t="n">
        <v>46147</v>
      </c>
      <c r="C207" s="25" t="inlineStr">
        <is>
          <t>WHT-4270</t>
        </is>
      </c>
      <c r="D207" s="27" t="n">
        <v>2895</v>
      </c>
      <c r="E207" s="25" t="inlineStr">
        <is>
          <t>عصمت الله خان</t>
        </is>
      </c>
      <c r="F207" s="25" t="inlineStr">
        <is>
          <t>230</t>
        </is>
      </c>
      <c r="G207" s="96" t="n">
        <v>46146</v>
      </c>
      <c r="H207" s="25" t="inlineStr">
        <is>
          <t>WHT-4270</t>
        </is>
      </c>
      <c r="I207" s="27" t="n">
        <v>2895</v>
      </c>
      <c r="J207" s="25" t="inlineStr">
        <is>
          <t>مسجلة</t>
        </is>
      </c>
      <c r="K207" s="25" t="n"/>
    </row>
    <row r="208">
      <c r="A208" s="25" t="inlineStr">
        <is>
          <t>RN-INV#231</t>
        </is>
      </c>
      <c r="B208" s="96" t="n">
        <v>46147</v>
      </c>
      <c r="C208" s="25" t="inlineStr">
        <is>
          <t>WHK-4275</t>
        </is>
      </c>
      <c r="D208" s="27" t="n">
        <v>21780</v>
      </c>
      <c r="E208" s="25" t="inlineStr">
        <is>
          <t>م/ عادل أبو خالد</t>
        </is>
      </c>
      <c r="F208" s="25" t="inlineStr">
        <is>
          <t>231</t>
        </is>
      </c>
      <c r="G208" s="96" t="n">
        <v>46147</v>
      </c>
      <c r="H208" s="25" t="inlineStr">
        <is>
          <t>WHK-4275</t>
        </is>
      </c>
      <c r="I208" s="27" t="n">
        <v>21780</v>
      </c>
      <c r="J208" s="25" t="inlineStr">
        <is>
          <t>مسجلة</t>
        </is>
      </c>
      <c r="K208" s="25" t="n"/>
    </row>
    <row r="209">
      <c r="A209" s="25" t="inlineStr">
        <is>
          <t>RN-INV#232</t>
        </is>
      </c>
      <c r="B209" s="96" t="n">
        <v>46147</v>
      </c>
      <c r="C209" s="25" t="inlineStr">
        <is>
          <t>WHT-4276</t>
        </is>
      </c>
      <c r="D209" s="27" t="n">
        <v>2880</v>
      </c>
      <c r="E209" s="25" t="inlineStr">
        <is>
          <t>عصمت الله خان</t>
        </is>
      </c>
      <c r="F209" s="25" t="inlineStr">
        <is>
          <t>232</t>
        </is>
      </c>
      <c r="G209" s="96" t="n">
        <v>46147</v>
      </c>
      <c r="H209" s="25" t="inlineStr">
        <is>
          <t>WHT-4276</t>
        </is>
      </c>
      <c r="I209" s="27" t="n">
        <v>2880</v>
      </c>
      <c r="J209" s="25" t="inlineStr">
        <is>
          <t>مسجلة</t>
        </is>
      </c>
      <c r="K209" s="25" t="n"/>
    </row>
    <row r="210">
      <c r="A210" s="25" t="inlineStr">
        <is>
          <t>RN-INV#233</t>
        </is>
      </c>
      <c r="B210" s="96" t="n">
        <v>46148</v>
      </c>
      <c r="C210" s="25" t="inlineStr">
        <is>
          <t>WHE-4278</t>
        </is>
      </c>
      <c r="D210" s="27" t="n">
        <v>3328.75</v>
      </c>
      <c r="E210" s="25" t="inlineStr">
        <is>
          <t>عماد حمدي</t>
        </is>
      </c>
      <c r="F210" s="25" t="inlineStr">
        <is>
          <t>233</t>
        </is>
      </c>
      <c r="G210" s="96" t="n">
        <v>46147</v>
      </c>
      <c r="H210" s="25" t="inlineStr">
        <is>
          <t>WHE-4278</t>
        </is>
      </c>
      <c r="I210" s="27" t="n">
        <v>3328.75</v>
      </c>
      <c r="J210" s="25" t="inlineStr">
        <is>
          <t>مسجلة</t>
        </is>
      </c>
      <c r="K210" s="25" t="n"/>
    </row>
    <row r="211">
      <c r="A211" s="25" t="inlineStr">
        <is>
          <t>RN-INV#234</t>
        </is>
      </c>
      <c r="B211" s="96" t="n">
        <v>46149</v>
      </c>
      <c r="C211" s="25" t="inlineStr">
        <is>
          <t>WHT-4285</t>
        </is>
      </c>
      <c r="D211" s="27" t="n">
        <v>3330</v>
      </c>
      <c r="E211" s="25" t="inlineStr">
        <is>
          <t>عصمت الله خان</t>
        </is>
      </c>
      <c r="F211" s="25" t="inlineStr">
        <is>
          <t>234</t>
        </is>
      </c>
      <c r="G211" s="96" t="n">
        <v>46148</v>
      </c>
      <c r="H211" s="25" t="inlineStr">
        <is>
          <t>WHT-4285</t>
        </is>
      </c>
      <c r="I211" s="27" t="n">
        <v>3330</v>
      </c>
      <c r="J211" s="25" t="inlineStr">
        <is>
          <t>مسجلة</t>
        </is>
      </c>
      <c r="K211" s="25" t="n"/>
    </row>
    <row r="212">
      <c r="A212" s="25" t="inlineStr">
        <is>
          <t>RN-INV#235</t>
        </is>
      </c>
      <c r="B212" s="96" t="n">
        <v>46149</v>
      </c>
      <c r="C212" s="25" t="inlineStr">
        <is>
          <t>WHE-4286</t>
        </is>
      </c>
      <c r="D212" s="27" t="n">
        <v>6000</v>
      </c>
      <c r="E212" s="25" t="inlineStr">
        <is>
          <t>عماد حمدي</t>
        </is>
      </c>
      <c r="F212" s="25" t="inlineStr">
        <is>
          <t>235</t>
        </is>
      </c>
      <c r="G212" s="96" t="n">
        <v>46149</v>
      </c>
      <c r="H212" s="25" t="inlineStr">
        <is>
          <t>WHE-4286</t>
        </is>
      </c>
      <c r="I212" s="27" t="n">
        <v>6000</v>
      </c>
      <c r="J212" s="25" t="inlineStr">
        <is>
          <t>مسجلة</t>
        </is>
      </c>
      <c r="K212" s="25" t="n"/>
    </row>
    <row r="213">
      <c r="A213" s="25" t="inlineStr">
        <is>
          <t>RN-INV#236</t>
        </is>
      </c>
      <c r="B213" s="96" t="n">
        <v>46149</v>
      </c>
      <c r="C213" s="25" t="inlineStr">
        <is>
          <t>WHT-4287</t>
        </is>
      </c>
      <c r="D213" s="27" t="n">
        <v>3060</v>
      </c>
      <c r="E213" s="25" t="inlineStr">
        <is>
          <t>عصمت الله خان</t>
        </is>
      </c>
      <c r="F213" s="25" t="inlineStr">
        <is>
          <t>236</t>
        </is>
      </c>
      <c r="G213" s="96" t="n">
        <v>46149</v>
      </c>
      <c r="H213" s="25" t="inlineStr">
        <is>
          <t>WHT-4287</t>
        </is>
      </c>
      <c r="I213" s="27" t="n">
        <v>3060</v>
      </c>
      <c r="J213" s="25" t="inlineStr">
        <is>
          <t>مسجلة</t>
        </is>
      </c>
      <c r="K213" s="25" t="n"/>
    </row>
    <row r="214">
      <c r="A214" s="25" t="inlineStr">
        <is>
          <t>RN-INV#237</t>
        </is>
      </c>
      <c r="B214" s="96" t="n">
        <v>46151</v>
      </c>
      <c r="C214" s="25" t="inlineStr">
        <is>
          <t>WHT-4289</t>
        </is>
      </c>
      <c r="D214" s="27" t="n">
        <v>4337.5</v>
      </c>
      <c r="E214" s="25" t="inlineStr">
        <is>
          <t>عصمت الله خان</t>
        </is>
      </c>
      <c r="F214" s="25" t="inlineStr">
        <is>
          <t>237</t>
        </is>
      </c>
      <c r="G214" s="96" t="n">
        <v>46151</v>
      </c>
      <c r="H214" s="25" t="inlineStr">
        <is>
          <t>WHT-4289</t>
        </is>
      </c>
      <c r="I214" s="27" t="n">
        <v>4337.5</v>
      </c>
      <c r="J214" s="25" t="inlineStr">
        <is>
          <t>مسجلة</t>
        </is>
      </c>
      <c r="K214" s="25" t="n"/>
    </row>
    <row r="215">
      <c r="A215" s="25" t="inlineStr">
        <is>
          <t>RN-INV#238</t>
        </is>
      </c>
      <c r="B215" s="96" t="n">
        <v>46151</v>
      </c>
      <c r="C215" s="25" t="inlineStr">
        <is>
          <t>WHE-4290</t>
        </is>
      </c>
      <c r="D215" s="27" t="n">
        <v>877.5</v>
      </c>
      <c r="E215" s="25" t="inlineStr">
        <is>
          <t>عماد حمدي</t>
        </is>
      </c>
      <c r="F215" s="25" t="inlineStr">
        <is>
          <t>238</t>
        </is>
      </c>
      <c r="G215" s="96" t="n">
        <v>46151</v>
      </c>
      <c r="H215" s="25" t="inlineStr">
        <is>
          <t>WHE-4290</t>
        </is>
      </c>
      <c r="I215" s="27" t="n">
        <v>877.5</v>
      </c>
      <c r="J215" s="25" t="inlineStr">
        <is>
          <t>مسجلة</t>
        </is>
      </c>
      <c r="K215" s="25" t="n"/>
    </row>
    <row r="216">
      <c r="A216" s="25" t="inlineStr">
        <is>
          <t>RN-INV#239</t>
        </is>
      </c>
      <c r="B216" s="96" t="n">
        <v>46152</v>
      </c>
      <c r="C216" s="25" t="inlineStr">
        <is>
          <t>WHK-4291</t>
        </is>
      </c>
      <c r="D216" s="27" t="n">
        <v>3135</v>
      </c>
      <c r="E216" s="25" t="inlineStr">
        <is>
          <t>م/ عادل أبو خالد</t>
        </is>
      </c>
      <c r="F216" s="25" t="inlineStr">
        <is>
          <t>239</t>
        </is>
      </c>
      <c r="G216" s="96" t="n">
        <v>46151</v>
      </c>
      <c r="H216" s="25" t="inlineStr">
        <is>
          <t>WHK-4291</t>
        </is>
      </c>
      <c r="I216" s="27" t="n">
        <v>3135</v>
      </c>
      <c r="J216" s="25" t="inlineStr">
        <is>
          <t>مسجلة</t>
        </is>
      </c>
      <c r="K216" s="25" t="n"/>
    </row>
    <row r="217">
      <c r="A217" s="25" t="inlineStr">
        <is>
          <t>RN-INV#240</t>
        </is>
      </c>
      <c r="B217" s="96" t="n">
        <v>46152</v>
      </c>
      <c r="C217" s="25" t="inlineStr">
        <is>
          <t>WHT-4299</t>
        </is>
      </c>
      <c r="D217" s="27" t="n">
        <v>2415</v>
      </c>
      <c r="E217" s="25" t="inlineStr">
        <is>
          <t>عصمت الله خان</t>
        </is>
      </c>
      <c r="F217" s="25" t="inlineStr">
        <is>
          <t>240</t>
        </is>
      </c>
      <c r="G217" s="96" t="n">
        <v>46152</v>
      </c>
      <c r="H217" s="25" t="inlineStr">
        <is>
          <t>WHT-4299</t>
        </is>
      </c>
      <c r="I217" s="27" t="n">
        <v>2415</v>
      </c>
      <c r="J217" s="25" t="inlineStr">
        <is>
          <t>مسجلة</t>
        </is>
      </c>
      <c r="K217" s="25" t="n"/>
    </row>
    <row r="218">
      <c r="A218" s="25" t="inlineStr">
        <is>
          <t>RN-INV#241</t>
        </is>
      </c>
      <c r="B218" s="96" t="n">
        <v>46153</v>
      </c>
      <c r="C218" s="25" t="inlineStr">
        <is>
          <t>WHT-4303</t>
        </is>
      </c>
      <c r="D218" s="27" t="n">
        <v>3225</v>
      </c>
      <c r="E218" s="25" t="inlineStr">
        <is>
          <t>عصمت الله خان</t>
        </is>
      </c>
      <c r="F218" s="25" t="inlineStr">
        <is>
          <t>241</t>
        </is>
      </c>
      <c r="G218" s="96" t="n">
        <v>46153</v>
      </c>
      <c r="H218" s="25" t="inlineStr">
        <is>
          <t>WHT-4303</t>
        </is>
      </c>
      <c r="I218" s="27" t="n">
        <v>3225</v>
      </c>
      <c r="J218" s="25" t="inlineStr">
        <is>
          <t>مسجلة</t>
        </is>
      </c>
      <c r="K218" s="25" t="n"/>
    </row>
    <row r="219">
      <c r="A219" s="25" t="inlineStr">
        <is>
          <t>RN-INV#242</t>
        </is>
      </c>
      <c r="B219" s="96" t="n">
        <v>46154</v>
      </c>
      <c r="C219" s="25" t="inlineStr">
        <is>
          <t>WHE-4304</t>
        </is>
      </c>
      <c r="D219" s="27" t="n">
        <v>3955</v>
      </c>
      <c r="E219" s="25" t="inlineStr">
        <is>
          <t>عماد حمدي</t>
        </is>
      </c>
      <c r="F219" s="25" t="inlineStr">
        <is>
          <t>242</t>
        </is>
      </c>
      <c r="G219" s="96" t="n">
        <v>46153</v>
      </c>
      <c r="H219" s="25" t="inlineStr">
        <is>
          <t>WHE-4304</t>
        </is>
      </c>
      <c r="I219" s="27" t="n">
        <v>3955</v>
      </c>
      <c r="J219" s="25" t="inlineStr">
        <is>
          <t>مسجلة</t>
        </is>
      </c>
      <c r="K219" s="25" t="n"/>
    </row>
    <row r="220">
      <c r="A220" s="25" t="inlineStr">
        <is>
          <t>RN-INV#243</t>
        </is>
      </c>
      <c r="B220" s="96" t="n">
        <v>46154</v>
      </c>
      <c r="C220" s="25" t="inlineStr">
        <is>
          <t>WHK-4305</t>
        </is>
      </c>
      <c r="D220" s="27" t="n">
        <v>3025</v>
      </c>
      <c r="E220" s="25" t="inlineStr">
        <is>
          <t>م/ عادل أبو خالد</t>
        </is>
      </c>
      <c r="F220" s="25" t="inlineStr">
        <is>
          <t>243</t>
        </is>
      </c>
      <c r="G220" s="96" t="n">
        <v>46154</v>
      </c>
      <c r="H220" s="25" t="inlineStr">
        <is>
          <t>WHK-4305</t>
        </is>
      </c>
      <c r="I220" s="27" t="n">
        <v>3025</v>
      </c>
      <c r="J220" s="25" t="inlineStr">
        <is>
          <t>مسجلة</t>
        </is>
      </c>
      <c r="K220" s="25" t="n"/>
    </row>
    <row r="221">
      <c r="A221" s="25" t="inlineStr">
        <is>
          <t>RN-INV#244</t>
        </is>
      </c>
      <c r="B221" s="96" t="n">
        <v>46154</v>
      </c>
      <c r="C221" s="25" t="inlineStr">
        <is>
          <t>WHT-4307</t>
        </is>
      </c>
      <c r="D221" s="27" t="n">
        <v>2448.75</v>
      </c>
      <c r="E221" s="25" t="inlineStr">
        <is>
          <t>عصمت الله خان</t>
        </is>
      </c>
      <c r="F221" s="25" t="inlineStr">
        <is>
          <t>244</t>
        </is>
      </c>
      <c r="G221" s="96" t="n">
        <v>46154</v>
      </c>
      <c r="H221" s="25" t="inlineStr">
        <is>
          <t>WHT-4307</t>
        </is>
      </c>
      <c r="I221" s="27" t="n">
        <v>2448.75</v>
      </c>
      <c r="J221" s="25" t="inlineStr">
        <is>
          <t>مسجلة</t>
        </is>
      </c>
      <c r="K221" s="25" t="n"/>
    </row>
    <row r="222">
      <c r="A222" s="25" t="inlineStr">
        <is>
          <t>RN-INV#245</t>
        </is>
      </c>
      <c r="B222" s="96" t="n">
        <v>46155</v>
      </c>
      <c r="C222" s="25" t="inlineStr">
        <is>
          <t>WHT-4309</t>
        </is>
      </c>
      <c r="D222" s="27" t="n">
        <v>2531</v>
      </c>
      <c r="E222" s="25" t="inlineStr">
        <is>
          <t>عصمت الله خان</t>
        </is>
      </c>
      <c r="F222" s="25" t="inlineStr">
        <is>
          <t>245</t>
        </is>
      </c>
      <c r="G222" s="96" t="n">
        <v>46155</v>
      </c>
      <c r="H222" s="25" t="inlineStr">
        <is>
          <t>WHT-4309</t>
        </is>
      </c>
      <c r="I222" s="27" t="n">
        <v>2531</v>
      </c>
      <c r="J222" s="25" t="inlineStr">
        <is>
          <t>مسجلة</t>
        </is>
      </c>
      <c r="K222" s="25" t="n"/>
    </row>
    <row r="223">
      <c r="A223" s="25" t="inlineStr">
        <is>
          <t>RN-INV#246</t>
        </is>
      </c>
      <c r="B223" s="96" t="n">
        <v>46156</v>
      </c>
      <c r="C223" s="25" t="inlineStr">
        <is>
          <t>WHT-4313</t>
        </is>
      </c>
      <c r="D223" s="27" t="n">
        <v>3370</v>
      </c>
      <c r="E223" s="25" t="inlineStr">
        <is>
          <t>عصمت الله خان</t>
        </is>
      </c>
      <c r="F223" s="25" t="inlineStr">
        <is>
          <t>246</t>
        </is>
      </c>
      <c r="G223" s="96" t="n">
        <v>46156</v>
      </c>
      <c r="H223" s="25" t="inlineStr">
        <is>
          <t>WHT-4313</t>
        </is>
      </c>
      <c r="I223" s="27" t="n">
        <v>3370</v>
      </c>
      <c r="J223" s="25" t="inlineStr">
        <is>
          <t>مسجلة</t>
        </is>
      </c>
      <c r="K223" s="25" t="n"/>
    </row>
    <row r="224">
      <c r="A224" s="25" t="inlineStr">
        <is>
          <t>RN-INV#247</t>
        </is>
      </c>
      <c r="B224" s="96" t="n">
        <v>46156</v>
      </c>
      <c r="C224" s="25" t="inlineStr">
        <is>
          <t>WHE-4314</t>
        </is>
      </c>
      <c r="D224" s="27" t="n">
        <v>6455</v>
      </c>
      <c r="E224" s="25" t="inlineStr">
        <is>
          <t>عماد حمدي</t>
        </is>
      </c>
      <c r="F224" s="25" t="inlineStr">
        <is>
          <t>247</t>
        </is>
      </c>
      <c r="G224" s="96" t="n">
        <v>46156</v>
      </c>
      <c r="H224" s="25" t="inlineStr">
        <is>
          <t>WHE-4314</t>
        </is>
      </c>
      <c r="I224" s="27" t="n">
        <v>6455</v>
      </c>
      <c r="J224" s="25" t="inlineStr">
        <is>
          <t>مسجلة</t>
        </is>
      </c>
      <c r="K224" s="25" t="n"/>
    </row>
    <row r="225">
      <c r="A225" s="25" t="inlineStr">
        <is>
          <t>RN-INV#248</t>
        </is>
      </c>
      <c r="B225" s="96" t="n">
        <v>46158</v>
      </c>
      <c r="C225" s="25" t="inlineStr">
        <is>
          <t>WHT-4317</t>
        </is>
      </c>
      <c r="D225" s="27" t="n">
        <v>3525</v>
      </c>
      <c r="E225" s="25" t="inlineStr">
        <is>
          <t>عصمت الله خان</t>
        </is>
      </c>
      <c r="F225" s="25" t="inlineStr">
        <is>
          <t>248</t>
        </is>
      </c>
      <c r="G225" s="96" t="n">
        <v>46158</v>
      </c>
      <c r="H225" s="25" t="inlineStr">
        <is>
          <t>WHT-4317</t>
        </is>
      </c>
      <c r="I225" s="27" t="n">
        <v>3525</v>
      </c>
      <c r="J225" s="25" t="inlineStr">
        <is>
          <t>مسجلة</t>
        </is>
      </c>
      <c r="K225" s="25" t="n"/>
    </row>
    <row r="226">
      <c r="A226" s="25" t="inlineStr">
        <is>
          <t>RN-INV#249</t>
        </is>
      </c>
      <c r="B226" s="96" t="n">
        <v>46160</v>
      </c>
      <c r="C226" s="25" t="inlineStr">
        <is>
          <t>WHT-4322</t>
        </is>
      </c>
      <c r="D226" s="27" t="n">
        <v>2892</v>
      </c>
      <c r="E226" s="25" t="inlineStr">
        <is>
          <t>عصمت الله خان</t>
        </is>
      </c>
      <c r="F226" s="25" t="inlineStr">
        <is>
          <t>249</t>
        </is>
      </c>
      <c r="G226" s="96" t="n">
        <v>46159</v>
      </c>
      <c r="H226" s="25" t="inlineStr">
        <is>
          <t>WHT-4322</t>
        </is>
      </c>
      <c r="I226" s="27" t="n">
        <v>2892</v>
      </c>
      <c r="J226" s="25" t="inlineStr">
        <is>
          <t>مسجلة</t>
        </is>
      </c>
      <c r="K226" s="25" t="n"/>
    </row>
    <row r="227">
      <c r="A227" s="25" t="inlineStr">
        <is>
          <t>RN-INV#250</t>
        </is>
      </c>
      <c r="B227" s="96" t="n">
        <v>46160</v>
      </c>
      <c r="C227" s="25" t="inlineStr">
        <is>
          <t>WHK-4323</t>
        </is>
      </c>
      <c r="D227" s="27" t="n">
        <v>750</v>
      </c>
      <c r="E227" s="25" t="inlineStr">
        <is>
          <t>م/ عادل أبو خالد</t>
        </is>
      </c>
      <c r="F227" s="25" t="inlineStr">
        <is>
          <t>250</t>
        </is>
      </c>
      <c r="G227" s="96" t="n">
        <v>46160</v>
      </c>
      <c r="H227" s="25" t="inlineStr">
        <is>
          <t>WHK-4323</t>
        </is>
      </c>
      <c r="I227" s="27" t="n">
        <v>750</v>
      </c>
      <c r="J227" s="25" t="inlineStr">
        <is>
          <t>مسجلة</t>
        </is>
      </c>
      <c r="K227" s="25" t="n"/>
    </row>
    <row r="228">
      <c r="A228" s="25" t="inlineStr">
        <is>
          <t>RN-INV#251</t>
        </is>
      </c>
      <c r="B228" s="96" t="n">
        <v>46161</v>
      </c>
      <c r="C228" s="25" t="inlineStr">
        <is>
          <t>WHT-4326</t>
        </is>
      </c>
      <c r="D228" s="27" t="n">
        <v>2145</v>
      </c>
      <c r="E228" s="25" t="inlineStr">
        <is>
          <t>عصمت الله خان</t>
        </is>
      </c>
      <c r="F228" s="25" t="inlineStr">
        <is>
          <t>251</t>
        </is>
      </c>
      <c r="G228" s="96" t="n">
        <v>46160</v>
      </c>
      <c r="H228" s="25" t="inlineStr">
        <is>
          <t>WHT-4326</t>
        </is>
      </c>
      <c r="I228" s="27" t="n">
        <v>2145</v>
      </c>
      <c r="J228" s="25" t="inlineStr">
        <is>
          <t>مسجلة</t>
        </is>
      </c>
      <c r="K228" s="25" t="n"/>
    </row>
    <row r="229">
      <c r="A229" s="25" t="inlineStr">
        <is>
          <t>RN-INV#252</t>
        </is>
      </c>
      <c r="B229" s="96" t="n">
        <v>46161</v>
      </c>
      <c r="C229" s="25" t="inlineStr">
        <is>
          <t>WHE-4327</t>
        </is>
      </c>
      <c r="D229" s="27" t="n">
        <v>5890</v>
      </c>
      <c r="E229" s="25" t="inlineStr">
        <is>
          <t>عماد حمدي</t>
        </is>
      </c>
      <c r="F229" s="25" t="inlineStr">
        <is>
          <t>252</t>
        </is>
      </c>
      <c r="G229" s="96" t="n">
        <v>46160</v>
      </c>
      <c r="H229" s="25" t="inlineStr">
        <is>
          <t>WHE-4327</t>
        </is>
      </c>
      <c r="I229" s="27" t="n">
        <v>5890</v>
      </c>
      <c r="J229" s="25" t="inlineStr">
        <is>
          <t>مسجلة</t>
        </is>
      </c>
      <c r="K229" s="25" t="n"/>
    </row>
    <row r="230">
      <c r="A230" s="25" t="inlineStr">
        <is>
          <t>RN-INV#253</t>
        </is>
      </c>
      <c r="B230" s="96" t="n">
        <v>46166</v>
      </c>
      <c r="C230" s="25" t="inlineStr">
        <is>
          <t>WHT-4340</t>
        </is>
      </c>
      <c r="D230" s="27" t="n">
        <v>1570</v>
      </c>
      <c r="E230" s="25" t="inlineStr">
        <is>
          <t>عصمت الله خان</t>
        </is>
      </c>
      <c r="F230" s="25" t="inlineStr">
        <is>
          <t>253</t>
        </is>
      </c>
      <c r="G230" s="96" t="n">
        <v>46166</v>
      </c>
      <c r="H230" s="25" t="inlineStr">
        <is>
          <t>WHT-4340</t>
        </is>
      </c>
      <c r="I230" s="27" t="n">
        <v>1570</v>
      </c>
      <c r="J230" s="25" t="inlineStr">
        <is>
          <t>مسجلة</t>
        </is>
      </c>
      <c r="K230" s="25" t="n"/>
    </row>
    <row r="231">
      <c r="A231" s="25" t="inlineStr">
        <is>
          <t>RN-INV#254</t>
        </is>
      </c>
      <c r="B231" s="96" t="n">
        <v>46167</v>
      </c>
      <c r="C231" s="25" t="inlineStr">
        <is>
          <t>WHT-4342</t>
        </is>
      </c>
      <c r="D231" s="27" t="n">
        <v>2950</v>
      </c>
      <c r="E231" s="25" t="inlineStr">
        <is>
          <t>عصمت الله خان</t>
        </is>
      </c>
      <c r="F231" s="25" t="inlineStr">
        <is>
          <t>254</t>
        </is>
      </c>
      <c r="G231" s="96" t="n">
        <v>46167</v>
      </c>
      <c r="H231" s="25" t="inlineStr">
        <is>
          <t>WHT-4342</t>
        </is>
      </c>
      <c r="I231" s="27" t="n">
        <v>2950</v>
      </c>
      <c r="J231" s="25" t="inlineStr">
        <is>
          <t>مسجلة</t>
        </is>
      </c>
      <c r="K231" s="25" t="n"/>
    </row>
    <row r="232">
      <c r="A232" s="25" t="inlineStr">
        <is>
          <t>RN-INV#255</t>
        </is>
      </c>
      <c r="B232" s="96" t="n">
        <v>46167</v>
      </c>
      <c r="C232" s="25" t="inlineStr">
        <is>
          <t>WHE-4343</t>
        </is>
      </c>
      <c r="D232" s="27" t="n">
        <v>8328</v>
      </c>
      <c r="E232" s="25" t="inlineStr">
        <is>
          <t>عماد حمدي</t>
        </is>
      </c>
      <c r="F232" s="25" t="inlineStr">
        <is>
          <t>255</t>
        </is>
      </c>
      <c r="G232" s="96" t="n">
        <v>46167</v>
      </c>
      <c r="H232" s="25" t="inlineStr">
        <is>
          <t>WHE-4343</t>
        </is>
      </c>
      <c r="I232" s="27" t="n">
        <v>8328</v>
      </c>
      <c r="J232" s="25" t="inlineStr">
        <is>
          <t>مسجلة</t>
        </is>
      </c>
      <c r="K232" s="25" t="n"/>
    </row>
    <row r="233">
      <c r="A233" s="25" t="inlineStr">
        <is>
          <t>RN-INV#256</t>
        </is>
      </c>
      <c r="B233" s="96" t="n">
        <v>46167</v>
      </c>
      <c r="C233" s="25" t="inlineStr">
        <is>
          <t>WHT-4346</t>
        </is>
      </c>
      <c r="D233" s="27" t="n">
        <v>4417.5</v>
      </c>
      <c r="E233" s="25" t="inlineStr">
        <is>
          <t>عصمت الله خان</t>
        </is>
      </c>
      <c r="F233" s="25" t="inlineStr">
        <is>
          <t>256</t>
        </is>
      </c>
      <c r="G233" s="96" t="n">
        <v>46167</v>
      </c>
      <c r="H233" s="25" t="inlineStr">
        <is>
          <t>WHT-4346</t>
        </is>
      </c>
      <c r="I233" s="27" t="n">
        <v>4417.5</v>
      </c>
      <c r="J233" s="25" t="inlineStr">
        <is>
          <t>مسجلة</t>
        </is>
      </c>
      <c r="K233" s="25" t="n"/>
    </row>
    <row r="234">
      <c r="A234" s="18" t="inlineStr">
        <is>
          <t>RN-INV#257</t>
        </is>
      </c>
      <c r="B234" s="98" t="n">
        <v>46172</v>
      </c>
      <c r="C234" s="18" t="inlineStr">
        <is>
          <t>WHT-4347</t>
        </is>
      </c>
      <c r="D234" s="19" t="n">
        <v>4420</v>
      </c>
      <c r="E234" s="18" t="inlineStr">
        <is>
          <t>عصمت الله خان</t>
        </is>
      </c>
      <c r="F234" s="18" t="inlineStr">
        <is>
          <t>257</t>
        </is>
      </c>
      <c r="G234" s="98" t="n">
        <v>46168</v>
      </c>
      <c r="H234" s="18" t="inlineStr">
        <is>
          <t>WHT-4347</t>
        </is>
      </c>
      <c r="I234" s="19" t="n">
        <v>4420</v>
      </c>
      <c r="J234" s="18" t="inlineStr">
        <is>
          <t>مسجلة مع ملاحظة</t>
        </is>
      </c>
      <c r="K234" s="18" t="inlineStr">
        <is>
          <t>فرق تاريخ 4 يوم (الكشف 2026-05-26)</t>
        </is>
      </c>
    </row>
    <row r="235">
      <c r="A235" s="25" t="inlineStr">
        <is>
          <t>RN-INV#258</t>
        </is>
      </c>
      <c r="B235" s="96" t="n">
        <v>46173</v>
      </c>
      <c r="C235" s="25" t="inlineStr">
        <is>
          <t>WHT-4348</t>
        </is>
      </c>
      <c r="D235" s="27" t="n">
        <v>2765</v>
      </c>
      <c r="E235" s="25" t="inlineStr">
        <is>
          <t>عصمت الله خان</t>
        </is>
      </c>
      <c r="F235" s="25" t="inlineStr">
        <is>
          <t>258</t>
        </is>
      </c>
      <c r="G235" s="96" t="n">
        <v>46172</v>
      </c>
      <c r="H235" s="25" t="inlineStr">
        <is>
          <t>WHT-4348</t>
        </is>
      </c>
      <c r="I235" s="27" t="n">
        <v>2765</v>
      </c>
      <c r="J235" s="25" t="inlineStr">
        <is>
          <t>مسجلة</t>
        </is>
      </c>
      <c r="K235" s="25" t="n"/>
    </row>
    <row r="236">
      <c r="A236" s="25" t="inlineStr">
        <is>
          <t>RN-INV#259</t>
        </is>
      </c>
      <c r="B236" s="96" t="n">
        <v>46173</v>
      </c>
      <c r="C236" s="25" t="inlineStr">
        <is>
          <t>WHT-4349</t>
        </is>
      </c>
      <c r="D236" s="27" t="n">
        <v>1395</v>
      </c>
      <c r="E236" s="25" t="inlineStr">
        <is>
          <t>عصمت الله خان</t>
        </is>
      </c>
      <c r="F236" s="25" t="inlineStr">
        <is>
          <t>259</t>
        </is>
      </c>
      <c r="G236" s="96" t="n">
        <v>46173</v>
      </c>
      <c r="H236" s="25" t="inlineStr">
        <is>
          <t>WHT-4349</t>
        </is>
      </c>
      <c r="I236" s="27" t="n">
        <v>1395</v>
      </c>
      <c r="J236" s="25" t="inlineStr">
        <is>
          <t>مسجلة</t>
        </is>
      </c>
      <c r="K236" s="25" t="n"/>
    </row>
    <row r="237">
      <c r="A237" s="25" t="inlineStr">
        <is>
          <t>RN-INV#260</t>
        </is>
      </c>
      <c r="B237" s="96" t="n">
        <v>46174</v>
      </c>
      <c r="C237" s="25" t="inlineStr">
        <is>
          <t>WHT-4352</t>
        </is>
      </c>
      <c r="D237" s="27" t="n">
        <v>2349</v>
      </c>
      <c r="E237" s="25" t="inlineStr">
        <is>
          <t>عصمت الله خان</t>
        </is>
      </c>
      <c r="F237" s="25" t="inlineStr">
        <is>
          <t>260</t>
        </is>
      </c>
      <c r="G237" s="96" t="n">
        <v>46174</v>
      </c>
      <c r="H237" s="25" t="inlineStr">
        <is>
          <t>WHT-4352</t>
        </is>
      </c>
      <c r="I237" s="27" t="n">
        <v>2349</v>
      </c>
      <c r="J237" s="25" t="inlineStr">
        <is>
          <t>مسجلة</t>
        </is>
      </c>
      <c r="K237" s="25" t="n"/>
    </row>
    <row r="238">
      <c r="A238" s="25" t="inlineStr">
        <is>
          <t>RN-INV#261</t>
        </is>
      </c>
      <c r="B238" s="96" t="n">
        <v>46175</v>
      </c>
      <c r="C238" s="25" t="inlineStr">
        <is>
          <t>WHT-4357</t>
        </is>
      </c>
      <c r="D238" s="27" t="n">
        <v>2065</v>
      </c>
      <c r="E238" s="25" t="inlineStr">
        <is>
          <t>عصمت الله خان</t>
        </is>
      </c>
      <c r="F238" s="25" t="inlineStr">
        <is>
          <t>261</t>
        </is>
      </c>
      <c r="G238" s="96" t="n">
        <v>46175</v>
      </c>
      <c r="H238" s="25" t="inlineStr">
        <is>
          <t>WHT-4357</t>
        </is>
      </c>
      <c r="I238" s="27" t="n">
        <v>2065</v>
      </c>
      <c r="J238" s="25" t="inlineStr">
        <is>
          <t>مسجلة</t>
        </is>
      </c>
      <c r="K238" s="25" t="n"/>
    </row>
    <row r="239">
      <c r="A239" s="25" t="inlineStr">
        <is>
          <t>RN-INV#262</t>
        </is>
      </c>
      <c r="B239" s="96" t="n">
        <v>46176</v>
      </c>
      <c r="C239" s="25" t="inlineStr">
        <is>
          <t>WHE-4358</t>
        </is>
      </c>
      <c r="D239" s="27" t="n">
        <v>4810</v>
      </c>
      <c r="E239" s="25" t="inlineStr">
        <is>
          <t>عماد حمدي</t>
        </is>
      </c>
      <c r="F239" s="25" t="inlineStr">
        <is>
          <t>262</t>
        </is>
      </c>
      <c r="G239" s="96" t="n">
        <v>46175</v>
      </c>
      <c r="H239" s="25" t="inlineStr">
        <is>
          <t>WHE-4358</t>
        </is>
      </c>
      <c r="I239" s="27" t="n">
        <v>4810</v>
      </c>
      <c r="J239" s="25" t="inlineStr">
        <is>
          <t>مسجلة</t>
        </is>
      </c>
      <c r="K239" s="25" t="n"/>
    </row>
    <row r="240">
      <c r="A240" s="18" t="inlineStr">
        <is>
          <t>RN-INV#263</t>
        </is>
      </c>
      <c r="B240" s="98" t="n">
        <v>46176</v>
      </c>
      <c r="C240" s="18" t="inlineStr">
        <is>
          <t>WHT-4360</t>
        </is>
      </c>
      <c r="D240" s="19" t="n">
        <v>1542.5</v>
      </c>
      <c r="E240" s="18" t="inlineStr">
        <is>
          <t>عصمت الله خان</t>
        </is>
      </c>
      <c r="F240" s="18" t="inlineStr">
        <is>
          <t>263</t>
        </is>
      </c>
      <c r="G240" s="98" t="n">
        <v>46145</v>
      </c>
      <c r="H240" s="18" t="inlineStr">
        <is>
          <t>WHT-4360</t>
        </is>
      </c>
      <c r="I240" s="19" t="n">
        <v>1542.5</v>
      </c>
      <c r="J240" s="18" t="inlineStr">
        <is>
          <t>مسجلة مع ملاحظة</t>
        </is>
      </c>
      <c r="K240" s="18" t="inlineStr">
        <is>
          <t>فرق تاريخ 31 يوم (الكشف 2026-05-03)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H5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13" customWidth="1" min="5" max="5"/>
    <col width="18" customWidth="1" min="6" max="6"/>
    <col width="32" customWidth="1" min="7" max="7"/>
    <col width="60" customWidth="1" min="8" max="8"/>
  </cols>
  <sheetData>
    <row r="1">
      <c r="A1" s="15" t="inlineStr">
        <is>
          <t>صف بالكشف</t>
        </is>
      </c>
      <c r="B1" s="15" t="inlineStr">
        <is>
          <t>رقم المستند</t>
        </is>
      </c>
      <c r="C1" s="15" t="inlineStr">
        <is>
          <t>التاريخ</t>
        </is>
      </c>
      <c r="D1" s="15" t="inlineStr">
        <is>
          <t>رقم العقد</t>
        </is>
      </c>
      <c r="E1" s="15" t="inlineStr">
        <is>
          <t>القيمة</t>
        </is>
      </c>
      <c r="F1" s="15" t="inlineStr">
        <is>
          <t>المندوب</t>
        </is>
      </c>
      <c r="G1" s="15" t="inlineStr">
        <is>
          <t>البيان بالكشف</t>
        </is>
      </c>
      <c r="H1" s="15" t="inlineStr">
        <is>
          <t>الملاحظة</t>
        </is>
      </c>
    </row>
    <row r="2">
      <c r="A2" s="34" t="n">
        <v>173</v>
      </c>
      <c r="B2" s="34" t="inlineStr">
        <is>
          <t>None</t>
        </is>
      </c>
      <c r="C2" s="99" t="n">
        <v>46008</v>
      </c>
      <c r="D2" s="34" t="n"/>
      <c r="E2" s="36" t="n">
        <v>62937</v>
      </c>
      <c r="F2" s="34" t="inlineStr">
        <is>
          <t>م/ عادل أبو خالد</t>
        </is>
      </c>
      <c r="G2" s="34" t="inlineStr">
        <is>
          <t>قيمة تصفية مديونية ابوخالد حتي 31-10</t>
        </is>
      </c>
      <c r="H2" s="34" t="inlineStr">
        <is>
          <t>تصفية مديونية أبو خالد حتى 31-10 – رصيد افتتاحي مسجل كفاتورة، بدون مستند مؤيد</t>
        </is>
      </c>
    </row>
    <row r="3">
      <c r="A3" s="34" t="n">
        <v>198</v>
      </c>
      <c r="B3" s="34" t="inlineStr">
        <is>
          <t>99</t>
        </is>
      </c>
      <c r="C3" s="99" t="n">
        <v>46015</v>
      </c>
      <c r="D3" s="34" t="inlineStr">
        <is>
          <t>WHT-3343</t>
        </is>
      </c>
      <c r="E3" s="36" t="n">
        <v>870</v>
      </c>
      <c r="F3" s="34" t="inlineStr">
        <is>
          <t>عصمت الله خان</t>
        </is>
      </c>
      <c r="G3" s="34" t="n"/>
      <c r="H3" s="34" t="inlineStr">
        <is>
          <t>موجود في شيت العقود (WHT-3343) بدون فاتورة مبدئية</t>
        </is>
      </c>
    </row>
    <row r="4">
      <c r="A4" s="34" t="n">
        <v>200</v>
      </c>
      <c r="B4" s="34" t="inlineStr">
        <is>
          <t>100</t>
        </is>
      </c>
      <c r="C4" s="99" t="n">
        <v>46016</v>
      </c>
      <c r="D4" s="34" t="inlineStr">
        <is>
          <t>WHT-3349</t>
        </is>
      </c>
      <c r="E4" s="36" t="n">
        <v>1541.25</v>
      </c>
      <c r="F4" s="34" t="inlineStr">
        <is>
          <t>عصمت الله خان</t>
        </is>
      </c>
      <c r="G4" s="34" t="n"/>
      <c r="H4" s="34" t="inlineStr">
        <is>
          <t>موجود في شيت العقود (WHT-3349) بدون فاتورة مبدئية</t>
        </is>
      </c>
    </row>
    <row r="5">
      <c r="A5" s="34" t="n">
        <v>410</v>
      </c>
      <c r="B5" s="34" t="inlineStr">
        <is>
          <t>1</t>
        </is>
      </c>
      <c r="C5" s="99" t="n">
        <v>46081</v>
      </c>
      <c r="D5" s="34" t="inlineStr">
        <is>
          <t>WHK-2364</t>
        </is>
      </c>
      <c r="E5" s="36" t="n">
        <v>38293.75</v>
      </c>
      <c r="F5" s="34" t="inlineStr">
        <is>
          <t>م/ عادل أبو خالد</t>
        </is>
      </c>
      <c r="G5" s="34" t="inlineStr">
        <is>
          <t>زهور تبوك - 69625*.55</t>
        </is>
      </c>
      <c r="H5" s="34" t="inlineStr">
        <is>
          <t>طلبية عرعر – بدون فاتورة مبدئية، تحتاج مستند (عدد×سعر مذكور بالبيان)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29"/>
  <sheetViews>
    <sheetView rightToLeft="1" zoomScale="10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  <col width="80" customWidth="1" min="4" max="4"/>
  </cols>
  <sheetData>
    <row r="1">
      <c r="A1" s="1" t="inlineStr">
        <is>
          <t>المصاريف التشغيلية – مزرعة الرياض (1-1-2026 إلى 31-7-2026)</t>
        </is>
      </c>
    </row>
    <row r="2"/>
    <row r="3">
      <c r="A3" s="22" t="inlineStr">
        <is>
          <t>البند</t>
        </is>
      </c>
      <c r="B3" s="22" t="inlineStr">
        <is>
          <t>العدد</t>
        </is>
      </c>
      <c r="C3" s="22" t="inlineStr">
        <is>
          <t>المبلغ</t>
        </is>
      </c>
      <c r="D3" s="22" t="inlineStr">
        <is>
          <t>ملاحظة</t>
        </is>
      </c>
    </row>
    <row r="4">
      <c r="A4" s="63" t="inlineStr">
        <is>
          <t>أولاً: أوامر الشراء (مشتريات المزرعة)</t>
        </is>
      </c>
      <c r="B4" s="63" t="n"/>
      <c r="C4" s="64" t="n"/>
      <c r="D4" s="63" t="n"/>
    </row>
    <row r="5">
      <c r="A5" s="3" t="inlineStr">
        <is>
          <t xml:space="preserve">  أوامر مدفوعة بالكامل</t>
        </is>
      </c>
      <c r="B5" s="3" t="n">
        <v>29</v>
      </c>
      <c r="C5" s="4" t="n">
        <v>497518.61</v>
      </c>
      <c r="D5" s="3" t="n"/>
    </row>
    <row r="6">
      <c r="A6" s="3" t="inlineStr">
        <is>
          <t xml:space="preserve">  أوامر مدفوعة جزئياً</t>
        </is>
      </c>
      <c r="B6" s="3" t="n">
        <v>1</v>
      </c>
      <c r="C6" s="4" t="n">
        <v>66420</v>
      </c>
      <c r="D6" s="3" t="inlineStr">
        <is>
          <t>PO-0777 (بساتين الرياض) – مسدد 11,000 والمتبقي 55,420</t>
        </is>
      </c>
    </row>
    <row r="7">
      <c r="A7" s="3" t="inlineStr">
        <is>
          <t xml:space="preserve">  أوامر غير مدفوعة</t>
        </is>
      </c>
      <c r="B7" s="3" t="n">
        <v>1</v>
      </c>
      <c r="C7" s="4" t="n">
        <v>33950</v>
      </c>
      <c r="D7" s="3" t="inlineStr">
        <is>
          <t>PO-1023 (بساتين الرياض)</t>
        </is>
      </c>
    </row>
    <row r="8">
      <c r="A8" s="3" t="inlineStr">
        <is>
          <t xml:space="preserve">  إجمالي أوامر الشراء</t>
        </is>
      </c>
      <c r="B8" s="3" t="n">
        <v>31</v>
      </c>
      <c r="C8" s="4" t="n">
        <v>597888.61</v>
      </c>
      <c r="D8" s="3" t="n"/>
    </row>
    <row r="9">
      <c r="A9" s="3" t="inlineStr">
        <is>
          <t xml:space="preserve">  المديونية القائمة للموردين (حد أقصى)</t>
        </is>
      </c>
      <c r="B9" s="3" t="n">
        <v>2</v>
      </c>
      <c r="C9" s="4" t="n">
        <v>89370</v>
      </c>
      <c r="D9" s="3" t="inlineStr">
        <is>
          <t>PO-1023 (33,950) + المتبقي من PO-0777 (55,420)</t>
        </is>
      </c>
    </row>
    <row r="10">
      <c r="A10" s="63" t="inlineStr">
        <is>
          <t>ثانياً: مصروفات العهد النقدية (تسويات معتمدة)</t>
        </is>
      </c>
      <c r="B10" s="63" t="n"/>
      <c r="C10" s="64" t="n"/>
      <c r="D10" s="63" t="n"/>
    </row>
    <row r="11">
      <c r="A11" s="3" t="inlineStr">
        <is>
          <t xml:space="preserve">  داخل الفترة حتى 31-7-2026</t>
        </is>
      </c>
      <c r="B11" s="3" t="n">
        <v>147</v>
      </c>
      <c r="C11" s="4" t="n">
        <v>44851.46</v>
      </c>
      <c r="D11" s="3" t="inlineStr">
        <is>
          <t>تفصيلها حسب البند والسيارة في شيت "العهد - ملخص"</t>
        </is>
      </c>
    </row>
    <row r="12">
      <c r="A12" s="3" t="inlineStr">
        <is>
          <t xml:space="preserve">  بعد 31-7-2026 (خارج الفترة)</t>
        </is>
      </c>
      <c r="B12" s="3" t="n">
        <v>31</v>
      </c>
      <c r="C12" s="4" t="n">
        <v>4966.02</v>
      </c>
      <c r="D12" s="3" t="n"/>
    </row>
    <row r="13">
      <c r="A13" s="3" t="inlineStr">
        <is>
          <t xml:space="preserve">  أرصدة عهد لم تُسوَّ بعد</t>
        </is>
      </c>
      <c r="B13" s="3" t="n"/>
      <c r="C13" s="4" t="n">
        <v>1543.91</v>
      </c>
      <c r="D13" s="3" t="inlineStr">
        <is>
          <t>مبالغ صُرفت لأصحاب العهد ولم تُقدم بها مستندات حتى تاريخ التقارير 9-8-2026</t>
        </is>
      </c>
    </row>
    <row r="14">
      <c r="A14" s="30" t="inlineStr">
        <is>
          <t xml:space="preserve">  يُخصم: أوامر 2026 هي سداد لمشتريات 2025 (PO-288، PO-287-REV1، PO-296، PO-295)</t>
        </is>
      </c>
      <c r="B14" s="30" t="n">
        <v>4</v>
      </c>
      <c r="C14" s="32" t="n">
        <v>-211811.25</v>
      </c>
      <c r="D14" s="30" t="inlineStr">
        <is>
          <t>مصروفات تخص 2025 وسُددت في 2026 – مدرجة في شيت مصروفات 2025</t>
        </is>
      </c>
    </row>
    <row r="15" ht="32" customHeight="1">
      <c r="A15" s="5" t="inlineStr">
        <is>
          <t>إجمالي المصاريف التشغيلية 2026 (أوامر الشراء + العهد، بعد استبعاد سداد 2025)</t>
        </is>
      </c>
      <c r="B15" s="9" t="n"/>
      <c r="C15" s="10">
        <f>C8+C11+C14</f>
        <v/>
      </c>
      <c r="D15" s="9" t="n"/>
    </row>
    <row r="16" ht="32" customHeight="1">
      <c r="A16" s="65" t="n"/>
    </row>
    <row r="17" ht="32" customHeight="1">
      <c r="A17" s="66" t="inlineStr">
        <is>
          <t>ملاحظات المراجعة:</t>
        </is>
      </c>
    </row>
    <row r="18" ht="32" customHeight="1">
      <c r="A18" s="65" t="inlineStr">
        <is>
          <t>1) كل تقارير العهد الأربعة مطابقة: مجموع التسويات = "TOTAL SETTLED" بكل تقرير، ومجموع الإضافات = "TOTAL GRANTED".</t>
        </is>
      </c>
    </row>
    <row r="19" ht="32" customHeight="1">
      <c r="A19" s="65" t="inlineStr">
        <is>
          <t>2) ⚠ مديونية قائمة: PO-1023 (33,950 غير مدفوع) و PO-0777 (66,420 مدفوع جزئياً) – كلاهما لمؤسسة بساتين الرياض وتم استلامهما بالكامل.</t>
        </is>
      </c>
    </row>
    <row r="20" ht="32" customHeight="1">
      <c r="A20" s="65" t="inlineStr">
        <is>
          <t>3) ⚠ 27 أمر شراء حالة الاستلام فيها "Not Issued" رغم أنها مدفوعة بالكامل – يعني الاستلام لم يُسجل بالنظام.</t>
        </is>
      </c>
    </row>
    <row r="21" ht="32" customHeight="1">
      <c r="A21" s="65" t="inlineStr">
        <is>
          <t>4) ⚠ المدارات: أمران بنفس القيمة 53,475 (PO-267 و PO-309) – يلزم التأكد أنهما توريدان مختلفان.</t>
        </is>
      </c>
    </row>
    <row r="22" ht="32" customHeight="1">
      <c r="A22" s="65" t="inlineStr">
        <is>
          <t>5) أوامر PO-288 و PO-287-REV1 و PO-295 و PO-296 (211,811.25) هي سداد لمشتريات 2025 غير مدفوعة – تم استبعادها من مصاريف 2026.</t>
        </is>
      </c>
    </row>
    <row r="23" ht="32" customHeight="1">
      <c r="A23" s="65" t="inlineStr">
        <is>
          <t>6) ⚠ تداخل محتمل: مصروفات الديزل بالعهد (سيارات 1219 و 3010) قد تكون جزءاً من إجمالي الديزل 2026 (24,888) في شيت "الديزل المدفوع من نسما الشرق" – يلزم التأكد لتجنب الاحتساب مرتين.</t>
        </is>
      </c>
    </row>
    <row r="24" ht="32" customHeight="1">
      <c r="A24" s="65" t="inlineStr">
        <is>
          <t>7) عهدة حسين مصطفى تشمل إضافات "نقداً" بقيمة 39,518.39 (عمود المنصرف = 0) – أي أنها صُرفت نقداً من خارج النظام.</t>
        </is>
      </c>
    </row>
    <row r="25">
      <c r="A25" s="65" t="inlineStr">
        <is>
          <t>8) مصروفات 2025 مضافة في شيتي "مصروفات 2025 - تفصيل" و"مصروفات 2025 - ملخص".</t>
        </is>
      </c>
    </row>
    <row r="26"/>
    <row r="27">
      <c r="A27" s="56" t="inlineStr">
        <is>
          <t>ثالثاً: مصروفات التشغيل قبل 30-7-2025 (فبراير–ديسمبر 2024)</t>
        </is>
      </c>
      <c r="B27" s="56" t="n"/>
      <c r="C27" s="57">
        <f>'مصروفات قبل 30.7.2025'!E28</f>
        <v/>
      </c>
      <c r="D27" s="56" t="inlineStr">
        <is>
          <t>تفصيلها في شيت "مصروفات قبل 30.7.2025"</t>
        </is>
      </c>
    </row>
    <row r="28">
      <c r="A28" s="56" t="inlineStr">
        <is>
          <t>ثالثاً (ب): مصروفات دفعها م/ عادل أبو خالد من المبيعات (10-2024 إلى 6-2025)</t>
        </is>
      </c>
      <c r="B28" s="56" t="n"/>
      <c r="C28" s="57">
        <f>'مصروفات قبل 30.7.2025'!E42</f>
        <v/>
      </c>
      <c r="D28" s="56" t="inlineStr">
        <is>
          <t>تفصيلها في شيت "مصروفات قبل 30.7.2025"</t>
        </is>
      </c>
    </row>
    <row r="29">
      <c r="A29" s="56" t="inlineStr">
        <is>
          <t>رابعاً: مصروفات التأسيس (صفحة مستقلة)</t>
        </is>
      </c>
      <c r="B29" s="56" t="n"/>
      <c r="C29" s="57">
        <f>'مصروفات التأسيس'!E27</f>
        <v/>
      </c>
      <c r="D29" s="56" t="inlineStr">
        <is>
          <t>تفصيلها في شيت "مصروفات التأسيس" – غير مجمعة مع المصاريف التشغيلية</t>
        </is>
      </c>
    </row>
  </sheetData>
  <mergeCells count="10">
    <mergeCell ref="A1:D1"/>
    <mergeCell ref="A23:D23"/>
    <mergeCell ref="A18:D18"/>
    <mergeCell ref="A17:D17"/>
    <mergeCell ref="A22:D22"/>
    <mergeCell ref="A20:D20"/>
    <mergeCell ref="A21:D21"/>
    <mergeCell ref="A25:D25"/>
    <mergeCell ref="A24:D24"/>
    <mergeCell ref="A19:D19"/>
  </mergeCell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45"/>
  <sheetViews>
    <sheetView rightToLeft="1" zoomScale="10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15" customWidth="1" min="4" max="4"/>
    <col width="15" customWidth="1" min="5" max="5"/>
    <col width="60" customWidth="1" min="6" max="6"/>
  </cols>
  <sheetData>
    <row r="1">
      <c r="A1" s="14" t="inlineStr">
        <is>
          <t>مصروفات تأسيس مزرعة الرياض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البيان</t>
        </is>
      </c>
      <c r="D2" s="2" t="inlineStr">
        <is>
          <t>طريقة الدفع</t>
        </is>
      </c>
      <c r="E2" s="2" t="inlineStr">
        <is>
          <t>المبلغ</t>
        </is>
      </c>
      <c r="F2" s="2" t="inlineStr">
        <is>
          <t>ملاحظة</t>
        </is>
      </c>
    </row>
    <row r="3">
      <c r="A3" s="11" t="n">
        <v>1</v>
      </c>
      <c r="B3" s="106" t="n">
        <v>45292</v>
      </c>
      <c r="C3" s="11" t="inlineStr">
        <is>
          <t>مصروفات من حساب الزهور لأبوخالد (عهدة)</t>
        </is>
      </c>
      <c r="D3" s="11" t="inlineStr">
        <is>
          <t>أبومازن</t>
        </is>
      </c>
      <c r="E3" s="12" t="n">
        <v>88770</v>
      </c>
      <c r="F3" s="11" t="inlineStr">
        <is>
          <t>⚠ مدفوع عن طريق أبومازن (ليس من حسابات الشركة) – عهدة بحساب الزهور لأبوخالد</t>
        </is>
      </c>
    </row>
    <row r="4">
      <c r="A4" s="11" t="n">
        <v>2</v>
      </c>
      <c r="B4" s="106" t="n">
        <v>45292</v>
      </c>
      <c r="C4" s="11" t="inlineStr">
        <is>
          <t>سيارة ونيت غمارتين</t>
        </is>
      </c>
      <c r="D4" s="11" t="inlineStr">
        <is>
          <t>أبومازن</t>
        </is>
      </c>
      <c r="E4" s="12" t="n">
        <v>10000</v>
      </c>
      <c r="F4" s="11" t="inlineStr">
        <is>
          <t>⚠ مدفوع عن طريق أبومازن</t>
        </is>
      </c>
    </row>
    <row r="5">
      <c r="A5" s="3" t="n">
        <v>3</v>
      </c>
      <c r="B5" s="107" t="n">
        <v>45300</v>
      </c>
      <c r="C5" s="3" t="inlineStr">
        <is>
          <t>رسوم إيجار لمدة عامين</t>
        </is>
      </c>
      <c r="D5" s="3" t="inlineStr">
        <is>
          <t>البنك السعودي</t>
        </is>
      </c>
      <c r="E5" s="4" t="n">
        <v>300000</v>
      </c>
      <c r="F5" s="3" t="inlineStr">
        <is>
          <t>إيجار سنتين – جزء منه يخص فترة التشغيل (يُراعى عند التحميل)</t>
        </is>
      </c>
    </row>
    <row r="6">
      <c r="A6" s="3" t="n">
        <v>4</v>
      </c>
      <c r="B6" s="107" t="n">
        <v>45309</v>
      </c>
      <c r="C6" s="3" t="inlineStr">
        <is>
          <t>خلايا تبريد وشبك ظل وبلاستيك بيوت محمية (مصنع الروضة)</t>
        </is>
      </c>
      <c r="D6" s="3" t="inlineStr">
        <is>
          <t>البنك السعودي</t>
        </is>
      </c>
      <c r="E6" s="4" t="n">
        <v>79904</v>
      </c>
      <c r="F6" s="3" t="n"/>
    </row>
    <row r="7">
      <c r="A7" s="3" t="n">
        <v>5</v>
      </c>
      <c r="B7" s="107" t="n">
        <v>45323</v>
      </c>
      <c r="C7" s="3" t="inlineStr">
        <is>
          <t>شراء غطاسات وسيور مراوح (مصنع الروضة)</t>
        </is>
      </c>
      <c r="D7" s="3" t="inlineStr">
        <is>
          <t>البنك السعودي</t>
        </is>
      </c>
      <c r="E7" s="4" t="n">
        <v>6417</v>
      </c>
      <c r="F7" s="3" t="n"/>
    </row>
    <row r="8">
      <c r="A8" s="3" t="n">
        <v>6</v>
      </c>
      <c r="B8" s="107" t="n">
        <v>45330</v>
      </c>
      <c r="C8" s="3" t="inlineStr">
        <is>
          <t>شراء شبك ظل (مصنع الروضة)</t>
        </is>
      </c>
      <c r="D8" s="3" t="inlineStr">
        <is>
          <t>بنك الرياض</t>
        </is>
      </c>
      <c r="E8" s="4" t="n">
        <v>7820</v>
      </c>
      <c r="F8" s="3" t="n"/>
    </row>
    <row r="9">
      <c r="A9" s="3" t="n">
        <v>7</v>
      </c>
      <c r="B9" s="107" t="n">
        <v>45335</v>
      </c>
      <c r="C9" s="3" t="inlineStr">
        <is>
          <t>سداد خدمة إيصال التيار الكهربائي ورفعة لقدرة 300 أمبير</t>
        </is>
      </c>
      <c r="D9" s="3" t="inlineStr">
        <is>
          <t>بنك الرياض</t>
        </is>
      </c>
      <c r="E9" s="4" t="n">
        <v>13330.8</v>
      </c>
      <c r="F9" s="3" t="n"/>
    </row>
    <row r="10">
      <c r="A10" s="3" t="n">
        <v>8</v>
      </c>
      <c r="B10" s="107" t="n">
        <v>45348</v>
      </c>
      <c r="C10" s="3" t="inlineStr">
        <is>
          <t>شبك ظل من (شركة فالكون)</t>
        </is>
      </c>
      <c r="D10" s="3" t="inlineStr">
        <is>
          <t>بنك الرياض</t>
        </is>
      </c>
      <c r="E10" s="4" t="n">
        <v>31562</v>
      </c>
      <c r="F10" s="3" t="n"/>
    </row>
    <row r="11">
      <c r="A11" s="3" t="n">
        <v>9</v>
      </c>
      <c r="B11" s="107" t="n">
        <v>45375</v>
      </c>
      <c r="C11" s="3" t="inlineStr">
        <is>
          <t>دفعة أولى من حساب الأسفلت بالمزرعة</t>
        </is>
      </c>
      <c r="D11" s="3" t="inlineStr">
        <is>
          <t>بنك الرياض</t>
        </is>
      </c>
      <c r="E11" s="4" t="n">
        <v>15000</v>
      </c>
      <c r="F11" s="3" t="n"/>
    </row>
    <row r="12">
      <c r="A12" s="3" t="n">
        <v>10</v>
      </c>
      <c r="B12" s="107" t="n">
        <v>45375</v>
      </c>
      <c r="C12" s="3" t="inlineStr">
        <is>
          <t>شراء سيارة ايسوزو دينة موديل 2023</t>
        </is>
      </c>
      <c r="D12" s="3" t="inlineStr">
        <is>
          <t>بنك الرياض</t>
        </is>
      </c>
      <c r="E12" s="4" t="n">
        <v>97750</v>
      </c>
      <c r="F12" s="3" t="n"/>
    </row>
    <row r="13">
      <c r="A13" s="3" t="n">
        <v>11</v>
      </c>
      <c r="B13" s="107" t="n">
        <v>45407</v>
      </c>
      <c r="C13" s="3" t="inlineStr">
        <is>
          <t>تأمين السيارات</t>
        </is>
      </c>
      <c r="D13" s="3" t="inlineStr">
        <is>
          <t>بنك الرياض</t>
        </is>
      </c>
      <c r="E13" s="4" t="n">
        <v>4450</v>
      </c>
      <c r="F13" s="3" t="inlineStr">
        <is>
          <t>الترتيب: تاريخه 25-4 قبل بندي 12 و13 بتاريخ 8-4</t>
        </is>
      </c>
    </row>
    <row r="14">
      <c r="A14" s="3" t="n">
        <v>12</v>
      </c>
      <c r="B14" s="107" t="n">
        <v>45390</v>
      </c>
      <c r="C14" s="3" t="inlineStr">
        <is>
          <t>دفعة ثانية من حساب الأسفلت + إيجار شيول 9 أيام</t>
        </is>
      </c>
      <c r="D14" s="3" t="inlineStr">
        <is>
          <t>بنك الرياض</t>
        </is>
      </c>
      <c r="E14" s="4" t="n">
        <v>11700</v>
      </c>
      <c r="F14" s="3" t="n"/>
    </row>
    <row r="15">
      <c r="A15" s="3" t="n">
        <v>13</v>
      </c>
      <c r="B15" s="107" t="n">
        <v>45390</v>
      </c>
      <c r="C15" s="3" t="inlineStr">
        <is>
          <t>بلاستيك أسود تغطية البيوت المحمية (مؤسسة أفكار)</t>
        </is>
      </c>
      <c r="D15" s="3" t="inlineStr">
        <is>
          <t>البنك السعودي</t>
        </is>
      </c>
      <c r="E15" s="4" t="n">
        <v>18000</v>
      </c>
      <c r="F15" s="3" t="n"/>
    </row>
    <row r="16">
      <c r="A16" s="11" t="n">
        <v>14</v>
      </c>
      <c r="B16" s="106" t="n">
        <v>45403</v>
      </c>
      <c r="C16" s="11" t="inlineStr">
        <is>
          <t>سليمان عبدالعزيز الخضيري (توجيه من أبومازن)</t>
        </is>
      </c>
      <c r="D16" s="11" t="inlineStr">
        <is>
          <t>بنك ساب</t>
        </is>
      </c>
      <c r="E16" s="12" t="n">
        <v>35000</v>
      </c>
      <c r="F16" s="11" t="inlineStr">
        <is>
          <t>⚠ دفعة لشخص بتوجيه من أبومازن بدون بيان للغرض</t>
        </is>
      </c>
    </row>
    <row r="17">
      <c r="A17" s="3" t="n">
        <v>15</v>
      </c>
      <c r="B17" s="107" t="n">
        <v>45407</v>
      </c>
      <c r="C17" s="3" t="inlineStr">
        <is>
          <t>شراء سيارة ايسوزو غمارتين موديل 2023</t>
        </is>
      </c>
      <c r="D17" s="3" t="inlineStr">
        <is>
          <t>البنك السعودي</t>
        </is>
      </c>
      <c r="E17" s="4" t="n">
        <v>85400</v>
      </c>
      <c r="F17" s="3" t="n"/>
    </row>
    <row r="18">
      <c r="A18" s="3" t="n">
        <v>16</v>
      </c>
      <c r="B18" s="107" t="n">
        <v>45417</v>
      </c>
      <c r="C18" s="3" t="inlineStr">
        <is>
          <t>شراء مضخة (شركة المسبك)</t>
        </is>
      </c>
      <c r="D18" s="3" t="inlineStr">
        <is>
          <t>البنك السعودي</t>
        </is>
      </c>
      <c r="E18" s="4" t="n">
        <v>5550</v>
      </c>
      <c r="F18" s="3" t="n"/>
    </row>
    <row r="19">
      <c r="A19" s="3" t="n">
        <v>17</v>
      </c>
      <c r="B19" s="107" t="n">
        <v>45417</v>
      </c>
      <c r="C19" s="3" t="inlineStr">
        <is>
          <t>شراء شبك ظل (شركة آل طالب)</t>
        </is>
      </c>
      <c r="D19" s="3" t="inlineStr">
        <is>
          <t>بنك الرياض</t>
        </is>
      </c>
      <c r="E19" s="4" t="n">
        <v>31050</v>
      </c>
      <c r="F19" s="3" t="n"/>
    </row>
    <row r="20">
      <c r="A20" s="3" t="n">
        <v>18</v>
      </c>
      <c r="B20" s="107" t="n">
        <v>45444</v>
      </c>
      <c r="C20" s="3" t="inlineStr">
        <is>
          <t>صندوق براد للدينة – عصمت</t>
        </is>
      </c>
      <c r="D20" s="3" t="inlineStr">
        <is>
          <t>البنك السعودي</t>
        </is>
      </c>
      <c r="E20" s="4" t="n">
        <v>14500</v>
      </c>
      <c r="F20" s="3" t="n"/>
    </row>
    <row r="21">
      <c r="A21" s="3" t="n">
        <v>19</v>
      </c>
      <c r="B21" s="107" t="n">
        <v>45479</v>
      </c>
      <c r="C21" s="3" t="inlineStr">
        <is>
          <t>كيبل كهرباء (شركة العواد للتجارة)</t>
        </is>
      </c>
      <c r="D21" s="3" t="inlineStr">
        <is>
          <t>البنك السعودي</t>
        </is>
      </c>
      <c r="E21" s="4" t="n">
        <v>8100</v>
      </c>
      <c r="F21" s="3" t="n"/>
    </row>
    <row r="22">
      <c r="A22" s="3" t="n">
        <v>20</v>
      </c>
      <c r="B22" s="107" t="n">
        <v>45547</v>
      </c>
      <c r="C22" s="3" t="inlineStr">
        <is>
          <t>حساب غطاس بالمزرعة</t>
        </is>
      </c>
      <c r="D22" s="3" t="inlineStr">
        <is>
          <t>البنك السعودي</t>
        </is>
      </c>
      <c r="E22" s="4" t="n">
        <v>7300</v>
      </c>
      <c r="F22" s="3" t="n"/>
    </row>
    <row r="23">
      <c r="A23" s="3" t="n">
        <v>21</v>
      </c>
      <c r="B23" s="107" t="n">
        <v>45568</v>
      </c>
      <c r="C23" s="3" t="inlineStr">
        <is>
          <t>شراء بيوت جاهزة</t>
        </is>
      </c>
      <c r="D23" s="3" t="inlineStr">
        <is>
          <t>البنك السعودي</t>
        </is>
      </c>
      <c r="E23" s="4" t="n">
        <v>29900</v>
      </c>
      <c r="F23" s="3" t="n"/>
    </row>
    <row r="24">
      <c r="A24" s="3" t="n">
        <v>22</v>
      </c>
      <c r="B24" s="107" t="n">
        <v>45568</v>
      </c>
      <c r="C24" s="3" t="inlineStr">
        <is>
          <t>شراء خزانات مياه</t>
        </is>
      </c>
      <c r="D24" s="3" t="inlineStr">
        <is>
          <t>البنك السعودي</t>
        </is>
      </c>
      <c r="E24" s="4" t="n">
        <v>29000</v>
      </c>
      <c r="F24" s="3" t="n"/>
    </row>
    <row r="25">
      <c r="A25" s="11" t="n">
        <v>23</v>
      </c>
      <c r="B25" s="106" t="n">
        <v>45962</v>
      </c>
      <c r="C25" s="11" t="inlineStr">
        <is>
          <t>دينة مندوب الرياض – عماد</t>
        </is>
      </c>
      <c r="D25" s="11" t="inlineStr">
        <is>
          <t>البنك السعودي</t>
        </is>
      </c>
      <c r="E25" s="12" t="n">
        <v>123000</v>
      </c>
      <c r="F25" s="11" t="inlineStr">
        <is>
          <t>⚠ التاريخ 1-11-2025 وليس 2024 – خارج فترة التأسيس (يقع ضمن فترة التشغيل)</t>
        </is>
      </c>
    </row>
    <row r="26">
      <c r="A26" s="3" t="n">
        <v>24</v>
      </c>
      <c r="B26" s="107" t="n">
        <v>45636</v>
      </c>
      <c r="C26" s="3" t="inlineStr">
        <is>
          <t>مواد سباكة من الوسايل</t>
        </is>
      </c>
      <c r="D26" s="3" t="inlineStr">
        <is>
          <t>البنك السعودي</t>
        </is>
      </c>
      <c r="E26" s="4" t="n">
        <v>36232</v>
      </c>
      <c r="F26" s="3" t="n"/>
    </row>
    <row r="27">
      <c r="A27" s="9" t="n"/>
      <c r="B27" s="9" t="n"/>
      <c r="C27" s="9" t="inlineStr">
        <is>
          <t>الإجمالي</t>
        </is>
      </c>
      <c r="D27" s="9" t="n"/>
      <c r="E27" s="10">
        <f>SUM(E3:E26)</f>
        <v/>
      </c>
      <c r="F27" s="9" t="n"/>
    </row>
    <row r="28">
      <c r="A28" s="16" t="n"/>
      <c r="B28" s="16" t="n"/>
      <c r="C28" s="16" t="inlineStr">
        <is>
          <t>مساهمة أبو خالد في مصروفات التأسيس</t>
        </is>
      </c>
      <c r="D28" s="16" t="inlineStr">
        <is>
          <t>أبو خالد</t>
        </is>
      </c>
      <c r="E28" s="17" t="n">
        <v>189235</v>
      </c>
      <c r="F28" s="16" t="n"/>
    </row>
    <row r="29">
      <c r="A29" s="9" t="n"/>
      <c r="B29" s="9" t="n"/>
      <c r="C29" s="9" t="inlineStr">
        <is>
          <t>إجمالي مصروفات التأسيس الفعلية</t>
        </is>
      </c>
      <c r="D29" s="9" t="n"/>
      <c r="E29" s="10">
        <f>E27+E28</f>
        <v/>
      </c>
      <c r="F29" s="9" t="n"/>
    </row>
    <row r="30"/>
    <row r="31"/>
    <row r="32">
      <c r="A32" s="59" t="inlineStr">
        <is>
          <t>حسب طريقة الدفع</t>
        </is>
      </c>
    </row>
    <row r="33">
      <c r="A33" s="16" t="n"/>
      <c r="B33" s="16" t="n"/>
      <c r="C33" s="16" t="inlineStr">
        <is>
          <t>البنك السعودي</t>
        </is>
      </c>
      <c r="D33" s="16" t="n"/>
      <c r="E33" s="17">
        <f>SUMIFS(E3:E26,D3:D26,C33)</f>
        <v/>
      </c>
      <c r="F33" s="16" t="n"/>
    </row>
    <row r="34" ht="32" customHeight="1">
      <c r="A34" s="16" t="n"/>
      <c r="B34" s="16" t="n"/>
      <c r="C34" s="16" t="inlineStr">
        <is>
          <t>بنك الرياض</t>
        </is>
      </c>
      <c r="D34" s="16" t="n"/>
      <c r="E34" s="17">
        <f>SUMIFS(E3:E26,D3:D26,C34)</f>
        <v/>
      </c>
      <c r="F34" s="16" t="n"/>
    </row>
    <row r="35" ht="32" customHeight="1">
      <c r="A35" s="16" t="n"/>
      <c r="B35" s="16" t="n"/>
      <c r="C35" s="16" t="inlineStr">
        <is>
          <t>بنك ساب</t>
        </is>
      </c>
      <c r="D35" s="16" t="n"/>
      <c r="E35" s="17">
        <f>SUMIFS(E3:E26,D3:D26,C35)</f>
        <v/>
      </c>
      <c r="F35" s="16" t="n"/>
    </row>
    <row r="36" ht="32" customHeight="1">
      <c r="A36" s="16" t="n"/>
      <c r="B36" s="16" t="n"/>
      <c r="C36" s="16" t="inlineStr">
        <is>
          <t>أبومازن</t>
        </is>
      </c>
      <c r="D36" s="16" t="n"/>
      <c r="E36" s="17">
        <f>SUMIFS(E3:E26,D3:D26,C36)</f>
        <v/>
      </c>
      <c r="F36" s="16" t="n"/>
    </row>
    <row r="37" ht="32" customHeight="1">
      <c r="A37" s="123" t="n"/>
      <c r="B37" s="16" t="n"/>
      <c r="C37" s="16" t="inlineStr">
        <is>
          <t>أبو خالد (مساهمة)</t>
        </is>
      </c>
      <c r="D37" s="16" t="n"/>
      <c r="E37" s="17">
        <f>E28</f>
        <v/>
      </c>
      <c r="F37" s="16" t="n"/>
    </row>
    <row r="38" ht="32" customHeight="1">
      <c r="A38" s="124" t="n"/>
      <c r="B38" s="125" t="n"/>
      <c r="C38" s="125" t="n"/>
      <c r="D38" s="125" t="n"/>
      <c r="E38" s="125" t="n"/>
      <c r="F38" s="125" t="n"/>
    </row>
    <row r="39" ht="32" customHeight="1">
      <c r="A39" s="124" t="inlineStr">
        <is>
          <t>ملاحظات:</t>
        </is>
      </c>
    </row>
    <row r="40" ht="32" customHeight="1">
      <c r="A40" s="124" t="inlineStr">
        <is>
          <t>1) الإجمالي 1,089,735.80 مطابق لمجموع البنود.</t>
        </is>
      </c>
    </row>
    <row r="41" ht="32" customHeight="1">
      <c r="A41" s="124" t="inlineStr">
        <is>
          <t>2) ⚠ البند 23 "دينة مندوب الرياض – عماد" 123,000 تاريخه 1-11-2025 وليس 2024 – يقع داخل فترة التشغيل، يلزم التأكد من التاريخ أو نقله.</t>
        </is>
      </c>
    </row>
    <row r="42" ht="32" customHeight="1">
      <c r="A42" s="124" t="inlineStr">
        <is>
          <t>3) ⚠ البنود 1 و 2 (98,770) مدفوعة عن طريق أبومازن، والبند 14 (35,000) دفعة لسليمان الخضيري بتوجيه منه بدون بيان للغرض.</t>
        </is>
      </c>
    </row>
    <row r="43" ht="32" customHeight="1">
      <c r="A43" s="124" t="inlineStr">
        <is>
          <t>4) البند 3 إيجار لمدة عامين (300,000) من 9-1-2024 – يغطي حتى يناير 2026 تقريباً، أي أن جزءاً منه يخص فترة التشغيل. وتقرير العهدة 2026 فيه إيجار مزرعة الرياض 150,000 بتاريخ 27-7-2026 (مدفوع من تبوك).</t>
        </is>
      </c>
    </row>
    <row r="44" ht="32" customHeight="1">
      <c r="A44" s="13" t="inlineStr">
        <is>
          <t>5) سيارات مشتراة: ايسوزو دينة 97,750 + ايسوزو غمارتين 85,400 + ونيت غمارتين 10,000 + دينة عماد 123,000 + صندوق براد 14,500 + تأمين 4,450.</t>
        </is>
      </c>
    </row>
    <row r="45" ht="32" customHeight="1">
      <c r="A45" s="13" t="inlineStr">
        <is>
          <t>6) إجمالي مصروفات التأسيس الفعلية 1,278,970.80 = كشف التأسيس 1,089,735.80 (أبو مازن/نسما) + مساهمة أبو خالد 189,235.</t>
        </is>
      </c>
    </row>
  </sheetData>
  <mergeCells count="8">
    <mergeCell ref="A41:F41"/>
    <mergeCell ref="A42:F42"/>
    <mergeCell ref="A44:F44"/>
    <mergeCell ref="A1:F1"/>
    <mergeCell ref="A45:F45"/>
    <mergeCell ref="A40:F40"/>
    <mergeCell ref="A39:F39"/>
    <mergeCell ref="A43:F43"/>
  </mergeCell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44"/>
  <sheetViews>
    <sheetView rightToLeft="1" zoomScale="10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6" customWidth="1" min="4" max="4"/>
    <col width="15" customWidth="1" min="5" max="5"/>
    <col width="40" customWidth="1" min="6" max="6"/>
  </cols>
  <sheetData>
    <row r="1">
      <c r="A1" s="14" t="inlineStr">
        <is>
          <t>مصروفات التشغيل – مزرعة الرياض (قبل 30-7-2025)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البيان</t>
        </is>
      </c>
      <c r="D2" s="2" t="inlineStr">
        <is>
          <t>طريقة الدفع</t>
        </is>
      </c>
      <c r="E2" s="2" t="inlineStr">
        <is>
          <t>المبلغ</t>
        </is>
      </c>
      <c r="F2" s="2" t="inlineStr">
        <is>
          <t>ملاحظة</t>
        </is>
      </c>
    </row>
    <row r="3">
      <c r="A3" s="16" t="n">
        <v>1</v>
      </c>
      <c r="B3" s="95" t="n">
        <v>45348</v>
      </c>
      <c r="C3" s="16" t="inlineStr">
        <is>
          <t>بيتموس من (شركة المدارات)</t>
        </is>
      </c>
      <c r="D3" s="16" t="inlineStr">
        <is>
          <t>بنك الرياض</t>
        </is>
      </c>
      <c r="E3" s="17" t="n">
        <v>4312.5</v>
      </c>
      <c r="F3" s="16" t="n"/>
    </row>
    <row r="4">
      <c r="A4" s="16" t="n">
        <v>2</v>
      </c>
      <c r="B4" s="95" t="n">
        <v>45399</v>
      </c>
      <c r="C4" s="16" t="inlineStr">
        <is>
          <t>حساب إيجار براد في المزرعة</t>
        </is>
      </c>
      <c r="D4" s="16" t="inlineStr">
        <is>
          <t>بنك الرياض</t>
        </is>
      </c>
      <c r="E4" s="17" t="n">
        <v>7000</v>
      </c>
      <c r="F4" s="16" t="n"/>
    </row>
    <row r="5">
      <c r="A5" s="16" t="n">
        <v>3</v>
      </c>
      <c r="B5" s="95" t="n">
        <v>45446</v>
      </c>
      <c r="C5" s="16" t="inlineStr">
        <is>
          <t>فاتورة كهرباء</t>
        </is>
      </c>
      <c r="D5" s="16" t="inlineStr">
        <is>
          <t>بنك الرياض</t>
        </is>
      </c>
      <c r="E5" s="17" t="n">
        <v>1123</v>
      </c>
      <c r="F5" s="16" t="n"/>
    </row>
    <row r="6">
      <c r="A6" s="16" t="n">
        <v>4</v>
      </c>
      <c r="B6" s="95" t="n">
        <v>45449</v>
      </c>
      <c r="C6" s="16" t="inlineStr">
        <is>
          <t>شجر من جدة</t>
        </is>
      </c>
      <c r="D6" s="16" t="inlineStr">
        <is>
          <t>البنك السعودي</t>
        </is>
      </c>
      <c r="E6" s="17" t="n">
        <v>30300</v>
      </c>
      <c r="F6" s="16" t="n"/>
    </row>
    <row r="7">
      <c r="A7" s="16" t="n">
        <v>5</v>
      </c>
      <c r="B7" s="95" t="n">
        <v>45486</v>
      </c>
      <c r="C7" s="16" t="inlineStr">
        <is>
          <t>سماد كمبوست من الصافي</t>
        </is>
      </c>
      <c r="D7" s="16" t="inlineStr">
        <is>
          <t>البنك السعودي</t>
        </is>
      </c>
      <c r="E7" s="17" t="n">
        <v>2800</v>
      </c>
      <c r="F7" s="16" t="n"/>
    </row>
    <row r="8">
      <c r="A8" s="16" t="n">
        <v>6</v>
      </c>
      <c r="B8" s="95" t="n">
        <v>45488</v>
      </c>
      <c r="C8" s="16" t="inlineStr">
        <is>
          <t>بذور من الواحة</t>
        </is>
      </c>
      <c r="D8" s="16" t="inlineStr">
        <is>
          <t>البنك السعودي</t>
        </is>
      </c>
      <c r="E8" s="17" t="n">
        <v>51974</v>
      </c>
      <c r="F8" s="16" t="n"/>
    </row>
    <row r="9">
      <c r="A9" s="16" t="n">
        <v>7</v>
      </c>
      <c r="B9" s="95" t="n">
        <v>45488</v>
      </c>
      <c r="C9" s="16" t="inlineStr">
        <is>
          <t>فاتورة كهرباء</t>
        </is>
      </c>
      <c r="D9" s="16" t="inlineStr">
        <is>
          <t>بنك الرياض</t>
        </is>
      </c>
      <c r="E9" s="17" t="n">
        <v>555</v>
      </c>
      <c r="F9" s="16" t="n"/>
    </row>
    <row r="10">
      <c r="A10" s="16" t="n">
        <v>9</v>
      </c>
      <c r="B10" s="95" t="n">
        <v>45510</v>
      </c>
      <c r="C10" s="16" t="inlineStr">
        <is>
          <t>شجر أكاسيا وتبيسيا</t>
        </is>
      </c>
      <c r="D10" s="16" t="inlineStr">
        <is>
          <t>البنك السعودي</t>
        </is>
      </c>
      <c r="E10" s="17" t="n">
        <v>40000</v>
      </c>
      <c r="F10" s="16" t="n"/>
    </row>
    <row r="11">
      <c r="A11" s="16" t="n">
        <v>10</v>
      </c>
      <c r="B11" s="95" t="n">
        <v>45510</v>
      </c>
      <c r="C11" s="16" t="inlineStr">
        <is>
          <t>مراكن 35 سم عدد 5000</t>
        </is>
      </c>
      <c r="D11" s="16" t="inlineStr">
        <is>
          <t>البنك السعودي</t>
        </is>
      </c>
      <c r="E11" s="17" t="n">
        <v>14500</v>
      </c>
      <c r="F11" s="16" t="n"/>
    </row>
    <row r="12">
      <c r="A12" s="16" t="n">
        <v>11</v>
      </c>
      <c r="B12" s="95" t="n">
        <v>45510</v>
      </c>
      <c r="C12" s="16" t="inlineStr">
        <is>
          <t>مراكن وصواني للزهور من التاج</t>
        </is>
      </c>
      <c r="D12" s="16" t="inlineStr">
        <is>
          <t>البنك السعودي</t>
        </is>
      </c>
      <c r="E12" s="17" t="n">
        <v>29038</v>
      </c>
      <c r="F12" s="16" t="n"/>
    </row>
    <row r="13">
      <c r="A13" s="16" t="n">
        <v>12</v>
      </c>
      <c r="B13" s="95" t="n">
        <v>45510</v>
      </c>
      <c r="C13" s="16" t="inlineStr">
        <is>
          <t>بيتموس وبيرلايت من التكامل</t>
        </is>
      </c>
      <c r="D13" s="16" t="inlineStr">
        <is>
          <t>البنك السعودي</t>
        </is>
      </c>
      <c r="E13" s="17" t="n">
        <v>58995</v>
      </c>
      <c r="F13" s="16" t="n"/>
    </row>
    <row r="14">
      <c r="A14" s="16" t="n">
        <v>13</v>
      </c>
      <c r="B14" s="95" t="n">
        <v>45510</v>
      </c>
      <c r="C14" s="16" t="inlineStr">
        <is>
          <t>فاتورة كهرباء</t>
        </is>
      </c>
      <c r="D14" s="16" t="inlineStr">
        <is>
          <t>بنك الرياض</t>
        </is>
      </c>
      <c r="E14" s="17" t="n">
        <v>677</v>
      </c>
      <c r="F14" s="16" t="n"/>
    </row>
    <row r="15">
      <c r="A15" s="16" t="n">
        <v>14</v>
      </c>
      <c r="B15" s="95" t="n">
        <v>45511</v>
      </c>
      <c r="C15" s="16" t="inlineStr">
        <is>
          <t>مراكن مقاس 12 من أمجاد الخليج</t>
        </is>
      </c>
      <c r="D15" s="16" t="inlineStr">
        <is>
          <t>البنك السعودي</t>
        </is>
      </c>
      <c r="E15" s="17" t="n">
        <v>25875</v>
      </c>
      <c r="F15" s="16" t="n"/>
    </row>
    <row r="16">
      <c r="A16" s="16" t="n">
        <v>15</v>
      </c>
      <c r="B16" s="95" t="n">
        <v>45547</v>
      </c>
      <c r="C16" s="16" t="inlineStr">
        <is>
          <t>كراتين فلين للزهور عدد 5000 كرتونة</t>
        </is>
      </c>
      <c r="D16" s="16" t="inlineStr">
        <is>
          <t>البنك السعودي</t>
        </is>
      </c>
      <c r="E16" s="17" t="n">
        <v>11500</v>
      </c>
      <c r="F16" s="16" t="n"/>
    </row>
    <row r="17">
      <c r="A17" s="16" t="n">
        <v>16</v>
      </c>
      <c r="B17" s="95" t="n">
        <v>45560</v>
      </c>
      <c r="C17" s="16" t="inlineStr">
        <is>
          <t>فاتورة كهرباء</t>
        </is>
      </c>
      <c r="D17" s="16" t="inlineStr">
        <is>
          <t>البنك السعودي</t>
        </is>
      </c>
      <c r="E17" s="17" t="n">
        <v>928</v>
      </c>
      <c r="F17" s="16" t="n"/>
    </row>
    <row r="18">
      <c r="A18" s="16" t="n">
        <v>18</v>
      </c>
      <c r="B18" s="95" t="n">
        <v>45568</v>
      </c>
      <c r="C18" s="16" t="inlineStr">
        <is>
          <t>بيتموس التكامل</t>
        </is>
      </c>
      <c r="D18" s="16" t="inlineStr">
        <is>
          <t>البنك السعودي</t>
        </is>
      </c>
      <c r="E18" s="17" t="n">
        <v>50715</v>
      </c>
      <c r="F18" s="16" t="n"/>
    </row>
    <row r="19">
      <c r="A19" s="16" t="n">
        <v>19</v>
      </c>
      <c r="B19" s="95" t="n">
        <v>45579</v>
      </c>
      <c r="C19" s="16" t="inlineStr">
        <is>
          <t>فاتورة كهرباء</t>
        </is>
      </c>
      <c r="D19" s="16" t="inlineStr">
        <is>
          <t>البنك السعودي</t>
        </is>
      </c>
      <c r="E19" s="17" t="n">
        <v>1775</v>
      </c>
      <c r="F19" s="16" t="n"/>
    </row>
    <row r="20">
      <c r="A20" s="16" t="n">
        <v>20</v>
      </c>
      <c r="B20" s="95" t="n">
        <v>45588</v>
      </c>
      <c r="C20" s="16" t="inlineStr">
        <is>
          <t>رسوم مكتب الجمرك</t>
        </is>
      </c>
      <c r="D20" s="16" t="inlineStr">
        <is>
          <t>بنك الرياض</t>
        </is>
      </c>
      <c r="E20" s="17" t="n">
        <v>3883</v>
      </c>
      <c r="F20" s="16" t="n"/>
    </row>
    <row r="21">
      <c r="A21" s="16" t="n">
        <v>21</v>
      </c>
      <c r="B21" s="95" t="n">
        <v>45591</v>
      </c>
      <c r="C21" s="16" t="inlineStr">
        <is>
          <t>كراتين فلين للزهور عدد 5000 كرتونة</t>
        </is>
      </c>
      <c r="D21" s="16" t="inlineStr">
        <is>
          <t>البنك السعودي</t>
        </is>
      </c>
      <c r="E21" s="17" t="n">
        <v>14375</v>
      </c>
      <c r="F21" s="16" t="n"/>
    </row>
    <row r="22">
      <c r="A22" s="16" t="n">
        <v>22</v>
      </c>
      <c r="B22" s="95" t="n">
        <v>45591</v>
      </c>
      <c r="C22" s="16" t="inlineStr">
        <is>
          <t>كراتين فلين للزهور عدد 10000 كرتونة</t>
        </is>
      </c>
      <c r="D22" s="16" t="inlineStr">
        <is>
          <t>البنك السعودي</t>
        </is>
      </c>
      <c r="E22" s="17" t="n">
        <v>24150</v>
      </c>
      <c r="F22" s="16" t="n"/>
    </row>
    <row r="23">
      <c r="A23" s="16" t="n">
        <v>23</v>
      </c>
      <c r="B23" s="95" t="n">
        <v>45595</v>
      </c>
      <c r="C23" s="16" t="inlineStr">
        <is>
          <t>مراكن 9 سم من التاج</t>
        </is>
      </c>
      <c r="D23" s="16" t="inlineStr">
        <is>
          <t>البنك السعودي</t>
        </is>
      </c>
      <c r="E23" s="17" t="n">
        <v>23000</v>
      </c>
      <c r="F23" s="16" t="n"/>
    </row>
    <row r="24">
      <c r="A24" s="18" t="n"/>
      <c r="B24" s="98" t="n"/>
      <c r="C24" s="18" t="inlineStr">
        <is>
          <t>فاتورة كهرباء</t>
        </is>
      </c>
      <c r="D24" s="18" t="inlineStr">
        <is>
          <t>بنك الرياض</t>
        </is>
      </c>
      <c r="E24" s="19" t="n">
        <v>2043.4</v>
      </c>
      <c r="F24" s="18" t="inlineStr">
        <is>
          <t>⚠ بدون تاريخ</t>
        </is>
      </c>
    </row>
    <row r="25">
      <c r="A25" s="18" t="n"/>
      <c r="B25" s="98" t="n"/>
      <c r="C25" s="18" t="inlineStr">
        <is>
          <t>فاتورة كهرباء</t>
        </is>
      </c>
      <c r="D25" s="18" t="inlineStr">
        <is>
          <t>بنك الرياض</t>
        </is>
      </c>
      <c r="E25" s="19" t="n">
        <v>4886.5</v>
      </c>
      <c r="F25" s="18" t="inlineStr">
        <is>
          <t>⚠ بدون تاريخ</t>
        </is>
      </c>
    </row>
    <row r="26">
      <c r="A26" s="18" t="n"/>
      <c r="B26" s="98" t="n"/>
      <c r="C26" s="18" t="inlineStr">
        <is>
          <t>فاتورة كهرباء</t>
        </is>
      </c>
      <c r="D26" s="18" t="inlineStr">
        <is>
          <t>بنك الرياض</t>
        </is>
      </c>
      <c r="E26" s="19" t="n">
        <v>2716.3</v>
      </c>
      <c r="F26" s="18" t="inlineStr">
        <is>
          <t>⚠ بدون تاريخ</t>
        </is>
      </c>
    </row>
    <row r="27">
      <c r="A27" s="16" t="n"/>
      <c r="B27" s="95" t="n">
        <v>45636</v>
      </c>
      <c r="C27" s="16" t="inlineStr">
        <is>
          <t>فاتورة كهرباء</t>
        </is>
      </c>
      <c r="D27" s="16" t="inlineStr">
        <is>
          <t>البنك السعودي</t>
        </is>
      </c>
      <c r="E27" s="17" t="n">
        <v>4918.97</v>
      </c>
      <c r="F27" s="16" t="n"/>
    </row>
    <row r="28">
      <c r="A28" s="9" t="n"/>
      <c r="B28" s="9" t="n"/>
      <c r="C28" s="9" t="inlineStr">
        <is>
          <t>الإجمالي</t>
        </is>
      </c>
      <c r="D28" s="9" t="n"/>
      <c r="E28" s="10">
        <f>SUM(E3:E27)</f>
        <v/>
      </c>
      <c r="F28" s="9" t="n"/>
    </row>
    <row r="29" ht="30" customHeight="1">
      <c r="A29" s="13" t="n"/>
    </row>
    <row r="30" ht="30" customHeight="1">
      <c r="A30" s="13" t="inlineStr">
        <is>
          <t>ملاحظات:</t>
        </is>
      </c>
    </row>
    <row r="31" ht="30" customHeight="1">
      <c r="A31" s="13" t="inlineStr">
        <is>
          <t>1) الإجمالي 412,040.67 مطابق لمجموع البنود.</t>
        </is>
      </c>
    </row>
    <row r="32" ht="30" customHeight="1">
      <c r="A32" s="13" t="inlineStr">
        <is>
          <t>2) ⚠ الترقيم ناقص البندين 8 و 17 – يلزم التأكد إن كانا محذوفين أو سقطا من الكشف.</t>
        </is>
      </c>
    </row>
    <row r="33" ht="30" customHeight="1">
      <c r="A33" s="13" t="inlineStr">
        <is>
          <t>3) ⚠ 3 فواتير كهرباء بدون تاريخ (2,043.40 و 4,886.50 و 2,716.30).</t>
        </is>
      </c>
    </row>
    <row r="34" ht="30" customHeight="1">
      <c r="A34" s="13" t="inlineStr">
        <is>
          <t>4) ⚠ الكشف يبدأ من 26-2-2024 بينما مبيعات ما قبل الفترة تبدأ من 1-10-2024 – منها 279,577.50 مصروفات قبل 1-10-2024 (فبراير–سبتمبر 2024).</t>
        </is>
      </c>
    </row>
    <row r="35" ht="30" customHeight="1">
      <c r="A35" s="13" t="inlineStr">
        <is>
          <t>5) لا توجد مصروفات مسجلة من 11-12-2024 حتى 30-6-2025 في هذا الكشف (مصروفات 2025 تبدأ من يونيو 2025 في شيت مصروفات 2025).</t>
        </is>
      </c>
    </row>
    <row r="36"/>
    <row r="37">
      <c r="A37" s="7" t="inlineStr">
        <is>
          <t>مصروفات تم دفعها عن طريق م/ عادل أبو خالد (من المبيعات)</t>
        </is>
      </c>
    </row>
    <row r="38">
      <c r="A38" s="42" t="inlineStr">
        <is>
          <t>م</t>
        </is>
      </c>
      <c r="B38" s="42" t="inlineStr">
        <is>
          <t>الفترة</t>
        </is>
      </c>
      <c r="C38" s="42" t="inlineStr">
        <is>
          <t>البيان</t>
        </is>
      </c>
      <c r="D38" s="42" t="inlineStr">
        <is>
          <t>طريقة الدفع</t>
        </is>
      </c>
      <c r="E38" s="42" t="inlineStr">
        <is>
          <t>المبلغ</t>
        </is>
      </c>
      <c r="F38" s="42" t="inlineStr">
        <is>
          <t>ملاحظة</t>
        </is>
      </c>
    </row>
    <row r="39">
      <c r="A39" s="16" t="n">
        <v>1</v>
      </c>
      <c r="B39" s="16" t="inlineStr">
        <is>
          <t>10-2024 إلى 12-2024</t>
        </is>
      </c>
      <c r="C39" s="16" t="inlineStr">
        <is>
          <t>مصروفات دفعت من أبو خالد (من المبيعات)</t>
        </is>
      </c>
      <c r="D39" s="16" t="inlineStr">
        <is>
          <t>من المبيعات – م/ عادل</t>
        </is>
      </c>
      <c r="E39" s="17" t="n">
        <v>122748</v>
      </c>
      <c r="F39" s="16" t="inlineStr">
        <is>
          <t>إجمالي ربع سنوي بدون تفصيل بنود</t>
        </is>
      </c>
    </row>
    <row r="40">
      <c r="A40" s="16" t="n">
        <v>2</v>
      </c>
      <c r="B40" s="16" t="inlineStr">
        <is>
          <t>01-2025 إلى 03-2025</t>
        </is>
      </c>
      <c r="C40" s="16" t="inlineStr">
        <is>
          <t>مصروفات دفعت من أبو خالد (من المبيعات)</t>
        </is>
      </c>
      <c r="D40" s="16" t="inlineStr">
        <is>
          <t>من المبيعات – م/ عادل</t>
        </is>
      </c>
      <c r="E40" s="17" t="n">
        <v>94298</v>
      </c>
      <c r="F40" s="16" t="inlineStr">
        <is>
          <t>إجمالي ربع سنوي بدون تفصيل بنود</t>
        </is>
      </c>
    </row>
    <row r="41">
      <c r="A41" s="16" t="n">
        <v>3</v>
      </c>
      <c r="B41" s="16" t="inlineStr">
        <is>
          <t>04-2025 إلى 06-2025</t>
        </is>
      </c>
      <c r="C41" s="16" t="inlineStr">
        <is>
          <t>مصروفات دفعت من أبو خالد (من المبيعات)</t>
        </is>
      </c>
      <c r="D41" s="16" t="inlineStr">
        <is>
          <t>من المبيعات – م/ عادل</t>
        </is>
      </c>
      <c r="E41" s="17" t="n">
        <v>196190</v>
      </c>
      <c r="F41" s="16" t="inlineStr">
        <is>
          <t>إجمالي ربع سنوي بدون تفصيل بنود</t>
        </is>
      </c>
    </row>
    <row r="42">
      <c r="A42" s="9" t="n"/>
      <c r="B42" s="9" t="n"/>
      <c r="C42" s="9" t="inlineStr">
        <is>
          <t>إجمالي المصروفات المدفوعة عن طريق م/ عادل</t>
        </is>
      </c>
      <c r="D42" s="9" t="n"/>
      <c r="E42" s="10">
        <f>SUM(E39:E41)</f>
        <v/>
      </c>
      <c r="F42" s="9" t="n"/>
    </row>
    <row r="43"/>
    <row r="44" ht="48" customHeight="1">
      <c r="A44" s="13" t="inlineStr">
        <is>
          <t>ملاحظات: الإجمالي 413,236.00 مطابق. هذه المصروفات دُفعت من حصيلة المبيعات مباشرة (مبيعات نفس الفترة 610,688.00 بشيت المبيعات) – بدون تفصيل بنود أو مستندات. تغطي الفترة من أكتوبر 2024 إلى يونيو 2025 التي لم يكن بها مصروفات مسجلة بعد 10-12-2024.</t>
        </is>
      </c>
    </row>
  </sheetData>
  <mergeCells count="10">
    <mergeCell ref="A33:F33"/>
    <mergeCell ref="A44:F44"/>
    <mergeCell ref="A1:F1"/>
    <mergeCell ref="A37:F37"/>
    <mergeCell ref="A32:F32"/>
    <mergeCell ref="A31:F31"/>
    <mergeCell ref="A34:F34"/>
    <mergeCell ref="A35:F35"/>
    <mergeCell ref="A30:F30"/>
    <mergeCell ref="A29:F29"/>
  </mergeCell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33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30" customWidth="1" min="4" max="4"/>
    <col width="11" customWidth="1" min="5" max="5"/>
    <col width="15" customWidth="1" min="6" max="6"/>
    <col width="12" customWidth="1" min="7" max="7"/>
    <col width="16" customWidth="1" min="8" max="8"/>
    <col width="16" customWidth="1" min="9" max="9"/>
    <col width="13" customWidth="1" min="10" max="10"/>
    <col width="15" customWidth="1" min="11" max="11"/>
    <col width="70" customWidth="1" min="12" max="12"/>
  </cols>
  <sheetData>
    <row r="1">
      <c r="A1" s="22" t="inlineStr">
        <is>
          <t>م</t>
        </is>
      </c>
      <c r="B1" s="22" t="inlineStr">
        <is>
          <t>رقم أمر الشراء</t>
        </is>
      </c>
      <c r="C1" s="22" t="inlineStr">
        <is>
          <t>التاريخ</t>
        </is>
      </c>
      <c r="D1" s="22" t="inlineStr">
        <is>
          <t>المورد</t>
        </is>
      </c>
      <c r="E1" s="22" t="inlineStr">
        <is>
          <t>المرجع</t>
        </is>
      </c>
      <c r="F1" s="22" t="inlineStr">
        <is>
          <t>القيمة قبل الضريبة</t>
        </is>
      </c>
      <c r="G1" s="22" t="inlineStr">
        <is>
          <t>الضريبة</t>
        </is>
      </c>
      <c r="H1" s="22" t="inlineStr">
        <is>
          <t>الإجمالي بعد الضريبة</t>
        </is>
      </c>
      <c r="I1" s="22" t="inlineStr">
        <is>
          <t>حالة الاستلام</t>
        </is>
      </c>
      <c r="J1" s="22" t="inlineStr">
        <is>
          <t>حالة الدفع</t>
        </is>
      </c>
      <c r="K1" s="22" t="inlineStr">
        <is>
          <t>المديونية القائمة</t>
        </is>
      </c>
      <c r="L1" s="22" t="inlineStr">
        <is>
          <t>ملاحظة</t>
        </is>
      </c>
    </row>
    <row r="2">
      <c r="A2" s="69" t="n">
        <v>1</v>
      </c>
      <c r="B2" s="108" t="inlineStr">
        <is>
          <t>PO-288</t>
        </is>
      </c>
      <c r="C2" s="109" t="n">
        <v>46024</v>
      </c>
      <c r="D2" s="69" t="inlineStr">
        <is>
          <t>بساتين الرياض</t>
        </is>
      </c>
      <c r="E2" s="69" t="inlineStr">
        <is>
          <t>RN-711</t>
        </is>
      </c>
      <c r="F2" s="72" t="n">
        <v>75005</v>
      </c>
      <c r="G2" s="72" t="n">
        <v>11250.75</v>
      </c>
      <c r="H2" s="72" t="n">
        <v>86255.75</v>
      </c>
      <c r="I2" s="69" t="inlineStr">
        <is>
          <t>لم يُسجل الاستلام</t>
        </is>
      </c>
      <c r="J2" s="69" t="inlineStr">
        <is>
          <t>مدفوع بالكامل</t>
        </is>
      </c>
      <c r="K2" s="72" t="n">
        <v>0</v>
      </c>
      <c r="L2" s="69" t="inlineStr">
        <is>
          <t>⚠ سداد لمشتريات 2025 غير مدفوعة: PO711 + PO748 (بساتين الرياض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3">
      <c r="A3" s="69" t="n">
        <v>2</v>
      </c>
      <c r="B3" s="108" t="inlineStr">
        <is>
          <t>PO-287-REV1</t>
        </is>
      </c>
      <c r="C3" s="109" t="n">
        <v>46025</v>
      </c>
      <c r="D3" s="69" t="inlineStr">
        <is>
          <t>بساتين الرياض</t>
        </is>
      </c>
      <c r="E3" s="69" t="inlineStr">
        <is>
          <t>RN-838</t>
        </is>
      </c>
      <c r="F3" s="72" t="n">
        <v>53470</v>
      </c>
      <c r="G3" s="72" t="n">
        <v>8020.5</v>
      </c>
      <c r="H3" s="72" t="n">
        <v>61490.5</v>
      </c>
      <c r="I3" s="69" t="inlineStr">
        <is>
          <t>لم يُسجل الاستلام</t>
        </is>
      </c>
      <c r="J3" s="69" t="inlineStr">
        <is>
          <t>مدفوع بالكامل</t>
        </is>
      </c>
      <c r="K3" s="72" t="n">
        <v>0</v>
      </c>
      <c r="L3" s="69" t="inlineStr">
        <is>
          <t>⚠ سداد لمشتريات 2025 غير مدفوعة: PO838 + PO876 (بساتين الرياض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 | أمر معدّل (REV1)</t>
        </is>
      </c>
    </row>
    <row r="4">
      <c r="A4" s="3" t="n">
        <v>3</v>
      </c>
      <c r="B4" s="110" t="inlineStr">
        <is>
          <t>PO-9</t>
        </is>
      </c>
      <c r="C4" s="107" t="n">
        <v>46025</v>
      </c>
      <c r="D4" s="3" t="inlineStr">
        <is>
          <t>شركة مصنع الديكور والبولستيرين</t>
        </is>
      </c>
      <c r="E4" s="3" t="inlineStr">
        <is>
          <t>RN-2</t>
        </is>
      </c>
      <c r="F4" s="4" t="n">
        <v>4200</v>
      </c>
      <c r="G4" s="4" t="n">
        <v>630</v>
      </c>
      <c r="H4" s="4" t="n">
        <v>4830</v>
      </c>
      <c r="I4" s="3" t="inlineStr">
        <is>
          <t>لم يُسجل الاستلام</t>
        </is>
      </c>
      <c r="J4" s="3" t="inlineStr">
        <is>
          <t>مدفوع بالكامل</t>
        </is>
      </c>
      <c r="K4" s="4" t="n">
        <v>0</v>
      </c>
      <c r="L4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5">
      <c r="A5" s="69" t="n">
        <v>4</v>
      </c>
      <c r="B5" s="108" t="inlineStr">
        <is>
          <t>PO-296</t>
        </is>
      </c>
      <c r="C5" s="109" t="n">
        <v>46027</v>
      </c>
      <c r="D5" s="69" t="inlineStr">
        <is>
          <t>مشتل الجودة المطلقة</t>
        </is>
      </c>
      <c r="E5" s="69" t="inlineStr">
        <is>
          <t>RN-877</t>
        </is>
      </c>
      <c r="F5" s="72" t="n">
        <v>49550</v>
      </c>
      <c r="G5" s="72" t="n">
        <v>0</v>
      </c>
      <c r="H5" s="72" t="n">
        <v>49550</v>
      </c>
      <c r="I5" s="69" t="inlineStr">
        <is>
          <t>لم يُسجل الاستلام</t>
        </is>
      </c>
      <c r="J5" s="69" t="inlineStr">
        <is>
          <t>مدفوع بالكامل</t>
        </is>
      </c>
      <c r="K5" s="72" t="n">
        <v>0</v>
      </c>
      <c r="L5" s="69" t="inlineStr">
        <is>
          <t>⚠ سداد لمشتريات 2025 غير مدفوعة: PO877 + PO878 (مشتل الجودة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6">
      <c r="A6" s="69" t="n">
        <v>5</v>
      </c>
      <c r="B6" s="108" t="inlineStr">
        <is>
          <t>PO-295</t>
        </is>
      </c>
      <c r="C6" s="109" t="n">
        <v>46027</v>
      </c>
      <c r="D6" s="69" t="inlineStr">
        <is>
          <t>شركة غرس نجد</t>
        </is>
      </c>
      <c r="E6" s="69" t="inlineStr">
        <is>
          <t>RN-1606</t>
        </is>
      </c>
      <c r="F6" s="72" t="n">
        <v>14515</v>
      </c>
      <c r="G6" s="72" t="n">
        <v>0</v>
      </c>
      <c r="H6" s="72" t="n">
        <v>14515</v>
      </c>
      <c r="I6" s="69" t="inlineStr">
        <is>
          <t>لم يُسجل الاستلام</t>
        </is>
      </c>
      <c r="J6" s="69" t="inlineStr">
        <is>
          <t>مدفوع بالكامل</t>
        </is>
      </c>
      <c r="K6" s="72" t="n">
        <v>0</v>
      </c>
      <c r="L6" s="69" t="inlineStr">
        <is>
          <t>⚠ سداد لمشتريات 2025 غير مدفوعة: فاتورة غرس نجد 4-8-2025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7">
      <c r="A7" s="3" t="n">
        <v>6</v>
      </c>
      <c r="B7" s="110" t="inlineStr">
        <is>
          <t>PO-67</t>
        </is>
      </c>
      <c r="C7" s="107" t="n">
        <v>46032</v>
      </c>
      <c r="D7" s="3" t="inlineStr">
        <is>
          <t>شركة مصنع الديكور والبولستيرين</t>
        </is>
      </c>
      <c r="E7" s="3" t="inlineStr">
        <is>
          <t>RN-3</t>
        </is>
      </c>
      <c r="F7" s="4" t="n">
        <v>2100</v>
      </c>
      <c r="G7" s="4" t="n">
        <v>315</v>
      </c>
      <c r="H7" s="4" t="n">
        <v>2415</v>
      </c>
      <c r="I7" s="3" t="inlineStr">
        <is>
          <t>لم يُسجل الاستلام</t>
        </is>
      </c>
      <c r="J7" s="3" t="inlineStr">
        <is>
          <t>مدفوع بالكامل</t>
        </is>
      </c>
      <c r="K7" s="4" t="n">
        <v>0</v>
      </c>
      <c r="L7" s="3" t="inlineStr">
        <is>
          <t>حالة الاستلام "Not Issued" رغم أنه مدفوع بالكامل – لم يُسجل استلام بالنظام</t>
        </is>
      </c>
    </row>
    <row r="8">
      <c r="A8" s="3" t="n">
        <v>7</v>
      </c>
      <c r="B8" s="110" t="inlineStr">
        <is>
          <t>PO-121</t>
        </is>
      </c>
      <c r="C8" s="107" t="n">
        <v>46043</v>
      </c>
      <c r="D8" s="3" t="inlineStr">
        <is>
          <t>شركة مصنع الديكور والبولستيرين</t>
        </is>
      </c>
      <c r="E8" s="3" t="inlineStr">
        <is>
          <t>RN-5</t>
        </is>
      </c>
      <c r="F8" s="4" t="n">
        <v>4200</v>
      </c>
      <c r="G8" s="4" t="n">
        <v>630</v>
      </c>
      <c r="H8" s="4" t="n">
        <v>4830</v>
      </c>
      <c r="I8" s="3" t="inlineStr">
        <is>
          <t>لم يُسجل الاستلام</t>
        </is>
      </c>
      <c r="J8" s="3" t="inlineStr">
        <is>
          <t>مدفوع بالكامل</t>
        </is>
      </c>
      <c r="K8" s="4" t="n">
        <v>0</v>
      </c>
      <c r="L8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9">
      <c r="A9" s="3" t="n">
        <v>8</v>
      </c>
      <c r="B9" s="110" t="inlineStr">
        <is>
          <t>PO-146</t>
        </is>
      </c>
      <c r="C9" s="107" t="n">
        <v>46049</v>
      </c>
      <c r="D9" s="3" t="inlineStr">
        <is>
          <t>بساتين الرياض</t>
        </is>
      </c>
      <c r="E9" s="3" t="inlineStr">
        <is>
          <t>RN-8</t>
        </is>
      </c>
      <c r="F9" s="4" t="n">
        <v>32750</v>
      </c>
      <c r="G9" s="4" t="n">
        <v>0</v>
      </c>
      <c r="H9" s="4" t="n">
        <v>32750</v>
      </c>
      <c r="I9" s="3" t="inlineStr">
        <is>
          <t>لم يُسجل الاستلام</t>
        </is>
      </c>
      <c r="J9" s="3" t="inlineStr">
        <is>
          <t>مدفوع بالكامل</t>
        </is>
      </c>
      <c r="K9" s="4" t="n">
        <v>0</v>
      </c>
      <c r="L9" s="3" t="inlineStr">
        <is>
          <t>حالة الاستلام "Not Issued" رغم أنه مدفوع بالكامل – لم يُسجل استلام بالنظام</t>
        </is>
      </c>
    </row>
    <row r="10">
      <c r="A10" s="3" t="n">
        <v>9</v>
      </c>
      <c r="B10" s="110" t="inlineStr">
        <is>
          <t>PO-181</t>
        </is>
      </c>
      <c r="C10" s="107" t="n">
        <v>46054</v>
      </c>
      <c r="D10" s="3" t="inlineStr">
        <is>
          <t>شركة مصنع الديكور والبولستيرين</t>
        </is>
      </c>
      <c r="E10" s="3" t="inlineStr">
        <is>
          <t>RN-158</t>
        </is>
      </c>
      <c r="F10" s="4" t="n">
        <v>8148</v>
      </c>
      <c r="G10" s="4" t="n">
        <v>1222.2</v>
      </c>
      <c r="H10" s="4" t="n">
        <v>9370.200000000001</v>
      </c>
      <c r="I10" s="3" t="inlineStr">
        <is>
          <t>لم يُسجل الاستلام</t>
        </is>
      </c>
      <c r="J10" s="3" t="inlineStr">
        <is>
          <t>مدفوع بالكامل</t>
        </is>
      </c>
      <c r="K10" s="4" t="n">
        <v>0</v>
      </c>
      <c r="L10" s="3" t="inlineStr">
        <is>
          <t>حالة الاستلام "Not Issued" رغم أنه مدفوع بالكامل – لم يُسجل استلام بالنظام</t>
        </is>
      </c>
    </row>
    <row r="11">
      <c r="A11" s="3" t="n">
        <v>10</v>
      </c>
      <c r="B11" s="110" t="inlineStr">
        <is>
          <t>PO-210</t>
        </is>
      </c>
      <c r="C11" s="107" t="n">
        <v>46060</v>
      </c>
      <c r="D11" s="3" t="inlineStr">
        <is>
          <t>مصتع قطاف للاسمدة (البقرة السودة )</t>
        </is>
      </c>
      <c r="E11" s="3" t="inlineStr">
        <is>
          <t>RN-PR-191</t>
        </is>
      </c>
      <c r="F11" s="4" t="n">
        <v>1739.13</v>
      </c>
      <c r="G11" s="4" t="n">
        <v>260.87</v>
      </c>
      <c r="H11" s="4" t="n">
        <v>2000</v>
      </c>
      <c r="I11" s="3" t="inlineStr">
        <is>
          <t>لم يُسجل الاستلام</t>
        </is>
      </c>
      <c r="J11" s="3" t="inlineStr">
        <is>
          <t>مدفوع بالكامل</t>
        </is>
      </c>
      <c r="K11" s="4" t="n">
        <v>0</v>
      </c>
      <c r="L11" s="3" t="inlineStr">
        <is>
          <t>حالة الاستلام "Not Issued" رغم أنه مدفوع بالكامل – لم يُسجل استلام بالنظام</t>
        </is>
      </c>
    </row>
    <row r="12">
      <c r="A12" s="3" t="n">
        <v>11</v>
      </c>
      <c r="B12" s="110" t="inlineStr">
        <is>
          <t>PO-228-REV1</t>
        </is>
      </c>
      <c r="C12" s="107" t="n">
        <v>46063</v>
      </c>
      <c r="D12" s="3" t="inlineStr">
        <is>
          <t>شركة مصنع الديكور والبولستيرين</t>
        </is>
      </c>
      <c r="E12" s="3" t="inlineStr">
        <is>
          <t>RN-PR#203</t>
        </is>
      </c>
      <c r="F12" s="4" t="n">
        <v>8400</v>
      </c>
      <c r="G12" s="4" t="n">
        <v>1260</v>
      </c>
      <c r="H12" s="4" t="n">
        <v>9660</v>
      </c>
      <c r="I12" s="3" t="inlineStr">
        <is>
          <t>لم يُسجل الاستلام</t>
        </is>
      </c>
      <c r="J12" s="3" t="inlineStr">
        <is>
          <t>مدفوع بالكامل</t>
        </is>
      </c>
      <c r="K12" s="4" t="n">
        <v>0</v>
      </c>
      <c r="L12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 | أمر معدّل (REV1)</t>
        </is>
      </c>
    </row>
    <row r="13">
      <c r="A13" s="3" t="n">
        <v>12</v>
      </c>
      <c r="B13" s="110" t="inlineStr">
        <is>
          <t>PO-267</t>
        </is>
      </c>
      <c r="C13" s="107" t="n">
        <v>46072</v>
      </c>
      <c r="D13" s="3" t="inlineStr">
        <is>
          <t>المدارات</t>
        </is>
      </c>
      <c r="E13" s="3" t="inlineStr">
        <is>
          <t>RN-249</t>
        </is>
      </c>
      <c r="F13" s="4" t="n">
        <v>46500</v>
      </c>
      <c r="G13" s="4" t="n">
        <v>6975</v>
      </c>
      <c r="H13" s="4" t="n">
        <v>53475</v>
      </c>
      <c r="I13" s="3" t="inlineStr">
        <is>
          <t>لم يُسجل الاستلام</t>
        </is>
      </c>
      <c r="J13" s="3" t="inlineStr">
        <is>
          <t>مدفوع بالكامل</t>
        </is>
      </c>
      <c r="K13" s="4" t="n">
        <v>0</v>
      </c>
      <c r="L13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4">
      <c r="A14" s="3" t="n">
        <v>13</v>
      </c>
      <c r="B14" s="110" t="inlineStr">
        <is>
          <t>PO-6-REV1</t>
        </is>
      </c>
      <c r="C14" s="107" t="n">
        <v>46074</v>
      </c>
      <c r="D14" s="3" t="inlineStr">
        <is>
          <t>شركة مصنع الديكور والبولستيرين</t>
        </is>
      </c>
      <c r="E14" s="3" t="inlineStr">
        <is>
          <t>RN-34</t>
        </is>
      </c>
      <c r="F14" s="4" t="n">
        <v>4200</v>
      </c>
      <c r="G14" s="4" t="n">
        <v>630</v>
      </c>
      <c r="H14" s="4" t="n">
        <v>4830</v>
      </c>
      <c r="I14" s="3" t="inlineStr">
        <is>
          <t>لم يُسجل الاستلام</t>
        </is>
      </c>
      <c r="J14" s="3" t="inlineStr">
        <is>
          <t>مدفوع بالكامل</t>
        </is>
      </c>
      <c r="K14" s="4" t="n">
        <v>0</v>
      </c>
      <c r="L14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 | أمر معدّل (REV1)</t>
        </is>
      </c>
    </row>
    <row r="15">
      <c r="A15" s="3" t="n">
        <v>14</v>
      </c>
      <c r="B15" s="110" t="inlineStr">
        <is>
          <t>PO-265-REV1</t>
        </is>
      </c>
      <c r="C15" s="107" t="n">
        <v>46074</v>
      </c>
      <c r="D15" s="3" t="inlineStr">
        <is>
          <t>مصنع امداد للبلاسنيك</t>
        </is>
      </c>
      <c r="E15" s="3" t="inlineStr">
        <is>
          <t>RN-245</t>
        </is>
      </c>
      <c r="F15" s="4" t="n">
        <v>18000</v>
      </c>
      <c r="G15" s="4" t="n">
        <v>0</v>
      </c>
      <c r="H15" s="4" t="n">
        <v>18000</v>
      </c>
      <c r="I15" s="3" t="inlineStr">
        <is>
          <t>لم يُسجل الاستلام</t>
        </is>
      </c>
      <c r="J15" s="3" t="inlineStr">
        <is>
          <t>مدفوع بالكامل</t>
        </is>
      </c>
      <c r="K15" s="4" t="n">
        <v>0</v>
      </c>
      <c r="L15" s="3" t="inlineStr">
        <is>
          <t>حالة الاستلام "Not Issued" رغم أنه مدفوع بالكامل – لم يُسجل استلام بالنظام | أمر معدّل (REV1)</t>
        </is>
      </c>
    </row>
    <row r="16">
      <c r="A16" s="3" t="n">
        <v>15</v>
      </c>
      <c r="B16" s="110" t="inlineStr">
        <is>
          <t>PO-255-REV1</t>
        </is>
      </c>
      <c r="C16" s="107" t="n">
        <v>46074</v>
      </c>
      <c r="D16" s="3" t="inlineStr">
        <is>
          <t>بساتين الرياض</t>
        </is>
      </c>
      <c r="E16" s="3" t="inlineStr">
        <is>
          <t>RN-225</t>
        </is>
      </c>
      <c r="F16" s="4" t="n">
        <v>2750</v>
      </c>
      <c r="G16" s="4" t="n">
        <v>0</v>
      </c>
      <c r="H16" s="4" t="n">
        <v>2750</v>
      </c>
      <c r="I16" s="3" t="inlineStr">
        <is>
          <t>لم يُسجل الاستلام</t>
        </is>
      </c>
      <c r="J16" s="3" t="inlineStr">
        <is>
          <t>مدفوع بالكامل</t>
        </is>
      </c>
      <c r="K16" s="4" t="n">
        <v>0</v>
      </c>
      <c r="L16" s="3" t="inlineStr">
        <is>
          <t>حالة الاستلام "Not Issued" رغم أنه مدفوع بالكامل – لم يُسجل استلام بالنظام | أمر معدّل (REV1)</t>
        </is>
      </c>
    </row>
    <row r="17">
      <c r="A17" s="3" t="n">
        <v>16</v>
      </c>
      <c r="B17" s="110" t="inlineStr">
        <is>
          <t>PO-294</t>
        </is>
      </c>
      <c r="C17" s="107" t="n">
        <v>46082</v>
      </c>
      <c r="D17" s="3" t="inlineStr">
        <is>
          <t>شركة مصنع الديكور والبولستيرين</t>
        </is>
      </c>
      <c r="E17" s="3" t="inlineStr">
        <is>
          <t>RN-266</t>
        </is>
      </c>
      <c r="F17" s="4" t="n">
        <v>8400</v>
      </c>
      <c r="G17" s="4" t="n">
        <v>1260</v>
      </c>
      <c r="H17" s="4" t="n">
        <v>9660</v>
      </c>
      <c r="I17" s="3" t="inlineStr">
        <is>
          <t>لم يُسجل الاستلام</t>
        </is>
      </c>
      <c r="J17" s="3" t="inlineStr">
        <is>
          <t>مدفوع بالكامل</t>
        </is>
      </c>
      <c r="K17" s="4" t="n">
        <v>0</v>
      </c>
      <c r="L17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8">
      <c r="A18" s="3" t="n">
        <v>17</v>
      </c>
      <c r="B18" s="110" t="inlineStr">
        <is>
          <t>PO-309</t>
        </is>
      </c>
      <c r="C18" s="107" t="n">
        <v>46084</v>
      </c>
      <c r="D18" s="3" t="inlineStr">
        <is>
          <t>المدارات</t>
        </is>
      </c>
      <c r="E18" s="3" t="inlineStr">
        <is>
          <t>RN-285</t>
        </is>
      </c>
      <c r="F18" s="4" t="n">
        <v>46500</v>
      </c>
      <c r="G18" s="4" t="n">
        <v>6975</v>
      </c>
      <c r="H18" s="4" t="n">
        <v>53475</v>
      </c>
      <c r="I18" s="3" t="inlineStr">
        <is>
          <t>لم يُسجل الاستلام</t>
        </is>
      </c>
      <c r="J18" s="3" t="inlineStr">
        <is>
          <t>مدفوع بالكامل</t>
        </is>
      </c>
      <c r="K18" s="4" t="n">
        <v>0</v>
      </c>
      <c r="L18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9">
      <c r="A19" s="3" t="n">
        <v>18</v>
      </c>
      <c r="B19" s="110" t="inlineStr">
        <is>
          <t>PO-314</t>
        </is>
      </c>
      <c r="C19" s="107" t="n">
        <v>46089</v>
      </c>
      <c r="D19" s="3" t="inlineStr">
        <is>
          <t>شركة محمد راشد</t>
        </is>
      </c>
      <c r="E19" s="3" t="inlineStr">
        <is>
          <t>RN-287</t>
        </is>
      </c>
      <c r="F19" s="4" t="n">
        <v>434.8</v>
      </c>
      <c r="G19" s="4" t="n">
        <v>65.22</v>
      </c>
      <c r="H19" s="4" t="n">
        <v>500.02</v>
      </c>
      <c r="I19" s="3" t="inlineStr">
        <is>
          <t>لم يُسجل الاستلام</t>
        </is>
      </c>
      <c r="J19" s="3" t="inlineStr">
        <is>
          <t>مدفوع بالكامل</t>
        </is>
      </c>
      <c r="K19" s="4" t="n">
        <v>0</v>
      </c>
      <c r="L19" s="3" t="inlineStr">
        <is>
          <t>حالة الاستلام "Not Issued" رغم أنه مدفوع بالكامل – لم يُسجل استلام بالنظام</t>
        </is>
      </c>
    </row>
    <row r="20">
      <c r="A20" s="3" t="n">
        <v>19</v>
      </c>
      <c r="B20" s="110" t="inlineStr">
        <is>
          <t>PO-313</t>
        </is>
      </c>
      <c r="C20" s="107" t="n">
        <v>46089</v>
      </c>
      <c r="D20" s="3" t="inlineStr">
        <is>
          <t>شركة التاج المميزة</t>
        </is>
      </c>
      <c r="E20" s="3" t="inlineStr">
        <is>
          <t>RN-289</t>
        </is>
      </c>
      <c r="F20" s="4" t="n">
        <v>10000</v>
      </c>
      <c r="G20" s="4" t="n">
        <v>0</v>
      </c>
      <c r="H20" s="4" t="n">
        <v>10000</v>
      </c>
      <c r="I20" s="3" t="inlineStr">
        <is>
          <t>لم يُسجل الاستلام</t>
        </is>
      </c>
      <c r="J20" s="3" t="inlineStr">
        <is>
          <t>مدفوع بالكامل</t>
        </is>
      </c>
      <c r="K20" s="4" t="n">
        <v>0</v>
      </c>
      <c r="L20" s="3" t="inlineStr">
        <is>
          <t>حالة الاستلام "Not Issued" رغم أنه مدفوع بالكامل – لم يُسجل استلام بالنظام</t>
        </is>
      </c>
    </row>
    <row r="21">
      <c r="A21" s="3" t="n">
        <v>20</v>
      </c>
      <c r="B21" s="110" t="inlineStr">
        <is>
          <t>PO-366</t>
        </is>
      </c>
      <c r="C21" s="107" t="n">
        <v>46099</v>
      </c>
      <c r="D21" s="3" t="inlineStr">
        <is>
          <t>شركة مصنع الديكور والبولستيرين</t>
        </is>
      </c>
      <c r="E21" s="3" t="inlineStr">
        <is>
          <t>RN-329</t>
        </is>
      </c>
      <c r="F21" s="4" t="n">
        <v>4200</v>
      </c>
      <c r="G21" s="4" t="n">
        <v>0</v>
      </c>
      <c r="H21" s="4" t="n">
        <v>4200</v>
      </c>
      <c r="I21" s="3" t="inlineStr">
        <is>
          <t>لم يُسجل الاستلام</t>
        </is>
      </c>
      <c r="J21" s="3" t="inlineStr">
        <is>
          <t>مدفوع بالكامل</t>
        </is>
      </c>
      <c r="K21" s="4" t="n">
        <v>0</v>
      </c>
      <c r="L21" s="3" t="inlineStr">
        <is>
          <t>حالة الاستلام "Not Issued" رغم أنه مدفوع بالكامل – لم يُسجل استلام بالنظام</t>
        </is>
      </c>
    </row>
    <row r="22">
      <c r="A22" s="3" t="n">
        <v>21</v>
      </c>
      <c r="B22" s="110" t="inlineStr">
        <is>
          <t>PO-365</t>
        </is>
      </c>
      <c r="C22" s="107" t="n">
        <v>46099</v>
      </c>
      <c r="D22" s="3" t="inlineStr">
        <is>
          <t>موسسة أفكار المصدر</t>
        </is>
      </c>
      <c r="E22" s="3" t="inlineStr">
        <is>
          <t>RN-325</t>
        </is>
      </c>
      <c r="F22" s="4" t="n">
        <v>6000</v>
      </c>
      <c r="G22" s="4" t="n">
        <v>0</v>
      </c>
      <c r="H22" s="4" t="n">
        <v>6000</v>
      </c>
      <c r="I22" s="3" t="inlineStr">
        <is>
          <t>لم يُسجل الاستلام</t>
        </is>
      </c>
      <c r="J22" s="3" t="inlineStr">
        <is>
          <t>مدفوع بالكامل</t>
        </is>
      </c>
      <c r="K22" s="4" t="n">
        <v>0</v>
      </c>
      <c r="L22" s="3" t="inlineStr">
        <is>
          <t>حالة الاستلام "Not Issued" رغم أنه مدفوع بالكامل – لم يُسجل استلام بالنظام</t>
        </is>
      </c>
    </row>
    <row r="23">
      <c r="A23" s="3" t="n">
        <v>22</v>
      </c>
      <c r="B23" s="110" t="inlineStr">
        <is>
          <t>PO-404-REV1</t>
        </is>
      </c>
      <c r="C23" s="107" t="n">
        <v>46112</v>
      </c>
      <c r="D23" s="3" t="inlineStr">
        <is>
          <t>موسسة امجاد الخليج</t>
        </is>
      </c>
      <c r="E23" s="3" t="inlineStr">
        <is>
          <t>RN-362</t>
        </is>
      </c>
      <c r="F23" s="4" t="n">
        <v>4000</v>
      </c>
      <c r="G23" s="4" t="n">
        <v>0</v>
      </c>
      <c r="H23" s="4" t="n">
        <v>4000</v>
      </c>
      <c r="I23" s="3" t="inlineStr">
        <is>
          <t>لم يُسجل الاستلام</t>
        </is>
      </c>
      <c r="J23" s="3" t="inlineStr">
        <is>
          <t>مدفوع بالكامل</t>
        </is>
      </c>
      <c r="K23" s="4" t="n">
        <v>0</v>
      </c>
      <c r="L23" s="3" t="inlineStr">
        <is>
          <t>حالة الاستلام "Not Issued" رغم أنه مدفوع بالكامل – لم يُسجل استلام بالنظام | أمر معدّل (REV1)</t>
        </is>
      </c>
    </row>
    <row r="24">
      <c r="A24" s="3" t="n">
        <v>23</v>
      </c>
      <c r="B24" s="110" t="inlineStr">
        <is>
          <t>PO-419</t>
        </is>
      </c>
      <c r="C24" s="107" t="n">
        <v>46113</v>
      </c>
      <c r="D24" s="3" t="inlineStr">
        <is>
          <t>شركة التاج المميزة</t>
        </is>
      </c>
      <c r="E24" s="3" t="inlineStr">
        <is>
          <t>RN-376</t>
        </is>
      </c>
      <c r="F24" s="4" t="n">
        <v>20000</v>
      </c>
      <c r="G24" s="4" t="n">
        <v>0</v>
      </c>
      <c r="H24" s="4" t="n">
        <v>20000</v>
      </c>
      <c r="I24" s="3" t="inlineStr">
        <is>
          <t>لم يُسجل الاستلام</t>
        </is>
      </c>
      <c r="J24" s="3" t="inlineStr">
        <is>
          <t>مدفوع بالكامل</t>
        </is>
      </c>
      <c r="K24" s="4" t="n">
        <v>0</v>
      </c>
      <c r="L24" s="3" t="inlineStr">
        <is>
          <t>حالة الاستلام "Not Issued" رغم أنه مدفوع بالكامل – لم يُسجل استلام بالنظام</t>
        </is>
      </c>
    </row>
    <row r="25">
      <c r="A25" s="3" t="n">
        <v>24</v>
      </c>
      <c r="B25" s="110" t="inlineStr">
        <is>
          <t>PO-478</t>
        </is>
      </c>
      <c r="C25" s="107" t="n">
        <v>46125</v>
      </c>
      <c r="D25" s="3" t="inlineStr">
        <is>
          <t>شركة مسار الجزيرة للحاصلات</t>
        </is>
      </c>
      <c r="E25" s="3" t="inlineStr">
        <is>
          <t>RN-388</t>
        </is>
      </c>
      <c r="F25" s="4" t="n">
        <v>952.21</v>
      </c>
      <c r="G25" s="4" t="n">
        <v>142.83</v>
      </c>
      <c r="H25" s="4" t="n">
        <v>1095.04</v>
      </c>
      <c r="I25" s="3" t="inlineStr">
        <is>
          <t>لم يُسجل الاستلام</t>
        </is>
      </c>
      <c r="J25" s="3" t="inlineStr">
        <is>
          <t>مدفوع بالكامل</t>
        </is>
      </c>
      <c r="K25" s="4" t="n">
        <v>0</v>
      </c>
      <c r="L25" s="3" t="inlineStr">
        <is>
          <t>حالة الاستلام "Not Issued" رغم أنه مدفوع بالكامل – لم يُسجل استلام بالنظام</t>
        </is>
      </c>
    </row>
    <row r="26">
      <c r="A26" s="3" t="n">
        <v>25</v>
      </c>
      <c r="B26" s="110" t="inlineStr">
        <is>
          <t>PO-506</t>
        </is>
      </c>
      <c r="C26" s="107" t="n">
        <v>46130</v>
      </c>
      <c r="D26" s="3" t="inlineStr">
        <is>
          <t>شركة مصنع الديكور والبولستيرين</t>
        </is>
      </c>
      <c r="E26" s="3" t="inlineStr">
        <is>
          <t>RN-458</t>
        </is>
      </c>
      <c r="F26" s="4" t="n">
        <v>13250</v>
      </c>
      <c r="G26" s="4" t="n">
        <v>0</v>
      </c>
      <c r="H26" s="4" t="n">
        <v>13250</v>
      </c>
      <c r="I26" s="3" t="inlineStr">
        <is>
          <t>لم يُسجل الاستلام</t>
        </is>
      </c>
      <c r="J26" s="3" t="inlineStr">
        <is>
          <t>مدفوع بالكامل</t>
        </is>
      </c>
      <c r="K26" s="4" t="n">
        <v>0</v>
      </c>
      <c r="L26" s="3" t="inlineStr">
        <is>
          <t>حالة الاستلام "Not Issued" رغم أنه مدفوع بالكامل – لم يُسجل استلام بالنظام</t>
        </is>
      </c>
    </row>
    <row r="27">
      <c r="A27" s="3" t="n">
        <v>26</v>
      </c>
      <c r="B27" s="110" t="inlineStr">
        <is>
          <t>PO-557</t>
        </is>
      </c>
      <c r="C27" s="107" t="n">
        <v>46141</v>
      </c>
      <c r="D27" s="3" t="inlineStr">
        <is>
          <t>مصنع شركة سانج لي للبلاستيك</t>
        </is>
      </c>
      <c r="E27" s="3" t="inlineStr">
        <is>
          <t>RN-493</t>
        </is>
      </c>
      <c r="F27" s="4" t="n">
        <v>13250</v>
      </c>
      <c r="G27" s="4" t="n">
        <v>0</v>
      </c>
      <c r="H27" s="4" t="n">
        <v>13250</v>
      </c>
      <c r="I27" s="3" t="inlineStr">
        <is>
          <t>لم يُسجل الاستلام</t>
        </is>
      </c>
      <c r="J27" s="3" t="inlineStr">
        <is>
          <t>مدفوع بالكامل</t>
        </is>
      </c>
      <c r="K27" s="4" t="n">
        <v>0</v>
      </c>
      <c r="L27" s="3" t="inlineStr">
        <is>
          <t>حالة الاستلام "Not Issued" رغم أنه مدفوع بالكامل – لم يُسجل استلام بالنظام</t>
        </is>
      </c>
    </row>
    <row r="28">
      <c r="A28" s="3" t="n">
        <v>27</v>
      </c>
      <c r="B28" s="110" t="inlineStr">
        <is>
          <t>PO-585</t>
        </is>
      </c>
      <c r="C28" s="107" t="n">
        <v>46147</v>
      </c>
      <c r="D28" s="3" t="inlineStr">
        <is>
          <t>موسسة دنيا الري للتجارة</t>
        </is>
      </c>
      <c r="E28" s="3" t="inlineStr">
        <is>
          <t>RN-520</t>
        </is>
      </c>
      <c r="F28" s="4" t="n">
        <v>700</v>
      </c>
      <c r="G28" s="4" t="n">
        <v>0</v>
      </c>
      <c r="H28" s="4" t="n">
        <v>700</v>
      </c>
      <c r="I28" s="3" t="inlineStr">
        <is>
          <t>لم يُسجل الاستلام</t>
        </is>
      </c>
      <c r="J28" s="3" t="inlineStr">
        <is>
          <t>مدفوع بالكامل</t>
        </is>
      </c>
      <c r="K28" s="4" t="n">
        <v>0</v>
      </c>
      <c r="L28" s="3" t="inlineStr">
        <is>
          <t>حالة الاستلام "Not Issued" رغم أنه مدفوع بالكامل – لم يُسجل استلام بالنظام</t>
        </is>
      </c>
    </row>
    <row r="29">
      <c r="A29" s="3" t="n">
        <v>28</v>
      </c>
      <c r="B29" s="110" t="inlineStr">
        <is>
          <t>PO-0707</t>
        </is>
      </c>
      <c r="C29" s="107" t="n">
        <v>46181</v>
      </c>
      <c r="D29" s="3" t="inlineStr">
        <is>
          <t>بساتين الرياض</t>
        </is>
      </c>
      <c r="E29" s="3" t="n"/>
      <c r="F29" s="4" t="n">
        <v>1500</v>
      </c>
      <c r="G29" s="4" t="n">
        <v>0</v>
      </c>
      <c r="H29" s="4" t="n">
        <v>1500</v>
      </c>
      <c r="I29" s="3" t="inlineStr">
        <is>
          <t>تم الاستلام بالكامل</t>
        </is>
      </c>
      <c r="J29" s="3" t="inlineStr">
        <is>
          <t>مدفوع بالكامل</t>
        </is>
      </c>
      <c r="K29" s="4" t="n">
        <v>0</v>
      </c>
      <c r="L29" s="3" t="n"/>
    </row>
    <row r="30">
      <c r="A30" s="3" t="n">
        <v>29</v>
      </c>
      <c r="B30" s="110" t="inlineStr">
        <is>
          <t>PO-0706</t>
        </is>
      </c>
      <c r="C30" s="107" t="n">
        <v>46181</v>
      </c>
      <c r="D30" s="3" t="inlineStr">
        <is>
          <t>شركة ايراد المتحدة</t>
        </is>
      </c>
      <c r="E30" s="3" t="n"/>
      <c r="F30" s="4" t="n">
        <v>2754</v>
      </c>
      <c r="G30" s="4" t="n">
        <v>413.1</v>
      </c>
      <c r="H30" s="4" t="n">
        <v>3167.1</v>
      </c>
      <c r="I30" s="3" t="inlineStr">
        <is>
          <t>تم الاستلام بالكامل</t>
        </is>
      </c>
      <c r="J30" s="3" t="inlineStr">
        <is>
          <t>مدفوع بالكامل</t>
        </is>
      </c>
      <c r="K30" s="4" t="n">
        <v>0</v>
      </c>
      <c r="L30" s="3" t="inlineStr">
        <is>
          <t>تمت مراجعة سعر من الإدارة: 6/13/2026  1:42:33 PM by ahmed.strc@gmail.com] Cost updated for: FR1023 (Base: 270  Add: 0)</t>
        </is>
      </c>
    </row>
    <row r="31">
      <c r="A31" s="11" t="n">
        <v>30</v>
      </c>
      <c r="B31" s="111" t="inlineStr">
        <is>
          <t>PO-0777</t>
        </is>
      </c>
      <c r="C31" s="106" t="n">
        <v>46197</v>
      </c>
      <c r="D31" s="11" t="inlineStr">
        <is>
          <t>بساتين الرياض</t>
        </is>
      </c>
      <c r="E31" s="11" t="n"/>
      <c r="F31" s="12" t="n">
        <v>66420</v>
      </c>
      <c r="G31" s="12" t="n">
        <v>0</v>
      </c>
      <c r="H31" s="12" t="n">
        <v>66420</v>
      </c>
      <c r="I31" s="11" t="inlineStr">
        <is>
          <t>تم الاستلام بالكامل</t>
        </is>
      </c>
      <c r="J31" s="11" t="inlineStr">
        <is>
          <t>مدفوع جزئياً</t>
        </is>
      </c>
      <c r="K31" s="12" t="n">
        <v>55420</v>
      </c>
      <c r="L31" s="11" t="inlineStr">
        <is>
          <t>مدفوع جزئياً: 11,000 (DIS-Riyadh-0012 في 1-7-2026) – المتبقي 55,420 | ⚠ مدفوع جزئياً – المبلغ المدفوع غير موضح بالملف، المديونية المعروضة = كامل القيمة لحين تحديد المدفوع | تمت مراجعة سعر من الإدارة: 6/27/2026  6:29:59 PM by ahmed.strc@gmail.com] Cost updated for: FR1028 (Base: 123  Add: 0)</t>
        </is>
      </c>
    </row>
    <row r="32">
      <c r="A32" s="75" t="n">
        <v>31</v>
      </c>
      <c r="B32" s="112" t="inlineStr">
        <is>
          <t>PO-1023</t>
        </is>
      </c>
      <c r="C32" s="113" t="n">
        <v>46231</v>
      </c>
      <c r="D32" s="75" t="inlineStr">
        <is>
          <t>بساتين الرياض</t>
        </is>
      </c>
      <c r="E32" s="75" t="n"/>
      <c r="F32" s="78" t="n">
        <v>33950</v>
      </c>
      <c r="G32" s="78" t="n">
        <v>0</v>
      </c>
      <c r="H32" s="78" t="n">
        <v>33950</v>
      </c>
      <c r="I32" s="75" t="inlineStr">
        <is>
          <t>تم الاستلام بالكامل</t>
        </is>
      </c>
      <c r="J32" s="75" t="inlineStr">
        <is>
          <t>غير مدفوع</t>
        </is>
      </c>
      <c r="K32" s="78">
        <f>H32</f>
        <v/>
      </c>
      <c r="L32" s="75" t="inlineStr">
        <is>
          <t>⚠ غير مدفوع – مديونية قائمة للمورد</t>
        </is>
      </c>
    </row>
    <row r="33">
      <c r="A33" s="9" t="n"/>
      <c r="B33" s="9" t="n"/>
      <c r="C33" s="9" t="n"/>
      <c r="D33" s="9" t="inlineStr">
        <is>
          <t>الإجمالي</t>
        </is>
      </c>
      <c r="E33" s="9" t="n"/>
      <c r="F33" s="10">
        <f>SUM(F2:F32)</f>
        <v/>
      </c>
      <c r="G33" s="10">
        <f>SUM(G2:G32)</f>
        <v/>
      </c>
      <c r="H33" s="10">
        <f>SUM(H2:H32)</f>
        <v/>
      </c>
      <c r="I33" s="9" t="n"/>
      <c r="J33" s="9" t="n"/>
      <c r="K33" s="10">
        <f>SUM(K2:K32)</f>
        <v/>
      </c>
      <c r="L33" s="9" t="n"/>
    </row>
  </sheetData>
  <autoFilter ref="A1:L32"/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180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60" customWidth="1" min="4" max="4"/>
    <col width="22" customWidth="1" min="5" max="5"/>
    <col width="34" customWidth="1" min="6" max="6"/>
    <col width="12" customWidth="1" min="7" max="7"/>
    <col width="10" customWidth="1" min="8" max="8"/>
    <col width="40" customWidth="1" min="9" max="9"/>
  </cols>
  <sheetData>
    <row r="1">
      <c r="A1" s="22" t="inlineStr">
        <is>
          <t>م</t>
        </is>
      </c>
      <c r="B1" s="22" t="inlineStr">
        <is>
          <t>صاحب العهدة</t>
        </is>
      </c>
      <c r="C1" s="22" t="inlineStr">
        <is>
          <t>التاريخ</t>
        </is>
      </c>
      <c r="D1" s="22" t="inlineStr">
        <is>
          <t>البيان</t>
        </is>
      </c>
      <c r="E1" s="22" t="inlineStr">
        <is>
          <t>المستفيد / السيارة</t>
        </is>
      </c>
      <c r="F1" s="22" t="inlineStr">
        <is>
          <t>البند</t>
        </is>
      </c>
      <c r="G1" s="22" t="inlineStr">
        <is>
          <t>المبلغ</t>
        </is>
      </c>
      <c r="H1" s="22" t="inlineStr">
        <is>
          <t>داخل الفترة</t>
        </is>
      </c>
      <c r="I1" s="22" t="inlineStr">
        <is>
          <t>ملاحظة</t>
        </is>
      </c>
    </row>
    <row r="2">
      <c r="A2" s="16" t="n">
        <v>1</v>
      </c>
      <c r="B2" s="16" t="inlineStr">
        <is>
          <t>حسين مصطفى – مستودع الرياض</t>
        </is>
      </c>
      <c r="C2" s="95" t="n">
        <v>46064</v>
      </c>
      <c r="D2" s="16" t="inlineStr">
        <is>
          <t>بنزين س الوانيت رقم 5564 + غيار زيت</t>
        </is>
      </c>
      <c r="E2" s="16" t="inlineStr">
        <is>
          <t>VHC-5564</t>
        </is>
      </c>
      <c r="F2" s="16" t="inlineStr">
        <is>
          <t>وقود (ديزل/بنزين)</t>
        </is>
      </c>
      <c r="G2" s="17" t="n">
        <v>345</v>
      </c>
      <c r="H2" s="16" t="inlineStr">
        <is>
          <t>نعم</t>
        </is>
      </c>
      <c r="I2" s="16" t="n"/>
    </row>
    <row r="3">
      <c r="A3" s="16" t="n">
        <v>2</v>
      </c>
      <c r="B3" s="16" t="inlineStr">
        <is>
          <t>حسين مصطفى – مستودع الرياض</t>
        </is>
      </c>
      <c r="C3" s="95" t="n">
        <v>46064</v>
      </c>
      <c r="D3" s="16" t="inlineStr">
        <is>
          <t>غيار زيت وفالتر وغسيل وتشحيم س عماد رقم 3010</t>
        </is>
      </c>
      <c r="E3" s="16" t="inlineStr">
        <is>
          <t>VHC-3010</t>
        </is>
      </c>
      <c r="F3" s="16" t="inlineStr">
        <is>
          <t>صيانة سيارات</t>
        </is>
      </c>
      <c r="G3" s="17" t="n">
        <v>990</v>
      </c>
      <c r="H3" s="16" t="inlineStr">
        <is>
          <t>نعم</t>
        </is>
      </c>
      <c r="I3" s="16" t="n"/>
    </row>
    <row r="4">
      <c r="A4" s="16" t="n">
        <v>3</v>
      </c>
      <c r="B4" s="16" t="inlineStr">
        <is>
          <t>حسين مصطفى – مستودع الرياض</t>
        </is>
      </c>
      <c r="C4" s="95" t="n">
        <v>46064</v>
      </c>
      <c r="D4" s="16" t="inlineStr">
        <is>
          <t>سوالر س عصمت رقم 1219 + غيار +زيت صيانة السيارة</t>
        </is>
      </c>
      <c r="E4" s="16" t="inlineStr">
        <is>
          <t>VHC-1219</t>
        </is>
      </c>
      <c r="F4" s="16" t="inlineStr">
        <is>
          <t>صيانة سيارات</t>
        </is>
      </c>
      <c r="G4" s="17" t="n">
        <v>1599.24</v>
      </c>
      <c r="H4" s="16" t="inlineStr">
        <is>
          <t>نعم</t>
        </is>
      </c>
      <c r="I4" s="16" t="n"/>
    </row>
    <row r="5">
      <c r="A5" s="16" t="n">
        <v>4</v>
      </c>
      <c r="B5" s="16" t="inlineStr">
        <is>
          <t>حسين مصطفى – مستودع الرياض</t>
        </is>
      </c>
      <c r="C5" s="95" t="n">
        <v>46064</v>
      </c>
      <c r="D5" s="16" t="inlineStr">
        <is>
          <t>كهرباء مزرعة الرياض عن شهر 2026-1</t>
        </is>
      </c>
      <c r="E5" s="16" t="inlineStr">
        <is>
          <t>EXP.RN.NURSERY</t>
        </is>
      </c>
      <c r="F5" s="16" t="inlineStr">
        <is>
          <t>خدمات ومرافق (كهرباء/مياه/إنترنت/إنشاءات)</t>
        </is>
      </c>
      <c r="G5" s="17" t="n">
        <v>2633</v>
      </c>
      <c r="H5" s="16" t="inlineStr">
        <is>
          <t>نعم</t>
        </is>
      </c>
      <c r="I5" s="16" t="n"/>
    </row>
    <row r="6">
      <c r="A6" s="16" t="n">
        <v>5</v>
      </c>
      <c r="B6" s="16" t="inlineStr">
        <is>
          <t>حسين مصطفى – مستودع الرياض</t>
        </is>
      </c>
      <c r="C6" s="95" t="n">
        <v>46064</v>
      </c>
      <c r="D6" s="16" t="inlineStr">
        <is>
          <t>انتقال عماد من الرياض الي تبوك</t>
        </is>
      </c>
      <c r="E6" s="16" t="inlineStr">
        <is>
          <t>VHC-3010</t>
        </is>
      </c>
      <c r="F6" s="16" t="inlineStr">
        <is>
          <t>رواتب وعمولات وانتقالات</t>
        </is>
      </c>
      <c r="G6" s="17" t="n">
        <v>460</v>
      </c>
      <c r="H6" s="16" t="inlineStr">
        <is>
          <t>نعم</t>
        </is>
      </c>
      <c r="I6" s="16" t="n"/>
    </row>
    <row r="7">
      <c r="A7" s="16" t="n">
        <v>6</v>
      </c>
      <c r="B7" s="16" t="inlineStr">
        <is>
          <t>حسين مصطفى – مستودع الرياض</t>
        </is>
      </c>
      <c r="C7" s="95" t="n">
        <v>46064</v>
      </c>
      <c r="D7" s="16" t="inlineStr">
        <is>
          <t>عصمت الله عمولة)72( عصمت عن شهر 2025-12 + صيانة +السيارة غسيل</t>
        </is>
      </c>
      <c r="E7" s="16" t="inlineStr">
        <is>
          <t>عصمتRN الله #72</t>
        </is>
      </c>
      <c r="F7" s="16" t="inlineStr">
        <is>
          <t>رواتب وعمولات وانتقالات</t>
        </is>
      </c>
      <c r="G7" s="17" t="n">
        <v>925</v>
      </c>
      <c r="H7" s="16" t="inlineStr">
        <is>
          <t>نعم</t>
        </is>
      </c>
      <c r="I7" s="16" t="n"/>
    </row>
    <row r="8">
      <c r="A8" s="16" t="n">
        <v>7</v>
      </c>
      <c r="B8" s="16" t="inlineStr">
        <is>
          <t>حسين مصطفى – مستودع الرياض</t>
        </is>
      </c>
      <c r="C8" s="95" t="n">
        <v>46064</v>
      </c>
      <c r="D8" s="16" t="inlineStr">
        <is>
          <t>عماد حمدى عمولة)24( عماد حمدي عن شهر 2025-12 + الردود</t>
        </is>
      </c>
      <c r="E8" s="16" t="inlineStr">
        <is>
          <t>عمادRN حمدى #24</t>
        </is>
      </c>
      <c r="F8" s="16" t="inlineStr">
        <is>
          <t>رواتب وعمولات وانتقالات</t>
        </is>
      </c>
      <c r="G8" s="17" t="n">
        <v>711</v>
      </c>
      <c r="H8" s="16" t="inlineStr">
        <is>
          <t>نعم</t>
        </is>
      </c>
      <c r="I8" s="16" t="n"/>
    </row>
    <row r="9">
      <c r="A9" s="16" t="n">
        <v>8</v>
      </c>
      <c r="B9" s="16" t="inlineStr">
        <is>
          <t>حسين مصطفى – مستودع الرياض</t>
        </is>
      </c>
      <c r="C9" s="95" t="n">
        <v>46064</v>
      </c>
      <c r="D9" s="16" t="inlineStr">
        <is>
          <t>عماد حمدى شحن)24( الت جو - حسين ومحمد عبدالمجيد وعصمت وعماد</t>
        </is>
      </c>
      <c r="E9" s="16" t="inlineStr">
        <is>
          <t>عمادRN حمدى #24</t>
        </is>
      </c>
      <c r="F9" s="16" t="inlineStr">
        <is>
          <t>رواتب وعمولات وانتقالات</t>
        </is>
      </c>
      <c r="G9" s="17" t="n">
        <v>408.25</v>
      </c>
      <c r="H9" s="16" t="inlineStr">
        <is>
          <t>نعم</t>
        </is>
      </c>
      <c r="I9" s="16" t="n"/>
    </row>
    <row r="10">
      <c r="A10" s="16" t="n">
        <v>9</v>
      </c>
      <c r="B10" s="16" t="inlineStr">
        <is>
          <t>حسين مصطفى – مستودع الرياض</t>
        </is>
      </c>
      <c r="C10" s="95" t="n">
        <v>46064</v>
      </c>
      <c r="D10" s="16" t="inlineStr">
        <is>
          <t>نولون نقلة سماد معالج</t>
        </is>
      </c>
      <c r="E10" s="16" t="inlineStr">
        <is>
          <t>EXP.RN.NURSERY</t>
        </is>
      </c>
      <c r="F10" s="16" t="inlineStr">
        <is>
          <t>مصروفات تشغيل المزرعة</t>
        </is>
      </c>
      <c r="G10" s="17" t="n">
        <v>400</v>
      </c>
      <c r="H10" s="16" t="inlineStr">
        <is>
          <t>نعم</t>
        </is>
      </c>
      <c r="I10" s="16" t="n"/>
    </row>
    <row r="11">
      <c r="A11" s="16" t="n">
        <v>10</v>
      </c>
      <c r="B11" s="16" t="inlineStr">
        <is>
          <t>حسين مصطفى – مستودع الرياض</t>
        </is>
      </c>
      <c r="C11" s="95" t="n">
        <v>46064</v>
      </c>
      <c r="D11" s="16" t="inlineStr">
        <is>
          <t>مياه للشرب - 3 نقلة</t>
        </is>
      </c>
      <c r="E11" s="16" t="inlineStr">
        <is>
          <t>RN-DEPARTMENT</t>
        </is>
      </c>
      <c r="F11" s="16" t="inlineStr">
        <is>
          <t>خدمات ومرافق (كهرباء/مياه/إنترنت/إنشاءات)</t>
        </is>
      </c>
      <c r="G11" s="17" t="n">
        <v>210</v>
      </c>
      <c r="H11" s="16" t="inlineStr">
        <is>
          <t>نعم</t>
        </is>
      </c>
      <c r="I11" s="16" t="n"/>
    </row>
    <row r="12">
      <c r="A12" s="16" t="n">
        <v>11</v>
      </c>
      <c r="B12" s="16" t="inlineStr">
        <is>
          <t>حسين مصطفى – مستودع الرياض</t>
        </is>
      </c>
      <c r="C12" s="95" t="n">
        <v>46064</v>
      </c>
      <c r="D12" s="16" t="inlineStr">
        <is>
          <t>مصنعية تركيب سباكة وكهرباء للمطبخ والحمام</t>
        </is>
      </c>
      <c r="E12" s="16" t="inlineStr">
        <is>
          <t>EXP.RN.NURSERY</t>
        </is>
      </c>
      <c r="F12" s="16" t="inlineStr">
        <is>
          <t>خدمات ومرافق (كهرباء/مياه/إنترنت/إنشاءات)</t>
        </is>
      </c>
      <c r="G12" s="17" t="n">
        <v>600</v>
      </c>
      <c r="H12" s="16" t="inlineStr">
        <is>
          <t>نعم</t>
        </is>
      </c>
      <c r="I12" s="16" t="n"/>
    </row>
    <row r="13">
      <c r="A13" s="16" t="n">
        <v>12</v>
      </c>
      <c r="B13" s="16" t="inlineStr">
        <is>
          <t>حسين مصطفى – مستودع الرياض</t>
        </is>
      </c>
      <c r="C13" s="95" t="n">
        <v>46064</v>
      </c>
      <c r="D13" s="16" t="inlineStr">
        <is>
          <t>مصنعية بناء مطبخ وحمام وصرف ومحارة</t>
        </is>
      </c>
      <c r="E13" s="16" t="inlineStr">
        <is>
          <t>EXP.RN.NURSERY</t>
        </is>
      </c>
      <c r="F13" s="16" t="inlineStr">
        <is>
          <t>خدمات ومرافق (كهرباء/مياه/إنترنت/إنشاءات)</t>
        </is>
      </c>
      <c r="G13" s="17" t="n">
        <v>1190</v>
      </c>
      <c r="H13" s="16" t="inlineStr">
        <is>
          <t>نعم</t>
        </is>
      </c>
      <c r="I13" s="16" t="n"/>
    </row>
    <row r="14">
      <c r="A14" s="16" t="n">
        <v>13</v>
      </c>
      <c r="B14" s="16" t="inlineStr">
        <is>
          <t>حسين مصطفى – مستودع الرياض</t>
        </is>
      </c>
      <c r="C14" s="95" t="n">
        <v>46064</v>
      </c>
      <c r="D14" s="16" t="inlineStr">
        <is>
          <t>شراء اسمنت وزلط ورمل وبلوك</t>
        </is>
      </c>
      <c r="E14" s="16" t="inlineStr">
        <is>
          <t>EXP.RN.NURSERY</t>
        </is>
      </c>
      <c r="F14" s="16" t="inlineStr">
        <is>
          <t>خدمات ومرافق (كهرباء/مياه/إنترنت/إنشاءات)</t>
        </is>
      </c>
      <c r="G14" s="17" t="n">
        <v>1555</v>
      </c>
      <c r="H14" s="16" t="inlineStr">
        <is>
          <t>نعم</t>
        </is>
      </c>
      <c r="I14" s="16" t="n"/>
    </row>
    <row r="15">
      <c r="A15" s="16" t="n">
        <v>14</v>
      </c>
      <c r="B15" s="16" t="inlineStr">
        <is>
          <t>حسين مصطفى – مستودع الرياض</t>
        </is>
      </c>
      <c r="C15" s="95" t="n">
        <v>46064</v>
      </c>
      <c r="D15" s="16" t="inlineStr">
        <is>
          <t>شراء رشاش صغير ومسحاة ومحشات وماتور مياه صغير</t>
        </is>
      </c>
      <c r="E15" s="16" t="inlineStr">
        <is>
          <t>EXP.RN.NURSERY</t>
        </is>
      </c>
      <c r="F15" s="16" t="inlineStr">
        <is>
          <t>خدمات ومرافق (كهرباء/مياه/إنترنت/إنشاءات)</t>
        </is>
      </c>
      <c r="G15" s="17" t="n">
        <v>582</v>
      </c>
      <c r="H15" s="16" t="inlineStr">
        <is>
          <t>نعم</t>
        </is>
      </c>
      <c r="I15" s="16" t="n"/>
    </row>
    <row r="16">
      <c r="A16" s="16" t="n">
        <v>15</v>
      </c>
      <c r="B16" s="16" t="inlineStr">
        <is>
          <t>حسين مصطفى – مستودع الرياض</t>
        </is>
      </c>
      <c r="C16" s="95" t="n">
        <v>46064</v>
      </c>
      <c r="D16" s="16" t="inlineStr">
        <is>
          <t>شراء فايالت واقالم الوان ومشترك كهرباء</t>
        </is>
      </c>
      <c r="E16" s="16" t="inlineStr">
        <is>
          <t>RN-DEPARTMENT</t>
        </is>
      </c>
      <c r="F16" s="16" t="inlineStr">
        <is>
          <t>خدمات ومرافق (كهرباء/مياه/إنترنت/إنشاءات)</t>
        </is>
      </c>
      <c r="G16" s="17" t="n">
        <v>184.25</v>
      </c>
      <c r="H16" s="16" t="inlineStr">
        <is>
          <t>نعم</t>
        </is>
      </c>
      <c r="I16" s="16" t="n"/>
    </row>
    <row r="17">
      <c r="A17" s="16" t="n">
        <v>16</v>
      </c>
      <c r="B17" s="16" t="inlineStr">
        <is>
          <t>حسين مصطفى – مستودع الرياض</t>
        </is>
      </c>
      <c r="C17" s="95" t="n">
        <v>46064</v>
      </c>
      <c r="D17" s="16" t="inlineStr">
        <is>
          <t>بنزين س الوانيت رقم 5564 + عمل كاوتش</t>
        </is>
      </c>
      <c r="E17" s="16" t="inlineStr">
        <is>
          <t>VHC-5564</t>
        </is>
      </c>
      <c r="F17" s="16" t="inlineStr">
        <is>
          <t>وقود (ديزل/بنزين)</t>
        </is>
      </c>
      <c r="G17" s="17" t="n">
        <v>190</v>
      </c>
      <c r="H17" s="16" t="inlineStr">
        <is>
          <t>نعم</t>
        </is>
      </c>
      <c r="I17" s="16" t="n"/>
    </row>
    <row r="18">
      <c r="A18" s="16" t="n">
        <v>17</v>
      </c>
      <c r="B18" s="16" t="inlineStr">
        <is>
          <t>حسين مصطفى – مستودع الرياض</t>
        </is>
      </c>
      <c r="C18" s="95" t="n">
        <v>46064</v>
      </c>
      <c r="D18" s="16" t="inlineStr">
        <is>
          <t>غيار زيت وفالتر س عماد رقم 3010</t>
        </is>
      </c>
      <c r="E18" s="16" t="inlineStr">
        <is>
          <t>VHC-3010</t>
        </is>
      </c>
      <c r="F18" s="16" t="inlineStr">
        <is>
          <t>صيانة سيارات</t>
        </is>
      </c>
      <c r="G18" s="17" t="n">
        <v>282</v>
      </c>
      <c r="H18" s="16" t="inlineStr">
        <is>
          <t>نعم</t>
        </is>
      </c>
      <c r="I18" s="16" t="n"/>
    </row>
    <row r="19">
      <c r="A19" s="16" t="n">
        <v>18</v>
      </c>
      <c r="B19" s="16" t="inlineStr">
        <is>
          <t>حسين مصطفى – مستودع الرياض</t>
        </is>
      </c>
      <c r="C19" s="95" t="n">
        <v>46066</v>
      </c>
      <c r="D19" s="16" t="inlineStr">
        <is>
          <t>غيار زيت وفالتر س الوانيت</t>
        </is>
      </c>
      <c r="E19" s="16" t="inlineStr">
        <is>
          <t>VHC-5564</t>
        </is>
      </c>
      <c r="F19" s="16" t="inlineStr">
        <is>
          <t>صيانة سيارات</t>
        </is>
      </c>
      <c r="G19" s="17" t="n">
        <v>260</v>
      </c>
      <c r="H19" s="16" t="inlineStr">
        <is>
          <t>نعم</t>
        </is>
      </c>
      <c r="I19" s="16" t="n"/>
    </row>
    <row r="20">
      <c r="A20" s="16" t="n">
        <v>19</v>
      </c>
      <c r="B20" s="16" t="inlineStr">
        <is>
          <t>حسين مصطفى – مستودع الرياض</t>
        </is>
      </c>
      <c r="C20" s="95" t="n">
        <v>46067</v>
      </c>
      <c r="D20" s="16" t="inlineStr">
        <is>
          <t>شراء شكرتون</t>
        </is>
      </c>
      <c r="E20" s="16" t="inlineStr">
        <is>
          <t>RN-DEPARTMENT</t>
        </is>
      </c>
      <c r="F20" s="16" t="inlineStr">
        <is>
          <t>خدمات ومرافق (كهرباء/مياه/إنترنت/إنشاءات)</t>
        </is>
      </c>
      <c r="G20" s="17" t="n">
        <v>30</v>
      </c>
      <c r="H20" s="16" t="inlineStr">
        <is>
          <t>نعم</t>
        </is>
      </c>
      <c r="I20" s="16" t="n"/>
    </row>
    <row r="21">
      <c r="A21" s="16" t="n">
        <v>20</v>
      </c>
      <c r="B21" s="16" t="inlineStr">
        <is>
          <t>حسين مصطفى – مستودع الرياض</t>
        </is>
      </c>
      <c r="C21" s="95" t="n">
        <v>46067</v>
      </c>
      <c r="D21" s="16" t="inlineStr">
        <is>
          <t>بنزين للوانيت</t>
        </is>
      </c>
      <c r="E21" s="16" t="inlineStr">
        <is>
          <t>VHC-5564</t>
        </is>
      </c>
      <c r="F21" s="16" t="inlineStr">
        <is>
          <t>وقود (ديزل/بنزين)</t>
        </is>
      </c>
      <c r="G21" s="17" t="n">
        <v>140.07</v>
      </c>
      <c r="H21" s="16" t="inlineStr">
        <is>
          <t>نعم</t>
        </is>
      </c>
      <c r="I21" s="16" t="n"/>
    </row>
    <row r="22">
      <c r="A22" s="16" t="n">
        <v>21</v>
      </c>
      <c r="B22" s="16" t="inlineStr">
        <is>
          <t>حسين مصطفى – مستودع الرياض</t>
        </is>
      </c>
      <c r="C22" s="95" t="n">
        <v>46068</v>
      </c>
      <c r="D22" s="16" t="inlineStr">
        <is>
          <t>شراء لفة سلك حديد وحديد خردة الستخدام الشجر</t>
        </is>
      </c>
      <c r="E22" s="16" t="inlineStr">
        <is>
          <t>EXP.RN.NURSERY</t>
        </is>
      </c>
      <c r="F22" s="16" t="inlineStr">
        <is>
          <t>مصروفات تشغيل المزرعة</t>
        </is>
      </c>
      <c r="G22" s="17" t="n">
        <v>535</v>
      </c>
      <c r="H22" s="16" t="inlineStr">
        <is>
          <t>نعم</t>
        </is>
      </c>
      <c r="I22" s="16" t="n"/>
    </row>
    <row r="23">
      <c r="A23" s="16" t="n">
        <v>22</v>
      </c>
      <c r="B23" s="16" t="inlineStr">
        <is>
          <t>حسين مصطفى – مستودع الرياض</t>
        </is>
      </c>
      <c r="C23" s="95" t="n">
        <v>46068</v>
      </c>
      <c r="D23" s="16" t="inlineStr">
        <is>
          <t>كهرباء مزرعة الرياض عن شهر 2026-2</t>
        </is>
      </c>
      <c r="E23" s="16" t="inlineStr">
        <is>
          <t>EXP.RN.NURSERY</t>
        </is>
      </c>
      <c r="F23" s="16" t="inlineStr">
        <is>
          <t>خدمات ومرافق (كهرباء/مياه/إنترنت/إنشاءات)</t>
        </is>
      </c>
      <c r="G23" s="17" t="n">
        <v>2168.23</v>
      </c>
      <c r="H23" s="16" t="inlineStr">
        <is>
          <t>نعم</t>
        </is>
      </c>
      <c r="I23" s="16" t="n"/>
    </row>
    <row r="24">
      <c r="A24" s="16" t="n">
        <v>23</v>
      </c>
      <c r="B24" s="16" t="inlineStr">
        <is>
          <t>حسين مصطفى – مستودع الرياض</t>
        </is>
      </c>
      <c r="C24" s="95" t="n">
        <v>46070</v>
      </c>
      <c r="D24" s="16" t="inlineStr">
        <is>
          <t>غيار زيت س - عماد رقم 3010</t>
        </is>
      </c>
      <c r="E24" s="16" t="inlineStr">
        <is>
          <t>VHC-3010</t>
        </is>
      </c>
      <c r="F24" s="16" t="inlineStr">
        <is>
          <t>صيانة سيارات</t>
        </is>
      </c>
      <c r="G24" s="17" t="n">
        <v>270</v>
      </c>
      <c r="H24" s="16" t="inlineStr">
        <is>
          <t>نعم</t>
        </is>
      </c>
      <c r="I24" s="16" t="n"/>
    </row>
    <row r="25">
      <c r="A25" s="16" t="n">
        <v>24</v>
      </c>
      <c r="B25" s="16" t="inlineStr">
        <is>
          <t>حسين مصطفى – مستودع الرياض</t>
        </is>
      </c>
      <c r="C25" s="95" t="n">
        <v>46073</v>
      </c>
      <c r="D25" s="16" t="inlineStr">
        <is>
          <t>غيار زيت وفالتر س - عصمت رقم 1219</t>
        </is>
      </c>
      <c r="E25" s="16" t="inlineStr">
        <is>
          <t>VHC-1219</t>
        </is>
      </c>
      <c r="F25" s="16" t="inlineStr">
        <is>
          <t>صيانة سيارات</t>
        </is>
      </c>
      <c r="G25" s="17" t="n">
        <v>225.01</v>
      </c>
      <c r="H25" s="16" t="inlineStr">
        <is>
          <t>نعم</t>
        </is>
      </c>
      <c r="I25" s="16" t="n"/>
    </row>
    <row r="26">
      <c r="A26" s="16" t="n">
        <v>25</v>
      </c>
      <c r="B26" s="16" t="inlineStr">
        <is>
          <t>حسين مصطفى – مستودع الرياض</t>
        </is>
      </c>
      <c r="C26" s="95" t="n">
        <v>46084</v>
      </c>
      <c r="D26" s="16" t="inlineStr">
        <is>
          <t>شراء رول بالستيك الستخدام المزرعة</t>
        </is>
      </c>
      <c r="E26" s="16" t="inlineStr">
        <is>
          <t>EXP.RN.NURSERY</t>
        </is>
      </c>
      <c r="F26" s="16" t="inlineStr">
        <is>
          <t>خدمات ومرافق (كهرباء/مياه/إنترنت/إنشاءات)</t>
        </is>
      </c>
      <c r="G26" s="17" t="n">
        <v>190</v>
      </c>
      <c r="H26" s="16" t="inlineStr">
        <is>
          <t>نعم</t>
        </is>
      </c>
      <c r="I26" s="16" t="n"/>
    </row>
    <row r="27">
      <c r="A27" s="16" t="n">
        <v>26</v>
      </c>
      <c r="B27" s="16" t="inlineStr">
        <is>
          <t>حسين مصطفى – مستودع الرياض</t>
        </is>
      </c>
      <c r="C27" s="95" t="n">
        <v>46084</v>
      </c>
      <c r="D27" s="16" t="inlineStr">
        <is>
          <t>غيار زيت وفالتر سيارة عماد - رقم 3010</t>
        </is>
      </c>
      <c r="E27" s="16" t="inlineStr">
        <is>
          <t>VHC-3010</t>
        </is>
      </c>
      <c r="F27" s="16" t="inlineStr">
        <is>
          <t>صيانة سيارات</t>
        </is>
      </c>
      <c r="G27" s="17" t="n">
        <v>275</v>
      </c>
      <c r="H27" s="16" t="inlineStr">
        <is>
          <t>نعم</t>
        </is>
      </c>
      <c r="I27" s="16" t="n"/>
    </row>
    <row r="28">
      <c r="A28" s="16" t="n">
        <v>27</v>
      </c>
      <c r="B28" s="16" t="inlineStr">
        <is>
          <t>حسين مصطفى – مستودع الرياض</t>
        </is>
      </c>
      <c r="C28" s="95" t="n">
        <v>46090</v>
      </c>
      <c r="D28" s="16" t="inlineStr">
        <is>
          <t>مياه للشرب</t>
        </is>
      </c>
      <c r="E28" s="16" t="inlineStr">
        <is>
          <t>RN-DEPARTMENT</t>
        </is>
      </c>
      <c r="F28" s="16" t="inlineStr">
        <is>
          <t>خدمات ومرافق (كهرباء/مياه/إنترنت/إنشاءات)</t>
        </is>
      </c>
      <c r="G28" s="17" t="n">
        <v>70</v>
      </c>
      <c r="H28" s="16" t="inlineStr">
        <is>
          <t>نعم</t>
        </is>
      </c>
      <c r="I28" s="16" t="n"/>
    </row>
    <row r="29">
      <c r="A29" s="16" t="n">
        <v>28</v>
      </c>
      <c r="B29" s="16" t="inlineStr">
        <is>
          <t>حسين مصطفى – مستودع الرياض</t>
        </is>
      </c>
      <c r="C29" s="95" t="n">
        <v>46094</v>
      </c>
      <c r="D29" s="16" t="inlineStr">
        <is>
          <t>شراء أغراض صيانة للسيارة الوانيت</t>
        </is>
      </c>
      <c r="E29" s="16" t="inlineStr">
        <is>
          <t>VHC-5564</t>
        </is>
      </c>
      <c r="F29" s="16" t="inlineStr">
        <is>
          <t>صيانة سيارات</t>
        </is>
      </c>
      <c r="G29" s="17" t="n">
        <v>570.01</v>
      </c>
      <c r="H29" s="16" t="inlineStr">
        <is>
          <t>نعم</t>
        </is>
      </c>
      <c r="I29" s="16" t="n"/>
    </row>
    <row r="30">
      <c r="A30" s="16" t="n">
        <v>29</v>
      </c>
      <c r="B30" s="16" t="inlineStr">
        <is>
          <t>حسين مصطفى – مستودع الرياض</t>
        </is>
      </c>
      <c r="C30" s="95" t="n">
        <v>46094</v>
      </c>
      <c r="D30" s="16" t="inlineStr">
        <is>
          <t>لاير مصنعية مكانيكي 200 لاير + سطحة لنقل الوانيت ذهاب وعودة 300</t>
        </is>
      </c>
      <c r="E30" s="16" t="inlineStr">
        <is>
          <t>VHC-5564</t>
        </is>
      </c>
      <c r="F30" s="16" t="inlineStr">
        <is>
          <t>صيانة سيارات</t>
        </is>
      </c>
      <c r="G30" s="17" t="n">
        <v>500</v>
      </c>
      <c r="H30" s="16" t="inlineStr">
        <is>
          <t>نعم</t>
        </is>
      </c>
      <c r="I30" s="16" t="n"/>
    </row>
    <row r="31">
      <c r="A31" s="16" t="n">
        <v>30</v>
      </c>
      <c r="B31" s="16" t="inlineStr">
        <is>
          <t>حسين مصطفى – مستودع الرياض</t>
        </is>
      </c>
      <c r="C31" s="95" t="n">
        <v>46094</v>
      </c>
      <c r="D31" s="16" t="inlineStr">
        <is>
          <t>غيار زيت وفالتر وتشحيم سيارة عصمت</t>
        </is>
      </c>
      <c r="E31" s="16" t="inlineStr">
        <is>
          <t>VHC-1219</t>
        </is>
      </c>
      <c r="F31" s="16" t="inlineStr">
        <is>
          <t>صيانة سيارات</t>
        </is>
      </c>
      <c r="G31" s="17" t="n">
        <v>435</v>
      </c>
      <c r="H31" s="16" t="inlineStr">
        <is>
          <t>نعم</t>
        </is>
      </c>
      <c r="I31" s="16" t="n"/>
    </row>
    <row r="32">
      <c r="A32" s="16" t="n">
        <v>31</v>
      </c>
      <c r="B32" s="16" t="inlineStr">
        <is>
          <t>حسين مصطفى – مستودع الرياض</t>
        </is>
      </c>
      <c r="C32" s="95" t="n">
        <v>46094</v>
      </c>
      <c r="D32" s="16" t="inlineStr">
        <is>
          <t>غسيل سيارة عصمت</t>
        </is>
      </c>
      <c r="E32" s="16" t="inlineStr">
        <is>
          <t>VHC-1219</t>
        </is>
      </c>
      <c r="F32" s="16" t="inlineStr">
        <is>
          <t>صيانة سيارات</t>
        </is>
      </c>
      <c r="G32" s="17" t="n">
        <v>70</v>
      </c>
      <c r="H32" s="16" t="inlineStr">
        <is>
          <t>نعم</t>
        </is>
      </c>
      <c r="I32" s="16" t="n"/>
    </row>
    <row r="33">
      <c r="A33" s="16" t="n">
        <v>32</v>
      </c>
      <c r="B33" s="16" t="inlineStr">
        <is>
          <t>حسين مصطفى – مستودع الرياض</t>
        </is>
      </c>
      <c r="C33" s="95" t="n">
        <v>46098</v>
      </c>
      <c r="D33" s="16" t="inlineStr">
        <is>
          <t>شراء سيور للمراوح</t>
        </is>
      </c>
      <c r="E33" s="16" t="inlineStr">
        <is>
          <t>EXP.RN.NURSERY</t>
        </is>
      </c>
      <c r="F33" s="16" t="inlineStr">
        <is>
          <t>خدمات ومرافق (كهرباء/مياه/إنترنت/إنشاءات)</t>
        </is>
      </c>
      <c r="G33" s="17" t="n">
        <v>149.5</v>
      </c>
      <c r="H33" s="16" t="inlineStr">
        <is>
          <t>نعم</t>
        </is>
      </c>
      <c r="I33" s="16" t="n"/>
    </row>
    <row r="34">
      <c r="A34" s="16" t="n">
        <v>33</v>
      </c>
      <c r="B34" s="16" t="inlineStr">
        <is>
          <t>حسين مصطفى – مستودع الرياض</t>
        </is>
      </c>
      <c r="C34" s="95" t="n">
        <v>46098</v>
      </c>
      <c r="D34" s="16" t="inlineStr">
        <is>
          <t>غيار زيت وفلتر + غسيل وتشحيم + 2 كساحة خلفي</t>
        </is>
      </c>
      <c r="E34" s="16" t="inlineStr">
        <is>
          <t>VHC-3010</t>
        </is>
      </c>
      <c r="F34" s="16" t="inlineStr">
        <is>
          <t>صيانة سيارات</t>
        </is>
      </c>
      <c r="G34" s="17" t="n">
        <v>480</v>
      </c>
      <c r="H34" s="16" t="inlineStr">
        <is>
          <t>نعم</t>
        </is>
      </c>
      <c r="I34" s="16" t="n"/>
    </row>
    <row r="35">
      <c r="A35" s="16" t="n">
        <v>34</v>
      </c>
      <c r="B35" s="16" t="inlineStr">
        <is>
          <t>حسين مصطفى – مستودع الرياض</t>
        </is>
      </c>
      <c r="C35" s="95" t="n">
        <v>46113</v>
      </c>
      <c r="D35" s="16" t="inlineStr">
        <is>
          <t>شراء كفر سيارة عصمت</t>
        </is>
      </c>
      <c r="E35" s="16" t="inlineStr">
        <is>
          <t>VHC-1219</t>
        </is>
      </c>
      <c r="F35" s="16" t="inlineStr">
        <is>
          <t>صيانة سيارات</t>
        </is>
      </c>
      <c r="G35" s="17" t="n">
        <v>2060.01</v>
      </c>
      <c r="H35" s="16" t="inlineStr">
        <is>
          <t>نعم</t>
        </is>
      </c>
      <c r="I35" s="16" t="n"/>
    </row>
    <row r="36">
      <c r="A36" s="16" t="n">
        <v>35</v>
      </c>
      <c r="B36" s="16" t="inlineStr">
        <is>
          <t>حسين مصطفى – مستودع الرياض</t>
        </is>
      </c>
      <c r="C36" s="95" t="n">
        <v>46113</v>
      </c>
      <c r="D36" s="16" t="inlineStr">
        <is>
          <t>تركيب كفر س عصمت</t>
        </is>
      </c>
      <c r="E36" s="16" t="inlineStr">
        <is>
          <t>VHC-1219</t>
        </is>
      </c>
      <c r="F36" s="16" t="inlineStr">
        <is>
          <t>صيانة سيارات</t>
        </is>
      </c>
      <c r="G36" s="17" t="n">
        <v>40</v>
      </c>
      <c r="H36" s="16" t="inlineStr">
        <is>
          <t>نعم</t>
        </is>
      </c>
      <c r="I36" s="16" t="n"/>
    </row>
    <row r="37">
      <c r="A37" s="16" t="n">
        <v>36</v>
      </c>
      <c r="B37" s="16" t="inlineStr">
        <is>
          <t>حسين مصطفى – مستودع الرياض</t>
        </is>
      </c>
      <c r="C37" s="95" t="n">
        <v>46113</v>
      </c>
      <c r="D37" s="16" t="inlineStr">
        <is>
          <t>مسدس رش مبيدات تركي</t>
        </is>
      </c>
      <c r="E37" s="16" t="inlineStr">
        <is>
          <t>EXP.RN.NURSERY</t>
        </is>
      </c>
      <c r="F37" s="16" t="inlineStr">
        <is>
          <t>خدمات ومرافق (كهرباء/مياه/إنترنت/إنشاءات)</t>
        </is>
      </c>
      <c r="G37" s="17" t="n">
        <v>207</v>
      </c>
      <c r="H37" s="16" t="inlineStr">
        <is>
          <t>نعم</t>
        </is>
      </c>
      <c r="I37" s="16" t="n"/>
    </row>
    <row r="38">
      <c r="A38" s="16" t="n">
        <v>37</v>
      </c>
      <c r="B38" s="16" t="inlineStr">
        <is>
          <t>حسين مصطفى – مستودع الرياض</t>
        </is>
      </c>
      <c r="C38" s="95" t="n">
        <v>46113</v>
      </c>
      <c r="D38" s="16" t="inlineStr">
        <is>
          <t>سوالر س - عماد</t>
        </is>
      </c>
      <c r="E38" s="16" t="inlineStr">
        <is>
          <t>VHC-3010</t>
        </is>
      </c>
      <c r="F38" s="16" t="inlineStr">
        <is>
          <t>وقود (ديزل/بنزين)</t>
        </is>
      </c>
      <c r="G38" s="17" t="n">
        <v>130.01</v>
      </c>
      <c r="H38" s="16" t="inlineStr">
        <is>
          <t>نعم</t>
        </is>
      </c>
      <c r="I38" s="16" t="n"/>
    </row>
    <row r="39">
      <c r="A39" s="16" t="n">
        <v>38</v>
      </c>
      <c r="B39" s="16" t="inlineStr">
        <is>
          <t>حسين مصطفى – مستودع الرياض</t>
        </is>
      </c>
      <c r="C39" s="95" t="n">
        <v>46113</v>
      </c>
      <c r="D39" s="16" t="inlineStr">
        <is>
          <t>مياه للشرب</t>
        </is>
      </c>
      <c r="E39" s="16" t="inlineStr">
        <is>
          <t>RN-DEPARTMENT</t>
        </is>
      </c>
      <c r="F39" s="16" t="inlineStr">
        <is>
          <t>خدمات ومرافق (كهرباء/مياه/إنترنت/إنشاءات)</t>
        </is>
      </c>
      <c r="G39" s="17" t="n">
        <v>70</v>
      </c>
      <c r="H39" s="16" t="inlineStr">
        <is>
          <t>نعم</t>
        </is>
      </c>
      <c r="I39" s="16" t="n"/>
    </row>
    <row r="40">
      <c r="A40" s="16" t="n">
        <v>39</v>
      </c>
      <c r="B40" s="16" t="inlineStr">
        <is>
          <t>حسين مصطفى – مستودع الرياض</t>
        </is>
      </c>
      <c r="C40" s="95" t="n">
        <v>46115</v>
      </c>
      <c r="D40" s="16" t="inlineStr">
        <is>
          <t>بنزين للوانيت</t>
        </is>
      </c>
      <c r="E40" s="16" t="inlineStr">
        <is>
          <t>VHC-5564</t>
        </is>
      </c>
      <c r="F40" s="16" t="inlineStr">
        <is>
          <t>وقود (ديزل/بنزين)</t>
        </is>
      </c>
      <c r="G40" s="17" t="n">
        <v>130</v>
      </c>
      <c r="H40" s="16" t="inlineStr">
        <is>
          <t>نعم</t>
        </is>
      </c>
      <c r="I40" s="16" t="n"/>
    </row>
    <row r="41">
      <c r="A41" s="16" t="n">
        <v>40</v>
      </c>
      <c r="B41" s="16" t="inlineStr">
        <is>
          <t>حسين مصطفى – مستودع الرياض</t>
        </is>
      </c>
      <c r="C41" s="95" t="n">
        <v>46115</v>
      </c>
      <c r="D41" s="16" t="inlineStr">
        <is>
          <t>غيار زيت وفلتر س عصمت</t>
        </is>
      </c>
      <c r="E41" s="16" t="inlineStr">
        <is>
          <t>VHC-1219</t>
        </is>
      </c>
      <c r="F41" s="16" t="inlineStr">
        <is>
          <t>صيانة سيارات</t>
        </is>
      </c>
      <c r="G41" s="17" t="n">
        <v>225.01</v>
      </c>
      <c r="H41" s="16" t="inlineStr">
        <is>
          <t>نعم</t>
        </is>
      </c>
      <c r="I41" s="16" t="n"/>
    </row>
    <row r="42">
      <c r="A42" s="16" t="n">
        <v>41</v>
      </c>
      <c r="B42" s="16" t="inlineStr">
        <is>
          <t>حسين مصطفى – مستودع الرياض</t>
        </is>
      </c>
      <c r="C42" s="95" t="n">
        <v>46118</v>
      </c>
      <c r="D42" s="16" t="inlineStr">
        <is>
          <t>شراء 2 لفة شكرتون</t>
        </is>
      </c>
      <c r="E42" s="16" t="inlineStr">
        <is>
          <t>RN-DEPARTMENT</t>
        </is>
      </c>
      <c r="F42" s="16" t="inlineStr">
        <is>
          <t>خدمات ومرافق (كهرباء/مياه/إنترنت/إنشاءات)</t>
        </is>
      </c>
      <c r="G42" s="17" t="n">
        <v>50</v>
      </c>
      <c r="H42" s="16" t="inlineStr">
        <is>
          <t>نعم</t>
        </is>
      </c>
      <c r="I42" s="16" t="n"/>
    </row>
    <row r="43">
      <c r="A43" s="16" t="n">
        <v>42</v>
      </c>
      <c r="B43" s="16" t="inlineStr">
        <is>
          <t>حسين مصطفى – مستودع الرياض</t>
        </is>
      </c>
      <c r="C43" s="95" t="n">
        <v>46121</v>
      </c>
      <c r="D43" s="16" t="inlineStr">
        <is>
          <t>شحن الت جو ونت شحن واي فاي - النت 6 شهور</t>
        </is>
      </c>
      <c r="E43" s="16" t="n"/>
      <c r="F43" s="16" t="inlineStr">
        <is>
          <t>خدمات ومرافق (كهرباء/مياه/إنترنت/إنشاءات)</t>
        </is>
      </c>
      <c r="G43" s="17" t="n">
        <v>750</v>
      </c>
      <c r="H43" s="16" t="inlineStr">
        <is>
          <t>نعم</t>
        </is>
      </c>
      <c r="I43" s="16" t="n"/>
    </row>
    <row r="44">
      <c r="A44" s="16" t="n">
        <v>43</v>
      </c>
      <c r="B44" s="16" t="inlineStr">
        <is>
          <t>حسين مصطفى – مستودع الرياض</t>
        </is>
      </c>
      <c r="C44" s="95" t="n">
        <v>46121</v>
      </c>
      <c r="D44" s="16" t="inlineStr">
        <is>
          <t>شراء ورق طباعة وفايل</t>
        </is>
      </c>
      <c r="E44" s="16" t="inlineStr">
        <is>
          <t>RN-DEPARTMENT</t>
        </is>
      </c>
      <c r="F44" s="16" t="inlineStr">
        <is>
          <t>خدمات ومرافق (كهرباء/مياه/إنترنت/إنشاءات)</t>
        </is>
      </c>
      <c r="G44" s="17" t="n">
        <v>46.17</v>
      </c>
      <c r="H44" s="16" t="inlineStr">
        <is>
          <t>نعم</t>
        </is>
      </c>
      <c r="I44" s="16" t="n"/>
    </row>
    <row r="45">
      <c r="A45" s="16" t="n">
        <v>44</v>
      </c>
      <c r="B45" s="16" t="inlineStr">
        <is>
          <t>حسين مصطفى – مستودع الرياض</t>
        </is>
      </c>
      <c r="C45" s="95" t="n">
        <v>46121</v>
      </c>
      <c r="D45" s="16" t="inlineStr">
        <is>
          <t>غيار زيت وفلتر س عماد</t>
        </is>
      </c>
      <c r="E45" s="16" t="inlineStr">
        <is>
          <t>VHC-3010</t>
        </is>
      </c>
      <c r="F45" s="16" t="inlineStr">
        <is>
          <t>صيانة سيارات</t>
        </is>
      </c>
      <c r="G45" s="17" t="n">
        <v>280</v>
      </c>
      <c r="H45" s="16" t="inlineStr">
        <is>
          <t>نعم</t>
        </is>
      </c>
      <c r="I45" s="16" t="n"/>
    </row>
    <row r="46">
      <c r="A46" s="16" t="n">
        <v>45</v>
      </c>
      <c r="B46" s="16" t="inlineStr">
        <is>
          <t>حسين مصطفى – مستودع الرياض</t>
        </is>
      </c>
      <c r="C46" s="95" t="n">
        <v>46123</v>
      </c>
      <c r="D46" s="16" t="inlineStr">
        <is>
          <t>سوالر س - عماد</t>
        </is>
      </c>
      <c r="E46" s="16" t="inlineStr">
        <is>
          <t>VHC-3010</t>
        </is>
      </c>
      <c r="F46" s="16" t="inlineStr">
        <is>
          <t>وقود (ديزل/بنزين)</t>
        </is>
      </c>
      <c r="G46" s="17" t="n">
        <v>150.02</v>
      </c>
      <c r="H46" s="16" t="inlineStr">
        <is>
          <t>نعم</t>
        </is>
      </c>
      <c r="I46" s="16" t="n"/>
    </row>
    <row r="47">
      <c r="A47" s="16" t="n">
        <v>46</v>
      </c>
      <c r="B47" s="16" t="inlineStr">
        <is>
          <t>حسين مصطفى – مستودع الرياض</t>
        </is>
      </c>
      <c r="C47" s="95" t="n">
        <v>46125</v>
      </c>
      <c r="D47" s="16" t="inlineStr">
        <is>
          <t>سوالر س - عماد</t>
        </is>
      </c>
      <c r="E47" s="16" t="inlineStr">
        <is>
          <t>VHC-3010</t>
        </is>
      </c>
      <c r="F47" s="16" t="inlineStr">
        <is>
          <t>وقود (ديزل/بنزين)</t>
        </is>
      </c>
      <c r="G47" s="17" t="n">
        <v>150.01</v>
      </c>
      <c r="H47" s="16" t="inlineStr">
        <is>
          <t>نعم</t>
        </is>
      </c>
      <c r="I47" s="16" t="n"/>
    </row>
    <row r="48">
      <c r="A48" s="16" t="n">
        <v>47</v>
      </c>
      <c r="B48" s="16" t="inlineStr">
        <is>
          <t>حسين مصطفى – مستودع الرياض</t>
        </is>
      </c>
      <c r="C48" s="95" t="n">
        <v>46126</v>
      </c>
      <c r="D48" s="16" t="inlineStr">
        <is>
          <t>سوالر س - عصمت</t>
        </is>
      </c>
      <c r="E48" s="16" t="inlineStr">
        <is>
          <t>VHC-1219</t>
        </is>
      </c>
      <c r="F48" s="16" t="inlineStr">
        <is>
          <t>وقود (ديزل/بنزين)</t>
        </is>
      </c>
      <c r="G48" s="17" t="n">
        <v>150.01</v>
      </c>
      <c r="H48" s="16" t="inlineStr">
        <is>
          <t>نعم</t>
        </is>
      </c>
      <c r="I48" s="16" t="n"/>
    </row>
    <row r="49">
      <c r="A49" s="16" t="n">
        <v>48</v>
      </c>
      <c r="B49" s="16" t="inlineStr">
        <is>
          <t>حسين مصطفى – مستودع الرياض</t>
        </is>
      </c>
      <c r="C49" s="95" t="n">
        <v>46126</v>
      </c>
      <c r="D49" s="16" t="inlineStr">
        <is>
          <t>ترصيص س عصمت</t>
        </is>
      </c>
      <c r="E49" s="16" t="inlineStr">
        <is>
          <t>VHC-1219</t>
        </is>
      </c>
      <c r="F49" s="16" t="inlineStr">
        <is>
          <t>صيانة سيارات</t>
        </is>
      </c>
      <c r="G49" s="17" t="n">
        <v>150.01</v>
      </c>
      <c r="H49" s="16" t="inlineStr">
        <is>
          <t>نعم</t>
        </is>
      </c>
      <c r="I49" s="16" t="n"/>
    </row>
    <row r="50">
      <c r="A50" s="16" t="n">
        <v>49</v>
      </c>
      <c r="B50" s="16" t="inlineStr">
        <is>
          <t>حسين مصطفى – مستودع الرياض</t>
        </is>
      </c>
      <c r="C50" s="95" t="n">
        <v>46127</v>
      </c>
      <c r="D50" s="16" t="inlineStr">
        <is>
          <t>سوالر س - عماد</t>
        </is>
      </c>
      <c r="E50" s="16" t="inlineStr">
        <is>
          <t>VHC-3010</t>
        </is>
      </c>
      <c r="F50" s="16" t="inlineStr">
        <is>
          <t>وقود (ديزل/بنزين)</t>
        </is>
      </c>
      <c r="G50" s="17" t="n">
        <v>150.01</v>
      </c>
      <c r="H50" s="16" t="inlineStr">
        <is>
          <t>نعم</t>
        </is>
      </c>
      <c r="I50" s="16" t="n"/>
    </row>
    <row r="51">
      <c r="A51" s="16" t="n">
        <v>50</v>
      </c>
      <c r="B51" s="16" t="inlineStr">
        <is>
          <t>حسين مصطفى – مستودع الرياض</t>
        </is>
      </c>
      <c r="C51" s="95" t="n">
        <v>46129</v>
      </c>
      <c r="D51" s="16" t="inlineStr">
        <is>
          <t>شراء غراء سباكة</t>
        </is>
      </c>
      <c r="E51" s="16" t="inlineStr">
        <is>
          <t>EXP.RN.NURSERY</t>
        </is>
      </c>
      <c r="F51" s="16" t="inlineStr">
        <is>
          <t>خدمات ومرافق (كهرباء/مياه/إنترنت/إنشاءات)</t>
        </is>
      </c>
      <c r="G51" s="17" t="n">
        <v>45</v>
      </c>
      <c r="H51" s="16" t="inlineStr">
        <is>
          <t>نعم</t>
        </is>
      </c>
      <c r="I51" s="16" t="n"/>
    </row>
    <row r="52">
      <c r="A52" s="16" t="n">
        <v>51</v>
      </c>
      <c r="B52" s="16" t="inlineStr">
        <is>
          <t>حسين مصطفى – مستودع الرياض</t>
        </is>
      </c>
      <c r="C52" s="95" t="n">
        <v>46129</v>
      </c>
      <c r="D52" s="16" t="inlineStr">
        <is>
          <t>غسيل س عصمت</t>
        </is>
      </c>
      <c r="E52" s="16" t="inlineStr">
        <is>
          <t>VHC-1219</t>
        </is>
      </c>
      <c r="F52" s="16" t="inlineStr">
        <is>
          <t>صيانة سيارات</t>
        </is>
      </c>
      <c r="G52" s="17" t="n">
        <v>60</v>
      </c>
      <c r="H52" s="16" t="inlineStr">
        <is>
          <t>نعم</t>
        </is>
      </c>
      <c r="I52" s="16" t="n"/>
    </row>
    <row r="53">
      <c r="A53" s="16" t="n">
        <v>52</v>
      </c>
      <c r="B53" s="16" t="inlineStr">
        <is>
          <t>حسين مصطفى – مستودع الرياض</t>
        </is>
      </c>
      <c r="C53" s="95" t="n">
        <v>46129</v>
      </c>
      <c r="D53" s="16" t="inlineStr">
        <is>
          <t>غيار زيت وفلتر س عماد</t>
        </is>
      </c>
      <c r="E53" s="16" t="inlineStr">
        <is>
          <t>VHC-3010</t>
        </is>
      </c>
      <c r="F53" s="16" t="inlineStr">
        <is>
          <t>صيانة سيارات</t>
        </is>
      </c>
      <c r="G53" s="17" t="n">
        <v>280</v>
      </c>
      <c r="H53" s="16" t="inlineStr">
        <is>
          <t>نعم</t>
        </is>
      </c>
      <c r="I53" s="16" t="n"/>
    </row>
    <row r="54">
      <c r="A54" s="16" t="n">
        <v>53</v>
      </c>
      <c r="B54" s="16" t="inlineStr">
        <is>
          <t>حسين مصطفى – مستودع الرياض</t>
        </is>
      </c>
      <c r="C54" s="95" t="n">
        <v>46129</v>
      </c>
      <c r="D54" s="16" t="inlineStr">
        <is>
          <t>غسيل وتشحيم س عماد + اصالح ماكينة رش المزرعة MOSTAFA HUSSEIN</t>
        </is>
      </c>
      <c r="E54" s="16" t="inlineStr">
        <is>
          <t>VHC-3010</t>
        </is>
      </c>
      <c r="F54" s="16" t="inlineStr">
        <is>
          <t>صيانة سيارات</t>
        </is>
      </c>
      <c r="G54" s="17" t="n">
        <v>250</v>
      </c>
      <c r="H54" s="16" t="inlineStr">
        <is>
          <t>نعم</t>
        </is>
      </c>
      <c r="I54" s="16" t="n"/>
    </row>
    <row r="55">
      <c r="A55" s="16" t="n">
        <v>54</v>
      </c>
      <c r="B55" s="16" t="inlineStr">
        <is>
          <t>حسين مصطفى – مستودع الرياض</t>
        </is>
      </c>
      <c r="C55" s="95" t="n">
        <v>46129</v>
      </c>
      <c r="D55" s="16" t="inlineStr">
        <is>
          <t>سوالر س عصمت</t>
        </is>
      </c>
      <c r="E55" s="16" t="inlineStr">
        <is>
          <t>VHC-1219</t>
        </is>
      </c>
      <c r="F55" s="16" t="inlineStr">
        <is>
          <t>وقود (ديزل/بنزين)</t>
        </is>
      </c>
      <c r="G55" s="17" t="n">
        <v>200</v>
      </c>
      <c r="H55" s="16" t="inlineStr">
        <is>
          <t>نعم</t>
        </is>
      </c>
      <c r="I55" s="16" t="n"/>
    </row>
    <row r="56">
      <c r="A56" s="16" t="n">
        <v>55</v>
      </c>
      <c r="B56" s="16" t="inlineStr">
        <is>
          <t>حسين مصطفى – مستودع الرياض</t>
        </is>
      </c>
      <c r="C56" s="95" t="n">
        <v>46130</v>
      </c>
      <c r="D56" s="16" t="inlineStr">
        <is>
          <t>سوالر س - عماد</t>
        </is>
      </c>
      <c r="E56" s="16" t="inlineStr">
        <is>
          <t>VHC-3010</t>
        </is>
      </c>
      <c r="F56" s="16" t="inlineStr">
        <is>
          <t>وقود (ديزل/بنزين)</t>
        </is>
      </c>
      <c r="G56" s="17" t="n">
        <v>300</v>
      </c>
      <c r="H56" s="16" t="inlineStr">
        <is>
          <t>نعم</t>
        </is>
      </c>
      <c r="I56" s="16" t="n"/>
    </row>
    <row r="57">
      <c r="A57" s="16" t="n">
        <v>56</v>
      </c>
      <c r="B57" s="16" t="inlineStr">
        <is>
          <t>حسين مصطفى – مستودع الرياض</t>
        </is>
      </c>
      <c r="C57" s="95" t="n">
        <v>46130</v>
      </c>
      <c r="D57" s="16" t="inlineStr">
        <is>
          <t>مياه للشرب</t>
        </is>
      </c>
      <c r="E57" s="16" t="inlineStr">
        <is>
          <t>EXP.RN.NURSERY</t>
        </is>
      </c>
      <c r="F57" s="16" t="inlineStr">
        <is>
          <t>خدمات ومرافق (كهرباء/مياه/إنترنت/إنشاءات)</t>
        </is>
      </c>
      <c r="G57" s="17" t="n">
        <v>70</v>
      </c>
      <c r="H57" s="16" t="inlineStr">
        <is>
          <t>نعم</t>
        </is>
      </c>
      <c r="I57" s="16" t="n"/>
    </row>
    <row r="58">
      <c r="A58" s="16" t="n">
        <v>57</v>
      </c>
      <c r="B58" s="16" t="inlineStr">
        <is>
          <t>حسين مصطفى – مستودع الرياض</t>
        </is>
      </c>
      <c r="C58" s="95" t="n">
        <v>46133</v>
      </c>
      <c r="D58" s="16" t="inlineStr">
        <is>
          <t>سوالر س - عماد</t>
        </is>
      </c>
      <c r="E58" s="16" t="inlineStr">
        <is>
          <t>VHC-3010</t>
        </is>
      </c>
      <c r="F58" s="16" t="inlineStr">
        <is>
          <t>وقود (ديزل/بنزين)</t>
        </is>
      </c>
      <c r="G58" s="17" t="n">
        <v>300</v>
      </c>
      <c r="H58" s="16" t="inlineStr">
        <is>
          <t>نعم</t>
        </is>
      </c>
      <c r="I58" s="16" t="n"/>
    </row>
    <row r="59">
      <c r="A59" s="16" t="n">
        <v>58</v>
      </c>
      <c r="B59" s="16" t="inlineStr">
        <is>
          <t>حسين مصطفى – مستودع الرياض</t>
        </is>
      </c>
      <c r="C59" s="95" t="n">
        <v>46133</v>
      </c>
      <c r="D59" s="16" t="inlineStr">
        <is>
          <t>غيار زيت س عصمت</t>
        </is>
      </c>
      <c r="E59" s="16" t="inlineStr">
        <is>
          <t>VHC-1219</t>
        </is>
      </c>
      <c r="F59" s="16" t="inlineStr">
        <is>
          <t>صيانة سيارات</t>
        </is>
      </c>
      <c r="G59" s="17" t="n">
        <v>225.01</v>
      </c>
      <c r="H59" s="16" t="inlineStr">
        <is>
          <t>نعم</t>
        </is>
      </c>
      <c r="I59" s="16" t="n"/>
    </row>
    <row r="60">
      <c r="A60" s="16" t="n">
        <v>59</v>
      </c>
      <c r="B60" s="16" t="inlineStr">
        <is>
          <t>حسين مصطفى – مستودع الرياض</t>
        </is>
      </c>
      <c r="C60" s="95" t="n">
        <v>46133</v>
      </c>
      <c r="D60" s="16" t="inlineStr">
        <is>
          <t>سوالر س - عصمت</t>
        </is>
      </c>
      <c r="E60" s="16" t="inlineStr">
        <is>
          <t>VHC-1219</t>
        </is>
      </c>
      <c r="F60" s="16" t="inlineStr">
        <is>
          <t>وقود (ديزل/بنزين)</t>
        </is>
      </c>
      <c r="G60" s="17" t="n">
        <v>200.1</v>
      </c>
      <c r="H60" s="16" t="inlineStr">
        <is>
          <t>نعم</t>
        </is>
      </c>
      <c r="I60" s="16" t="n"/>
    </row>
    <row r="61">
      <c r="A61" s="16" t="n">
        <v>60</v>
      </c>
      <c r="B61" s="16" t="inlineStr">
        <is>
          <t>حسين مصطفى – مستودع الرياض</t>
        </is>
      </c>
      <c r="C61" s="95" t="n">
        <v>46133</v>
      </c>
      <c r="D61" s="16" t="inlineStr">
        <is>
          <t>سوالر س - عصمت</t>
        </is>
      </c>
      <c r="E61" s="16" t="inlineStr">
        <is>
          <t>VHC-1219</t>
        </is>
      </c>
      <c r="F61" s="16" t="inlineStr">
        <is>
          <t>وقود (ديزل/بنزين)</t>
        </is>
      </c>
      <c r="G61" s="17" t="n">
        <v>200.1</v>
      </c>
      <c r="H61" s="16" t="inlineStr">
        <is>
          <t>نعم</t>
        </is>
      </c>
      <c r="I61" s="16" t="n"/>
    </row>
    <row r="62">
      <c r="A62" s="16" t="n">
        <v>61</v>
      </c>
      <c r="B62" s="16" t="inlineStr">
        <is>
          <t>حسين مصطفى – مستودع الرياض</t>
        </is>
      </c>
      <c r="C62" s="95" t="n">
        <v>46134</v>
      </c>
      <c r="D62" s="16" t="inlineStr">
        <is>
          <t>سوالر س - عماد</t>
        </is>
      </c>
      <c r="E62" s="16" t="inlineStr">
        <is>
          <t>VHC-3010</t>
        </is>
      </c>
      <c r="F62" s="16" t="inlineStr">
        <is>
          <t>وقود (ديزل/بنزين)</t>
        </is>
      </c>
      <c r="G62" s="17" t="n">
        <v>350</v>
      </c>
      <c r="H62" s="16" t="inlineStr">
        <is>
          <t>نعم</t>
        </is>
      </c>
      <c r="I62" s="16" t="n"/>
    </row>
    <row r="63">
      <c r="A63" s="16" t="n">
        <v>62</v>
      </c>
      <c r="B63" s="16" t="inlineStr">
        <is>
          <t>حسين مصطفى – مستودع الرياض</t>
        </is>
      </c>
      <c r="C63" s="95" t="n">
        <v>46136</v>
      </c>
      <c r="D63" s="16" t="inlineStr">
        <is>
          <t>بنزين للوانيت</t>
        </is>
      </c>
      <c r="E63" s="16" t="inlineStr">
        <is>
          <t>VHC-5564</t>
        </is>
      </c>
      <c r="F63" s="16" t="inlineStr">
        <is>
          <t>وقود (ديزل/بنزين)</t>
        </is>
      </c>
      <c r="G63" s="17" t="n">
        <v>100.02</v>
      </c>
      <c r="H63" s="16" t="inlineStr">
        <is>
          <t>نعم</t>
        </is>
      </c>
      <c r="I63" s="16" t="n"/>
    </row>
    <row r="64">
      <c r="A64" s="16" t="n">
        <v>63</v>
      </c>
      <c r="B64" s="16" t="inlineStr">
        <is>
          <t>حسين مصطفى – مستودع الرياض</t>
        </is>
      </c>
      <c r="C64" s="95" t="n">
        <v>46136</v>
      </c>
      <c r="D64" s="16" t="inlineStr">
        <is>
          <t>سوالر س - عماد</t>
        </is>
      </c>
      <c r="E64" s="16" t="inlineStr">
        <is>
          <t>VHC-3010</t>
        </is>
      </c>
      <c r="F64" s="16" t="inlineStr">
        <is>
          <t>وقود (ديزل/بنزين)</t>
        </is>
      </c>
      <c r="G64" s="17" t="n">
        <v>315.01</v>
      </c>
      <c r="H64" s="16" t="inlineStr">
        <is>
          <t>نعم</t>
        </is>
      </c>
      <c r="I64" s="16" t="n"/>
    </row>
    <row r="65">
      <c r="A65" s="16" t="n">
        <v>64</v>
      </c>
      <c r="B65" s="16" t="inlineStr">
        <is>
          <t>حسين مصطفى – مستودع الرياض</t>
        </is>
      </c>
      <c r="C65" s="95" t="n">
        <v>46137</v>
      </c>
      <c r="D65" s="16" t="inlineStr">
        <is>
          <t>سوالر س - عصمت</t>
        </is>
      </c>
      <c r="E65" s="16" t="inlineStr">
        <is>
          <t>VHC-1219</t>
        </is>
      </c>
      <c r="F65" s="16" t="inlineStr">
        <is>
          <t>وقود (ديزل/بنزين)</t>
        </is>
      </c>
      <c r="G65" s="17" t="n">
        <v>200</v>
      </c>
      <c r="H65" s="16" t="inlineStr">
        <is>
          <t>نعم</t>
        </is>
      </c>
      <c r="I65" s="16" t="n"/>
    </row>
    <row r="66">
      <c r="A66" s="16" t="n">
        <v>65</v>
      </c>
      <c r="B66" s="16" t="inlineStr">
        <is>
          <t>حسين مصطفى – مستودع الرياض</t>
        </is>
      </c>
      <c r="C66" s="95" t="n">
        <v>46137</v>
      </c>
      <c r="D66" s="16" t="inlineStr">
        <is>
          <t>سوالر س - عماد</t>
        </is>
      </c>
      <c r="E66" s="16" t="inlineStr">
        <is>
          <t>VHC-3010</t>
        </is>
      </c>
      <c r="F66" s="16" t="inlineStr">
        <is>
          <t>وقود (ديزل/بنزين)</t>
        </is>
      </c>
      <c r="G66" s="17" t="n">
        <v>200</v>
      </c>
      <c r="H66" s="16" t="inlineStr">
        <is>
          <t>نعم</t>
        </is>
      </c>
      <c r="I66" s="16" t="n"/>
    </row>
    <row r="67">
      <c r="A67" s="16" t="n">
        <v>66</v>
      </c>
      <c r="B67" s="16" t="inlineStr">
        <is>
          <t>حسين مصطفى – مستودع الرياض</t>
        </is>
      </c>
      <c r="C67" s="95" t="n">
        <v>46138</v>
      </c>
      <c r="D67" s="16" t="inlineStr">
        <is>
          <t>صيانة ماتور الرش + زيت</t>
        </is>
      </c>
      <c r="E67" s="16" t="inlineStr">
        <is>
          <t>EXP.RN.NURSERY</t>
        </is>
      </c>
      <c r="F67" s="16" t="inlineStr">
        <is>
          <t>خدمات ومرافق (كهرباء/مياه/إنترنت/إنشاءات)</t>
        </is>
      </c>
      <c r="G67" s="17" t="n">
        <v>210</v>
      </c>
      <c r="H67" s="16" t="inlineStr">
        <is>
          <t>نعم</t>
        </is>
      </c>
      <c r="I67" s="16" t="n"/>
    </row>
    <row r="68">
      <c r="A68" s="16" t="n">
        <v>67</v>
      </c>
      <c r="B68" s="16" t="inlineStr">
        <is>
          <t>حسين مصطفى – مستودع الرياض</t>
        </is>
      </c>
      <c r="C68" s="95" t="n">
        <v>46139</v>
      </c>
      <c r="D68" s="16" t="inlineStr">
        <is>
          <t>سوالر س - عماد</t>
        </is>
      </c>
      <c r="E68" s="16" t="inlineStr">
        <is>
          <t>VHC-3010</t>
        </is>
      </c>
      <c r="F68" s="16" t="inlineStr">
        <is>
          <t>وقود (ديزل/بنزين)</t>
        </is>
      </c>
      <c r="G68" s="17" t="n">
        <v>200</v>
      </c>
      <c r="H68" s="16" t="inlineStr">
        <is>
          <t>نعم</t>
        </is>
      </c>
      <c r="I68" s="16" t="n"/>
    </row>
    <row r="69">
      <c r="A69" s="16" t="n">
        <v>68</v>
      </c>
      <c r="B69" s="16" t="inlineStr">
        <is>
          <t>حسين مصطفى – مستودع الرياض</t>
        </is>
      </c>
      <c r="C69" s="95" t="n">
        <v>46139</v>
      </c>
      <c r="D69" s="16" t="inlineStr">
        <is>
          <t>شراء مبيدات للزهور</t>
        </is>
      </c>
      <c r="E69" s="16" t="inlineStr">
        <is>
          <t>EXP.RN.NURSERY</t>
        </is>
      </c>
      <c r="F69" s="16" t="inlineStr">
        <is>
          <t>مصروفات تشغيل المزرعة</t>
        </is>
      </c>
      <c r="G69" s="17" t="n">
        <v>325</v>
      </c>
      <c r="H69" s="16" t="inlineStr">
        <is>
          <t>نعم</t>
        </is>
      </c>
      <c r="I69" s="16" t="n"/>
    </row>
    <row r="70">
      <c r="A70" s="16" t="n">
        <v>69</v>
      </c>
      <c r="B70" s="16" t="inlineStr">
        <is>
          <t>حسين مصطفى – مستودع الرياض</t>
        </is>
      </c>
      <c r="C70" s="95" t="n">
        <v>46139</v>
      </c>
      <c r="D70" s="16" t="inlineStr">
        <is>
          <t>شراء مبيدات للزهور</t>
        </is>
      </c>
      <c r="E70" s="16" t="inlineStr">
        <is>
          <t>EXP.RN.NURSERY</t>
        </is>
      </c>
      <c r="F70" s="16" t="inlineStr">
        <is>
          <t>مصروفات تشغيل المزرعة</t>
        </is>
      </c>
      <c r="G70" s="17" t="n">
        <v>275</v>
      </c>
      <c r="H70" s="16" t="inlineStr">
        <is>
          <t>نعم</t>
        </is>
      </c>
      <c r="I70" s="16" t="n"/>
    </row>
    <row r="71">
      <c r="A71" s="16" t="n">
        <v>70</v>
      </c>
      <c r="B71" s="16" t="inlineStr">
        <is>
          <t>حسين مصطفى – مستودع الرياض</t>
        </is>
      </c>
      <c r="C71" s="95" t="n">
        <v>46141</v>
      </c>
      <c r="D71" s="16" t="inlineStr">
        <is>
          <t>سوالر س - عصمت</t>
        </is>
      </c>
      <c r="E71" s="16" t="inlineStr">
        <is>
          <t>VHC-1219</t>
        </is>
      </c>
      <c r="F71" s="16" t="inlineStr">
        <is>
          <t>وقود (ديزل/بنزين)</t>
        </is>
      </c>
      <c r="G71" s="17" t="n">
        <v>230</v>
      </c>
      <c r="H71" s="16" t="inlineStr">
        <is>
          <t>نعم</t>
        </is>
      </c>
      <c r="I71" s="16" t="n"/>
    </row>
    <row r="72">
      <c r="A72" s="16" t="n">
        <v>71</v>
      </c>
      <c r="B72" s="16" t="inlineStr">
        <is>
          <t>حسين مصطفى – مستودع الرياض</t>
        </is>
      </c>
      <c r="C72" s="95" t="n">
        <v>46143</v>
      </c>
      <c r="D72" s="16" t="inlineStr">
        <is>
          <t>سوالر س - عماد</t>
        </is>
      </c>
      <c r="E72" s="16" t="inlineStr">
        <is>
          <t>VHC-3010</t>
        </is>
      </c>
      <c r="F72" s="16" t="inlineStr">
        <is>
          <t>وقود (ديزل/بنزين)</t>
        </is>
      </c>
      <c r="G72" s="17" t="n">
        <v>300</v>
      </c>
      <c r="H72" s="16" t="inlineStr">
        <is>
          <t>نعم</t>
        </is>
      </c>
      <c r="I72" s="16" t="n"/>
    </row>
    <row r="73">
      <c r="A73" s="16" t="n">
        <v>72</v>
      </c>
      <c r="B73" s="16" t="inlineStr">
        <is>
          <t>حسين مصطفى – مستودع الرياض</t>
        </is>
      </c>
      <c r="C73" s="95" t="n">
        <v>46143</v>
      </c>
      <c r="D73" s="16" t="inlineStr">
        <is>
          <t>غسيل وتشحيم س - عماد</t>
        </is>
      </c>
      <c r="E73" s="16" t="inlineStr">
        <is>
          <t>VHC-3010</t>
        </is>
      </c>
      <c r="F73" s="16" t="inlineStr">
        <is>
          <t>وقود (ديزل/بنزين)</t>
        </is>
      </c>
      <c r="G73" s="17" t="n">
        <v>100</v>
      </c>
      <c r="H73" s="16" t="inlineStr">
        <is>
          <t>نعم</t>
        </is>
      </c>
      <c r="I73" s="16" t="n"/>
    </row>
    <row r="74">
      <c r="A74" s="16" t="n">
        <v>73</v>
      </c>
      <c r="B74" s="16" t="inlineStr">
        <is>
          <t>حسين مصطفى – مستودع الرياض</t>
        </is>
      </c>
      <c r="C74" s="95" t="n">
        <v>46144</v>
      </c>
      <c r="D74" s="16" t="inlineStr">
        <is>
          <t>سوالر س - عصمت</t>
        </is>
      </c>
      <c r="E74" s="16" t="inlineStr">
        <is>
          <t>VHC-1219</t>
        </is>
      </c>
      <c r="F74" s="16" t="inlineStr">
        <is>
          <t>وقود (ديزل/بنزين)</t>
        </is>
      </c>
      <c r="G74" s="17" t="n">
        <v>250.01</v>
      </c>
      <c r="H74" s="16" t="inlineStr">
        <is>
          <t>نعم</t>
        </is>
      </c>
      <c r="I74" s="16" t="n"/>
    </row>
    <row r="75">
      <c r="A75" s="16" t="n">
        <v>74</v>
      </c>
      <c r="B75" s="16" t="inlineStr">
        <is>
          <t>حسين مصطفى – مستودع الرياض</t>
        </is>
      </c>
      <c r="C75" s="95" t="n">
        <v>46144</v>
      </c>
      <c r="D75" s="16" t="inlineStr">
        <is>
          <t>سوالر س - عماد</t>
        </is>
      </c>
      <c r="E75" s="16" t="inlineStr">
        <is>
          <t>VHC-3010</t>
        </is>
      </c>
      <c r="F75" s="16" t="inlineStr">
        <is>
          <t>وقود (ديزل/بنزين)</t>
        </is>
      </c>
      <c r="G75" s="17" t="n">
        <v>300</v>
      </c>
      <c r="H75" s="16" t="inlineStr">
        <is>
          <t>نعم</t>
        </is>
      </c>
      <c r="I75" s="16" t="n"/>
    </row>
    <row r="76">
      <c r="A76" s="16" t="n">
        <v>75</v>
      </c>
      <c r="B76" s="16" t="inlineStr">
        <is>
          <t>حسين مصطفى – مستودع الرياض</t>
        </is>
      </c>
      <c r="C76" s="95" t="n">
        <v>46144</v>
      </c>
      <c r="D76" s="16" t="inlineStr">
        <is>
          <t>غيار زيت س عماد</t>
        </is>
      </c>
      <c r="E76" s="16" t="inlineStr">
        <is>
          <t>VHC-3010</t>
        </is>
      </c>
      <c r="F76" s="16" t="inlineStr">
        <is>
          <t>صيانة سيارات</t>
        </is>
      </c>
      <c r="G76" s="17" t="n">
        <v>300</v>
      </c>
      <c r="H76" s="16" t="inlineStr">
        <is>
          <t>نعم</t>
        </is>
      </c>
      <c r="I76" s="16" t="n"/>
    </row>
    <row r="77">
      <c r="A77" s="16" t="n">
        <v>76</v>
      </c>
      <c r="B77" s="16" t="inlineStr">
        <is>
          <t>حسين مصطفى – مستودع الرياض</t>
        </is>
      </c>
      <c r="C77" s="95" t="n">
        <v>46145</v>
      </c>
      <c r="D77" s="16" t="inlineStr">
        <is>
          <t>مياه للشرب</t>
        </is>
      </c>
      <c r="E77" s="16" t="inlineStr">
        <is>
          <t>RN-DEPARTMENT</t>
        </is>
      </c>
      <c r="F77" s="16" t="inlineStr">
        <is>
          <t>خدمات ومرافق (كهرباء/مياه/إنترنت/إنشاءات)</t>
        </is>
      </c>
      <c r="G77" s="17" t="n">
        <v>70</v>
      </c>
      <c r="H77" s="16" t="inlineStr">
        <is>
          <t>نعم</t>
        </is>
      </c>
      <c r="I77" s="16" t="n"/>
    </row>
    <row r="78">
      <c r="A78" s="16" t="n">
        <v>77</v>
      </c>
      <c r="B78" s="16" t="inlineStr">
        <is>
          <t>حسين مصطفى – مستودع الرياض</t>
        </is>
      </c>
      <c r="C78" s="95" t="n">
        <v>46145</v>
      </c>
      <c r="D78" s="16" t="inlineStr">
        <is>
          <t>سوالر س - عماد</t>
        </is>
      </c>
      <c r="E78" s="16" t="inlineStr">
        <is>
          <t>VHC-3010</t>
        </is>
      </c>
      <c r="F78" s="16" t="inlineStr">
        <is>
          <t>وقود (ديزل/بنزين)</t>
        </is>
      </c>
      <c r="G78" s="17" t="n">
        <v>300</v>
      </c>
      <c r="H78" s="16" t="inlineStr">
        <is>
          <t>نعم</t>
        </is>
      </c>
      <c r="I78" s="16" t="n"/>
    </row>
    <row r="79">
      <c r="A79" s="16" t="n">
        <v>78</v>
      </c>
      <c r="B79" s="16" t="inlineStr">
        <is>
          <t>حسين مصطفى – مستودع الرياض</t>
        </is>
      </c>
      <c r="C79" s="95" t="n">
        <v>46146</v>
      </c>
      <c r="D79" s="16" t="inlineStr">
        <is>
          <t>شراء مقصات شجر</t>
        </is>
      </c>
      <c r="E79" s="16" t="inlineStr">
        <is>
          <t>EXP.RN.NURSERY</t>
        </is>
      </c>
      <c r="F79" s="16" t="inlineStr">
        <is>
          <t>مصروفات تشغيل المزرعة</t>
        </is>
      </c>
      <c r="G79" s="17" t="n">
        <v>118.45</v>
      </c>
      <c r="H79" s="16" t="inlineStr">
        <is>
          <t>نعم</t>
        </is>
      </c>
      <c r="I79" s="16" t="n"/>
    </row>
    <row r="80">
      <c r="A80" s="16" t="n">
        <v>79</v>
      </c>
      <c r="B80" s="16" t="inlineStr">
        <is>
          <t>حسين مصطفى – مستودع الرياض</t>
        </is>
      </c>
      <c r="C80" s="95" t="n">
        <v>46146</v>
      </c>
      <c r="D80" s="16" t="inlineStr">
        <is>
          <t>سوالر س - عماد</t>
        </is>
      </c>
      <c r="E80" s="16" t="inlineStr">
        <is>
          <t>VHC-3010</t>
        </is>
      </c>
      <c r="F80" s="16" t="inlineStr">
        <is>
          <t>وقود (ديزل/بنزين)</t>
        </is>
      </c>
      <c r="G80" s="17" t="n">
        <v>250.01</v>
      </c>
      <c r="H80" s="16" t="inlineStr">
        <is>
          <t>نعم</t>
        </is>
      </c>
      <c r="I80" s="16" t="n"/>
    </row>
    <row r="81">
      <c r="A81" s="16" t="n">
        <v>80</v>
      </c>
      <c r="B81" s="16" t="inlineStr">
        <is>
          <t>حسين مصطفى – مستودع الرياض</t>
        </is>
      </c>
      <c r="C81" s="95" t="n">
        <v>46147</v>
      </c>
      <c r="D81" s="16" t="inlineStr">
        <is>
          <t>سوالر س - عصمت</t>
        </is>
      </c>
      <c r="E81" s="16" t="inlineStr">
        <is>
          <t>VHC-1219</t>
        </is>
      </c>
      <c r="F81" s="16" t="inlineStr">
        <is>
          <t>وقود (ديزل/بنزين)</t>
        </is>
      </c>
      <c r="G81" s="17" t="n">
        <v>250</v>
      </c>
      <c r="H81" s="16" t="inlineStr">
        <is>
          <t>نعم</t>
        </is>
      </c>
      <c r="I81" s="16" t="n"/>
    </row>
    <row r="82">
      <c r="A82" s="16" t="n">
        <v>81</v>
      </c>
      <c r="B82" s="16" t="inlineStr">
        <is>
          <t>حسين مصطفى – مستودع الرياض</t>
        </is>
      </c>
      <c r="C82" s="95" t="n">
        <v>46147</v>
      </c>
      <c r="D82" s="16" t="inlineStr">
        <is>
          <t>شراء خيط الشجار وزراديه</t>
        </is>
      </c>
      <c r="E82" s="16" t="inlineStr">
        <is>
          <t>EXP.RN.NURSERY</t>
        </is>
      </c>
      <c r="F82" s="16" t="inlineStr">
        <is>
          <t>مصروفات تشغيل المزرعة</t>
        </is>
      </c>
      <c r="G82" s="17" t="n">
        <v>85</v>
      </c>
      <c r="H82" s="16" t="inlineStr">
        <is>
          <t>نعم</t>
        </is>
      </c>
      <c r="I82" s="16" t="n"/>
    </row>
    <row r="83">
      <c r="A83" s="16" t="n">
        <v>82</v>
      </c>
      <c r="B83" s="16" t="inlineStr">
        <is>
          <t>حسين مصطفى – مستودع الرياض</t>
        </is>
      </c>
      <c r="C83" s="95" t="n">
        <v>46148</v>
      </c>
      <c r="D83" s="16" t="inlineStr">
        <is>
          <t>سوالر س عماد</t>
        </is>
      </c>
      <c r="E83" s="16" t="inlineStr">
        <is>
          <t>VHC-3010</t>
        </is>
      </c>
      <c r="F83" s="16" t="inlineStr">
        <is>
          <t>وقود (ديزل/بنزين)</t>
        </is>
      </c>
      <c r="G83" s="17" t="n">
        <v>200</v>
      </c>
      <c r="H83" s="16" t="inlineStr">
        <is>
          <t>نعم</t>
        </is>
      </c>
      <c r="I83" s="16" t="n"/>
    </row>
    <row r="84">
      <c r="A84" s="16" t="n">
        <v>83</v>
      </c>
      <c r="B84" s="16" t="inlineStr">
        <is>
          <t>حسين مصطفى – مستودع الرياض</t>
        </is>
      </c>
      <c r="C84" s="95" t="n">
        <v>46148</v>
      </c>
      <c r="D84" s="16" t="inlineStr">
        <is>
          <t>غسيل س - عصمت</t>
        </is>
      </c>
      <c r="E84" s="16" t="inlineStr">
        <is>
          <t>VHC-1219</t>
        </is>
      </c>
      <c r="F84" s="16" t="inlineStr">
        <is>
          <t>صيانة سيارات</t>
        </is>
      </c>
      <c r="G84" s="17" t="n">
        <v>60</v>
      </c>
      <c r="H84" s="16" t="inlineStr">
        <is>
          <t>نعم</t>
        </is>
      </c>
      <c r="I84" s="16" t="n"/>
    </row>
    <row r="85">
      <c r="A85" s="16" t="n">
        <v>84</v>
      </c>
      <c r="B85" s="16" t="inlineStr">
        <is>
          <t>حسين مصطفى – مستودع الرياض</t>
        </is>
      </c>
      <c r="C85" s="95" t="n">
        <v>46148</v>
      </c>
      <c r="D85" s="16" t="inlineStr">
        <is>
          <t>غيار زيت س عصمت</t>
        </is>
      </c>
      <c r="E85" s="16" t="inlineStr">
        <is>
          <t>VHC-1219</t>
        </is>
      </c>
      <c r="F85" s="16" t="inlineStr">
        <is>
          <t>صيانة سيارات</t>
        </is>
      </c>
      <c r="G85" s="17" t="n">
        <v>245.01</v>
      </c>
      <c r="H85" s="16" t="inlineStr">
        <is>
          <t>نعم</t>
        </is>
      </c>
      <c r="I85" s="16" t="n"/>
    </row>
    <row r="86">
      <c r="A86" s="16" t="n">
        <v>85</v>
      </c>
      <c r="B86" s="16" t="inlineStr">
        <is>
          <t>حسين مصطفى – مستودع الرياض</t>
        </is>
      </c>
      <c r="C86" s="95" t="n">
        <v>46150</v>
      </c>
      <c r="D86" s="16" t="inlineStr">
        <is>
          <t>سوالر س عماد</t>
        </is>
      </c>
      <c r="E86" s="16" t="inlineStr">
        <is>
          <t>VHC-3010</t>
        </is>
      </c>
      <c r="F86" s="16" t="inlineStr">
        <is>
          <t>وقود (ديزل/بنزين)</t>
        </is>
      </c>
      <c r="G86" s="17" t="n">
        <v>220.01</v>
      </c>
      <c r="H86" s="16" t="inlineStr">
        <is>
          <t>نعم</t>
        </is>
      </c>
      <c r="I86" s="16" t="n"/>
    </row>
    <row r="87">
      <c r="A87" s="16" t="n">
        <v>86</v>
      </c>
      <c r="B87" s="16" t="inlineStr">
        <is>
          <t>حسين مصطفى – مستودع الرياض</t>
        </is>
      </c>
      <c r="C87" s="95" t="n">
        <v>46151</v>
      </c>
      <c r="D87" s="16" t="inlineStr">
        <is>
          <t>سوالر س عماد</t>
        </is>
      </c>
      <c r="E87" s="16" t="inlineStr">
        <is>
          <t>VHC-3010</t>
        </is>
      </c>
      <c r="F87" s="16" t="inlineStr">
        <is>
          <t>وقود (ديزل/بنزين)</t>
        </is>
      </c>
      <c r="G87" s="17" t="n">
        <v>300</v>
      </c>
      <c r="H87" s="16" t="inlineStr">
        <is>
          <t>نعم</t>
        </is>
      </c>
      <c r="I87" s="16" t="n"/>
    </row>
    <row r="88">
      <c r="A88" s="16" t="n">
        <v>87</v>
      </c>
      <c r="B88" s="16" t="inlineStr">
        <is>
          <t>حسين مصطفى – مستودع الرياض</t>
        </is>
      </c>
      <c r="C88" s="95" t="n">
        <v>46151</v>
      </c>
      <c r="D88" s="16" t="inlineStr">
        <is>
          <t>سوالر س - عصمت</t>
        </is>
      </c>
      <c r="E88" s="16" t="inlineStr">
        <is>
          <t>VHC-1219</t>
        </is>
      </c>
      <c r="F88" s="16" t="inlineStr">
        <is>
          <t>وقود (ديزل/بنزين)</t>
        </is>
      </c>
      <c r="G88" s="17" t="n">
        <v>276</v>
      </c>
      <c r="H88" s="16" t="inlineStr">
        <is>
          <t>نعم</t>
        </is>
      </c>
      <c r="I88" s="16" t="n"/>
    </row>
    <row r="89">
      <c r="A89" s="16" t="n">
        <v>88</v>
      </c>
      <c r="B89" s="16" t="inlineStr">
        <is>
          <t>حسين مصطفى – مستودع الرياض</t>
        </is>
      </c>
      <c r="C89" s="95" t="n">
        <v>46152</v>
      </c>
      <c r="D89" s="16" t="inlineStr">
        <is>
          <t>سوالر س عماد</t>
        </is>
      </c>
      <c r="E89" s="16" t="inlineStr">
        <is>
          <t>VHC-3010</t>
        </is>
      </c>
      <c r="F89" s="16" t="inlineStr">
        <is>
          <t>وقود (ديزل/بنزين)</t>
        </is>
      </c>
      <c r="G89" s="17" t="n">
        <v>200</v>
      </c>
      <c r="H89" s="16" t="inlineStr">
        <is>
          <t>نعم</t>
        </is>
      </c>
      <c r="I89" s="16" t="n"/>
    </row>
    <row r="90">
      <c r="A90" s="16" t="n">
        <v>89</v>
      </c>
      <c r="B90" s="16" t="inlineStr">
        <is>
          <t>حسين مصطفى – مستودع الرياض</t>
        </is>
      </c>
      <c r="C90" s="95" t="n">
        <v>46154</v>
      </c>
      <c r="D90" s="16" t="inlineStr">
        <is>
          <t>شراء حبر للطابعة</t>
        </is>
      </c>
      <c r="E90" s="16" t="inlineStr">
        <is>
          <t>RN-DEPARTMENT</t>
        </is>
      </c>
      <c r="F90" s="16" t="inlineStr">
        <is>
          <t>مصروفات تشغيل المزرعة</t>
        </is>
      </c>
      <c r="G90" s="17" t="n">
        <v>420</v>
      </c>
      <c r="H90" s="16" t="inlineStr">
        <is>
          <t>نعم</t>
        </is>
      </c>
      <c r="I90" s="16" t="n"/>
    </row>
    <row r="91">
      <c r="A91" s="16" t="n">
        <v>90</v>
      </c>
      <c r="B91" s="16" t="inlineStr">
        <is>
          <t>حسين مصطفى – مستودع الرياض</t>
        </is>
      </c>
      <c r="C91" s="95" t="n">
        <v>46155</v>
      </c>
      <c r="D91" s="16" t="inlineStr">
        <is>
          <t>سوالر س - عصمت</t>
        </is>
      </c>
      <c r="E91" s="16" t="inlineStr">
        <is>
          <t>VHC-1219</t>
        </is>
      </c>
      <c r="F91" s="16" t="inlineStr">
        <is>
          <t>وقود (ديزل/بنزين)</t>
        </is>
      </c>
      <c r="G91" s="17" t="n">
        <v>270</v>
      </c>
      <c r="H91" s="16" t="inlineStr">
        <is>
          <t>نعم</t>
        </is>
      </c>
      <c r="I91" s="16" t="n"/>
    </row>
    <row r="92">
      <c r="A92" s="16" t="n">
        <v>91</v>
      </c>
      <c r="B92" s="16" t="inlineStr">
        <is>
          <t>حسين مصطفى – مستودع الرياض</t>
        </is>
      </c>
      <c r="C92" s="95" t="n">
        <v>46155</v>
      </c>
      <c r="D92" s="16" t="inlineStr">
        <is>
          <t>شراء 2 لمبة جنب س - عصمت</t>
        </is>
      </c>
      <c r="E92" s="16" t="inlineStr">
        <is>
          <t>VHC-1219</t>
        </is>
      </c>
      <c r="F92" s="16" t="inlineStr">
        <is>
          <t>صيانة سيارات</t>
        </is>
      </c>
      <c r="G92" s="17" t="n">
        <v>20.01</v>
      </c>
      <c r="H92" s="16" t="inlineStr">
        <is>
          <t>نعم</t>
        </is>
      </c>
      <c r="I92" s="16" t="n"/>
    </row>
    <row r="93">
      <c r="A93" s="16" t="n">
        <v>92</v>
      </c>
      <c r="B93" s="16" t="inlineStr">
        <is>
          <t>حسين مصطفى – مستودع الرياض</t>
        </is>
      </c>
      <c r="C93" s="95" t="n">
        <v>46157</v>
      </c>
      <c r="D93" s="16" t="inlineStr">
        <is>
          <t>شراء لمبات ومفاتيح للغرف</t>
        </is>
      </c>
      <c r="E93" s="16" t="inlineStr">
        <is>
          <t>RN-DEPARTMENT</t>
        </is>
      </c>
      <c r="F93" s="16" t="inlineStr">
        <is>
          <t>خدمات ومرافق (كهرباء/مياه/إنترنت/إنشاءات)</t>
        </is>
      </c>
      <c r="G93" s="17" t="n">
        <v>103.5</v>
      </c>
      <c r="H93" s="16" t="inlineStr">
        <is>
          <t>نعم</t>
        </is>
      </c>
      <c r="I93" s="16" t="n"/>
    </row>
    <row r="94">
      <c r="A94" s="16" t="n">
        <v>93</v>
      </c>
      <c r="B94" s="16" t="inlineStr">
        <is>
          <t>حسين مصطفى – مستودع الرياض</t>
        </is>
      </c>
      <c r="C94" s="95" t="n">
        <v>46157</v>
      </c>
      <c r="D94" s="16" t="inlineStr">
        <is>
          <t>سوالر س عماد</t>
        </is>
      </c>
      <c r="E94" s="16" t="inlineStr">
        <is>
          <t>VHC-3010</t>
        </is>
      </c>
      <c r="F94" s="16" t="inlineStr">
        <is>
          <t>وقود (ديزل/بنزين)</t>
        </is>
      </c>
      <c r="G94" s="17" t="n">
        <v>300</v>
      </c>
      <c r="H94" s="16" t="inlineStr">
        <is>
          <t>نعم</t>
        </is>
      </c>
      <c r="I94" s="16" t="n"/>
    </row>
    <row r="95">
      <c r="A95" s="16" t="n">
        <v>94</v>
      </c>
      <c r="B95" s="16" t="inlineStr">
        <is>
          <t>حسين مصطفى – مستودع الرياض</t>
        </is>
      </c>
      <c r="C95" s="95" t="n">
        <v>46159</v>
      </c>
      <c r="D95" s="16" t="inlineStr">
        <is>
          <t>مياه للشرب</t>
        </is>
      </c>
      <c r="E95" s="16" t="inlineStr">
        <is>
          <t>RN-DEPARTMENT</t>
        </is>
      </c>
      <c r="F95" s="16" t="inlineStr">
        <is>
          <t>خدمات ومرافق (كهرباء/مياه/إنترنت/إنشاءات)</t>
        </is>
      </c>
      <c r="G95" s="17" t="n">
        <v>70</v>
      </c>
      <c r="H95" s="16" t="inlineStr">
        <is>
          <t>نعم</t>
        </is>
      </c>
      <c r="I95" s="16" t="n"/>
    </row>
    <row r="96">
      <c r="A96" s="16" t="n">
        <v>95</v>
      </c>
      <c r="B96" s="16" t="inlineStr">
        <is>
          <t>حسين مصطفى – مستودع الرياض</t>
        </is>
      </c>
      <c r="C96" s="95" t="n">
        <v>46159</v>
      </c>
      <c r="D96" s="16" t="inlineStr">
        <is>
          <t>سوالر س عماد</t>
        </is>
      </c>
      <c r="E96" s="16" t="inlineStr">
        <is>
          <t>VHC-3010</t>
        </is>
      </c>
      <c r="F96" s="16" t="inlineStr">
        <is>
          <t>وقود (ديزل/بنزين)</t>
        </is>
      </c>
      <c r="G96" s="17" t="n">
        <v>280.01</v>
      </c>
      <c r="H96" s="16" t="inlineStr">
        <is>
          <t>نعم</t>
        </is>
      </c>
      <c r="I96" s="16" t="n"/>
    </row>
    <row r="97">
      <c r="A97" s="16" t="n">
        <v>96</v>
      </c>
      <c r="B97" s="16" t="inlineStr">
        <is>
          <t>حسين مصطفى – مستودع الرياض</t>
        </is>
      </c>
      <c r="C97" s="95" t="n">
        <v>46160</v>
      </c>
      <c r="D97" s="16" t="inlineStr">
        <is>
          <t>سوالر س عماد - تبوك</t>
        </is>
      </c>
      <c r="E97" s="16" t="inlineStr">
        <is>
          <t>VHC-3010</t>
        </is>
      </c>
      <c r="F97" s="16" t="inlineStr">
        <is>
          <t>وقود (ديزل/بنزين)</t>
        </is>
      </c>
      <c r="G97" s="17" t="n">
        <v>300</v>
      </c>
      <c r="H97" s="16" t="inlineStr">
        <is>
          <t>نعم</t>
        </is>
      </c>
      <c r="I97" s="16" t="n"/>
    </row>
    <row r="98">
      <c r="A98" s="16" t="n">
        <v>97</v>
      </c>
      <c r="B98" s="16" t="inlineStr">
        <is>
          <t>حسين مصطفى – مستودع الرياض</t>
        </is>
      </c>
      <c r="C98" s="95" t="n">
        <v>46160</v>
      </c>
      <c r="D98" s="16" t="inlineStr">
        <is>
          <t>سوالر س عماد - تبوك</t>
        </is>
      </c>
      <c r="E98" s="16" t="inlineStr">
        <is>
          <t>VHC-3010</t>
        </is>
      </c>
      <c r="F98" s="16" t="inlineStr">
        <is>
          <t>وقود (ديزل/بنزين)</t>
        </is>
      </c>
      <c r="G98" s="17" t="n">
        <v>300</v>
      </c>
      <c r="H98" s="16" t="inlineStr">
        <is>
          <t>نعم</t>
        </is>
      </c>
      <c r="I98" s="16" t="n"/>
    </row>
    <row r="99">
      <c r="A99" s="16" t="n">
        <v>98</v>
      </c>
      <c r="B99" s="16" t="inlineStr">
        <is>
          <t>حسين مصطفى – مستودع الرياض</t>
        </is>
      </c>
      <c r="C99" s="95" t="n">
        <v>46160</v>
      </c>
      <c r="D99" s="16" t="inlineStr">
        <is>
          <t>سوالر س - عصمت ( تبوك )</t>
        </is>
      </c>
      <c r="E99" s="16" t="inlineStr">
        <is>
          <t>VHC-1219</t>
        </is>
      </c>
      <c r="F99" s="16" t="inlineStr">
        <is>
          <t>وقود (ديزل/بنزين)</t>
        </is>
      </c>
      <c r="G99" s="17" t="n">
        <v>135</v>
      </c>
      <c r="H99" s="16" t="inlineStr">
        <is>
          <t>نعم</t>
        </is>
      </c>
      <c r="I99" s="16" t="n"/>
    </row>
    <row r="100">
      <c r="A100" s="16" t="n">
        <v>99</v>
      </c>
      <c r="B100" s="16" t="inlineStr">
        <is>
          <t>حسين مصطفى – مستودع الرياض</t>
        </is>
      </c>
      <c r="C100" s="95" t="n">
        <v>46160</v>
      </c>
      <c r="D100" s="16" t="inlineStr">
        <is>
          <t>سوالر س - عصمت ( تبوك )</t>
        </is>
      </c>
      <c r="E100" s="16" t="inlineStr">
        <is>
          <t>VHC-1219</t>
        </is>
      </c>
      <c r="F100" s="16" t="inlineStr">
        <is>
          <t>وقود (ديزل/بنزين)</t>
        </is>
      </c>
      <c r="G100" s="17" t="n">
        <v>120.11</v>
      </c>
      <c r="H100" s="16" t="inlineStr">
        <is>
          <t>نعم</t>
        </is>
      </c>
      <c r="I100" s="16" t="n"/>
    </row>
    <row r="101">
      <c r="A101" s="16" t="n">
        <v>100</v>
      </c>
      <c r="B101" s="16" t="inlineStr">
        <is>
          <t>حسين مصطفى – مستودع الرياض</t>
        </is>
      </c>
      <c r="C101" s="95" t="n">
        <v>46160</v>
      </c>
      <c r="D101" s="16" t="inlineStr">
        <is>
          <t>سوالر س - عصمت ( تبوك )</t>
        </is>
      </c>
      <c r="E101" s="16" t="inlineStr">
        <is>
          <t>VHC-1219</t>
        </is>
      </c>
      <c r="F101" s="16" t="inlineStr">
        <is>
          <t>وقود (ديزل/بنزين)</t>
        </is>
      </c>
      <c r="G101" s="17" t="n">
        <v>110.01</v>
      </c>
      <c r="H101" s="16" t="inlineStr">
        <is>
          <t>نعم</t>
        </is>
      </c>
      <c r="I101" s="16" t="n"/>
    </row>
    <row r="102">
      <c r="A102" s="16" t="n">
        <v>101</v>
      </c>
      <c r="B102" s="16" t="inlineStr">
        <is>
          <t>حسين مصطفى – مستودع الرياض</t>
        </is>
      </c>
      <c r="C102" s="95" t="n">
        <v>46160</v>
      </c>
      <c r="D102" s="16" t="inlineStr">
        <is>
          <t>سوالر س - عصمت ( تبوك )</t>
        </is>
      </c>
      <c r="E102" s="16" t="inlineStr">
        <is>
          <t>VHC-1219</t>
        </is>
      </c>
      <c r="F102" s="16" t="inlineStr">
        <is>
          <t>وقود (ديزل/بنزين)</t>
        </is>
      </c>
      <c r="G102" s="17" t="n">
        <v>270</v>
      </c>
      <c r="H102" s="16" t="inlineStr">
        <is>
          <t>نعم</t>
        </is>
      </c>
      <c r="I102" s="16" t="n"/>
    </row>
    <row r="103">
      <c r="A103" s="16" t="n">
        <v>102</v>
      </c>
      <c r="B103" s="16" t="inlineStr">
        <is>
          <t>حسين مصطفى – مستودع الرياض</t>
        </is>
      </c>
      <c r="C103" s="95" t="n">
        <v>46161</v>
      </c>
      <c r="D103" s="16" t="inlineStr">
        <is>
          <t>سوالر س عماد - تبوك</t>
        </is>
      </c>
      <c r="E103" s="16" t="inlineStr">
        <is>
          <t>VHC-3010</t>
        </is>
      </c>
      <c r="F103" s="16" t="inlineStr">
        <is>
          <t>وقود (ديزل/بنزين)</t>
        </is>
      </c>
      <c r="G103" s="17" t="n">
        <v>320.01</v>
      </c>
      <c r="H103" s="16" t="inlineStr">
        <is>
          <t>نعم</t>
        </is>
      </c>
      <c r="I103" s="16" t="n"/>
    </row>
    <row r="104">
      <c r="A104" s="16" t="n">
        <v>103</v>
      </c>
      <c r="B104" s="16" t="inlineStr">
        <is>
          <t>حسين مصطفى – مستودع الرياض</t>
        </is>
      </c>
      <c r="C104" s="95" t="n">
        <v>46161</v>
      </c>
      <c r="D104" s="16" t="inlineStr">
        <is>
          <t>سوالر س - عصمت ( تبوك )</t>
        </is>
      </c>
      <c r="E104" s="16" t="inlineStr">
        <is>
          <t>VHC-1219</t>
        </is>
      </c>
      <c r="F104" s="16" t="inlineStr">
        <is>
          <t>وقود (ديزل/بنزين)</t>
        </is>
      </c>
      <c r="G104" s="17" t="n">
        <v>114.01</v>
      </c>
      <c r="H104" s="16" t="inlineStr">
        <is>
          <t>نعم</t>
        </is>
      </c>
      <c r="I104" s="16" t="n"/>
    </row>
    <row r="105">
      <c r="A105" s="16" t="n">
        <v>104</v>
      </c>
      <c r="B105" s="16" t="inlineStr">
        <is>
          <t>حسين مصطفى – مستودع الرياض</t>
        </is>
      </c>
      <c r="C105" s="95" t="n">
        <v>46161</v>
      </c>
      <c r="D105" s="16" t="inlineStr">
        <is>
          <t>سوالر س - عصمت ( تبوك )</t>
        </is>
      </c>
      <c r="E105" s="16" t="inlineStr">
        <is>
          <t>VHC-1219</t>
        </is>
      </c>
      <c r="F105" s="16" t="inlineStr">
        <is>
          <t>وقود (ديزل/بنزين)</t>
        </is>
      </c>
      <c r="G105" s="17" t="n">
        <v>150.01</v>
      </c>
      <c r="H105" s="16" t="inlineStr">
        <is>
          <t>نعم</t>
        </is>
      </c>
      <c r="I105" s="16" t="n"/>
    </row>
    <row r="106">
      <c r="A106" s="16" t="n">
        <v>105</v>
      </c>
      <c r="B106" s="16" t="inlineStr">
        <is>
          <t>حسين مصطفى – مستودع الرياض</t>
        </is>
      </c>
      <c r="C106" s="95" t="n">
        <v>46162</v>
      </c>
      <c r="D106" s="16" t="inlineStr">
        <is>
          <t>سوالر س عماد - تبوك</t>
        </is>
      </c>
      <c r="E106" s="16" t="inlineStr">
        <is>
          <t>VHC-3010</t>
        </is>
      </c>
      <c r="F106" s="16" t="inlineStr">
        <is>
          <t>وقود (ديزل/بنزين)</t>
        </is>
      </c>
      <c r="G106" s="17" t="n">
        <v>229.39</v>
      </c>
      <c r="H106" s="16" t="inlineStr">
        <is>
          <t>نعم</t>
        </is>
      </c>
      <c r="I106" s="16" t="n"/>
    </row>
    <row r="107">
      <c r="A107" s="16" t="n">
        <v>106</v>
      </c>
      <c r="B107" s="16" t="inlineStr">
        <is>
          <t>حسين مصطفى – مستودع الرياض</t>
        </is>
      </c>
      <c r="C107" s="95" t="n">
        <v>46162</v>
      </c>
      <c r="D107" s="16" t="inlineStr">
        <is>
          <t>سوالر س - عصمت ( تبوك )</t>
        </is>
      </c>
      <c r="E107" s="16" t="inlineStr">
        <is>
          <t>VHC-1219</t>
        </is>
      </c>
      <c r="F107" s="16" t="inlineStr">
        <is>
          <t>وقود (ديزل/بنزين)</t>
        </is>
      </c>
      <c r="G107" s="17" t="n">
        <v>120</v>
      </c>
      <c r="H107" s="16" t="inlineStr">
        <is>
          <t>نعم</t>
        </is>
      </c>
      <c r="I107" s="16" t="n"/>
    </row>
    <row r="108">
      <c r="A108" s="16" t="n">
        <v>107</v>
      </c>
      <c r="B108" s="16" t="inlineStr">
        <is>
          <t>حسين مصطفى – مستودع الرياض</t>
        </is>
      </c>
      <c r="C108" s="95" t="n">
        <v>46162</v>
      </c>
      <c r="D108" s="16" t="inlineStr">
        <is>
          <t>سوالر س - عصمت ( تبوك )</t>
        </is>
      </c>
      <c r="E108" s="16" t="inlineStr">
        <is>
          <t>VHC-1219</t>
        </is>
      </c>
      <c r="F108" s="16" t="inlineStr">
        <is>
          <t>وقود (ديزل/بنزين)</t>
        </is>
      </c>
      <c r="G108" s="17" t="n">
        <v>187</v>
      </c>
      <c r="H108" s="16" t="inlineStr">
        <is>
          <t>نعم</t>
        </is>
      </c>
      <c r="I108" s="16" t="n"/>
    </row>
    <row r="109">
      <c r="A109" s="16" t="n">
        <v>108</v>
      </c>
      <c r="B109" s="16" t="inlineStr">
        <is>
          <t>حسين مصطفى – مستودع الرياض</t>
        </is>
      </c>
      <c r="C109" s="95" t="n">
        <v>46163</v>
      </c>
      <c r="D109" s="16" t="inlineStr">
        <is>
          <t>صيانة السيارة الوانيت</t>
        </is>
      </c>
      <c r="E109" s="16" t="inlineStr">
        <is>
          <t>VHC-5564</t>
        </is>
      </c>
      <c r="F109" s="16" t="inlineStr">
        <is>
          <t>صيانة سيارات</t>
        </is>
      </c>
      <c r="G109" s="17" t="n">
        <v>295</v>
      </c>
      <c r="H109" s="16" t="inlineStr">
        <is>
          <t>نعم</t>
        </is>
      </c>
      <c r="I109" s="16" t="n"/>
    </row>
    <row r="110">
      <c r="A110" s="16" t="n">
        <v>109</v>
      </c>
      <c r="B110" s="16" t="inlineStr">
        <is>
          <t>حسين مصطفى – مستودع الرياض</t>
        </is>
      </c>
      <c r="C110" s="95" t="n">
        <v>46163</v>
      </c>
      <c r="D110" s="16" t="inlineStr">
        <is>
          <t>غيار زيت وفالتر س عصمت</t>
        </is>
      </c>
      <c r="E110" s="16" t="inlineStr">
        <is>
          <t>VHC-1219</t>
        </is>
      </c>
      <c r="F110" s="16" t="inlineStr">
        <is>
          <t>صيانة سيارات</t>
        </is>
      </c>
      <c r="G110" s="17" t="n">
        <v>445</v>
      </c>
      <c r="H110" s="16" t="inlineStr">
        <is>
          <t>نعم</t>
        </is>
      </c>
      <c r="I110" s="16" t="n"/>
    </row>
    <row r="111">
      <c r="A111" s="16" t="n">
        <v>110</v>
      </c>
      <c r="B111" s="16" t="inlineStr">
        <is>
          <t>حسين مصطفى – مستودع الرياض</t>
        </is>
      </c>
      <c r="C111" s="95" t="n">
        <v>46163</v>
      </c>
      <c r="D111" s="16" t="inlineStr">
        <is>
          <t>سوالر س عماد</t>
        </is>
      </c>
      <c r="E111" s="16" t="inlineStr">
        <is>
          <t>VHC-3010</t>
        </is>
      </c>
      <c r="F111" s="16" t="inlineStr">
        <is>
          <t>وقود (ديزل/بنزين)</t>
        </is>
      </c>
      <c r="G111" s="17" t="n">
        <v>300</v>
      </c>
      <c r="H111" s="16" t="inlineStr">
        <is>
          <t>نعم</t>
        </is>
      </c>
      <c r="I111" s="16" t="n"/>
    </row>
    <row r="112">
      <c r="A112" s="16" t="n">
        <v>111</v>
      </c>
      <c r="B112" s="16" t="inlineStr">
        <is>
          <t>حسين مصطفى – مستودع الرياض</t>
        </is>
      </c>
      <c r="C112" s="95" t="n">
        <v>46164</v>
      </c>
      <c r="D112" s="16" t="inlineStr">
        <is>
          <t>غيار زيت وفالتر س عماد</t>
        </is>
      </c>
      <c r="E112" s="16" t="inlineStr">
        <is>
          <t>VHC-3010</t>
        </is>
      </c>
      <c r="F112" s="16" t="inlineStr">
        <is>
          <t>صيانة سيارات</t>
        </is>
      </c>
      <c r="G112" s="17" t="n">
        <v>345</v>
      </c>
      <c r="H112" s="16" t="inlineStr">
        <is>
          <t>نعم</t>
        </is>
      </c>
      <c r="I112" s="16" t="n"/>
    </row>
    <row r="113">
      <c r="A113" s="16" t="n">
        <v>112</v>
      </c>
      <c r="B113" s="16" t="inlineStr">
        <is>
          <t>حسين مصطفى – مستودع الرياض</t>
        </is>
      </c>
      <c r="C113" s="95" t="n">
        <v>46164</v>
      </c>
      <c r="D113" s="16" t="inlineStr">
        <is>
          <t>غسيل س - عماد</t>
        </is>
      </c>
      <c r="E113" s="16" t="inlineStr">
        <is>
          <t>VHC-3010</t>
        </is>
      </c>
      <c r="F113" s="16" t="inlineStr">
        <is>
          <t>صيانة سيارات</t>
        </is>
      </c>
      <c r="G113" s="17" t="n">
        <v>100</v>
      </c>
      <c r="H113" s="16" t="inlineStr">
        <is>
          <t>نعم</t>
        </is>
      </c>
      <c r="I113" s="16" t="n"/>
    </row>
    <row r="114">
      <c r="A114" s="16" t="n">
        <v>113</v>
      </c>
      <c r="B114" s="16" t="inlineStr">
        <is>
          <t>حسين مصطفى – مستودع الرياض</t>
        </is>
      </c>
      <c r="C114" s="95" t="n">
        <v>46164</v>
      </c>
      <c r="D114" s="16" t="inlineStr">
        <is>
          <t>سوالر س عماد</t>
        </is>
      </c>
      <c r="E114" s="16" t="inlineStr">
        <is>
          <t>VHC-3010</t>
        </is>
      </c>
      <c r="F114" s="16" t="inlineStr">
        <is>
          <t>وقود (ديزل/بنزين)</t>
        </is>
      </c>
      <c r="G114" s="17" t="n">
        <v>303.62</v>
      </c>
      <c r="H114" s="16" t="inlineStr">
        <is>
          <t>نعم</t>
        </is>
      </c>
      <c r="I114" s="16" t="n"/>
    </row>
    <row r="115">
      <c r="A115" s="16" t="n">
        <v>114</v>
      </c>
      <c r="B115" s="16" t="inlineStr">
        <is>
          <t>حسين مصطفى – مستودع الرياض</t>
        </is>
      </c>
      <c r="C115" s="95" t="n">
        <v>46165</v>
      </c>
      <c r="D115" s="16" t="inlineStr">
        <is>
          <t>شراء سيور س عصمت-</t>
        </is>
      </c>
      <c r="E115" s="16" t="inlineStr">
        <is>
          <t>VHC-1219</t>
        </is>
      </c>
      <c r="F115" s="16" t="inlineStr">
        <is>
          <t>صيانة سيارات</t>
        </is>
      </c>
      <c r="G115" s="17" t="n">
        <v>115.53</v>
      </c>
      <c r="H115" s="16" t="inlineStr">
        <is>
          <t>نعم</t>
        </is>
      </c>
      <c r="I115" s="16" t="n"/>
    </row>
    <row r="116">
      <c r="A116" s="16" t="n">
        <v>115</v>
      </c>
      <c r="B116" s="16" t="inlineStr">
        <is>
          <t>حسين مصطفى – مستودع الرياض</t>
        </is>
      </c>
      <c r="C116" s="95" t="n">
        <v>46165</v>
      </c>
      <c r="D116" s="16" t="inlineStr">
        <is>
          <t>تركيب السيور + زيت فرامل س - عصمت</t>
        </is>
      </c>
      <c r="E116" s="16" t="inlineStr">
        <is>
          <t>VHC-1219</t>
        </is>
      </c>
      <c r="F116" s="16" t="inlineStr">
        <is>
          <t>صيانة سيارات</t>
        </is>
      </c>
      <c r="G116" s="17" t="n">
        <v>80.01000000000001</v>
      </c>
      <c r="H116" s="16" t="inlineStr">
        <is>
          <t>نعم</t>
        </is>
      </c>
      <c r="I116" s="16" t="n"/>
    </row>
    <row r="117">
      <c r="A117" s="16" t="n">
        <v>116</v>
      </c>
      <c r="B117" s="16" t="inlineStr">
        <is>
          <t>حسين مصطفى – مستودع الرياض</t>
        </is>
      </c>
      <c r="C117" s="95" t="n">
        <v>46166</v>
      </c>
      <c r="D117" s="16" t="inlineStr">
        <is>
          <t>سوالر س - عصمت</t>
        </is>
      </c>
      <c r="E117" s="16" t="inlineStr">
        <is>
          <t>VHC-1219</t>
        </is>
      </c>
      <c r="F117" s="16" t="inlineStr">
        <is>
          <t>وقود (ديزل/بنزين)</t>
        </is>
      </c>
      <c r="G117" s="17" t="n">
        <v>275.01</v>
      </c>
      <c r="H117" s="16" t="inlineStr">
        <is>
          <t>نعم</t>
        </is>
      </c>
      <c r="I117" s="16" t="n"/>
    </row>
    <row r="118">
      <c r="A118" s="16" t="n">
        <v>117</v>
      </c>
      <c r="B118" s="16" t="inlineStr">
        <is>
          <t>حسين مصطفى – مستودع الرياض</t>
        </is>
      </c>
      <c r="C118" s="95" t="n">
        <v>46168</v>
      </c>
      <c r="D118" s="16" t="inlineStr">
        <is>
          <t>بنزين للوانيت</t>
        </is>
      </c>
      <c r="E118" s="16" t="inlineStr">
        <is>
          <t>VHC-5564</t>
        </is>
      </c>
      <c r="F118" s="16" t="inlineStr">
        <is>
          <t>وقود (ديزل/بنزين)</t>
        </is>
      </c>
      <c r="G118" s="17" t="n">
        <v>139.61</v>
      </c>
      <c r="H118" s="16" t="inlineStr">
        <is>
          <t>نعم</t>
        </is>
      </c>
      <c r="I118" s="16" t="n"/>
    </row>
    <row r="119">
      <c r="A119" s="16" t="n">
        <v>118</v>
      </c>
      <c r="B119" s="16" t="inlineStr">
        <is>
          <t>حسين مصطفى – مستودع الرياض</t>
        </is>
      </c>
      <c r="C119" s="95" t="n">
        <v>46171</v>
      </c>
      <c r="D119" s="16" t="inlineStr">
        <is>
          <t>سوالر س عماد</t>
        </is>
      </c>
      <c r="E119" s="16" t="inlineStr">
        <is>
          <t>VHC-3010</t>
        </is>
      </c>
      <c r="F119" s="16" t="inlineStr">
        <is>
          <t>وقود (ديزل/بنزين)</t>
        </is>
      </c>
      <c r="G119" s="17" t="n">
        <v>100</v>
      </c>
      <c r="H119" s="16" t="inlineStr">
        <is>
          <t>نعم</t>
        </is>
      </c>
      <c r="I119" s="16" t="n"/>
    </row>
    <row r="120">
      <c r="A120" s="16" t="n">
        <v>119</v>
      </c>
      <c r="B120" s="16" t="inlineStr">
        <is>
          <t>حسين مصطفى – مستودع الرياض</t>
        </is>
      </c>
      <c r="C120" s="95" t="n">
        <v>46172</v>
      </c>
      <c r="D120" s="16" t="inlineStr">
        <is>
          <t>سوالر س - عصمت</t>
        </is>
      </c>
      <c r="E120" s="16" t="inlineStr">
        <is>
          <t>VHC-1219</t>
        </is>
      </c>
      <c r="F120" s="16" t="inlineStr">
        <is>
          <t>وقود (ديزل/بنزين)</t>
        </is>
      </c>
      <c r="G120" s="17" t="n">
        <v>270</v>
      </c>
      <c r="H120" s="16" t="inlineStr">
        <is>
          <t>نعم</t>
        </is>
      </c>
      <c r="I120" s="16" t="n"/>
    </row>
    <row r="121">
      <c r="A121" s="16" t="n">
        <v>120</v>
      </c>
      <c r="B121" s="16" t="inlineStr">
        <is>
          <t>حسين مصطفى – مستودع الرياض</t>
        </is>
      </c>
      <c r="C121" s="95" t="n">
        <v>46172</v>
      </c>
      <c r="D121" s="16" t="inlineStr">
        <is>
          <t>سوالر س عماد</t>
        </is>
      </c>
      <c r="E121" s="16" t="inlineStr">
        <is>
          <t>VHC-3010</t>
        </is>
      </c>
      <c r="F121" s="16" t="inlineStr">
        <is>
          <t>وقود (ديزل/بنزين)</t>
        </is>
      </c>
      <c r="G121" s="17" t="n">
        <v>200</v>
      </c>
      <c r="H121" s="16" t="inlineStr">
        <is>
          <t>نعم</t>
        </is>
      </c>
      <c r="I121" s="16" t="n"/>
    </row>
    <row r="122">
      <c r="A122" s="16" t="n">
        <v>121</v>
      </c>
      <c r="B122" s="16" t="inlineStr">
        <is>
          <t>حسين مصطفى – مستودع الرياض</t>
        </is>
      </c>
      <c r="C122" s="95" t="n">
        <v>46180</v>
      </c>
      <c r="D122" s="16" t="inlineStr">
        <is>
          <t>شراء مبيد العشاب الشجر</t>
        </is>
      </c>
      <c r="E122" s="16" t="inlineStr">
        <is>
          <t>RN-DEPARTMENT</t>
        </is>
      </c>
      <c r="F122" s="16" t="inlineStr">
        <is>
          <t>مصروفات تشغيل المزرعة</t>
        </is>
      </c>
      <c r="G122" s="17" t="n">
        <v>450</v>
      </c>
      <c r="H122" s="16" t="inlineStr">
        <is>
          <t>نعم</t>
        </is>
      </c>
      <c r="I122" s="16" t="n"/>
    </row>
    <row r="123">
      <c r="A123" s="16" t="n">
        <v>122</v>
      </c>
      <c r="B123" s="16" t="inlineStr">
        <is>
          <t>حسين مصطفى – مستودع الرياض</t>
        </is>
      </c>
      <c r="C123" s="95" t="n">
        <v>46180</v>
      </c>
      <c r="D123" s="16" t="inlineStr">
        <is>
          <t>مياه شرب للعمال</t>
        </is>
      </c>
      <c r="E123" s="16" t="inlineStr">
        <is>
          <t>EXP.RN.NURSERY</t>
        </is>
      </c>
      <c r="F123" s="16" t="inlineStr">
        <is>
          <t>مصروفات تشغيل المزرعة</t>
        </is>
      </c>
      <c r="G123" s="17" t="n">
        <v>70</v>
      </c>
      <c r="H123" s="16" t="inlineStr">
        <is>
          <t>نعم</t>
        </is>
      </c>
      <c r="I123" s="16" t="n"/>
    </row>
    <row r="124">
      <c r="A124" s="16" t="n">
        <v>123</v>
      </c>
      <c r="B124" s="16" t="inlineStr">
        <is>
          <t>حسين مصطفى – مستودع الرياض</t>
        </is>
      </c>
      <c r="C124" s="95" t="n">
        <v>46180</v>
      </c>
      <c r="D124" s="16" t="inlineStr">
        <is>
          <t>شراء لي كوري 50 متر لماتور الرش</t>
        </is>
      </c>
      <c r="E124" s="16" t="inlineStr">
        <is>
          <t>RN-DEPARTMENT</t>
        </is>
      </c>
      <c r="F124" s="16" t="inlineStr">
        <is>
          <t>مصروفات تشغيل المزرعة</t>
        </is>
      </c>
      <c r="G124" s="17" t="n">
        <v>160</v>
      </c>
      <c r="H124" s="16" t="inlineStr">
        <is>
          <t>نعم</t>
        </is>
      </c>
      <c r="I124" s="16" t="n"/>
    </row>
    <row r="125">
      <c r="A125" s="16" t="n">
        <v>124</v>
      </c>
      <c r="B125" s="16" t="inlineStr">
        <is>
          <t>حسين مصطفى – مستودع الرياض</t>
        </is>
      </c>
      <c r="C125" s="95" t="n">
        <v>46180</v>
      </c>
      <c r="D125" s="16" t="inlineStr">
        <is>
          <t>سوالر س عماد - ترحيل من العهدة القديمة 2026-5-13-</t>
        </is>
      </c>
      <c r="E125" s="16" t="inlineStr">
        <is>
          <t>VHC-3010</t>
        </is>
      </c>
      <c r="F125" s="16" t="inlineStr">
        <is>
          <t>وقود (ديزل/بنزين)</t>
        </is>
      </c>
      <c r="G125" s="17" t="n">
        <v>300</v>
      </c>
      <c r="H125" s="16" t="inlineStr">
        <is>
          <t>نعم</t>
        </is>
      </c>
      <c r="I125" s="16" t="n"/>
    </row>
    <row r="126">
      <c r="A126" s="16" t="n">
        <v>125</v>
      </c>
      <c r="B126" s="16" t="inlineStr">
        <is>
          <t>حسين مصطفى – مستودع الرياض</t>
        </is>
      </c>
      <c r="C126" s="95" t="n">
        <v>46180</v>
      </c>
      <c r="D126" s="16" t="inlineStr">
        <is>
          <t>سوالر س عماد يوم 2026-5-14 - مرحلة من العهدة القديمة</t>
        </is>
      </c>
      <c r="E126" s="16" t="inlineStr">
        <is>
          <t>VHC-3010</t>
        </is>
      </c>
      <c r="F126" s="16" t="inlineStr">
        <is>
          <t>وقود (ديزل/بنزين)</t>
        </is>
      </c>
      <c r="G126" s="17" t="n">
        <v>270</v>
      </c>
      <c r="H126" s="16" t="inlineStr">
        <is>
          <t>نعم</t>
        </is>
      </c>
      <c r="I126" s="16" t="n"/>
    </row>
    <row r="127">
      <c r="A127" s="16" t="n">
        <v>126</v>
      </c>
      <c r="B127" s="16" t="inlineStr">
        <is>
          <t>حسين مصطفى – مستودع الرياض</t>
        </is>
      </c>
      <c r="C127" s="95" t="n">
        <v>46180</v>
      </c>
      <c r="D127" s="16" t="inlineStr">
        <is>
          <t>غسيل وتشحيم س عماد يوم 2026-5-14 - مرحل من العهدة القديمة</t>
        </is>
      </c>
      <c r="E127" s="16" t="inlineStr">
        <is>
          <t>VHC-3010</t>
        </is>
      </c>
      <c r="F127" s="16" t="inlineStr">
        <is>
          <t>صيانة سيارات</t>
        </is>
      </c>
      <c r="G127" s="17" t="n">
        <v>100</v>
      </c>
      <c r="H127" s="16" t="inlineStr">
        <is>
          <t>نعم</t>
        </is>
      </c>
      <c r="I127" s="16" t="n"/>
    </row>
    <row r="128">
      <c r="A128" s="16" t="n">
        <v>127</v>
      </c>
      <c r="B128" s="16" t="inlineStr">
        <is>
          <t>حسين مصطفى – مستودع الرياض</t>
        </is>
      </c>
      <c r="C128" s="95" t="n">
        <v>46186</v>
      </c>
      <c r="D128" s="16" t="inlineStr">
        <is>
          <t>شراء خيط لربط الشجار</t>
        </is>
      </c>
      <c r="E128" s="16" t="inlineStr">
        <is>
          <t>EXP.RN.NURSERY</t>
        </is>
      </c>
      <c r="F128" s="16" t="inlineStr">
        <is>
          <t>مصروفات تشغيل المزرعة</t>
        </is>
      </c>
      <c r="G128" s="17" t="n">
        <v>50</v>
      </c>
      <c r="H128" s="16" t="inlineStr">
        <is>
          <t>نعم</t>
        </is>
      </c>
      <c r="I128" s="16" t="n"/>
    </row>
    <row r="129">
      <c r="A129" s="16" t="n">
        <v>128</v>
      </c>
      <c r="B129" s="16" t="inlineStr">
        <is>
          <t>عظمت الله خان – سيارة 1219</t>
        </is>
      </c>
      <c r="C129" s="95" t="n">
        <v>46187</v>
      </c>
      <c r="D129" s="16" t="inlineStr">
        <is>
          <t>غيار زيت وفلتر س - عصمت</t>
        </is>
      </c>
      <c r="E129" s="16" t="inlineStr">
        <is>
          <t>VHC-1219</t>
        </is>
      </c>
      <c r="F129" s="16" t="inlineStr">
        <is>
          <t>صيانة سيارات</t>
        </is>
      </c>
      <c r="G129" s="17" t="n">
        <v>245</v>
      </c>
      <c r="H129" s="16" t="inlineStr">
        <is>
          <t>نعم</t>
        </is>
      </c>
      <c r="I129" s="16" t="n"/>
    </row>
    <row r="130">
      <c r="A130" s="16" t="n">
        <v>129</v>
      </c>
      <c r="B130" s="16" t="inlineStr">
        <is>
          <t>عظمت الله خان – سيارة 1219</t>
        </is>
      </c>
      <c r="C130" s="95" t="n">
        <v>46187</v>
      </c>
      <c r="D130" s="16" t="inlineStr">
        <is>
          <t>سوالر السيارة - لعدم وجود شحن في الدريس</t>
        </is>
      </c>
      <c r="E130" s="16" t="inlineStr">
        <is>
          <t>VHC-1219</t>
        </is>
      </c>
      <c r="F130" s="16" t="inlineStr">
        <is>
          <t>وقود (ديزل/بنزين)</t>
        </is>
      </c>
      <c r="G130" s="17" t="n">
        <v>200.09</v>
      </c>
      <c r="H130" s="16" t="inlineStr">
        <is>
          <t>نعم</t>
        </is>
      </c>
      <c r="I130" s="16" t="n"/>
    </row>
    <row r="131">
      <c r="A131" s="16" t="n">
        <v>130</v>
      </c>
      <c r="B131" s="16" t="inlineStr">
        <is>
          <t>حسين مصطفى – مستودع الرياض</t>
        </is>
      </c>
      <c r="C131" s="95" t="n">
        <v>46190</v>
      </c>
      <c r="D131" s="16" t="inlineStr">
        <is>
          <t>مياه للشرب</t>
        </is>
      </c>
      <c r="E131" s="16" t="inlineStr">
        <is>
          <t>RN-DEPARTMENT</t>
        </is>
      </c>
      <c r="F131" s="16" t="inlineStr">
        <is>
          <t>مصروفات تشغيل المزرعة</t>
        </is>
      </c>
      <c r="G131" s="17" t="n">
        <v>70</v>
      </c>
      <c r="H131" s="16" t="inlineStr">
        <is>
          <t>نعم</t>
        </is>
      </c>
      <c r="I131" s="16" t="n"/>
    </row>
    <row r="132">
      <c r="A132" s="16" t="n">
        <v>131</v>
      </c>
      <c r="B132" s="16" t="inlineStr">
        <is>
          <t>عظمت الله خان – سيارة 1219</t>
        </is>
      </c>
      <c r="C132" s="95" t="n">
        <v>46190</v>
      </c>
      <c r="D132" s="16" t="inlineStr">
        <is>
          <t>سوالر س - عصمت</t>
        </is>
      </c>
      <c r="E132" s="16" t="inlineStr">
        <is>
          <t>VHC-1219</t>
        </is>
      </c>
      <c r="F132" s="16" t="inlineStr">
        <is>
          <t>وقود (ديزل/بنزين)</t>
        </is>
      </c>
      <c r="G132" s="17" t="n">
        <v>234</v>
      </c>
      <c r="H132" s="16" t="inlineStr">
        <is>
          <t>نعم</t>
        </is>
      </c>
      <c r="I132" s="16" t="n"/>
    </row>
    <row r="133">
      <c r="A133" s="16" t="n">
        <v>132</v>
      </c>
      <c r="B133" s="16" t="inlineStr">
        <is>
          <t>عظمت الله خان – سيارة 1219</t>
        </is>
      </c>
      <c r="C133" s="95" t="n">
        <v>46193</v>
      </c>
      <c r="D133" s="16" t="inlineStr">
        <is>
          <t>شراء مرايه صغير س عصمت</t>
        </is>
      </c>
      <c r="E133" s="16" t="inlineStr">
        <is>
          <t>VHC-1219</t>
        </is>
      </c>
      <c r="F133" s="16" t="inlineStr">
        <is>
          <t>صيانة سيارات</t>
        </is>
      </c>
      <c r="G133" s="17" t="n">
        <v>30</v>
      </c>
      <c r="H133" s="16" t="inlineStr">
        <is>
          <t>نعم</t>
        </is>
      </c>
      <c r="I133" s="16" t="n"/>
    </row>
    <row r="134">
      <c r="A134" s="16" t="n">
        <v>133</v>
      </c>
      <c r="B134" s="16" t="inlineStr">
        <is>
          <t>عماد حمدي – سيارة 3010</t>
        </is>
      </c>
      <c r="C134" s="95" t="n">
        <v>46193</v>
      </c>
      <c r="D134" s="16" t="inlineStr">
        <is>
          <t>غيار زيت وفالتر سيارة عماد</t>
        </is>
      </c>
      <c r="E134" s="16" t="inlineStr">
        <is>
          <t>VHC-3010</t>
        </is>
      </c>
      <c r="F134" s="16" t="inlineStr">
        <is>
          <t>صيانة سيارات</t>
        </is>
      </c>
      <c r="G134" s="17" t="n">
        <v>345</v>
      </c>
      <c r="H134" s="16" t="inlineStr">
        <is>
          <t>نعم</t>
        </is>
      </c>
      <c r="I134" s="16" t="n"/>
    </row>
    <row r="135">
      <c r="A135" s="16" t="n">
        <v>134</v>
      </c>
      <c r="B135" s="16" t="inlineStr">
        <is>
          <t>حسين مصطفى – مستودع الرياض</t>
        </is>
      </c>
      <c r="C135" s="95" t="n">
        <v>46195</v>
      </c>
      <c r="D135" s="16" t="inlineStr">
        <is>
          <t>شراء اغراض سباكة لماتور الرش</t>
        </is>
      </c>
      <c r="E135" s="16" t="inlineStr">
        <is>
          <t>RN-DEPARTMENT</t>
        </is>
      </c>
      <c r="F135" s="16" t="inlineStr">
        <is>
          <t>مصروفات تشغيل المزرعة</t>
        </is>
      </c>
      <c r="G135" s="17" t="n">
        <v>37</v>
      </c>
      <c r="H135" s="16" t="inlineStr">
        <is>
          <t>نعم</t>
        </is>
      </c>
      <c r="I135" s="16" t="n"/>
    </row>
    <row r="136">
      <c r="A136" s="16" t="n">
        <v>135</v>
      </c>
      <c r="B136" s="16" t="inlineStr">
        <is>
          <t>عظمت الله خان – سيارة 1219</t>
        </is>
      </c>
      <c r="C136" s="95" t="n">
        <v>46195</v>
      </c>
      <c r="D136" s="16" t="inlineStr">
        <is>
          <t>غسيل سيارة عصمت</t>
        </is>
      </c>
      <c r="E136" s="16" t="inlineStr">
        <is>
          <t>VHC-3010</t>
        </is>
      </c>
      <c r="F136" s="16" t="inlineStr">
        <is>
          <t>صيانة سيارات</t>
        </is>
      </c>
      <c r="G136" s="17" t="n">
        <v>60</v>
      </c>
      <c r="H136" s="16" t="inlineStr">
        <is>
          <t>نعم</t>
        </is>
      </c>
      <c r="I136" s="16" t="n"/>
    </row>
    <row r="137">
      <c r="A137" s="16" t="n">
        <v>136</v>
      </c>
      <c r="B137" s="16" t="inlineStr">
        <is>
          <t>عظمت الله خان – سيارة 1219</t>
        </is>
      </c>
      <c r="C137" s="95" t="n">
        <v>46195</v>
      </c>
      <c r="D137" s="16" t="inlineStr">
        <is>
          <t>شراء سير مراوح وسلك مجلفن</t>
        </is>
      </c>
      <c r="E137" s="16" t="inlineStr">
        <is>
          <t>EXP.RN.NURSERY</t>
        </is>
      </c>
      <c r="F137" s="16" t="inlineStr">
        <is>
          <t>مصروفات تشغيل المزرعة</t>
        </is>
      </c>
      <c r="G137" s="17" t="n">
        <v>88.93000000000001</v>
      </c>
      <c r="H137" s="16" t="inlineStr">
        <is>
          <t>نعم</t>
        </is>
      </c>
      <c r="I137" s="16" t="n"/>
    </row>
    <row r="138">
      <c r="A138" s="16" t="n">
        <v>137</v>
      </c>
      <c r="B138" s="16" t="inlineStr">
        <is>
          <t>حسين مصطفى – مستودع الرياض</t>
        </is>
      </c>
      <c r="C138" s="95" t="n">
        <v>46197</v>
      </c>
      <c r="D138" s="16" t="inlineStr">
        <is>
          <t>مياه للشرب</t>
        </is>
      </c>
      <c r="E138" s="16" t="inlineStr">
        <is>
          <t>RN-DEPARTMENT</t>
        </is>
      </c>
      <c r="F138" s="16" t="inlineStr">
        <is>
          <t>مصروفات تشغيل المزرعة</t>
        </is>
      </c>
      <c r="G138" s="17" t="n">
        <v>70</v>
      </c>
      <c r="H138" s="16" t="inlineStr">
        <is>
          <t>نعم</t>
        </is>
      </c>
      <c r="I138" s="16" t="n"/>
    </row>
    <row r="139">
      <c r="A139" s="16" t="n">
        <v>138</v>
      </c>
      <c r="B139" s="16" t="inlineStr">
        <is>
          <t>حسين مصطفى – مستودع الرياض</t>
        </is>
      </c>
      <c r="C139" s="95" t="n">
        <v>46198</v>
      </c>
      <c r="D139" s="16" t="inlineStr">
        <is>
          <t>شراء مفاتيح اتوماتيك 4 حبه</t>
        </is>
      </c>
      <c r="E139" s="16" t="inlineStr">
        <is>
          <t>EXP.RN.NURSERY</t>
        </is>
      </c>
      <c r="F139" s="16" t="inlineStr">
        <is>
          <t>مصروفات تشغيل المزرعة</t>
        </is>
      </c>
      <c r="G139" s="17" t="n">
        <v>200</v>
      </c>
      <c r="H139" s="16" t="inlineStr">
        <is>
          <t>نعم</t>
        </is>
      </c>
      <c r="I139" s="16" t="n"/>
    </row>
    <row r="140">
      <c r="A140" s="16" t="n">
        <v>139</v>
      </c>
      <c r="B140" s="16" t="inlineStr">
        <is>
          <t>عظمت الله خان – سيارة 1219</t>
        </is>
      </c>
      <c r="C140" s="95" t="n">
        <v>46201</v>
      </c>
      <c r="D140" s="16" t="inlineStr">
        <is>
          <t>غيار زيت وفلتر س - عصمت</t>
        </is>
      </c>
      <c r="E140" s="16" t="inlineStr">
        <is>
          <t>VHC-1219</t>
        </is>
      </c>
      <c r="F140" s="16" t="inlineStr">
        <is>
          <t>صيانة سيارات</t>
        </is>
      </c>
      <c r="G140" s="17" t="n">
        <v>235</v>
      </c>
      <c r="H140" s="16" t="inlineStr">
        <is>
          <t>نعم</t>
        </is>
      </c>
      <c r="I140" s="16" t="n"/>
    </row>
    <row r="141">
      <c r="A141" s="16" t="n">
        <v>140</v>
      </c>
      <c r="B141" s="16" t="inlineStr">
        <is>
          <t>عماد حمدي – سيارة 3010</t>
        </is>
      </c>
      <c r="C141" s="95" t="n">
        <v>46214</v>
      </c>
      <c r="D141" s="16" t="inlineStr">
        <is>
          <t>غيار زيت وفلتر للسيارة</t>
        </is>
      </c>
      <c r="E141" s="16" t="inlineStr">
        <is>
          <t>VHC-3010</t>
        </is>
      </c>
      <c r="F141" s="16" t="inlineStr">
        <is>
          <t>صيانة سيارات</t>
        </is>
      </c>
      <c r="G141" s="17" t="n">
        <v>345</v>
      </c>
      <c r="H141" s="16" t="inlineStr">
        <is>
          <t>نعم</t>
        </is>
      </c>
      <c r="I141" s="16" t="n"/>
    </row>
    <row r="142">
      <c r="A142" s="16" t="n">
        <v>141</v>
      </c>
      <c r="B142" s="16" t="inlineStr">
        <is>
          <t>حسين مصطفى – مستودع الرياض</t>
        </is>
      </c>
      <c r="C142" s="95" t="n">
        <v>46216</v>
      </c>
      <c r="D142" s="16" t="inlineStr">
        <is>
          <t>شراء مبيدات الشجار</t>
        </is>
      </c>
      <c r="E142" s="16" t="inlineStr">
        <is>
          <t>RN-DEPARTMENT</t>
        </is>
      </c>
      <c r="F142" s="16" t="inlineStr">
        <is>
          <t>مصروفات تشغيل المزرعة</t>
        </is>
      </c>
      <c r="G142" s="17" t="n">
        <v>320</v>
      </c>
      <c r="H142" s="16" t="inlineStr">
        <is>
          <t>نعم</t>
        </is>
      </c>
      <c r="I142" s="16" t="n"/>
    </row>
    <row r="143">
      <c r="A143" s="16" t="n">
        <v>142</v>
      </c>
      <c r="B143" s="16" t="inlineStr">
        <is>
          <t>إسماعيل جان حبيب – سيارة 3010</t>
        </is>
      </c>
      <c r="C143" s="95" t="n">
        <v>46221</v>
      </c>
      <c r="D143" s="16" t="inlineStr">
        <is>
          <t>غيار زيت وفالتر للسيارة</t>
        </is>
      </c>
      <c r="E143" s="16" t="inlineStr">
        <is>
          <t>VHC-3010</t>
        </is>
      </c>
      <c r="F143" s="16" t="inlineStr">
        <is>
          <t>صيانة سيارات</t>
        </is>
      </c>
      <c r="G143" s="17" t="n">
        <v>530</v>
      </c>
      <c r="H143" s="16" t="inlineStr">
        <is>
          <t>نعم</t>
        </is>
      </c>
      <c r="I143" s="16" t="n"/>
    </row>
    <row r="144">
      <c r="A144" s="16" t="n">
        <v>143</v>
      </c>
      <c r="B144" s="16" t="inlineStr">
        <is>
          <t>إسماعيل جان حبيب – سيارة 3010</t>
        </is>
      </c>
      <c r="C144" s="95" t="n">
        <v>46231</v>
      </c>
      <c r="D144" s="16" t="inlineStr">
        <is>
          <t>سوالر س - اسماعيل - نجران يوم 2026-7-26</t>
        </is>
      </c>
      <c r="E144" s="16" t="inlineStr">
        <is>
          <t>VHC-3010</t>
        </is>
      </c>
      <c r="F144" s="16" t="inlineStr">
        <is>
          <t>وقود (ديزل/بنزين)</t>
        </is>
      </c>
      <c r="G144" s="17" t="n">
        <v>175.01</v>
      </c>
      <c r="H144" s="16" t="inlineStr">
        <is>
          <t>نعم</t>
        </is>
      </c>
      <c r="I144" s="16" t="n"/>
    </row>
    <row r="145">
      <c r="A145" s="16" t="n">
        <v>144</v>
      </c>
      <c r="B145" s="16" t="inlineStr">
        <is>
          <t>إسماعيل جان حبيب – سيارة 3010</t>
        </is>
      </c>
      <c r="C145" s="95" t="n">
        <v>46231</v>
      </c>
      <c r="D145" s="16" t="inlineStr">
        <is>
          <t>سوالر س اسماعيل- - نجران - يوم 2026-7-27</t>
        </is>
      </c>
      <c r="E145" s="16" t="inlineStr">
        <is>
          <t>VHC-3010</t>
        </is>
      </c>
      <c r="F145" s="16" t="inlineStr">
        <is>
          <t>وقود (ديزل/بنزين)</t>
        </is>
      </c>
      <c r="G145" s="17" t="n">
        <v>210</v>
      </c>
      <c r="H145" s="16" t="inlineStr">
        <is>
          <t>نعم</t>
        </is>
      </c>
      <c r="I145" s="16" t="n"/>
    </row>
    <row r="146">
      <c r="A146" s="16" t="n">
        <v>145</v>
      </c>
      <c r="B146" s="16" t="inlineStr">
        <is>
          <t>إسماعيل جان حبيب – سيارة 3010</t>
        </is>
      </c>
      <c r="C146" s="95" t="n">
        <v>46231</v>
      </c>
      <c r="D146" s="16" t="inlineStr">
        <is>
          <t>سوالر س - اسماعيل - نجران - يوم 2026-7-28 T N E I P I C E R D E M A N E H T R O F Y L E L O S D E D N E T N I D N A L A I T N E D I F N O C S I T N E M U C O D S I H T 0551019506 | SABOUR ABDEL AHMED ENG. 18:07 2026, Aug 09 Generated: v10.0 ERP Unified NSC</t>
        </is>
      </c>
      <c r="E146" s="16" t="inlineStr">
        <is>
          <t>VHC-3010</t>
        </is>
      </c>
      <c r="F146" s="16" t="inlineStr">
        <is>
          <t>وقود (ديزل/بنزين)</t>
        </is>
      </c>
      <c r="G146" s="17" t="n">
        <v>238.03</v>
      </c>
      <c r="H146" s="16" t="inlineStr">
        <is>
          <t>نعم</t>
        </is>
      </c>
      <c r="I146" s="16" t="n"/>
    </row>
    <row r="147">
      <c r="A147" s="16" t="n">
        <v>146</v>
      </c>
      <c r="B147" s="16" t="inlineStr">
        <is>
          <t>عظمت الله خان – سيارة 1219</t>
        </is>
      </c>
      <c r="C147" s="95" t="n">
        <v>46231</v>
      </c>
      <c r="D147" s="16" t="inlineStr">
        <is>
          <t>سوالر لسيارة عصمت</t>
        </is>
      </c>
      <c r="E147" s="16" t="inlineStr">
        <is>
          <t>VHC-1219</t>
        </is>
      </c>
      <c r="F147" s="16" t="inlineStr">
        <is>
          <t>وقود (ديزل/بنزين)</t>
        </is>
      </c>
      <c r="G147" s="17" t="n">
        <v>200</v>
      </c>
      <c r="H147" s="16" t="inlineStr">
        <is>
          <t>نعم</t>
        </is>
      </c>
      <c r="I147" s="16" t="n"/>
    </row>
    <row r="148">
      <c r="A148" s="16" t="n">
        <v>147</v>
      </c>
      <c r="B148" s="16" t="inlineStr">
        <is>
          <t>إسماعيل جان حبيب – سيارة 3010</t>
        </is>
      </c>
      <c r="C148" s="95" t="n">
        <v>46233</v>
      </c>
      <c r="D148" s="16" t="inlineStr">
        <is>
          <t>سوالر س - اسماعيل</t>
        </is>
      </c>
      <c r="E148" s="16" t="inlineStr">
        <is>
          <t>VHC-3010</t>
        </is>
      </c>
      <c r="F148" s="16" t="inlineStr">
        <is>
          <t>وقود (ديزل/بنزين)</t>
        </is>
      </c>
      <c r="G148" s="17" t="n">
        <v>100.01</v>
      </c>
      <c r="H148" s="16" t="inlineStr">
        <is>
          <t>نعم</t>
        </is>
      </c>
      <c r="I148" s="16" t="n"/>
    </row>
    <row r="149">
      <c r="A149" s="79" t="n">
        <v>148</v>
      </c>
      <c r="B149" s="79" t="inlineStr">
        <is>
          <t>إسماعيل جان حبيب – سيارة 3010</t>
        </is>
      </c>
      <c r="C149" s="114" t="n">
        <v>46236</v>
      </c>
      <c r="D149" s="79" t="inlineStr">
        <is>
          <t>سوالر س اسماعيل</t>
        </is>
      </c>
      <c r="E149" s="79" t="inlineStr">
        <is>
          <t>VHC-3010</t>
        </is>
      </c>
      <c r="F149" s="79" t="inlineStr">
        <is>
          <t>وقود (ديزل/بنزين)</t>
        </is>
      </c>
      <c r="G149" s="81" t="n">
        <v>100</v>
      </c>
      <c r="H149" s="79" t="inlineStr">
        <is>
          <t>لا</t>
        </is>
      </c>
      <c r="I149" s="79" t="inlineStr">
        <is>
          <t>بعد 31-7-2026 – خارج الفترة</t>
        </is>
      </c>
    </row>
    <row r="150">
      <c r="A150" s="79" t="n">
        <v>149</v>
      </c>
      <c r="B150" s="79" t="inlineStr">
        <is>
          <t>إسماعيل جان حبيب – سيارة 3010</t>
        </is>
      </c>
      <c r="C150" s="114" t="n">
        <v>46236</v>
      </c>
      <c r="D150" s="79" t="inlineStr">
        <is>
          <t>غيار زيت وفلتر وتشحيم س اسماعيل</t>
        </is>
      </c>
      <c r="E150" s="79" t="inlineStr">
        <is>
          <t>VHC-3010</t>
        </is>
      </c>
      <c r="F150" s="79" t="inlineStr">
        <is>
          <t>صيانة سيارات</t>
        </is>
      </c>
      <c r="G150" s="81" t="n">
        <v>300</v>
      </c>
      <c r="H150" s="79" t="inlineStr">
        <is>
          <t>لا</t>
        </is>
      </c>
      <c r="I150" s="79" t="inlineStr">
        <is>
          <t>بعد 31-7-2026 – خارج الفترة</t>
        </is>
      </c>
    </row>
    <row r="151">
      <c r="A151" s="79" t="n">
        <v>150</v>
      </c>
      <c r="B151" s="79" t="inlineStr">
        <is>
          <t>عظمت الله خان – سيارة 1219</t>
        </is>
      </c>
      <c r="C151" s="114" t="n">
        <v>46236</v>
      </c>
      <c r="D151" s="79" t="inlineStr">
        <is>
          <t>غيار زيت وفالتر للسيارة</t>
        </is>
      </c>
      <c r="E151" s="79" t="inlineStr">
        <is>
          <t>VHC-1219</t>
        </is>
      </c>
      <c r="F151" s="79" t="inlineStr">
        <is>
          <t>صيانة سيارات</t>
        </is>
      </c>
      <c r="G151" s="81" t="n">
        <v>245</v>
      </c>
      <c r="H151" s="79" t="inlineStr">
        <is>
          <t>لا</t>
        </is>
      </c>
      <c r="I151" s="79" t="inlineStr">
        <is>
          <t>بعد 31-7-2026 – خارج الفترة</t>
        </is>
      </c>
    </row>
    <row r="152">
      <c r="A152" s="79" t="n">
        <v>151</v>
      </c>
      <c r="B152" s="79" t="inlineStr">
        <is>
          <t>عظمت الله خان – سيارة 1219</t>
        </is>
      </c>
      <c r="C152" s="114" t="n">
        <v>46236</v>
      </c>
      <c r="D152" s="79" t="inlineStr">
        <is>
          <t>سوالر س - عصمت 1219</t>
        </is>
      </c>
      <c r="E152" s="79" t="inlineStr">
        <is>
          <t>VHC-1219</t>
        </is>
      </c>
      <c r="F152" s="79" t="inlineStr">
        <is>
          <t>وقود (ديزل/بنزين)</t>
        </is>
      </c>
      <c r="G152" s="81" t="n">
        <v>200</v>
      </c>
      <c r="H152" s="79" t="inlineStr">
        <is>
          <t>لا</t>
        </is>
      </c>
      <c r="I152" s="79" t="inlineStr">
        <is>
          <t>بعد 31-7-2026 – خارج الفترة</t>
        </is>
      </c>
    </row>
    <row r="153">
      <c r="A153" s="79" t="n">
        <v>152</v>
      </c>
      <c r="B153" s="79" t="inlineStr">
        <is>
          <t>حسين مصطفى – مستودع الرياض</t>
        </is>
      </c>
      <c r="C153" s="114" t="n">
        <v>46238</v>
      </c>
      <c r="D153" s="79" t="inlineStr">
        <is>
          <t>إسماعيل محمد مصروفات)61( السائق إسماعيل توصيل طلبية نجران - توجيه من أبوخالد</t>
        </is>
      </c>
      <c r="E153" s="79" t="inlineStr">
        <is>
          <t>إسماعيلRN محمد #61</t>
        </is>
      </c>
      <c r="F153" s="79" t="inlineStr">
        <is>
          <t>رواتب وعمولات وانتقالات</t>
        </is>
      </c>
      <c r="G153" s="81" t="n">
        <v>100</v>
      </c>
      <c r="H153" s="79" t="inlineStr">
        <is>
          <t>لا</t>
        </is>
      </c>
      <c r="I153" s="79" t="inlineStr">
        <is>
          <t>بعد 31-7-2026 – خارج الفترة</t>
        </is>
      </c>
    </row>
    <row r="154">
      <c r="A154" s="79" t="n">
        <v>153</v>
      </c>
      <c r="B154" s="79" t="inlineStr">
        <is>
          <t>حسين مصطفى – مستودع الرياض</t>
        </is>
      </c>
      <c r="C154" s="114" t="n">
        <v>46238</v>
      </c>
      <c r="D154" s="79" t="inlineStr">
        <is>
          <t>SUPPLIES COFFEE &amp; مياهTEA للشرب للعمال</t>
        </is>
      </c>
      <c r="E154" s="79" t="n"/>
      <c r="F154" s="79" t="inlineStr">
        <is>
          <t>خدمات ومرافق (كهرباء/مياه/إنترنت/إنشاءات)</t>
        </is>
      </c>
      <c r="G154" s="81" t="n">
        <v>70</v>
      </c>
      <c r="H154" s="79" t="inlineStr">
        <is>
          <t>لا</t>
        </is>
      </c>
      <c r="I154" s="79" t="inlineStr">
        <is>
          <t>بعد 31-7-2026 – خارج الفترة</t>
        </is>
      </c>
    </row>
    <row r="155">
      <c r="A155" s="79" t="n">
        <v>154</v>
      </c>
      <c r="B155" s="79" t="inlineStr">
        <is>
          <t>حسين مصطفى – مستودع الرياض</t>
        </is>
      </c>
      <c r="C155" s="114" t="n">
        <v>46238</v>
      </c>
      <c r="D155" s="79" t="inlineStr">
        <is>
          <t>شراء 3 لفة خيط لتربيط الشجار</t>
        </is>
      </c>
      <c r="E155" s="79" t="inlineStr">
        <is>
          <t>RN-DEPARTMENT</t>
        </is>
      </c>
      <c r="F155" s="79" t="inlineStr">
        <is>
          <t>مصروفات تشغيل المزرعة</t>
        </is>
      </c>
      <c r="G155" s="81" t="n">
        <v>150</v>
      </c>
      <c r="H155" s="79" t="inlineStr">
        <is>
          <t>لا</t>
        </is>
      </c>
      <c r="I155" s="79" t="inlineStr">
        <is>
          <t>بعد 31-7-2026 – خارج الفترة</t>
        </is>
      </c>
    </row>
    <row r="156">
      <c r="A156" s="79" t="n">
        <v>155</v>
      </c>
      <c r="B156" s="79" t="inlineStr">
        <is>
          <t>حسين مصطفى – مستودع الرياض</t>
        </is>
      </c>
      <c r="C156" s="114" t="n">
        <v>46238</v>
      </c>
      <c r="D156" s="79" t="inlineStr">
        <is>
          <t>SUPPLIES شراءCLEANING سم فئران</t>
        </is>
      </c>
      <c r="E156" s="79" t="n"/>
      <c r="F156" s="79" t="inlineStr">
        <is>
          <t>خدمات ومرافق (كهرباء/مياه/إنترنت/إنشاءات)</t>
        </is>
      </c>
      <c r="G156" s="81" t="n">
        <v>20</v>
      </c>
      <c r="H156" s="79" t="inlineStr">
        <is>
          <t>لا</t>
        </is>
      </c>
      <c r="I156" s="79" t="inlineStr">
        <is>
          <t>بعد 31-7-2026 – خارج الفترة</t>
        </is>
      </c>
    </row>
    <row r="157">
      <c r="A157" s="79" t="n">
        <v>156</v>
      </c>
      <c r="B157" s="79" t="inlineStr">
        <is>
          <t>حسين مصطفى – مستودع الرياض</t>
        </is>
      </c>
      <c r="C157" s="114" t="n">
        <v>46238</v>
      </c>
      <c r="D157" s="79" t="inlineStr">
        <is>
          <t>شراء خالط دش وخالط وضوء للعمال</t>
        </is>
      </c>
      <c r="E157" s="79" t="inlineStr">
        <is>
          <t>EQUIP. &amp; DEVICE MAINTENANCE</t>
        </is>
      </c>
      <c r="F157" s="79" t="inlineStr">
        <is>
          <t>خدمات ومرافق (كهرباء/مياه/إنترنت/إنشاءات)</t>
        </is>
      </c>
      <c r="G157" s="81" t="n">
        <v>184</v>
      </c>
      <c r="H157" s="79" t="inlineStr">
        <is>
          <t>لا</t>
        </is>
      </c>
      <c r="I157" s="79" t="inlineStr">
        <is>
          <t>بعد 31-7-2026 – خارج الفترة</t>
        </is>
      </c>
    </row>
    <row r="158">
      <c r="A158" s="79" t="n">
        <v>157</v>
      </c>
      <c r="B158" s="79" t="inlineStr">
        <is>
          <t>حسين مصطفى – مستودع الرياض</t>
        </is>
      </c>
      <c r="C158" s="114" t="n">
        <v>46238</v>
      </c>
      <c r="D158" s="79" t="inlineStr">
        <is>
          <t>شراء مقصات للشجر</t>
        </is>
      </c>
      <c r="E158" s="79" t="inlineStr">
        <is>
          <t>RN-DEPARTMENT</t>
        </is>
      </c>
      <c r="F158" s="79" t="inlineStr">
        <is>
          <t>مصروفات تشغيل المزرعة</t>
        </is>
      </c>
      <c r="G158" s="81" t="n">
        <v>45</v>
      </c>
      <c r="H158" s="79" t="inlineStr">
        <is>
          <t>لا</t>
        </is>
      </c>
      <c r="I158" s="79" t="inlineStr">
        <is>
          <t>بعد 31-7-2026 – خارج الفترة</t>
        </is>
      </c>
    </row>
    <row r="159">
      <c r="A159" s="79" t="n">
        <v>158</v>
      </c>
      <c r="B159" s="79" t="inlineStr">
        <is>
          <t>حسين مصطفى – مستودع الرياض</t>
        </is>
      </c>
      <c r="C159" s="114" t="n">
        <v>46238</v>
      </c>
      <c r="D159" s="79" t="inlineStr">
        <is>
          <t>شراء شطرطون ومفكات</t>
        </is>
      </c>
      <c r="E159" s="79" t="inlineStr">
        <is>
          <t>RN-DEPARTMENT</t>
        </is>
      </c>
      <c r="F159" s="79" t="inlineStr">
        <is>
          <t>مصروفات تشغيل المزرعة</t>
        </is>
      </c>
      <c r="G159" s="81" t="n">
        <v>46</v>
      </c>
      <c r="H159" s="79" t="inlineStr">
        <is>
          <t>لا</t>
        </is>
      </c>
      <c r="I159" s="79" t="inlineStr">
        <is>
          <t>بعد 31-7-2026 – خارج الفترة</t>
        </is>
      </c>
    </row>
    <row r="160">
      <c r="A160" s="79" t="n">
        <v>159</v>
      </c>
      <c r="B160" s="79" t="inlineStr">
        <is>
          <t>حسين مصطفى – مستودع الرياض</t>
        </is>
      </c>
      <c r="C160" s="114" t="n">
        <v>46238</v>
      </c>
      <c r="D160" s="79" t="inlineStr">
        <is>
          <t>شراء مسدس رش مياه وسيلكون</t>
        </is>
      </c>
      <c r="E160" s="79" t="inlineStr">
        <is>
          <t>RN-DEPARTMENT</t>
        </is>
      </c>
      <c r="F160" s="79" t="inlineStr">
        <is>
          <t>مصروفات تشغيل المزرعة</t>
        </is>
      </c>
      <c r="G160" s="81" t="n">
        <v>40</v>
      </c>
      <c r="H160" s="79" t="inlineStr">
        <is>
          <t>لا</t>
        </is>
      </c>
      <c r="I160" s="79" t="inlineStr">
        <is>
          <t>بعد 31-7-2026 – خارج الفترة</t>
        </is>
      </c>
    </row>
    <row r="161">
      <c r="A161" s="79" t="n">
        <v>160</v>
      </c>
      <c r="B161" s="79" t="inlineStr">
        <is>
          <t>حسين مصطفى – مستودع الرياض</t>
        </is>
      </c>
      <c r="C161" s="114" t="n">
        <v>46238</v>
      </c>
      <c r="D161" s="79" t="inlineStr">
        <is>
          <t>شراء مسدس سيلكون</t>
        </is>
      </c>
      <c r="E161" s="79" t="inlineStr">
        <is>
          <t>EQUIP. &amp; DEVICE MAINTENANCE</t>
        </is>
      </c>
      <c r="F161" s="79" t="inlineStr">
        <is>
          <t>خدمات ومرافق (كهرباء/مياه/إنترنت/إنشاءات)</t>
        </is>
      </c>
      <c r="G161" s="81" t="n">
        <v>20</v>
      </c>
      <c r="H161" s="79" t="inlineStr">
        <is>
          <t>لا</t>
        </is>
      </c>
      <c r="I161" s="79" t="inlineStr">
        <is>
          <t>بعد 31-7-2026 – خارج الفترة</t>
        </is>
      </c>
    </row>
    <row r="162">
      <c r="A162" s="79" t="n">
        <v>161</v>
      </c>
      <c r="B162" s="79" t="inlineStr">
        <is>
          <t>حسين مصطفى – مستودع الرياض</t>
        </is>
      </c>
      <c r="C162" s="114" t="n">
        <v>46238</v>
      </c>
      <c r="D162" s="79" t="inlineStr">
        <is>
          <t>شراء علبة زيت فرامل و علبة دريكسيون للوانيت</t>
        </is>
      </c>
      <c r="E162" s="79" t="inlineStr">
        <is>
          <t>VHC-5564</t>
        </is>
      </c>
      <c r="F162" s="79" t="inlineStr">
        <is>
          <t>صيانة سيارات</t>
        </is>
      </c>
      <c r="G162" s="81" t="n">
        <v>20</v>
      </c>
      <c r="H162" s="79" t="inlineStr">
        <is>
          <t>لا</t>
        </is>
      </c>
      <c r="I162" s="79" t="inlineStr">
        <is>
          <t>بعد 31-7-2026 – خارج الفترة</t>
        </is>
      </c>
    </row>
    <row r="163">
      <c r="A163" s="79" t="n">
        <v>162</v>
      </c>
      <c r="B163" s="79" t="inlineStr">
        <is>
          <t>حسين مصطفى – مستودع الرياض</t>
        </is>
      </c>
      <c r="C163" s="114" t="n">
        <v>46238</v>
      </c>
      <c r="D163" s="79" t="inlineStr">
        <is>
          <t>غيار زيت وفلتر للوانيت</t>
        </is>
      </c>
      <c r="E163" s="79" t="inlineStr">
        <is>
          <t>VHC-5564</t>
        </is>
      </c>
      <c r="F163" s="79" t="inlineStr">
        <is>
          <t>صيانة سيارات</t>
        </is>
      </c>
      <c r="G163" s="81" t="n">
        <v>230</v>
      </c>
      <c r="H163" s="79" t="inlineStr">
        <is>
          <t>لا</t>
        </is>
      </c>
      <c r="I163" s="79" t="inlineStr">
        <is>
          <t>بعد 31-7-2026 – خارج الفترة</t>
        </is>
      </c>
    </row>
    <row r="164">
      <c r="A164" s="79" t="n">
        <v>163</v>
      </c>
      <c r="B164" s="79" t="inlineStr">
        <is>
          <t>حسين مصطفى – مستودع الرياض</t>
        </is>
      </c>
      <c r="C164" s="114" t="n">
        <v>46238</v>
      </c>
      <c r="D164" s="79" t="inlineStr">
        <is>
          <t>SUPPLIES COFFEE &amp; مياهTEA للشرب للعمال</t>
        </is>
      </c>
      <c r="E164" s="79" t="n"/>
      <c r="F164" s="79" t="inlineStr">
        <is>
          <t>خدمات ومرافق (كهرباء/مياه/إنترنت/إنشاءات)</t>
        </is>
      </c>
      <c r="G164" s="81" t="n">
        <v>70</v>
      </c>
      <c r="H164" s="79" t="inlineStr">
        <is>
          <t>لا</t>
        </is>
      </c>
      <c r="I164" s="79" t="inlineStr">
        <is>
          <t>بعد 31-7-2026 – خارج الفترة</t>
        </is>
      </c>
    </row>
    <row r="165">
      <c r="A165" s="79" t="n">
        <v>164</v>
      </c>
      <c r="B165" s="79" t="inlineStr">
        <is>
          <t>حسين مصطفى – مستودع الرياض</t>
        </is>
      </c>
      <c r="C165" s="114" t="n">
        <v>46238</v>
      </c>
      <c r="D165" s="79" t="inlineStr">
        <is>
          <t>شراء مسمامير وسيلكون للمزرعة</t>
        </is>
      </c>
      <c r="E165" s="79" t="inlineStr">
        <is>
          <t>RN-DEPARTMENT</t>
        </is>
      </c>
      <c r="F165" s="79" t="inlineStr">
        <is>
          <t>مصروفات تشغيل المزرعة</t>
        </is>
      </c>
      <c r="G165" s="81" t="n">
        <v>90</v>
      </c>
      <c r="H165" s="79" t="inlineStr">
        <is>
          <t>لا</t>
        </is>
      </c>
      <c r="I165" s="79" t="inlineStr">
        <is>
          <t>بعد 31-7-2026 – خارج الفترة</t>
        </is>
      </c>
    </row>
    <row r="166">
      <c r="A166" s="79" t="n">
        <v>165</v>
      </c>
      <c r="B166" s="79" t="inlineStr">
        <is>
          <t>حسين مصطفى – مستودع الرياض</t>
        </is>
      </c>
      <c r="C166" s="114" t="n">
        <v>46238</v>
      </c>
      <c r="D166" s="79" t="inlineStr">
        <is>
          <t>SUPPLIES شفطCLEANING الصرف الصحي بالمزرعة T N E I P I C E R D E M A N E H T R O F Y L E L O S D E D N E T N I D N A L A I T N E D I F N O C S I T N E M U C O D S I H T 0551019506 | SABOUR ABDEL AHMED ENG. 18:06 2026, Aug 09 Generated: v10.0 ERP Unified NSC</t>
        </is>
      </c>
      <c r="E166" s="79" t="n"/>
      <c r="F166" s="79" t="inlineStr">
        <is>
          <t>خدمات ومرافق (كهرباء/مياه/إنترنت/إنشاءات)</t>
        </is>
      </c>
      <c r="G166" s="81" t="n">
        <v>300</v>
      </c>
      <c r="H166" s="79" t="inlineStr">
        <is>
          <t>لا</t>
        </is>
      </c>
      <c r="I166" s="79" t="inlineStr">
        <is>
          <t>بعد 31-7-2026 – خارج الفترة</t>
        </is>
      </c>
    </row>
    <row r="167">
      <c r="A167" s="79" t="n">
        <v>166</v>
      </c>
      <c r="B167" s="79" t="inlineStr">
        <is>
          <t>حسين مصطفى – مستودع الرياض</t>
        </is>
      </c>
      <c r="C167" s="114" t="n">
        <v>46238</v>
      </c>
      <c r="D167" s="79" t="inlineStr">
        <is>
          <t>شراء اكواع سباكة ولفة احبال ونبل نحاس</t>
        </is>
      </c>
      <c r="E167" s="79" t="inlineStr">
        <is>
          <t>EQUIP. &amp; DEVICE MAINTENANCE</t>
        </is>
      </c>
      <c r="F167" s="79" t="inlineStr">
        <is>
          <t>خدمات ومرافق (كهرباء/مياه/إنترنت/إنشاءات)</t>
        </is>
      </c>
      <c r="G167" s="81" t="n">
        <v>75</v>
      </c>
      <c r="H167" s="79" t="inlineStr">
        <is>
          <t>لا</t>
        </is>
      </c>
      <c r="I167" s="79" t="inlineStr">
        <is>
          <t>بعد 31-7-2026 – خارج الفترة</t>
        </is>
      </c>
    </row>
    <row r="168">
      <c r="A168" s="79" t="n">
        <v>167</v>
      </c>
      <c r="B168" s="79" t="inlineStr">
        <is>
          <t>حسين مصطفى – مستودع الرياض</t>
        </is>
      </c>
      <c r="C168" s="114" t="n">
        <v>46238</v>
      </c>
      <c r="D168" s="79" t="inlineStr">
        <is>
          <t>بنزين للسيارة الوانيت</t>
        </is>
      </c>
      <c r="E168" s="79" t="inlineStr">
        <is>
          <t>VHC-5564</t>
        </is>
      </c>
      <c r="F168" s="79" t="inlineStr">
        <is>
          <t>وقود (ديزل/بنزين)</t>
        </is>
      </c>
      <c r="G168" s="81" t="n">
        <v>139.74</v>
      </c>
      <c r="H168" s="79" t="inlineStr">
        <is>
          <t>لا</t>
        </is>
      </c>
      <c r="I168" s="79" t="inlineStr">
        <is>
          <t>بعد 31-7-2026 – خارج الفترة</t>
        </is>
      </c>
    </row>
    <row r="169">
      <c r="A169" s="79" t="n">
        <v>168</v>
      </c>
      <c r="B169" s="79" t="inlineStr">
        <is>
          <t>حسين مصطفى – مستودع الرياض</t>
        </is>
      </c>
      <c r="C169" s="114" t="n">
        <v>46238</v>
      </c>
      <c r="D169" s="79" t="inlineStr">
        <is>
          <t>عمل كفر السيارة الوانيت</t>
        </is>
      </c>
      <c r="E169" s="79" t="inlineStr">
        <is>
          <t>VHC-5564</t>
        </is>
      </c>
      <c r="F169" s="79" t="inlineStr">
        <is>
          <t>صيانة سيارات</t>
        </is>
      </c>
      <c r="G169" s="81" t="n">
        <v>40</v>
      </c>
      <c r="H169" s="79" t="inlineStr">
        <is>
          <t>لا</t>
        </is>
      </c>
      <c r="I169" s="79" t="inlineStr">
        <is>
          <t>بعد 31-7-2026 – خارج الفترة</t>
        </is>
      </c>
    </row>
    <row r="170">
      <c r="A170" s="79" t="n">
        <v>169</v>
      </c>
      <c r="B170" s="79" t="inlineStr">
        <is>
          <t>حسين مصطفى – مستودع الرياض</t>
        </is>
      </c>
      <c r="C170" s="114" t="n">
        <v>46238</v>
      </c>
      <c r="D170" s="79" t="inlineStr">
        <is>
          <t>اصالح مواتير مراوح وخزانات المزرعة</t>
        </is>
      </c>
      <c r="E170" s="79" t="inlineStr">
        <is>
          <t>EQUIP. &amp; DEVICE MAINTENANCE</t>
        </is>
      </c>
      <c r="F170" s="79" t="inlineStr">
        <is>
          <t>خدمات ومرافق (كهرباء/مياه/إنترنت/إنشاءات)</t>
        </is>
      </c>
      <c r="G170" s="81" t="n">
        <v>900</v>
      </c>
      <c r="H170" s="79" t="inlineStr">
        <is>
          <t>لا</t>
        </is>
      </c>
      <c r="I170" s="79" t="inlineStr">
        <is>
          <t>بعد 31-7-2026 – خارج الفترة</t>
        </is>
      </c>
    </row>
    <row r="171">
      <c r="A171" s="79" t="n">
        <v>170</v>
      </c>
      <c r="B171" s="79" t="inlineStr">
        <is>
          <t>حسين مصطفى – مستودع الرياض</t>
        </is>
      </c>
      <c r="C171" s="114" t="n">
        <v>46238</v>
      </c>
      <c r="D171" s="79" t="inlineStr">
        <is>
          <t>شراء سلك تربيط</t>
        </is>
      </c>
      <c r="E171" s="79" t="inlineStr">
        <is>
          <t>RN-DEPARTMENT</t>
        </is>
      </c>
      <c r="F171" s="79" t="inlineStr">
        <is>
          <t>مصروفات تشغيل المزرعة</t>
        </is>
      </c>
      <c r="G171" s="81" t="n">
        <v>40.25</v>
      </c>
      <c r="H171" s="79" t="inlineStr">
        <is>
          <t>لا</t>
        </is>
      </c>
      <c r="I171" s="79" t="inlineStr">
        <is>
          <t>بعد 31-7-2026 – خارج الفترة</t>
        </is>
      </c>
    </row>
    <row r="172">
      <c r="A172" s="79" t="n">
        <v>171</v>
      </c>
      <c r="B172" s="79" t="inlineStr">
        <is>
          <t>حسين مصطفى – مستودع الرياض</t>
        </is>
      </c>
      <c r="C172" s="114" t="n">
        <v>46238</v>
      </c>
      <c r="D172" s="79" t="inlineStr">
        <is>
          <t>SUPPLIES COFFEE &amp; مياهTEA للشرب للعمال</t>
        </is>
      </c>
      <c r="E172" s="79" t="n"/>
      <c r="F172" s="79" t="inlineStr">
        <is>
          <t>خدمات ومرافق (كهرباء/مياه/إنترنت/إنشاءات)</t>
        </is>
      </c>
      <c r="G172" s="81" t="n">
        <v>70</v>
      </c>
      <c r="H172" s="79" t="inlineStr">
        <is>
          <t>لا</t>
        </is>
      </c>
      <c r="I172" s="79" t="inlineStr">
        <is>
          <t>بعد 31-7-2026 – خارج الفترة</t>
        </is>
      </c>
    </row>
    <row r="173">
      <c r="A173" s="79" t="n">
        <v>172</v>
      </c>
      <c r="B173" s="79" t="inlineStr">
        <is>
          <t>حسين مصطفى – مستودع الرياض</t>
        </is>
      </c>
      <c r="C173" s="114" t="n">
        <v>46238</v>
      </c>
      <c r="D173" s="79" t="inlineStr">
        <is>
          <t>B82 - شراء سيور للمراوح</t>
        </is>
      </c>
      <c r="E173" s="79" t="inlineStr">
        <is>
          <t>EQUIP. &amp; DEVICE MAINTENANCE</t>
        </is>
      </c>
      <c r="F173" s="79" t="inlineStr">
        <is>
          <t>خدمات ومرافق (كهرباء/مياه/إنترنت/إنشاءات)</t>
        </is>
      </c>
      <c r="G173" s="81" t="n">
        <v>126.01</v>
      </c>
      <c r="H173" s="79" t="inlineStr">
        <is>
          <t>لا</t>
        </is>
      </c>
      <c r="I173" s="79" t="inlineStr">
        <is>
          <t>بعد 31-7-2026 – خارج الفترة</t>
        </is>
      </c>
    </row>
    <row r="174">
      <c r="A174" s="79" t="n">
        <v>173</v>
      </c>
      <c r="B174" s="79" t="inlineStr">
        <is>
          <t>حسين مصطفى – مستودع الرياض</t>
        </is>
      </c>
      <c r="C174" s="114" t="n">
        <v>46238</v>
      </c>
      <c r="D174" s="79" t="inlineStr">
        <is>
          <t>قيمةNS-DEPARTMENT اجرة سيارة لتوصيل اوراق الشئون للرياض يوم 2026-7-1</t>
        </is>
      </c>
      <c r="E174" s="79" t="n"/>
      <c r="F174" s="79" t="inlineStr">
        <is>
          <t>نقل خارجي</t>
        </is>
      </c>
      <c r="G174" s="81" t="n">
        <v>280</v>
      </c>
      <c r="H174" s="79" t="inlineStr">
        <is>
          <t>لا</t>
        </is>
      </c>
      <c r="I174" s="79" t="inlineStr">
        <is>
          <t>بعد 31-7-2026 – خارج الفترة</t>
        </is>
      </c>
    </row>
    <row r="175">
      <c r="A175" s="79" t="n">
        <v>174</v>
      </c>
      <c r="B175" s="79" t="inlineStr">
        <is>
          <t>إسماعيل جان حبيب – سيارة 3010</t>
        </is>
      </c>
      <c r="C175" s="114" t="n">
        <v>46240</v>
      </c>
      <c r="D175" s="79" t="inlineStr">
        <is>
          <t>سوالر س اسماعيل يوم 2026-8-3</t>
        </is>
      </c>
      <c r="E175" s="79" t="inlineStr">
        <is>
          <t>VHC-3010</t>
        </is>
      </c>
      <c r="F175" s="79" t="inlineStr">
        <is>
          <t>وقود (ديزل/بنزين)</t>
        </is>
      </c>
      <c r="G175" s="81" t="n">
        <v>150</v>
      </c>
      <c r="H175" s="79" t="inlineStr">
        <is>
          <t>لا</t>
        </is>
      </c>
      <c r="I175" s="79" t="inlineStr">
        <is>
          <t>بعد 31-7-2026 – خارج الفترة</t>
        </is>
      </c>
    </row>
    <row r="176">
      <c r="A176" s="79" t="n">
        <v>175</v>
      </c>
      <c r="B176" s="79" t="inlineStr">
        <is>
          <t>إسماعيل جان حبيب – سيارة 3010</t>
        </is>
      </c>
      <c r="C176" s="114" t="n">
        <v>46240</v>
      </c>
      <c r="D176" s="79" t="inlineStr">
        <is>
          <t>سوالر اسماعيل يوم 2026-8-6</t>
        </is>
      </c>
      <c r="E176" s="79" t="inlineStr">
        <is>
          <t>VHC-3010</t>
        </is>
      </c>
      <c r="F176" s="79" t="inlineStr">
        <is>
          <t>وقود (ديزل/بنزين)</t>
        </is>
      </c>
      <c r="G176" s="81" t="n">
        <v>200</v>
      </c>
      <c r="H176" s="79" t="inlineStr">
        <is>
          <t>لا</t>
        </is>
      </c>
      <c r="I176" s="79" t="inlineStr">
        <is>
          <t>بعد 31-7-2026 – خارج الفترة</t>
        </is>
      </c>
    </row>
    <row r="177">
      <c r="A177" s="79" t="n">
        <v>176</v>
      </c>
      <c r="B177" s="79" t="inlineStr">
        <is>
          <t>حسين مصطفى – مستودع الرياض</t>
        </is>
      </c>
      <c r="C177" s="114" t="n">
        <v>46240</v>
      </c>
      <c r="D177" s="79" t="inlineStr">
        <is>
          <t>شراء مبيدات الشجار والحشائش يوم 2026-8-3</t>
        </is>
      </c>
      <c r="E177" s="79" t="inlineStr">
        <is>
          <t>RN-DEPARTMENT</t>
        </is>
      </c>
      <c r="F177" s="79" t="inlineStr">
        <is>
          <t>مصروفات تشغيل المزرعة</t>
        </is>
      </c>
      <c r="G177" s="81" t="n">
        <v>405</v>
      </c>
      <c r="H177" s="79" t="inlineStr">
        <is>
          <t>لا</t>
        </is>
      </c>
      <c r="I177" s="79" t="inlineStr">
        <is>
          <t>بعد 31-7-2026 – خارج الفترة</t>
        </is>
      </c>
    </row>
    <row r="178">
      <c r="A178" s="79" t="n">
        <v>177</v>
      </c>
      <c r="B178" s="79" t="inlineStr">
        <is>
          <t>حسين مصطفى – مستودع الرياض</t>
        </is>
      </c>
      <c r="C178" s="114" t="n">
        <v>46242</v>
      </c>
      <c r="D178" s="79" t="inlineStr">
        <is>
          <t>بنزين للوانيت 5564 - يوم 2026-8-7</t>
        </is>
      </c>
      <c r="E178" s="79" t="inlineStr">
        <is>
          <t>VHC-5564</t>
        </is>
      </c>
      <c r="F178" s="79" t="inlineStr">
        <is>
          <t>وقود (ديزل/بنزين)</t>
        </is>
      </c>
      <c r="G178" s="81" t="n">
        <v>60.02</v>
      </c>
      <c r="H178" s="79" t="inlineStr">
        <is>
          <t>لا</t>
        </is>
      </c>
      <c r="I178" s="79" t="inlineStr">
        <is>
          <t>بعد 31-7-2026 – خارج الفترة</t>
        </is>
      </c>
    </row>
    <row r="179">
      <c r="A179" s="79" t="n">
        <v>178</v>
      </c>
      <c r="B179" s="79" t="inlineStr">
        <is>
          <t>عظمت الله خان – سيارة 1219</t>
        </is>
      </c>
      <c r="C179" s="114" t="n">
        <v>46242</v>
      </c>
      <c r="D179" s="79" t="inlineStr">
        <is>
          <t>سوالر س - عصمت يوم 2026-8-8</t>
        </is>
      </c>
      <c r="E179" s="79" t="inlineStr">
        <is>
          <t>VHC-1219</t>
        </is>
      </c>
      <c r="F179" s="79" t="inlineStr">
        <is>
          <t>وقود (ديزل/بنزين)</t>
        </is>
      </c>
      <c r="G179" s="81" t="n">
        <v>250</v>
      </c>
      <c r="H179" s="79" t="inlineStr">
        <is>
          <t>لا</t>
        </is>
      </c>
      <c r="I179" s="79" t="inlineStr">
        <is>
          <t>بعد 31-7-2026 – خارج الفترة</t>
        </is>
      </c>
    </row>
    <row r="180">
      <c r="A180" s="9" t="n"/>
      <c r="B180" s="9" t="n"/>
      <c r="C180" s="9" t="n"/>
      <c r="D180" s="9" t="inlineStr">
        <is>
          <t>الإجمالي</t>
        </is>
      </c>
      <c r="E180" s="9" t="n"/>
      <c r="F180" s="9" t="n"/>
      <c r="G180" s="10">
        <f>SUM(G2:G179)</f>
        <v/>
      </c>
      <c r="H180" s="9" t="n"/>
      <c r="I180" s="9" t="n"/>
    </row>
  </sheetData>
  <autoFilter ref="A1:I179"/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25"/>
  <sheetViews>
    <sheetView rightToLeft="1" zoomScale="10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20" customWidth="1" min="4" max="4"/>
    <col width="20" customWidth="1" min="5" max="5"/>
    <col width="16" customWidth="1" min="6" max="6"/>
  </cols>
  <sheetData>
    <row r="1">
      <c r="A1" s="22" t="inlineStr">
        <is>
          <t>صاحب العهدة</t>
        </is>
      </c>
      <c r="B1" s="22" t="inlineStr">
        <is>
          <t>المنصرف له (إجمالي العهدة)</t>
        </is>
      </c>
      <c r="C1" s="22" t="inlineStr">
        <is>
          <t>المسوّى بمستندات</t>
        </is>
      </c>
      <c r="D1" s="22" t="inlineStr">
        <is>
          <t>الرصيد المتبقي بدون تسوية</t>
        </is>
      </c>
      <c r="E1" s="22" t="inlineStr">
        <is>
          <t>منها داخل الفترة حتى 31-7</t>
        </is>
      </c>
      <c r="F1" s="22" t="inlineStr">
        <is>
          <t>منها بعد 31-7</t>
        </is>
      </c>
    </row>
    <row r="2">
      <c r="A2" s="16" t="inlineStr">
        <is>
          <t>حسين مصطفى – مستودع الرياض</t>
        </is>
      </c>
      <c r="B2" s="17" t="n">
        <v>46018.39</v>
      </c>
      <c r="C2" s="17" t="n">
        <v>45136.41</v>
      </c>
      <c r="D2" s="17" t="n">
        <v>881.98</v>
      </c>
      <c r="E2" s="17" t="n">
        <v>41615.39</v>
      </c>
      <c r="F2" s="17" t="n">
        <v>3521.02</v>
      </c>
    </row>
    <row r="3">
      <c r="A3" s="16" t="inlineStr">
        <is>
          <t>إسماعيل جان حبيب – سيارة 3010</t>
        </is>
      </c>
      <c r="B3" s="17" t="n">
        <v>2153</v>
      </c>
      <c r="C3" s="17" t="n">
        <v>2003.05</v>
      </c>
      <c r="D3" s="17" t="n">
        <v>149.95</v>
      </c>
      <c r="E3" s="17" t="n">
        <v>1253.05</v>
      </c>
      <c r="F3" s="17" t="n">
        <v>750</v>
      </c>
    </row>
    <row r="4">
      <c r="A4" s="16" t="inlineStr">
        <is>
          <t>عظمت الله خان – سيارة 1219</t>
        </is>
      </c>
      <c r="B4" s="17" t="n">
        <v>2500</v>
      </c>
      <c r="C4" s="17" t="n">
        <v>1988.02</v>
      </c>
      <c r="D4" s="17" t="n">
        <v>511.98</v>
      </c>
      <c r="E4" s="17" t="n">
        <v>1293.02</v>
      </c>
      <c r="F4" s="17" t="n">
        <v>695</v>
      </c>
    </row>
    <row r="5">
      <c r="A5" s="16" t="inlineStr">
        <is>
          <t>عماد حمدي – سيارة 3010</t>
        </is>
      </c>
      <c r="B5" s="17" t="n">
        <v>690</v>
      </c>
      <c r="C5" s="17" t="n">
        <v>690</v>
      </c>
      <c r="D5" s="17" t="n">
        <v>0</v>
      </c>
      <c r="E5" s="17" t="n">
        <v>690</v>
      </c>
      <c r="F5" s="17" t="n">
        <v>0</v>
      </c>
    </row>
    <row r="6">
      <c r="A6" s="9" t="inlineStr">
        <is>
          <t>الإجمالي</t>
        </is>
      </c>
      <c r="B6" s="10">
        <f>SUM(B2:B5)</f>
        <v/>
      </c>
      <c r="C6" s="10">
        <f>SUM(C2:C5)</f>
        <v/>
      </c>
      <c r="D6" s="10">
        <f>SUM(D2:D5)</f>
        <v/>
      </c>
      <c r="E6" s="10">
        <f>SUM(E2:E5)</f>
        <v/>
      </c>
      <c r="F6" s="10">
        <f>SUM(F2:F5)</f>
        <v/>
      </c>
    </row>
    <row r="7"/>
    <row r="8">
      <c r="A8" s="59" t="inlineStr">
        <is>
          <t>المصروفات حسب البند (داخل الفترة حتى 31-7-2026)</t>
        </is>
      </c>
    </row>
    <row r="9">
      <c r="A9" s="22" t="inlineStr">
        <is>
          <t>البند</t>
        </is>
      </c>
      <c r="B9" s="22" t="inlineStr">
        <is>
          <t>المبلغ</t>
        </is>
      </c>
      <c r="C9" s="22" t="inlineStr">
        <is>
          <t>عدد الحركات</t>
        </is>
      </c>
      <c r="D9" s="22" t="n"/>
      <c r="E9" s="22" t="n"/>
      <c r="F9" s="22" t="n"/>
    </row>
    <row r="10">
      <c r="A10" s="16" t="inlineStr">
        <is>
          <t>وقود (ديزل/بنزين)</t>
        </is>
      </c>
      <c r="B10" s="17" t="n">
        <v>13997.32</v>
      </c>
      <c r="C10" s="16" t="n">
        <v>64</v>
      </c>
      <c r="D10" s="16" t="n"/>
      <c r="E10" s="16" t="n"/>
      <c r="F10" s="16" t="n"/>
    </row>
    <row r="11">
      <c r="A11" s="16" t="inlineStr">
        <is>
          <t>صيانة سيارات</t>
        </is>
      </c>
      <c r="B11" s="17" t="n">
        <v>13421.86</v>
      </c>
      <c r="C11" s="16" t="n">
        <v>39</v>
      </c>
      <c r="D11" s="16" t="n"/>
      <c r="E11" s="16" t="n"/>
      <c r="F11" s="16" t="n"/>
    </row>
    <row r="12">
      <c r="A12" s="16" t="inlineStr">
        <is>
          <t>خدمات ومرافق (كهرباء/مياه/إنترنت/إنشاءات)</t>
        </is>
      </c>
      <c r="B12" s="17" t="n">
        <v>11253.65</v>
      </c>
      <c r="C12" s="16" t="n">
        <v>23</v>
      </c>
      <c r="D12" s="16" t="n"/>
      <c r="E12" s="16" t="n"/>
      <c r="F12" s="16" t="n"/>
    </row>
    <row r="13">
      <c r="A13" s="16" t="inlineStr">
        <is>
          <t>مصروفات تشغيل المزرعة</t>
        </is>
      </c>
      <c r="B13" s="17" t="n">
        <v>3674.38</v>
      </c>
      <c r="C13" s="16" t="n">
        <v>17</v>
      </c>
      <c r="D13" s="16" t="n"/>
      <c r="E13" s="16" t="n"/>
      <c r="F13" s="16" t="n"/>
    </row>
    <row r="14">
      <c r="A14" s="16" t="inlineStr">
        <is>
          <t>رواتب وعمولات وانتقالات</t>
        </is>
      </c>
      <c r="B14" s="17" t="n">
        <v>2504.25</v>
      </c>
      <c r="C14" s="16" t="n">
        <v>4</v>
      </c>
      <c r="D14" s="16" t="n"/>
      <c r="E14" s="16" t="n"/>
      <c r="F14" s="16" t="n"/>
    </row>
    <row r="15">
      <c r="A15" s="9" t="inlineStr">
        <is>
          <t>الإجمالي</t>
        </is>
      </c>
      <c r="B15" s="10">
        <f>SUM(B10:B14)</f>
        <v/>
      </c>
      <c r="C15" s="9">
        <f>SUM(C10:C14)</f>
        <v/>
      </c>
      <c r="D15" s="9" t="n"/>
      <c r="E15" s="9" t="n"/>
      <c r="F15" s="9" t="n"/>
    </row>
    <row r="16"/>
    <row r="17">
      <c r="A17" s="59" t="inlineStr">
        <is>
          <t>المصروفات حسب السيارة / المستفيد (داخل الفترة)</t>
        </is>
      </c>
    </row>
    <row r="18">
      <c r="A18" s="22" t="inlineStr">
        <is>
          <t>المستفيد</t>
        </is>
      </c>
      <c r="B18" s="22" t="inlineStr">
        <is>
          <t>المبلغ</t>
        </is>
      </c>
      <c r="C18" s="22" t="inlineStr">
        <is>
          <t>عدد الحركات</t>
        </is>
      </c>
      <c r="D18" s="22" t="n"/>
      <c r="E18" s="22" t="n"/>
      <c r="F18" s="22" t="n"/>
    </row>
    <row r="19">
      <c r="A19" s="16" t="inlineStr">
        <is>
          <t>سيارة 3010 (عماد)</t>
        </is>
      </c>
      <c r="B19" s="17" t="n">
        <v>14033.16</v>
      </c>
      <c r="C19" s="16" t="n">
        <v>52</v>
      </c>
      <c r="D19" s="16" t="n"/>
      <c r="E19" s="16" t="n"/>
      <c r="F19" s="16" t="n"/>
    </row>
    <row r="20">
      <c r="A20" s="16" t="inlineStr">
        <is>
          <t>مصروفات المزرعة</t>
        </is>
      </c>
      <c r="B20" s="17" t="n">
        <v>11747.11</v>
      </c>
      <c r="C20" s="16" t="n">
        <v>22</v>
      </c>
      <c r="D20" s="16" t="n"/>
      <c r="E20" s="16" t="n"/>
      <c r="F20" s="16" t="n"/>
    </row>
    <row r="21">
      <c r="A21" s="16" t="inlineStr">
        <is>
          <t>سيارة 1219 (عصمت)</t>
        </is>
      </c>
      <c r="B21" s="17" t="n">
        <v>11176.31</v>
      </c>
      <c r="C21" s="16" t="n">
        <v>42</v>
      </c>
      <c r="D21" s="16" t="n"/>
      <c r="E21" s="16" t="n"/>
      <c r="F21" s="16" t="n"/>
    </row>
    <row r="22">
      <c r="A22" s="16" t="inlineStr">
        <is>
          <t>أفراد (عمولات/انتقالات)</t>
        </is>
      </c>
      <c r="B22" s="17" t="n">
        <v>2794.25</v>
      </c>
      <c r="C22" s="16" t="n">
        <v>4</v>
      </c>
      <c r="D22" s="16" t="n"/>
      <c r="E22" s="16" t="n"/>
      <c r="F22" s="16" t="n"/>
    </row>
    <row r="23">
      <c r="A23" s="16" t="inlineStr">
        <is>
          <t>سيارة 5564 (الوانيت)</t>
        </is>
      </c>
      <c r="B23" s="17" t="n">
        <v>2669.71</v>
      </c>
      <c r="C23" s="16" t="n">
        <v>10</v>
      </c>
      <c r="D23" s="16" t="n"/>
      <c r="E23" s="16" t="n"/>
      <c r="F23" s="16" t="n"/>
    </row>
    <row r="24">
      <c r="A24" s="16" t="inlineStr">
        <is>
          <t>قسم مزرعة الرياض</t>
        </is>
      </c>
      <c r="B24" s="17" t="n">
        <v>2430.92</v>
      </c>
      <c r="C24" s="16" t="n">
        <v>17</v>
      </c>
      <c r="D24" s="16" t="n"/>
      <c r="E24" s="16" t="n"/>
      <c r="F24" s="16" t="n"/>
    </row>
    <row r="25">
      <c r="A25" s="9" t="inlineStr">
        <is>
          <t>الإجمالي</t>
        </is>
      </c>
      <c r="B25" s="10">
        <f>SUM(B19:B24)</f>
        <v/>
      </c>
      <c r="C25" s="9">
        <f>SUM(C19:C24)</f>
        <v/>
      </c>
      <c r="D25" s="9" t="n"/>
      <c r="E25" s="9" t="n"/>
      <c r="F25" s="9" t="n"/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C55A11"/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4" t="inlineStr">
        <is>
          <t>ميزان خزنة مزرعة الرياض (الكشف القديم 1-11-2025 إلى 3-6-2026) قبل وبعد حذف عمليات الجزيرة</t>
        </is>
      </c>
    </row>
    <row r="2"/>
    <row r="3">
      <c r="A3" s="15" t="inlineStr">
        <is>
          <t>البند</t>
        </is>
      </c>
      <c r="B3" s="15" t="inlineStr">
        <is>
          <t>قبل الحذف</t>
        </is>
      </c>
      <c r="C3" s="15" t="inlineStr">
        <is>
          <t>عمليات الجزيرة المحذوفة</t>
        </is>
      </c>
      <c r="D3" s="15" t="inlineStr">
        <is>
          <t>بعد الحذف</t>
        </is>
      </c>
      <c r="E3" s="15" t="inlineStr">
        <is>
          <t>ملاحظة</t>
        </is>
      </c>
    </row>
    <row r="4">
      <c r="A4" s="123" t="inlineStr">
        <is>
          <t>المقبوضات: توريدات عصمت (5001)</t>
        </is>
      </c>
      <c r="B4" s="131" t="n">
        <v>491714.93</v>
      </c>
      <c r="C4" s="131" t="n">
        <v>0</v>
      </c>
      <c r="D4" s="131">
        <f>B4+C4</f>
        <v/>
      </c>
      <c r="E4" s="123" t="inlineStr"/>
    </row>
    <row r="5">
      <c r="A5" s="123" t="inlineStr">
        <is>
          <t>المقبوضات: توريدات عماد (5002)</t>
        </is>
      </c>
      <c r="B5" s="131" t="n">
        <v>228618</v>
      </c>
      <c r="C5" s="131" t="n">
        <v>0</v>
      </c>
      <c r="D5" s="131">
        <f>B5+C5</f>
        <v/>
      </c>
      <c r="E5" s="123" t="inlineStr"/>
    </row>
    <row r="6">
      <c r="A6" s="123" t="inlineStr">
        <is>
          <t>المقبوضات: توريدات وسدادات أبو خالد (5000)</t>
        </is>
      </c>
      <c r="B6" s="131" t="n">
        <v>763323.8100000001</v>
      </c>
      <c r="C6" s="131" t="n">
        <v>-199353</v>
      </c>
      <c r="D6" s="131">
        <f>B6+C6</f>
        <v/>
      </c>
      <c r="E6" s="123" t="inlineStr">
        <is>
          <t>حُذف: زهور الجزيرة 196,225 + فلين الجزيرة 3,128 (وارد من أبو خالد)</t>
        </is>
      </c>
    </row>
    <row r="7">
      <c r="A7" s="123" t="inlineStr">
        <is>
          <t>المدفوعات: مصروفات الخزنة</t>
        </is>
      </c>
      <c r="B7" s="131" t="n">
        <v>-1440387.24</v>
      </c>
      <c r="C7" s="131" t="n">
        <v>199353</v>
      </c>
      <c r="D7" s="131">
        <f>B7+C7</f>
        <v/>
      </c>
      <c r="E7" s="123" t="inlineStr">
        <is>
          <t>حُذف: نفس المبلغين كمصروف (صرف للجزيرة)</t>
        </is>
      </c>
    </row>
    <row r="8">
      <c r="A8" s="123" t="inlineStr">
        <is>
          <t>المدفوعات: مبلغ مسدد نقداً لأبو خالد (18-5-2026)</t>
        </is>
      </c>
      <c r="B8" s="131" t="n">
        <v>-2000</v>
      </c>
      <c r="C8" s="131" t="n">
        <v>0</v>
      </c>
      <c r="D8" s="131">
        <f>B8+C8</f>
        <v/>
      </c>
      <c r="E8" s="123" t="inlineStr"/>
    </row>
    <row r="9">
      <c r="A9" s="9" t="inlineStr">
        <is>
          <t>رصيد الخزنة في 3-6-2026</t>
        </is>
      </c>
      <c r="B9" s="10">
        <f>SUM(B4:B8)</f>
        <v/>
      </c>
      <c r="C9" s="10">
        <f>SUM(C4:C8)</f>
        <v/>
      </c>
      <c r="D9" s="10">
        <f>SUM(D4:D8)</f>
        <v/>
      </c>
      <c r="E9" s="9" t="inlineStr">
        <is>
          <t>✓ الرصيد لم يتغير – العمليتان متقابلتان</t>
        </is>
      </c>
    </row>
    <row r="10">
      <c r="A10" s="16" t="inlineStr">
        <is>
          <t>الرصيد الافتتاحي لخزنة النظام الجديد (تقرير REP-568910)</t>
        </is>
      </c>
      <c r="B10" s="17" t="n">
        <v>41269</v>
      </c>
      <c r="C10" s="16" t="n"/>
      <c r="D10" s="17" t="n">
        <v>41269</v>
      </c>
      <c r="E10" s="16" t="inlineStr"/>
    </row>
    <row r="11">
      <c r="A11" s="132" t="inlineStr">
        <is>
          <t>الفرق</t>
        </is>
      </c>
      <c r="B11" s="133">
        <f>B9-B10</f>
        <v/>
      </c>
      <c r="C11" s="132" t="n"/>
      <c r="D11" s="133">
        <f>D9-D10</f>
        <v/>
      </c>
      <c r="E11" s="132" t="inlineStr">
        <is>
          <t>فرق 0.50 ريال فقط (كسور)</t>
        </is>
      </c>
    </row>
    <row r="12"/>
    <row r="13" ht="40" customHeight="1">
      <c r="A13" s="13" t="inlineStr">
        <is>
          <t>النتيجة: رصيد الخزنة القديمة في 3-6-2026 = 41,269.50 ويطابق الرصيد الافتتاحي للنظام الجديد 41,269.00 (فرق 0.50). حذف عمليات الجزيرة (وارد 199,353 من أبو خالد ومصروف 199,353 للجزيرة) لا يغيّر الرصيد.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C55A11"/>
    <outlinePr summaryBelow="1" summaryRight="1"/>
    <pageSetUpPr/>
  </sheetPr>
  <dimension ref="A1:I197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44" customWidth="1" min="5" max="5"/>
    <col width="14" customWidth="1" min="6" max="6"/>
    <col width="24" customWidth="1" min="7" max="7"/>
    <col width="44" customWidth="1" min="8" max="8"/>
    <col width="50" customWidth="1" min="9" max="9"/>
  </cols>
  <sheetData>
    <row r="1">
      <c r="A1" s="15" t="inlineStr">
        <is>
          <t>م</t>
        </is>
      </c>
      <c r="B1" s="15" t="inlineStr">
        <is>
          <t>التاريخ</t>
        </is>
      </c>
      <c r="C1" s="15" t="inlineStr">
        <is>
          <t>رقم المستند</t>
        </is>
      </c>
      <c r="D1" s="15" t="inlineStr">
        <is>
          <t>الحساب</t>
        </is>
      </c>
      <c r="E1" s="15" t="inlineStr">
        <is>
          <t>البيان</t>
        </is>
      </c>
      <c r="F1" s="15" t="inlineStr">
        <is>
          <t>المبلغ</t>
        </is>
      </c>
      <c r="G1" s="15" t="inlineStr">
        <is>
          <t>التصنيف</t>
        </is>
      </c>
      <c r="H1" s="15" t="inlineStr">
        <is>
          <t>مرتبط بمستند آخر (احتمال تكرار)</t>
        </is>
      </c>
      <c r="I1" s="15" t="inlineStr">
        <is>
          <t>ملاحظة</t>
        </is>
      </c>
    </row>
    <row r="2">
      <c r="A2" s="3" t="n">
        <v>1</v>
      </c>
      <c r="B2" s="107" t="n">
        <v>45963</v>
      </c>
      <c r="C2" s="3" t="inlineStr">
        <is>
          <t>1090</t>
        </is>
      </c>
      <c r="D2" s="3" t="inlineStr">
        <is>
          <t>مصروف</t>
        </is>
      </c>
      <c r="E2" s="3" t="inlineStr">
        <is>
          <t>سداد  بضاعة وارد</t>
        </is>
      </c>
      <c r="F2" s="4" t="n">
        <v>7020.26</v>
      </c>
      <c r="G2" s="3" t="inlineStr">
        <is>
          <t>نباتات وبذور (وارد)</t>
        </is>
      </c>
      <c r="H2" s="3" t="n"/>
      <c r="I2" s="3" t="n"/>
    </row>
    <row r="3">
      <c r="A3" s="11" t="n">
        <v>2</v>
      </c>
      <c r="B3" s="106" t="n">
        <v>45964</v>
      </c>
      <c r="C3" s="11" t="inlineStr">
        <is>
          <t>1094</t>
        </is>
      </c>
      <c r="D3" s="11" t="inlineStr">
        <is>
          <t>مصروف</t>
        </is>
      </c>
      <c r="E3" s="11" t="inlineStr">
        <is>
          <t>قيمة  بضاعة وارد</t>
        </is>
      </c>
      <c r="F3" s="12" t="n">
        <v>6700</v>
      </c>
      <c r="G3" s="11" t="inlineStr">
        <is>
          <t>نباتات وبذور (وارد)</t>
        </is>
      </c>
      <c r="H3" s="11" t="inlineStr">
        <is>
          <t>HETA NURSERYS 2025-11-03</t>
        </is>
      </c>
      <c r="I3" s="11" t="n"/>
    </row>
    <row r="4">
      <c r="A4" s="11" t="n">
        <v>3</v>
      </c>
      <c r="B4" s="106" t="n">
        <v>45965</v>
      </c>
      <c r="C4" s="11" t="inlineStr">
        <is>
          <t>35419</t>
        </is>
      </c>
      <c r="D4" s="11" t="inlineStr">
        <is>
          <t>مصروف</t>
        </is>
      </c>
      <c r="E4" s="11" t="inlineStr">
        <is>
          <t>فاتورة بنزين</t>
        </is>
      </c>
      <c r="F4" s="12" t="n">
        <v>70</v>
      </c>
      <c r="G4" s="11" t="inlineStr">
        <is>
          <t>وقود</t>
        </is>
      </c>
      <c r="H4" s="11" t="inlineStr">
        <is>
          <t>الوقود 2025-12-30، الوقود 2025-11-04، الوقود 2025-07-22</t>
        </is>
      </c>
      <c r="I4" s="11" t="n"/>
    </row>
    <row r="5">
      <c r="A5" s="3" t="n">
        <v>4</v>
      </c>
      <c r="B5" s="107" t="n">
        <v>45965</v>
      </c>
      <c r="C5" s="3" t="inlineStr">
        <is>
          <t>10</t>
        </is>
      </c>
      <c r="D5" s="3" t="inlineStr">
        <is>
          <t>مصروف</t>
        </is>
      </c>
      <c r="E5" s="3" t="inlineStr">
        <is>
          <t>سداد 2 نقلة فلين</t>
        </is>
      </c>
      <c r="F5" s="4" t="n">
        <v>4520</v>
      </c>
      <c r="G5" s="3" t="inlineStr">
        <is>
          <t>مستلزمات إنتاج (فلين)</t>
        </is>
      </c>
      <c r="H5" s="3" t="n"/>
      <c r="I5" s="3" t="n"/>
    </row>
    <row r="6">
      <c r="A6" s="11" t="n">
        <v>5</v>
      </c>
      <c r="B6" s="106" t="n">
        <v>45967</v>
      </c>
      <c r="C6" s="11" t="inlineStr">
        <is>
          <t>11</t>
        </is>
      </c>
      <c r="D6" s="11" t="inlineStr">
        <is>
          <t>مصروف</t>
        </is>
      </c>
      <c r="E6" s="11" t="inlineStr">
        <is>
          <t>قيمة شراء حديد وسنجرال</t>
        </is>
      </c>
      <c r="F6" s="12" t="n">
        <v>4455.1</v>
      </c>
      <c r="G6" s="11" t="inlineStr">
        <is>
          <t>مصروفات تشغيل متنوعة</t>
        </is>
      </c>
      <c r="H6" s="11" t="inlineStr">
        <is>
          <t>شركة ايراد المتحدة ا 2025-11-06</t>
        </is>
      </c>
      <c r="I6" s="11" t="n"/>
    </row>
    <row r="7">
      <c r="A7" s="11" t="n">
        <v>6</v>
      </c>
      <c r="B7" s="106" t="n">
        <v>45969</v>
      </c>
      <c r="C7" s="11" t="inlineStr">
        <is>
          <t>12</t>
        </is>
      </c>
      <c r="D7" s="11" t="inlineStr">
        <is>
          <t>مصروف</t>
        </is>
      </c>
      <c r="E7" s="11" t="inlineStr">
        <is>
          <t>قيمة شراء ورق طباعة واقلام</t>
        </is>
      </c>
      <c r="F7" s="12" t="n">
        <v>43.95</v>
      </c>
      <c r="G7" s="11" t="inlineStr">
        <is>
          <t>مصروفات تشغيل متنوعة</t>
        </is>
      </c>
      <c r="H7" s="11" t="inlineStr">
        <is>
          <t>اللوازم المكتبية 2025-11-08</t>
        </is>
      </c>
      <c r="I7" s="11" t="n"/>
    </row>
    <row r="8">
      <c r="A8" s="11" t="n">
        <v>7</v>
      </c>
      <c r="B8" s="106" t="n">
        <v>45969</v>
      </c>
      <c r="C8" s="11" t="n"/>
      <c r="D8" s="11" t="inlineStr">
        <is>
          <t>مصروف</t>
        </is>
      </c>
      <c r="E8" s="11" t="inlineStr">
        <is>
          <t>شحن جوال عصمت</t>
        </is>
      </c>
      <c r="F8" s="12" t="n">
        <v>115</v>
      </c>
      <c r="G8" s="11" t="inlineStr">
        <is>
          <t>اتصالات</t>
        </is>
      </c>
      <c r="H8" s="11" t="inlineStr">
        <is>
          <t>هاتف الموبايل 2025-12-17، هاتف الموبايل 2025-12-04، هاتف الموبايل 2025-11-22</t>
        </is>
      </c>
      <c r="I8" s="11" t="n"/>
    </row>
    <row r="9">
      <c r="A9" s="11" t="n">
        <v>8</v>
      </c>
      <c r="B9" s="106" t="n">
        <v>45969</v>
      </c>
      <c r="C9" s="11" t="inlineStr">
        <is>
          <t>1594</t>
        </is>
      </c>
      <c r="D9" s="11" t="inlineStr">
        <is>
          <t>مصروف</t>
        </is>
      </c>
      <c r="E9" s="11" t="inlineStr">
        <is>
          <t>شراء أدوات لاستخدام للمزرعة</t>
        </is>
      </c>
      <c r="F9" s="12" t="n">
        <v>282.9</v>
      </c>
      <c r="G9" s="11" t="inlineStr">
        <is>
          <t>مصروفات تشغيل متنوعة</t>
        </is>
      </c>
      <c r="H9" s="11" t="inlineStr">
        <is>
          <t>شركة موفق للمقاولات  2025-11-08</t>
        </is>
      </c>
      <c r="I9" s="11" t="n"/>
    </row>
    <row r="10">
      <c r="A10" s="11" t="n">
        <v>9</v>
      </c>
      <c r="B10" s="106" t="n">
        <v>45969</v>
      </c>
      <c r="C10" s="11" t="inlineStr">
        <is>
          <t>12712</t>
        </is>
      </c>
      <c r="D10" s="11" t="inlineStr">
        <is>
          <t>مصروف</t>
        </is>
      </c>
      <c r="E10" s="11" t="inlineStr">
        <is>
          <t>شراء أغراض كهرباء وسباكة</t>
        </is>
      </c>
      <c r="F10" s="12" t="n">
        <v>607.2</v>
      </c>
      <c r="G10" s="11" t="inlineStr">
        <is>
          <t>كهرباء وخدمات</t>
        </is>
      </c>
      <c r="H10" s="11" t="inlineStr">
        <is>
          <t>مؤسسة المحترف الامثل 2025-11-08</t>
        </is>
      </c>
      <c r="I10" s="11" t="n"/>
    </row>
    <row r="11">
      <c r="A11" s="11" t="n">
        <v>10</v>
      </c>
      <c r="B11" s="106" t="n">
        <v>45970</v>
      </c>
      <c r="C11" s="11" t="inlineStr">
        <is>
          <t>45</t>
        </is>
      </c>
      <c r="D11" s="11" t="inlineStr">
        <is>
          <t>مصروف</t>
        </is>
      </c>
      <c r="E11" s="11" t="inlineStr">
        <is>
          <t>سداد قيمة بضاعة وارد من ابوخالد</t>
        </is>
      </c>
      <c r="F11" s="12" t="n">
        <v>11160</v>
      </c>
      <c r="G11" s="11" t="inlineStr">
        <is>
          <t>نباتات وبذور (وارد)</t>
        </is>
      </c>
      <c r="H11" s="11" t="inlineStr">
        <is>
          <t>HETA NURSERYS 2025-11-09</t>
        </is>
      </c>
      <c r="I11" s="11" t="n"/>
    </row>
    <row r="12">
      <c r="A12" s="11" t="n">
        <v>11</v>
      </c>
      <c r="B12" s="106" t="n">
        <v>45970</v>
      </c>
      <c r="C12" s="11" t="inlineStr">
        <is>
          <t>46</t>
        </is>
      </c>
      <c r="D12" s="11" t="inlineStr">
        <is>
          <t>مصروف</t>
        </is>
      </c>
      <c r="E12" s="11" t="inlineStr">
        <is>
          <t>سداد قيمة بضاعة وارد من ابوخالد</t>
        </is>
      </c>
      <c r="F12" s="12" t="n">
        <v>23675</v>
      </c>
      <c r="G12" s="11" t="inlineStr">
        <is>
          <t>نباتات وبذور (وارد)</t>
        </is>
      </c>
      <c r="H12" s="11" t="inlineStr">
        <is>
          <t>HETA NURSERYS 2025-11-09</t>
        </is>
      </c>
      <c r="I12" s="11" t="n"/>
    </row>
    <row r="13">
      <c r="A13" s="11" t="n">
        <v>12</v>
      </c>
      <c r="B13" s="106" t="n">
        <v>45970</v>
      </c>
      <c r="C13" s="11" t="inlineStr">
        <is>
          <t>47</t>
        </is>
      </c>
      <c r="D13" s="11" t="inlineStr">
        <is>
          <t>مصروف</t>
        </is>
      </c>
      <c r="E13" s="11" t="inlineStr">
        <is>
          <t xml:space="preserve">سداد قيمة  بضاعة وارد من مصر </t>
        </is>
      </c>
      <c r="F13" s="12" t="n">
        <v>40378.8</v>
      </c>
      <c r="G13" s="11" t="inlineStr">
        <is>
          <t>نباتات وبذور (وارد)</t>
        </is>
      </c>
      <c r="H13" s="11" t="inlineStr">
        <is>
          <t>الشركة المصرية الالم 2025-11-09</t>
        </is>
      </c>
      <c r="I13" s="11" t="n"/>
    </row>
    <row r="14">
      <c r="A14" s="3" t="n">
        <v>13</v>
      </c>
      <c r="B14" s="107" t="n">
        <v>45971</v>
      </c>
      <c r="C14" s="3" t="inlineStr">
        <is>
          <t>13</t>
        </is>
      </c>
      <c r="D14" s="3" t="inlineStr">
        <is>
          <t>مصروف</t>
        </is>
      </c>
      <c r="E14" s="3" t="inlineStr">
        <is>
          <t>سداد قيمة 2 نقلة فلين</t>
        </is>
      </c>
      <c r="F14" s="4" t="n">
        <v>4520</v>
      </c>
      <c r="G14" s="3" t="inlineStr">
        <is>
          <t>مستلزمات إنتاج (فلين)</t>
        </is>
      </c>
      <c r="H14" s="3" t="n"/>
      <c r="I14" s="3" t="n"/>
    </row>
    <row r="15">
      <c r="A15" s="11" t="n">
        <v>14</v>
      </c>
      <c r="B15" s="106" t="n">
        <v>45972</v>
      </c>
      <c r="C15" s="11" t="inlineStr">
        <is>
          <t>2014</t>
        </is>
      </c>
      <c r="D15" s="11" t="inlineStr">
        <is>
          <t>مصروف</t>
        </is>
      </c>
      <c r="E15" s="11" t="inlineStr">
        <is>
          <t>قيمة سداد فاتورة مراكن12</t>
        </is>
      </c>
      <c r="F15" s="12" t="n">
        <v>8160</v>
      </c>
      <c r="G15" s="11" t="inlineStr">
        <is>
          <t>مستلزمات إنتاج (مراكن)</t>
        </is>
      </c>
      <c r="H15" s="11" t="inlineStr">
        <is>
          <t>شركة امجاد الخليج 2025-10-09</t>
        </is>
      </c>
      <c r="I15" s="11" t="n"/>
    </row>
    <row r="16">
      <c r="A16" s="11" t="n">
        <v>15</v>
      </c>
      <c r="B16" s="106" t="n">
        <v>45973</v>
      </c>
      <c r="C16" s="11" t="inlineStr">
        <is>
          <t>3042</t>
        </is>
      </c>
      <c r="D16" s="11" t="inlineStr">
        <is>
          <t>مصروف</t>
        </is>
      </c>
      <c r="E16" s="11" t="inlineStr">
        <is>
          <t>غسيل وتشحيم للسيلرة</t>
        </is>
      </c>
      <c r="F16" s="12" t="n">
        <v>120</v>
      </c>
      <c r="G16" s="11" t="inlineStr">
        <is>
          <t>صيانة سيارات</t>
        </is>
      </c>
      <c r="H16" s="11" t="inlineStr">
        <is>
          <t>هاتف الموبايل 2025-12-30، محطة المجمع لخدمات ا 2025-11-12، موسسة بيت الوسيط لتج 2025-08-20</t>
        </is>
      </c>
      <c r="I16" s="11" t="n"/>
    </row>
    <row r="17">
      <c r="A17" s="11" t="n">
        <v>16</v>
      </c>
      <c r="B17" s="106" t="n">
        <v>45973</v>
      </c>
      <c r="C17" s="11" t="inlineStr">
        <is>
          <t>233569</t>
        </is>
      </c>
      <c r="D17" s="11" t="inlineStr">
        <is>
          <t>مصروف</t>
        </is>
      </c>
      <c r="E17" s="11" t="inlineStr">
        <is>
          <t>أغراض صيانة للسيارة</t>
        </is>
      </c>
      <c r="F17" s="12" t="n">
        <v>354.89</v>
      </c>
      <c r="G17" s="11" t="inlineStr">
        <is>
          <t>مصروفات تشغيل متنوعة</t>
        </is>
      </c>
      <c r="H17" s="11" t="inlineStr">
        <is>
          <t>شركة اليمنى للسيارات 2025-11-12</t>
        </is>
      </c>
      <c r="I17" s="11" t="n"/>
    </row>
    <row r="18">
      <c r="A18" s="11" t="n">
        <v>17</v>
      </c>
      <c r="B18" s="106" t="n">
        <v>45973</v>
      </c>
      <c r="C18" s="11" t="inlineStr">
        <is>
          <t>261581</t>
        </is>
      </c>
      <c r="D18" s="11" t="inlineStr">
        <is>
          <t>مصروف</t>
        </is>
      </c>
      <c r="E18" s="11" t="inlineStr">
        <is>
          <t>أغراض صيانة للسيارة</t>
        </is>
      </c>
      <c r="F18" s="12" t="n">
        <v>28.83</v>
      </c>
      <c r="G18" s="11" t="inlineStr">
        <is>
          <t>مصروفات تشغيل متنوعة</t>
        </is>
      </c>
      <c r="H18" s="11" t="inlineStr">
        <is>
          <t>شركة اليمنى للسيارات 2025-11-12</t>
        </is>
      </c>
      <c r="I18" s="11" t="n"/>
    </row>
    <row r="19">
      <c r="A19" s="11" t="n">
        <v>18</v>
      </c>
      <c r="B19" s="106" t="n">
        <v>45974</v>
      </c>
      <c r="C19" s="11" t="inlineStr">
        <is>
          <t>14</t>
        </is>
      </c>
      <c r="D19" s="11" t="inlineStr">
        <is>
          <t>مصروف – رواتب</t>
        </is>
      </c>
      <c r="E19" s="11" t="inlineStr">
        <is>
          <t>مرتبات شهر 10-2025</t>
        </is>
      </c>
      <c r="F19" s="12" t="n">
        <v>37880</v>
      </c>
      <c r="G19" s="11" t="inlineStr">
        <is>
          <t>رواتب</t>
        </is>
      </c>
      <c r="H19" s="11" t="inlineStr">
        <is>
          <t>رواتب 2025-11-13</t>
        </is>
      </c>
      <c r="I19" s="11" t="n"/>
    </row>
    <row r="20">
      <c r="A20" s="3" t="n">
        <v>19</v>
      </c>
      <c r="B20" s="107" t="n">
        <v>45974</v>
      </c>
      <c r="C20" s="3" t="inlineStr">
        <is>
          <t>15</t>
        </is>
      </c>
      <c r="D20" s="3" t="inlineStr">
        <is>
          <t>مصروف</t>
        </is>
      </c>
      <c r="E20" s="3" t="inlineStr">
        <is>
          <t>سداد قيمة 2 نقلة فلين</t>
        </is>
      </c>
      <c r="F20" s="4" t="n">
        <v>5120</v>
      </c>
      <c r="G20" s="3" t="inlineStr">
        <is>
          <t>مستلزمات إنتاج (فلين)</t>
        </is>
      </c>
      <c r="H20" s="3" t="n"/>
      <c r="I20" s="3" t="n"/>
    </row>
    <row r="21">
      <c r="A21" s="11" t="n">
        <v>20</v>
      </c>
      <c r="B21" s="106" t="n">
        <v>45977</v>
      </c>
      <c r="C21" s="11" t="inlineStr">
        <is>
          <t>16</t>
        </is>
      </c>
      <c r="D21" s="11" t="inlineStr">
        <is>
          <t>مصروف</t>
        </is>
      </c>
      <c r="E21" s="11" t="inlineStr">
        <is>
          <t xml:space="preserve"> عمولة عصمت شهر 10-2025</t>
        </is>
      </c>
      <c r="F21" s="12" t="n">
        <v>1335</v>
      </c>
      <c r="G21" s="11" t="inlineStr">
        <is>
          <t>رواتب وعمولات</t>
        </is>
      </c>
      <c r="H21" s="11" t="inlineStr">
        <is>
          <t>العمولة 2025-11-16</t>
        </is>
      </c>
      <c r="I21" s="11" t="n"/>
    </row>
    <row r="22">
      <c r="A22" s="3" t="n">
        <v>21</v>
      </c>
      <c r="B22" s="107" t="n">
        <v>45978</v>
      </c>
      <c r="C22" s="3" t="inlineStr">
        <is>
          <t>17</t>
        </is>
      </c>
      <c r="D22" s="3" t="inlineStr">
        <is>
          <t>مصروف</t>
        </is>
      </c>
      <c r="E22" s="3" t="inlineStr">
        <is>
          <t>سداد قيمة 1 نقلة فلين</t>
        </is>
      </c>
      <c r="F22" s="4" t="n">
        <v>2260</v>
      </c>
      <c r="G22" s="3" t="inlineStr">
        <is>
          <t>مستلزمات إنتاج (فلين)</t>
        </is>
      </c>
      <c r="H22" s="3" t="n"/>
      <c r="I22" s="3" t="n"/>
    </row>
    <row r="23">
      <c r="A23" s="11" t="n">
        <v>22</v>
      </c>
      <c r="B23" s="106" t="n">
        <v>45978</v>
      </c>
      <c r="C23" s="11" t="inlineStr">
        <is>
          <t>761</t>
        </is>
      </c>
      <c r="D23" s="11" t="inlineStr">
        <is>
          <t>مصروف</t>
        </is>
      </c>
      <c r="E23" s="11" t="inlineStr">
        <is>
          <t>نقلة مياه</t>
        </is>
      </c>
      <c r="F23" s="12" t="n">
        <v>60</v>
      </c>
      <c r="G23" s="11" t="inlineStr">
        <is>
          <t>كهرباء وخدمات</t>
        </is>
      </c>
      <c r="H23" s="11" t="inlineStr">
        <is>
          <t>مغلسة تركي مبلش رشيد 2025-12-27، ينابع المئويه لتحلية 2025-12-20، مركز الخرج سابقا للا 2025-12-09</t>
        </is>
      </c>
      <c r="I23" s="11" t="n"/>
    </row>
    <row r="24">
      <c r="A24" s="11" t="n">
        <v>23</v>
      </c>
      <c r="B24" s="106" t="n">
        <v>45978</v>
      </c>
      <c r="C24" s="11" t="inlineStr">
        <is>
          <t>55</t>
        </is>
      </c>
      <c r="D24" s="11" t="inlineStr">
        <is>
          <t>مصروف</t>
        </is>
      </c>
      <c r="E24" s="11" t="inlineStr">
        <is>
          <t>سداد قيمة مراكن بيد ابوخالد</t>
        </is>
      </c>
      <c r="F24" s="12" t="n">
        <v>13000</v>
      </c>
      <c r="G24" s="11" t="inlineStr">
        <is>
          <t>مستلزمات إنتاج (مراكن)</t>
        </is>
      </c>
      <c r="H24" s="11" t="inlineStr">
        <is>
          <t>ورشة الرحالة لصيانة  2025-12-17، شركة التاج المميزة ا 2025-11-17</t>
        </is>
      </c>
      <c r="I24" s="11" t="n"/>
    </row>
    <row r="25">
      <c r="A25" s="3" t="n">
        <v>24</v>
      </c>
      <c r="B25" s="107" t="n">
        <v>45981</v>
      </c>
      <c r="C25" s="3" t="inlineStr">
        <is>
          <t>18</t>
        </is>
      </c>
      <c r="D25" s="3" t="inlineStr">
        <is>
          <t>مصروف</t>
        </is>
      </c>
      <c r="E25" s="3" t="inlineStr">
        <is>
          <t>سداد قيمة 1 نقلة فلين</t>
        </is>
      </c>
      <c r="F25" s="4" t="n">
        <v>2260</v>
      </c>
      <c r="G25" s="3" t="inlineStr">
        <is>
          <t>مستلزمات إنتاج (فلين)</t>
        </is>
      </c>
      <c r="H25" s="3" t="n"/>
      <c r="I25" s="3" t="n"/>
    </row>
    <row r="26">
      <c r="A26" s="11" t="n">
        <v>25</v>
      </c>
      <c r="B26" s="106" t="n">
        <v>45981</v>
      </c>
      <c r="C26" s="11" t="inlineStr">
        <is>
          <t>13462</t>
        </is>
      </c>
      <c r="D26" s="11" t="inlineStr">
        <is>
          <t>مصروف</t>
        </is>
      </c>
      <c r="E26" s="11" t="inlineStr">
        <is>
          <t>فاتورة أغراض سباكة</t>
        </is>
      </c>
      <c r="F26" s="12" t="n">
        <v>51.75</v>
      </c>
      <c r="G26" s="11" t="inlineStr">
        <is>
          <t>مصروفات تشغيل متنوعة</t>
        </is>
      </c>
      <c r="H26" s="11" t="inlineStr">
        <is>
          <t>مؤسسة المحترف الامثل 2025-11-20</t>
        </is>
      </c>
      <c r="I26" s="11" t="n"/>
    </row>
    <row r="27">
      <c r="A27" s="11" t="n">
        <v>26</v>
      </c>
      <c r="B27" s="106" t="n">
        <v>45981</v>
      </c>
      <c r="C27" s="11" t="inlineStr">
        <is>
          <t>19</t>
        </is>
      </c>
      <c r="D27" s="11" t="inlineStr">
        <is>
          <t>مصروف</t>
        </is>
      </c>
      <c r="E27" s="11" t="inlineStr">
        <is>
          <t>فاتورة صيانة الكمبيوتر</t>
        </is>
      </c>
      <c r="F27" s="12" t="n">
        <v>200</v>
      </c>
      <c r="G27" s="11" t="inlineStr">
        <is>
          <t>مصروفات تشغيل متنوعة</t>
        </is>
      </c>
      <c r="H27" s="11" t="inlineStr">
        <is>
          <t>اللوازم المكتبية 2025-11-20، الوقود 2025-07-10، الوقود 2025-07-17</t>
        </is>
      </c>
      <c r="I27" s="11" t="n"/>
    </row>
    <row r="28">
      <c r="A28" s="3" t="n">
        <v>27</v>
      </c>
      <c r="B28" s="107" t="n">
        <v>45983</v>
      </c>
      <c r="C28" s="3" t="inlineStr">
        <is>
          <t>20</t>
        </is>
      </c>
      <c r="D28" s="3" t="inlineStr">
        <is>
          <t>مصروف</t>
        </is>
      </c>
      <c r="E28" s="3" t="inlineStr">
        <is>
          <t>سداد قيمة 1 نقلة فلين</t>
        </is>
      </c>
      <c r="F28" s="4" t="n">
        <v>2260</v>
      </c>
      <c r="G28" s="3" t="inlineStr">
        <is>
          <t>مستلزمات إنتاج (فلين)</t>
        </is>
      </c>
      <c r="H28" s="3" t="n"/>
      <c r="I28" s="3" t="n"/>
    </row>
    <row r="29">
      <c r="A29" s="11" t="n">
        <v>28</v>
      </c>
      <c r="B29" s="106" t="n">
        <v>45983</v>
      </c>
      <c r="C29" s="11" t="inlineStr">
        <is>
          <t>21</t>
        </is>
      </c>
      <c r="D29" s="11" t="inlineStr">
        <is>
          <t>مصروف</t>
        </is>
      </c>
      <c r="E29" s="11" t="inlineStr">
        <is>
          <t>شحن جوال م - محمد</t>
        </is>
      </c>
      <c r="F29" s="12" t="n">
        <v>115</v>
      </c>
      <c r="G29" s="11" t="inlineStr">
        <is>
          <t>اتصالات</t>
        </is>
      </c>
      <c r="H29" s="11" t="inlineStr">
        <is>
          <t>هاتف الموبايل 2025-12-17، هاتف الموبايل 2025-12-04، هاتف الموبايل 2025-11-22</t>
        </is>
      </c>
      <c r="I29" s="11" t="n"/>
    </row>
    <row r="30">
      <c r="A30" s="3" t="n">
        <v>29</v>
      </c>
      <c r="B30" s="107" t="n">
        <v>45984</v>
      </c>
      <c r="C30" s="3" t="inlineStr">
        <is>
          <t>22</t>
        </is>
      </c>
      <c r="D30" s="3" t="inlineStr">
        <is>
          <t>مصروف</t>
        </is>
      </c>
      <c r="E30" s="3" t="inlineStr">
        <is>
          <t>سداد قيمة 1 نقلة فلين</t>
        </is>
      </c>
      <c r="F30" s="4" t="n">
        <v>2260</v>
      </c>
      <c r="G30" s="3" t="inlineStr">
        <is>
          <t>مستلزمات إنتاج (فلين)</t>
        </is>
      </c>
      <c r="H30" s="3" t="n"/>
      <c r="I30" s="3" t="n"/>
    </row>
    <row r="31">
      <c r="A31" s="11" t="n">
        <v>30</v>
      </c>
      <c r="B31" s="106" t="n">
        <v>45984</v>
      </c>
      <c r="C31" s="11" t="inlineStr">
        <is>
          <t>350</t>
        </is>
      </c>
      <c r="D31" s="11" t="inlineStr">
        <is>
          <t>مصروف</t>
        </is>
      </c>
      <c r="E31" s="11" t="inlineStr">
        <is>
          <t>شراء أغراض للمطبخ والحمام</t>
        </is>
      </c>
      <c r="F31" s="12" t="n">
        <v>700</v>
      </c>
      <c r="G31" s="11" t="inlineStr">
        <is>
          <t>مصروفات تشغيل متنوعة</t>
        </is>
      </c>
      <c r="H31" s="11" t="inlineStr">
        <is>
          <t>PO-585، مؤسسة محمد عبدالله ل 2025-11-23</t>
        </is>
      </c>
      <c r="I31" s="11" t="n"/>
    </row>
    <row r="32">
      <c r="A32" s="11" t="n">
        <v>31</v>
      </c>
      <c r="B32" s="106" t="n">
        <v>45984</v>
      </c>
      <c r="C32" s="11" t="inlineStr">
        <is>
          <t>7349</t>
        </is>
      </c>
      <c r="D32" s="11" t="inlineStr">
        <is>
          <t>مصروف</t>
        </is>
      </c>
      <c r="E32" s="11" t="inlineStr">
        <is>
          <t>شراء كفر للعربة وكالون</t>
        </is>
      </c>
      <c r="F32" s="12" t="n">
        <v>100</v>
      </c>
      <c r="G32" s="11" t="inlineStr">
        <is>
          <t>صيانة سيارات</t>
        </is>
      </c>
      <c r="H32" s="11" t="inlineStr">
        <is>
          <t>الوقود 2025-12-04، عائشة لادوات السباكة 2025-11-23، ورشة اليسر الراجح لل 2025-09-20</t>
        </is>
      </c>
      <c r="I32" s="11" t="n"/>
    </row>
    <row r="33">
      <c r="A33" s="11" t="n">
        <v>32</v>
      </c>
      <c r="B33" s="106" t="n">
        <v>45985</v>
      </c>
      <c r="C33" s="11" t="inlineStr">
        <is>
          <t>23</t>
        </is>
      </c>
      <c r="D33" s="11" t="inlineStr">
        <is>
          <t>مصروف</t>
        </is>
      </c>
      <c r="E33" s="11" t="inlineStr">
        <is>
          <t>سداد قيمة مراكن 12</t>
        </is>
      </c>
      <c r="F33" s="12" t="n">
        <v>7500</v>
      </c>
      <c r="G33" s="11" t="inlineStr">
        <is>
          <t>مستلزمات إنتاج (مراكن)</t>
        </is>
      </c>
      <c r="H33" s="11" t="inlineStr">
        <is>
          <t>شركة التاج المميزة ا 2025-11-24</t>
        </is>
      </c>
      <c r="I33" s="11" t="n"/>
    </row>
    <row r="34">
      <c r="A34" s="11" t="n">
        <v>33</v>
      </c>
      <c r="B34" s="106" t="n">
        <v>45985</v>
      </c>
      <c r="C34" s="11" t="inlineStr">
        <is>
          <t>24</t>
        </is>
      </c>
      <c r="D34" s="11" t="inlineStr">
        <is>
          <t>مصروف</t>
        </is>
      </c>
      <c r="E34" s="11" t="n"/>
      <c r="F34" s="12" t="n">
        <v>1040</v>
      </c>
      <c r="G34" s="11" t="inlineStr">
        <is>
          <t>مصروفات تشغيل متنوعة</t>
        </is>
      </c>
      <c r="H34" s="11" t="inlineStr">
        <is>
          <t>مؤسسة بساتين الرياض 2025-11-24</t>
        </is>
      </c>
      <c r="I34" s="11" t="n"/>
    </row>
    <row r="35">
      <c r="A35" s="11" t="n">
        <v>34</v>
      </c>
      <c r="B35" s="106" t="n">
        <v>45987</v>
      </c>
      <c r="C35" s="11" t="inlineStr">
        <is>
          <t>25</t>
        </is>
      </c>
      <c r="D35" s="11" t="inlineStr">
        <is>
          <t>مصروف</t>
        </is>
      </c>
      <c r="E35" s="11" t="inlineStr">
        <is>
          <t>قيمة فاتورة بنزين</t>
        </is>
      </c>
      <c r="F35" s="12" t="n">
        <v>175</v>
      </c>
      <c r="G35" s="11" t="inlineStr">
        <is>
          <t>وقود</t>
        </is>
      </c>
      <c r="H35" s="11" t="inlineStr">
        <is>
          <t>الوقود 2025-11-26</t>
        </is>
      </c>
      <c r="I35" s="11" t="n"/>
    </row>
    <row r="36">
      <c r="A36" s="11" t="n">
        <v>35</v>
      </c>
      <c r="B36" s="106" t="n">
        <v>45987</v>
      </c>
      <c r="C36" s="11" t="inlineStr">
        <is>
          <t>26</t>
        </is>
      </c>
      <c r="D36" s="11" t="inlineStr">
        <is>
          <t>مصروف</t>
        </is>
      </c>
      <c r="E36" s="11" t="inlineStr">
        <is>
          <t>فاتورة شراء أغراض معيشة</t>
        </is>
      </c>
      <c r="F36" s="12" t="n">
        <v>227</v>
      </c>
      <c r="G36" s="11" t="inlineStr">
        <is>
          <t>مصروفات تشغيل متنوعة</t>
        </is>
      </c>
      <c r="H36" s="11" t="inlineStr">
        <is>
          <t>هايبر ماركت لولو 2025-11-26</t>
        </is>
      </c>
      <c r="I36" s="11" t="n"/>
    </row>
    <row r="37">
      <c r="A37" s="11" t="n">
        <v>36</v>
      </c>
      <c r="B37" s="106" t="n">
        <v>45989</v>
      </c>
      <c r="C37" s="11" t="inlineStr">
        <is>
          <t>15747</t>
        </is>
      </c>
      <c r="D37" s="11" t="inlineStr">
        <is>
          <t>مصروف</t>
        </is>
      </c>
      <c r="E37" s="11" t="inlineStr">
        <is>
          <t>فاتورة غيار زيت س عماد</t>
        </is>
      </c>
      <c r="F37" s="12" t="n">
        <v>170</v>
      </c>
      <c r="G37" s="11" t="inlineStr">
        <is>
          <t>صيانة سيارات</t>
        </is>
      </c>
      <c r="H37" s="11" t="inlineStr">
        <is>
          <t>الوقود 2025-11-28، ورشة زهرة الجنادل 2025-10-02، ورشة زهرة الجنادل 2025-10-06</t>
        </is>
      </c>
      <c r="I37" s="11" t="n"/>
    </row>
    <row r="38">
      <c r="A38" s="11" t="n">
        <v>37</v>
      </c>
      <c r="B38" s="106" t="n">
        <v>45989</v>
      </c>
      <c r="C38" s="11" t="inlineStr">
        <is>
          <t>42</t>
        </is>
      </c>
      <c r="D38" s="11" t="inlineStr">
        <is>
          <t>مصروف</t>
        </is>
      </c>
      <c r="E38" s="11" t="inlineStr">
        <is>
          <t>فاتورة غيار زيت وفلاتر للوانيت</t>
        </is>
      </c>
      <c r="F38" s="12" t="n">
        <v>305</v>
      </c>
      <c r="G38" s="11" t="inlineStr">
        <is>
          <t>صيانة سيارات</t>
        </is>
      </c>
      <c r="H38" s="11" t="inlineStr">
        <is>
          <t>مؤسسة هيلاء عبيد الد 2025-11-28</t>
        </is>
      </c>
      <c r="I38" s="11" t="n"/>
    </row>
    <row r="39">
      <c r="A39" s="11" t="n">
        <v>38</v>
      </c>
      <c r="B39" s="106" t="n">
        <v>45989</v>
      </c>
      <c r="C39" s="11" t="inlineStr">
        <is>
          <t>40</t>
        </is>
      </c>
      <c r="D39" s="11" t="inlineStr">
        <is>
          <t>مصروف</t>
        </is>
      </c>
      <c r="E39" s="11" t="inlineStr">
        <is>
          <t>فاتورة غيار زيت وفلاتر س عصمت</t>
        </is>
      </c>
      <c r="F39" s="12" t="n">
        <v>285</v>
      </c>
      <c r="G39" s="11" t="inlineStr">
        <is>
          <t>صيانة سيارات</t>
        </is>
      </c>
      <c r="H39" s="11" t="inlineStr">
        <is>
          <t>مؤسسة هيلاء عبيد الد 2025-11-28</t>
        </is>
      </c>
      <c r="I39" s="11" t="n"/>
    </row>
    <row r="40">
      <c r="A40" s="11" t="n">
        <v>39</v>
      </c>
      <c r="B40" s="106" t="n">
        <v>45989</v>
      </c>
      <c r="C40" s="11" t="inlineStr">
        <is>
          <t>27</t>
        </is>
      </c>
      <c r="D40" s="11" t="inlineStr">
        <is>
          <t>مصروف</t>
        </is>
      </c>
      <c r="E40" s="11" t="inlineStr">
        <is>
          <t>صيانة كهرباء عصمت وغسيل س عماد</t>
        </is>
      </c>
      <c r="F40" s="12" t="n">
        <v>250</v>
      </c>
      <c r="G40" s="11" t="inlineStr">
        <is>
          <t>كهرباء وخدمات</t>
        </is>
      </c>
      <c r="H40" s="11" t="inlineStr">
        <is>
          <t>صيانة 2025-11-28، الوقود 2025-08-28، الوقود 2025-09-13</t>
        </is>
      </c>
      <c r="I40" s="11" t="n"/>
    </row>
    <row r="41">
      <c r="A41" s="11" t="n">
        <v>40</v>
      </c>
      <c r="B41" s="106" t="n">
        <v>45990</v>
      </c>
      <c r="C41" s="11" t="inlineStr">
        <is>
          <t>28</t>
        </is>
      </c>
      <c r="D41" s="11" t="inlineStr">
        <is>
          <t>مصروف</t>
        </is>
      </c>
      <c r="E41" s="11" t="inlineStr">
        <is>
          <t>سداد قيمة 1 نقلة فلين</t>
        </is>
      </c>
      <c r="F41" s="12" t="n">
        <v>2415</v>
      </c>
      <c r="G41" s="11" t="inlineStr">
        <is>
          <t>مستلزمات إنتاج (فلين)</t>
        </is>
      </c>
      <c r="H41" s="11" t="inlineStr">
        <is>
          <t>PO-67، شركة مصنع الديكور وا 2025-12-11، شركة مصنع الديكور وا 2025-12-10</t>
        </is>
      </c>
      <c r="I41" s="11" t="n"/>
    </row>
    <row r="42">
      <c r="A42" s="11" t="n">
        <v>41</v>
      </c>
      <c r="B42" s="106" t="n">
        <v>45990</v>
      </c>
      <c r="C42" s="11" t="inlineStr">
        <is>
          <t>3278</t>
        </is>
      </c>
      <c r="D42" s="11" t="inlineStr">
        <is>
          <t>مصروف</t>
        </is>
      </c>
      <c r="E42" s="11" t="n"/>
      <c r="F42" s="12" t="n">
        <v>780.25</v>
      </c>
      <c r="G42" s="11" t="inlineStr">
        <is>
          <t>مصروفات تشغيل متنوعة</t>
        </is>
      </c>
      <c r="H42" s="11" t="inlineStr">
        <is>
          <t>مؤسسة رواد سلام للتج 2025-11-29</t>
        </is>
      </c>
      <c r="I42" s="11" t="n"/>
    </row>
    <row r="43">
      <c r="A43" s="3" t="n">
        <v>42</v>
      </c>
      <c r="B43" s="107" t="n">
        <v>45991</v>
      </c>
      <c r="C43" s="3" t="inlineStr">
        <is>
          <t>29</t>
        </is>
      </c>
      <c r="D43" s="3" t="inlineStr">
        <is>
          <t>مصروف</t>
        </is>
      </c>
      <c r="E43" s="3" t="inlineStr">
        <is>
          <t>قيمة فاتورة كهرباء شهر 11</t>
        </is>
      </c>
      <c r="F43" s="4" t="n">
        <v>5078.05</v>
      </c>
      <c r="G43" s="3" t="inlineStr">
        <is>
          <t>كهرباء وخدمات</t>
        </is>
      </c>
      <c r="H43" s="3" t="n"/>
      <c r="I43" s="3" t="n"/>
    </row>
    <row r="44">
      <c r="A44" s="11" t="n">
        <v>43</v>
      </c>
      <c r="B44" s="106" t="n">
        <v>45992</v>
      </c>
      <c r="C44" s="11" t="inlineStr">
        <is>
          <t>419</t>
        </is>
      </c>
      <c r="D44" s="11" t="inlineStr">
        <is>
          <t>مصروف</t>
        </is>
      </c>
      <c r="E44" s="11" t="inlineStr">
        <is>
          <t>فاتورة شراء مبيد</t>
        </is>
      </c>
      <c r="F44" s="12" t="n">
        <v>1250</v>
      </c>
      <c r="G44" s="11" t="inlineStr">
        <is>
          <t>مواد زراعية</t>
        </is>
      </c>
      <c r="H44" s="11" t="inlineStr">
        <is>
          <t>شركة الرشيم الزراعية 2025-12-01</t>
        </is>
      </c>
      <c r="I44" s="11" t="n"/>
    </row>
    <row r="45">
      <c r="A45" s="11" t="n">
        <v>44</v>
      </c>
      <c r="B45" s="106" t="n">
        <v>45992</v>
      </c>
      <c r="C45" s="11" t="inlineStr">
        <is>
          <t>620</t>
        </is>
      </c>
      <c r="D45" s="11" t="inlineStr">
        <is>
          <t>مصروف</t>
        </is>
      </c>
      <c r="E45" s="11" t="inlineStr">
        <is>
          <t>عمل كفر الوانيت</t>
        </is>
      </c>
      <c r="F45" s="12" t="n">
        <v>15</v>
      </c>
      <c r="G45" s="11" t="inlineStr">
        <is>
          <t>صيانة سيارات</t>
        </is>
      </c>
      <c r="H45" s="11" t="inlineStr">
        <is>
          <t>صيانة 2025-12-01، محطة المجمع لخدمات ا 2025-07-02</t>
        </is>
      </c>
      <c r="I45" s="11" t="n"/>
    </row>
    <row r="46">
      <c r="A46" s="11" t="n">
        <v>45</v>
      </c>
      <c r="B46" s="106" t="n">
        <v>45992</v>
      </c>
      <c r="C46" s="11" t="inlineStr">
        <is>
          <t>30</t>
        </is>
      </c>
      <c r="D46" s="11" t="inlineStr">
        <is>
          <t>مصروف</t>
        </is>
      </c>
      <c r="E46" s="11" t="inlineStr">
        <is>
          <t>سداد قيمة 1 نقلة فلين</t>
        </is>
      </c>
      <c r="F46" s="12" t="n">
        <v>2415</v>
      </c>
      <c r="G46" s="11" t="inlineStr">
        <is>
          <t>مستلزمات إنتاج (فلين)</t>
        </is>
      </c>
      <c r="H46" s="11" t="inlineStr">
        <is>
          <t>PO-67، شركة مصنع الديكور وا 2025-12-11، شركة مصنع الديكور وا 2025-12-10</t>
        </is>
      </c>
      <c r="I46" s="11" t="n"/>
    </row>
    <row r="47">
      <c r="A47" s="11" t="n">
        <v>46</v>
      </c>
      <c r="B47" s="106" t="n">
        <v>45993</v>
      </c>
      <c r="C47" s="11" t="inlineStr">
        <is>
          <t>31</t>
        </is>
      </c>
      <c r="D47" s="11" t="inlineStr">
        <is>
          <t>مصروف</t>
        </is>
      </c>
      <c r="E47" s="11" t="inlineStr">
        <is>
          <t>قيمة شحن جوال حسين</t>
        </is>
      </c>
      <c r="F47" s="12" t="n">
        <v>80</v>
      </c>
      <c r="G47" s="11" t="inlineStr">
        <is>
          <t>اتصالات</t>
        </is>
      </c>
      <c r="H47" s="11" t="inlineStr">
        <is>
          <t>هاتف الموبايل 2025-12-02</t>
        </is>
      </c>
      <c r="I47" s="11" t="n"/>
    </row>
    <row r="48">
      <c r="A48" s="11" t="n">
        <v>47</v>
      </c>
      <c r="B48" s="106" t="n">
        <v>45994</v>
      </c>
      <c r="C48" s="11" t="inlineStr">
        <is>
          <t>32</t>
        </is>
      </c>
      <c r="D48" s="11" t="inlineStr">
        <is>
          <t>مصروف</t>
        </is>
      </c>
      <c r="E48" s="11" t="inlineStr">
        <is>
          <t>قيمة فاتورة مياه للشرب</t>
        </is>
      </c>
      <c r="F48" s="12" t="n">
        <v>60</v>
      </c>
      <c r="G48" s="11" t="inlineStr">
        <is>
          <t>كهرباء وخدمات</t>
        </is>
      </c>
      <c r="H48" s="11" t="inlineStr">
        <is>
          <t>مغلسة تركي مبلش رشيد 2025-12-27، ينابع المئويه لتحلية 2025-12-20، مركز الخرج سابقا للا 2025-12-09</t>
        </is>
      </c>
      <c r="I48" s="11" t="n"/>
    </row>
    <row r="49">
      <c r="A49" s="11" t="n">
        <v>48</v>
      </c>
      <c r="B49" s="106" t="n">
        <v>45995</v>
      </c>
      <c r="C49" s="11" t="inlineStr">
        <is>
          <t>33</t>
        </is>
      </c>
      <c r="D49" s="11" t="inlineStr">
        <is>
          <t>مصروف – رواتب</t>
        </is>
      </c>
      <c r="E49" s="11" t="inlineStr">
        <is>
          <t>مرتبات شهر 11-2025</t>
        </is>
      </c>
      <c r="F49" s="12" t="n">
        <v>38365</v>
      </c>
      <c r="G49" s="11" t="inlineStr">
        <is>
          <t>رواتب</t>
        </is>
      </c>
      <c r="H49" s="11" t="inlineStr">
        <is>
          <t>رواتب 2025-12-04</t>
        </is>
      </c>
      <c r="I49" s="11" t="n"/>
    </row>
    <row r="50">
      <c r="A50" s="11" t="n">
        <v>49</v>
      </c>
      <c r="B50" s="106" t="n">
        <v>45996</v>
      </c>
      <c r="C50" s="11" t="inlineStr">
        <is>
          <t>34</t>
        </is>
      </c>
      <c r="D50" s="11" t="inlineStr">
        <is>
          <t>مصروف</t>
        </is>
      </c>
      <c r="E50" s="11" t="inlineStr">
        <is>
          <t>قيمة فاتورة شحن عصمت</t>
        </is>
      </c>
      <c r="F50" s="12" t="n">
        <v>115</v>
      </c>
      <c r="G50" s="11" t="inlineStr">
        <is>
          <t>مصروفات تشغيل متنوعة</t>
        </is>
      </c>
      <c r="H50" s="11" t="inlineStr">
        <is>
          <t>هاتف الموبايل 2025-12-17، هاتف الموبايل 2025-12-04، هاتف الموبايل 2025-11-22</t>
        </is>
      </c>
      <c r="I50" s="11" t="n"/>
    </row>
    <row r="51">
      <c r="A51" s="11" t="n">
        <v>50</v>
      </c>
      <c r="B51" s="106" t="n">
        <v>45996</v>
      </c>
      <c r="C51" s="11" t="inlineStr">
        <is>
          <t>35</t>
        </is>
      </c>
      <c r="D51" s="11" t="inlineStr">
        <is>
          <t>مصروف</t>
        </is>
      </c>
      <c r="E51" s="11" t="inlineStr">
        <is>
          <t>فاتورة ديزل س عصمت</t>
        </is>
      </c>
      <c r="F51" s="12" t="n">
        <v>100</v>
      </c>
      <c r="G51" s="11" t="inlineStr">
        <is>
          <t>وقود</t>
        </is>
      </c>
      <c r="H51" s="11" t="inlineStr">
        <is>
          <t>الوقود 2025-12-04، عائشة لادوات السباكة 2025-11-23، ورشة اليسر الراجح لل 2025-09-20</t>
        </is>
      </c>
      <c r="I51" s="11" t="n"/>
    </row>
    <row r="52">
      <c r="A52" s="11" t="n">
        <v>51</v>
      </c>
      <c r="B52" s="106" t="n">
        <v>45997</v>
      </c>
      <c r="C52" s="11" t="inlineStr">
        <is>
          <t>36</t>
        </is>
      </c>
      <c r="D52" s="11" t="inlineStr">
        <is>
          <t>مصروف</t>
        </is>
      </c>
      <c r="E52" s="11" t="inlineStr">
        <is>
          <t>سداد فاتورة وارد زهور - م عادل</t>
        </is>
      </c>
      <c r="F52" s="12" t="n">
        <v>6600</v>
      </c>
      <c r="G52" s="11" t="inlineStr">
        <is>
          <t>نباتات وبذور</t>
        </is>
      </c>
      <c r="H52" s="11" t="inlineStr">
        <is>
          <t>HETA NURSERYS 2025-12-06</t>
        </is>
      </c>
      <c r="I52" s="11" t="n"/>
    </row>
    <row r="53">
      <c r="A53" s="11" t="n">
        <v>52</v>
      </c>
      <c r="B53" s="106" t="n">
        <v>45999</v>
      </c>
      <c r="C53" s="11" t="inlineStr">
        <is>
          <t>6393</t>
        </is>
      </c>
      <c r="D53" s="11" t="inlineStr">
        <is>
          <t>مصروف</t>
        </is>
      </c>
      <c r="E53" s="11" t="inlineStr">
        <is>
          <t>شراء ماكينة لحام وأدوات زراعة</t>
        </is>
      </c>
      <c r="F53" s="12" t="n">
        <v>316</v>
      </c>
      <c r="G53" s="11" t="inlineStr">
        <is>
          <t>مصروفات تشغيل متنوعة</t>
        </is>
      </c>
      <c r="H53" s="11" t="inlineStr">
        <is>
          <t>موسسسة افاق الاليه ل 2025-12-08</t>
        </is>
      </c>
      <c r="I53" s="11" t="n"/>
    </row>
    <row r="54">
      <c r="A54" s="11" t="n">
        <v>53</v>
      </c>
      <c r="B54" s="106" t="n">
        <v>46000</v>
      </c>
      <c r="C54" s="11" t="inlineStr">
        <is>
          <t>1042</t>
        </is>
      </c>
      <c r="D54" s="11" t="inlineStr">
        <is>
          <t>مصروف</t>
        </is>
      </c>
      <c r="E54" s="11" t="inlineStr">
        <is>
          <t>شراء رمل واسمنت للمطبخ</t>
        </is>
      </c>
      <c r="F54" s="12" t="n">
        <v>410</v>
      </c>
      <c r="G54" s="11" t="inlineStr">
        <is>
          <t>مصروفات تشغيل متنوعة</t>
        </is>
      </c>
      <c r="H54" s="11" t="inlineStr">
        <is>
          <t>مبسط العجفة لمواد ال 2025-12-09</t>
        </is>
      </c>
      <c r="I54" s="11" t="n"/>
    </row>
    <row r="55">
      <c r="A55" s="11" t="n">
        <v>54</v>
      </c>
      <c r="B55" s="106" t="n">
        <v>46000</v>
      </c>
      <c r="C55" s="11" t="inlineStr">
        <is>
          <t>4641</t>
        </is>
      </c>
      <c r="D55" s="11" t="inlineStr">
        <is>
          <t>مصروف</t>
        </is>
      </c>
      <c r="E55" s="11" t="inlineStr">
        <is>
          <t>شراء شعلة جديدة للعمال</t>
        </is>
      </c>
      <c r="F55" s="12" t="n">
        <v>60</v>
      </c>
      <c r="G55" s="11" t="inlineStr">
        <is>
          <t>مصروفات تشغيل متنوعة</t>
        </is>
      </c>
      <c r="H55" s="11" t="inlineStr">
        <is>
          <t>مغلسة تركي مبلش رشيد 2025-12-27، ينابع المئويه لتحلية 2025-12-20، مركز الخرج سابقا للا 2025-12-09</t>
        </is>
      </c>
      <c r="I55" s="11" t="n"/>
    </row>
    <row r="56">
      <c r="A56" s="11" t="n">
        <v>55</v>
      </c>
      <c r="B56" s="106" t="n">
        <v>46001</v>
      </c>
      <c r="C56" s="11" t="inlineStr">
        <is>
          <t>37</t>
        </is>
      </c>
      <c r="D56" s="11" t="inlineStr">
        <is>
          <t>مصروف</t>
        </is>
      </c>
      <c r="E56" s="11" t="inlineStr">
        <is>
          <t>قيمة فاتورة نقلة فلين</t>
        </is>
      </c>
      <c r="F56" s="12" t="n">
        <v>2415</v>
      </c>
      <c r="G56" s="11" t="inlineStr">
        <is>
          <t>مستلزمات إنتاج (فلين)</t>
        </is>
      </c>
      <c r="H56" s="11" t="inlineStr">
        <is>
          <t>PO-67، شركة مصنع الديكور وا 2025-12-11، شركة مصنع الديكور وا 2025-12-10</t>
        </is>
      </c>
      <c r="I56" s="11" t="n"/>
    </row>
    <row r="57">
      <c r="A57" s="11" t="n">
        <v>56</v>
      </c>
      <c r="B57" s="106" t="n">
        <v>46002</v>
      </c>
      <c r="C57" s="11" t="inlineStr">
        <is>
          <t>38</t>
        </is>
      </c>
      <c r="D57" s="11" t="inlineStr">
        <is>
          <t>مصروف</t>
        </is>
      </c>
      <c r="E57" s="11" t="inlineStr">
        <is>
          <t>قيمة فاتورة نقلة فلين</t>
        </is>
      </c>
      <c r="F57" s="12" t="n">
        <v>2415</v>
      </c>
      <c r="G57" s="11" t="inlineStr">
        <is>
          <t>مستلزمات إنتاج (فلين)</t>
        </is>
      </c>
      <c r="H57" s="11" t="inlineStr">
        <is>
          <t>PO-67، شركة مصنع الديكور وا 2025-12-11، شركة مصنع الديكور وا 2025-12-10</t>
        </is>
      </c>
      <c r="I57" s="11" t="n"/>
    </row>
    <row r="58">
      <c r="A58" s="11" t="n">
        <v>57</v>
      </c>
      <c r="B58" s="106" t="n">
        <v>46002</v>
      </c>
      <c r="C58" s="11" t="inlineStr">
        <is>
          <t>14596</t>
        </is>
      </c>
      <c r="D58" s="11" t="inlineStr">
        <is>
          <t>مصروف</t>
        </is>
      </c>
      <c r="E58" s="11" t="inlineStr">
        <is>
          <t>شراء أغراض للكهرباء</t>
        </is>
      </c>
      <c r="F58" s="12" t="n">
        <v>97.75</v>
      </c>
      <c r="G58" s="11" t="inlineStr">
        <is>
          <t>كهرباء وخدمات</t>
        </is>
      </c>
      <c r="H58" s="11" t="inlineStr">
        <is>
          <t>مؤسسة المحترف الامثل 2025-12-11</t>
        </is>
      </c>
      <c r="I58" s="11" t="n"/>
    </row>
    <row r="59">
      <c r="A59" s="11" t="n">
        <v>58</v>
      </c>
      <c r="B59" s="106" t="n">
        <v>46002</v>
      </c>
      <c r="C59" s="11" t="inlineStr">
        <is>
          <t>15971</t>
        </is>
      </c>
      <c r="D59" s="11" t="inlineStr">
        <is>
          <t>مصروف</t>
        </is>
      </c>
      <c r="E59" s="11" t="inlineStr">
        <is>
          <t>شراء أغراض للزراعة</t>
        </is>
      </c>
      <c r="F59" s="12" t="n">
        <v>20</v>
      </c>
      <c r="G59" s="11" t="inlineStr">
        <is>
          <t>مصروفات تشغيل متنوعة</t>
        </is>
      </c>
      <c r="H59" s="11" t="inlineStr">
        <is>
          <t>شركة جوهرة الطيف للت 2025-12-11، الوقود 2025-08-31، مؤسسة نجم المفاتيح 2025-09-20</t>
        </is>
      </c>
      <c r="I59" s="11" t="n"/>
    </row>
    <row r="60">
      <c r="A60" s="11" t="n">
        <v>59</v>
      </c>
      <c r="B60" s="106" t="n">
        <v>46004</v>
      </c>
      <c r="C60" s="11" t="inlineStr">
        <is>
          <t>68</t>
        </is>
      </c>
      <c r="D60" s="11" t="inlineStr">
        <is>
          <t>مصروف</t>
        </is>
      </c>
      <c r="E60" s="11" t="inlineStr">
        <is>
          <t>غيار زيت وفلاتر س عصمت</t>
        </is>
      </c>
      <c r="F60" s="12" t="n">
        <v>355</v>
      </c>
      <c r="G60" s="11" t="inlineStr">
        <is>
          <t>صيانة سيارات</t>
        </is>
      </c>
      <c r="H60" s="11" t="inlineStr">
        <is>
          <t>مؤسسة هيلاء عبيد الد 2025-12-13</t>
        </is>
      </c>
      <c r="I60" s="11" t="n"/>
    </row>
    <row r="61">
      <c r="A61" s="11" t="n">
        <v>60</v>
      </c>
      <c r="B61" s="106" t="n">
        <v>46004</v>
      </c>
      <c r="C61" s="11" t="inlineStr">
        <is>
          <t>7522</t>
        </is>
      </c>
      <c r="D61" s="11" t="inlineStr">
        <is>
          <t>مصروف</t>
        </is>
      </c>
      <c r="E61" s="11" t="inlineStr">
        <is>
          <t>فاتورة بنزين للوانيت</t>
        </is>
      </c>
      <c r="F61" s="12" t="n">
        <v>139.85</v>
      </c>
      <c r="G61" s="11" t="inlineStr">
        <is>
          <t>وقود</t>
        </is>
      </c>
      <c r="H61" s="11" t="inlineStr">
        <is>
          <t>الوقود 2025-12-13</t>
        </is>
      </c>
      <c r="I61" s="11" t="n"/>
    </row>
    <row r="62">
      <c r="A62" s="11" t="n">
        <v>61</v>
      </c>
      <c r="B62" s="106" t="n">
        <v>46006</v>
      </c>
      <c r="C62" s="11" t="inlineStr">
        <is>
          <t>3019</t>
        </is>
      </c>
      <c r="D62" s="11" t="inlineStr">
        <is>
          <t>مصروف</t>
        </is>
      </c>
      <c r="E62" s="11" t="inlineStr">
        <is>
          <t>فاتورة شراء مبيد</t>
        </is>
      </c>
      <c r="F62" s="12" t="n">
        <v>520</v>
      </c>
      <c r="G62" s="11" t="inlineStr">
        <is>
          <t>مواد زراعية</t>
        </is>
      </c>
      <c r="H62" s="11" t="inlineStr">
        <is>
          <t>موسسة بيت الوسيط لتج 2025-12-15</t>
        </is>
      </c>
      <c r="I62" s="11" t="n"/>
    </row>
    <row r="63">
      <c r="A63" s="11" t="n">
        <v>62</v>
      </c>
      <c r="B63" s="106" t="n">
        <v>46006</v>
      </c>
      <c r="C63" s="11" t="inlineStr">
        <is>
          <t>559</t>
        </is>
      </c>
      <c r="D63" s="11" t="inlineStr">
        <is>
          <t>مصروف</t>
        </is>
      </c>
      <c r="E63" s="11" t="inlineStr">
        <is>
          <t>فاتورة شراء سرير للعمال</t>
        </is>
      </c>
      <c r="F63" s="12" t="n">
        <v>86.25</v>
      </c>
      <c r="G63" s="11" t="inlineStr">
        <is>
          <t>مصروفات تشغيل متنوعة</t>
        </is>
      </c>
      <c r="H63" s="11" t="inlineStr">
        <is>
          <t>مؤسسة تلال الربيع لل 2025-12-15</t>
        </is>
      </c>
      <c r="I63" s="11" t="n"/>
    </row>
    <row r="64">
      <c r="A64" s="11" t="n">
        <v>63</v>
      </c>
      <c r="B64" s="106" t="n">
        <v>46007</v>
      </c>
      <c r="C64" s="11" t="inlineStr">
        <is>
          <t>40</t>
        </is>
      </c>
      <c r="D64" s="11" t="inlineStr">
        <is>
          <t>مصروف</t>
        </is>
      </c>
      <c r="E64" s="11" t="inlineStr">
        <is>
          <t>شراء نقلة فلين</t>
        </is>
      </c>
      <c r="F64" s="12" t="n">
        <v>8211</v>
      </c>
      <c r="G64" s="11" t="inlineStr">
        <is>
          <t>مستلزمات إنتاج (فلين)</t>
        </is>
      </c>
      <c r="H64" s="11" t="inlineStr">
        <is>
          <t>شركة مصنع الديكور وا 2025-12-16</t>
        </is>
      </c>
      <c r="I64" s="11" t="n"/>
    </row>
    <row r="65">
      <c r="A65" s="11" t="n">
        <v>64</v>
      </c>
      <c r="B65" s="106" t="n">
        <v>46007</v>
      </c>
      <c r="C65" s="11" t="inlineStr">
        <is>
          <t>3465</t>
        </is>
      </c>
      <c r="D65" s="11" t="inlineStr">
        <is>
          <t>مصروف</t>
        </is>
      </c>
      <c r="E65" s="11" t="inlineStr">
        <is>
          <t>شراء حديد وسنجرال</t>
        </is>
      </c>
      <c r="F65" s="12" t="n">
        <v>3625.29</v>
      </c>
      <c r="G65" s="11" t="inlineStr">
        <is>
          <t>مصروفات تشغيل متنوعة</t>
        </is>
      </c>
      <c r="H65" s="11" t="inlineStr">
        <is>
          <t>شركة ايراد المتحدة ا 2025-12-16</t>
        </is>
      </c>
      <c r="I65" s="11" t="n"/>
    </row>
    <row r="66">
      <c r="A66" s="11" t="n">
        <v>65</v>
      </c>
      <c r="B66" s="106" t="n">
        <v>46007</v>
      </c>
      <c r="C66" s="11" t="inlineStr">
        <is>
          <t>39</t>
        </is>
      </c>
      <c r="D66" s="11" t="inlineStr">
        <is>
          <t>مصروف</t>
        </is>
      </c>
      <c r="E66" s="11" t="inlineStr">
        <is>
          <t>شراء مراكن 9 و12</t>
        </is>
      </c>
      <c r="F66" s="12" t="n">
        <v>14500</v>
      </c>
      <c r="G66" s="11" t="inlineStr">
        <is>
          <t>مستلزمات إنتاج (مراكن)</t>
        </is>
      </c>
      <c r="H66" s="11" t="inlineStr">
        <is>
          <t>شركة التاج المميزة ا 2025-12-16</t>
        </is>
      </c>
      <c r="I66" s="11" t="n"/>
    </row>
    <row r="67">
      <c r="A67" s="11" t="n">
        <v>66</v>
      </c>
      <c r="B67" s="106" t="n">
        <v>46008</v>
      </c>
      <c r="C67" s="11" t="inlineStr">
        <is>
          <t>41</t>
        </is>
      </c>
      <c r="D67" s="11" t="inlineStr">
        <is>
          <t>مصروف</t>
        </is>
      </c>
      <c r="E67" s="11" t="inlineStr">
        <is>
          <t>شحن جوال محمد</t>
        </is>
      </c>
      <c r="F67" s="12" t="n">
        <v>115</v>
      </c>
      <c r="G67" s="11" t="inlineStr">
        <is>
          <t>اتصالات</t>
        </is>
      </c>
      <c r="H67" s="11" t="inlineStr">
        <is>
          <t>هاتف الموبايل 2025-12-17، هاتف الموبايل 2025-12-04، هاتف الموبايل 2025-11-22</t>
        </is>
      </c>
      <c r="I67" s="11" t="n"/>
    </row>
    <row r="68">
      <c r="A68" s="11" t="n">
        <v>67</v>
      </c>
      <c r="B68" s="106" t="n">
        <v>46008</v>
      </c>
      <c r="C68" s="11" t="inlineStr">
        <is>
          <t>42</t>
        </is>
      </c>
      <c r="D68" s="11" t="inlineStr">
        <is>
          <t>مصروف</t>
        </is>
      </c>
      <c r="E68" s="11" t="inlineStr">
        <is>
          <t>عمولة عصمت عن شهر 11-2025</t>
        </is>
      </c>
      <c r="F68" s="12" t="n">
        <v>1400</v>
      </c>
      <c r="G68" s="11" t="inlineStr">
        <is>
          <t>رواتب وعمولات</t>
        </is>
      </c>
      <c r="H68" s="11" t="inlineStr">
        <is>
          <t>العمولة 2025-12-17</t>
        </is>
      </c>
      <c r="I68" s="11" t="n"/>
    </row>
    <row r="69">
      <c r="A69" s="11" t="n">
        <v>68</v>
      </c>
      <c r="B69" s="106" t="n">
        <v>46008</v>
      </c>
      <c r="C69" s="11" t="inlineStr">
        <is>
          <t>43</t>
        </is>
      </c>
      <c r="D69" s="11" t="inlineStr">
        <is>
          <t>مصروف</t>
        </is>
      </c>
      <c r="E69" s="11" t="inlineStr">
        <is>
          <t>عمولة عماد عن شهر 11-2025</t>
        </is>
      </c>
      <c r="F69" s="12" t="n">
        <v>300</v>
      </c>
      <c r="G69" s="11" t="inlineStr">
        <is>
          <t>رواتب وعمولات</t>
        </is>
      </c>
      <c r="H69" s="11" t="inlineStr">
        <is>
          <t>العمولة 2025-12-17، الوقود 2025-07-30، الوقود 2025-08-02</t>
        </is>
      </c>
      <c r="I69" s="11" t="n"/>
    </row>
    <row r="70">
      <c r="A70" s="3" t="n">
        <v>69</v>
      </c>
      <c r="B70" s="107" t="n">
        <v>46008</v>
      </c>
      <c r="C70" s="3" t="inlineStr">
        <is>
          <t>44+45+46+47</t>
        </is>
      </c>
      <c r="D70" s="3" t="inlineStr">
        <is>
          <t>مصروف</t>
        </is>
      </c>
      <c r="E70" s="3" t="inlineStr">
        <is>
          <t>قيمة صندوق الدنيا - عماد</t>
        </is>
      </c>
      <c r="F70" s="4" t="n">
        <v>18850</v>
      </c>
      <c r="G70" s="3" t="inlineStr">
        <is>
          <t>سيارات ومعدات</t>
        </is>
      </c>
      <c r="H70" s="3" t="n"/>
      <c r="I70" s="3" t="n"/>
    </row>
    <row r="71">
      <c r="A71" s="11" t="n">
        <v>70</v>
      </c>
      <c r="B71" s="106" t="n">
        <v>46011</v>
      </c>
      <c r="C71" s="11" t="inlineStr">
        <is>
          <t>1185</t>
        </is>
      </c>
      <c r="D71" s="11" t="inlineStr">
        <is>
          <t>مصروف</t>
        </is>
      </c>
      <c r="E71" s="11" t="inlineStr">
        <is>
          <t>فاتورة نقلة مياه للشرب</t>
        </is>
      </c>
      <c r="F71" s="12" t="n">
        <v>60</v>
      </c>
      <c r="G71" s="11" t="inlineStr">
        <is>
          <t>كهرباء وخدمات</t>
        </is>
      </c>
      <c r="H71" s="11" t="inlineStr">
        <is>
          <t>مغلسة تركي مبلش رشيد 2025-12-27، ينابع المئويه لتحلية 2025-12-20، مركز الخرج سابقا للا 2025-12-09</t>
        </is>
      </c>
      <c r="I71" s="11" t="n"/>
    </row>
    <row r="72">
      <c r="A72" s="11" t="n">
        <v>71</v>
      </c>
      <c r="B72" s="106" t="n">
        <v>46011</v>
      </c>
      <c r="C72" s="11" t="inlineStr">
        <is>
          <t>15210</t>
        </is>
      </c>
      <c r="D72" s="11" t="inlineStr">
        <is>
          <t>مصروف</t>
        </is>
      </c>
      <c r="E72" s="11" t="inlineStr">
        <is>
          <t>فاتورة  شراء مشسمع وصاروخ</t>
        </is>
      </c>
      <c r="F72" s="12" t="n">
        <v>304.75</v>
      </c>
      <c r="G72" s="11" t="inlineStr">
        <is>
          <t>مصروفات تشغيل متنوعة</t>
        </is>
      </c>
      <c r="H72" s="11" t="inlineStr">
        <is>
          <t>مؤسسة المحترف الامثل 2025-12-20</t>
        </is>
      </c>
      <c r="I72" s="11" t="n"/>
    </row>
    <row r="73">
      <c r="A73" s="11" t="n">
        <v>72</v>
      </c>
      <c r="B73" s="106" t="n">
        <v>46011</v>
      </c>
      <c r="C73" s="11" t="inlineStr">
        <is>
          <t>7545</t>
        </is>
      </c>
      <c r="D73" s="11" t="inlineStr">
        <is>
          <t>مصروف</t>
        </is>
      </c>
      <c r="E73" s="11" t="inlineStr">
        <is>
          <t>قيمة شراء 2 دفاية لغرف العمال</t>
        </is>
      </c>
      <c r="F73" s="12" t="n">
        <v>248.87</v>
      </c>
      <c r="G73" s="11" t="inlineStr">
        <is>
          <t>مصروفات تشغيل متنوعة</t>
        </is>
      </c>
      <c r="H73" s="11" t="inlineStr">
        <is>
          <t>شركة حمد  المنيع وشر 2025-12-20</t>
        </is>
      </c>
      <c r="I73" s="11" t="n"/>
    </row>
    <row r="74">
      <c r="A74" s="11" t="n">
        <v>73</v>
      </c>
      <c r="B74" s="106" t="n">
        <v>46012</v>
      </c>
      <c r="C74" s="11" t="inlineStr">
        <is>
          <t>15295</t>
        </is>
      </c>
      <c r="D74" s="11" t="inlineStr">
        <is>
          <t>مصروف</t>
        </is>
      </c>
      <c r="E74" s="11" t="inlineStr">
        <is>
          <t>شراء باقي مشمع للزهور</t>
        </is>
      </c>
      <c r="F74" s="12" t="n">
        <v>126.5</v>
      </c>
      <c r="G74" s="11" t="inlineStr">
        <is>
          <t>نباتات وبذور</t>
        </is>
      </c>
      <c r="H74" s="11" t="inlineStr">
        <is>
          <t>مؤسسة المحترف الامثل 2025-12-21</t>
        </is>
      </c>
      <c r="I74" s="11" t="n"/>
    </row>
    <row r="75">
      <c r="A75" s="11" t="n">
        <v>74</v>
      </c>
      <c r="B75" s="106" t="n">
        <v>46014</v>
      </c>
      <c r="C75" s="11" t="inlineStr">
        <is>
          <t>18330</t>
        </is>
      </c>
      <c r="D75" s="11" t="inlineStr">
        <is>
          <t>مصروف</t>
        </is>
      </c>
      <c r="E75" s="11" t="inlineStr">
        <is>
          <t>شراء حبارة للطابعة</t>
        </is>
      </c>
      <c r="F75" s="12" t="n">
        <v>199</v>
      </c>
      <c r="G75" s="11" t="inlineStr">
        <is>
          <t>مصروفات تشغيل متنوعة</t>
        </is>
      </c>
      <c r="H75" s="11" t="inlineStr">
        <is>
          <t>مؤسسة روابي المعرفة  2025-12-23، شركة ضي العليا لتقني 2025-12-23</t>
        </is>
      </c>
      <c r="I75" s="11" t="n"/>
    </row>
    <row r="76">
      <c r="A76" s="11" t="n">
        <v>75</v>
      </c>
      <c r="B76" s="106" t="n">
        <v>46014</v>
      </c>
      <c r="C76" s="11" t="inlineStr">
        <is>
          <t>639</t>
        </is>
      </c>
      <c r="D76" s="11" t="inlineStr">
        <is>
          <t>مصروف</t>
        </is>
      </c>
      <c r="E76" s="11" t="inlineStr">
        <is>
          <t>شراء حبارة للطابعة</t>
        </is>
      </c>
      <c r="F76" s="12" t="n">
        <v>199</v>
      </c>
      <c r="G76" s="11" t="inlineStr">
        <is>
          <t>مصروفات تشغيل متنوعة</t>
        </is>
      </c>
      <c r="H76" s="11" t="inlineStr">
        <is>
          <t>مؤسسة روابي المعرفة  2025-12-23، شركة ضي العليا لتقني 2025-12-23</t>
        </is>
      </c>
      <c r="I76" s="11" t="n"/>
    </row>
    <row r="77">
      <c r="A77" s="11" t="n">
        <v>76</v>
      </c>
      <c r="B77" s="106" t="n">
        <v>46017</v>
      </c>
      <c r="C77" s="11" t="inlineStr">
        <is>
          <t>48</t>
        </is>
      </c>
      <c r="D77" s="11" t="inlineStr">
        <is>
          <t>مصروف</t>
        </is>
      </c>
      <c r="E77" s="11" t="inlineStr">
        <is>
          <t>شراء مشمع وسيلكون</t>
        </is>
      </c>
      <c r="F77" s="12" t="n">
        <v>258.75</v>
      </c>
      <c r="G77" s="11" t="inlineStr">
        <is>
          <t>مصروفات تشغيل متنوعة</t>
        </is>
      </c>
      <c r="H77" s="11" t="inlineStr">
        <is>
          <t>مؤسسة المحترف الامثل 2025-12-26</t>
        </is>
      </c>
      <c r="I77" s="11" t="n"/>
    </row>
    <row r="78">
      <c r="A78" s="11" t="n">
        <v>77</v>
      </c>
      <c r="B78" s="106" t="n">
        <v>46017</v>
      </c>
      <c r="C78" s="11" t="inlineStr">
        <is>
          <t>49</t>
        </is>
      </c>
      <c r="D78" s="11" t="inlineStr">
        <is>
          <t>مصروف</t>
        </is>
      </c>
      <c r="E78" s="11" t="inlineStr">
        <is>
          <t>شراء أغراض سباكة وكهرباء للمطبخ والحمام</t>
        </is>
      </c>
      <c r="F78" s="12" t="n">
        <v>693</v>
      </c>
      <c r="G78" s="11" t="inlineStr">
        <is>
          <t>كهرباء وخدمات</t>
        </is>
      </c>
      <c r="H78" s="11" t="inlineStr">
        <is>
          <t>موسسسة افاق الاليه ل 2025-12-26</t>
        </is>
      </c>
      <c r="I78" s="11" t="n"/>
    </row>
    <row r="79">
      <c r="A79" s="11" t="n">
        <v>78</v>
      </c>
      <c r="B79" s="106" t="n">
        <v>46018</v>
      </c>
      <c r="C79" s="11" t="inlineStr">
        <is>
          <t>50</t>
        </is>
      </c>
      <c r="D79" s="11" t="inlineStr">
        <is>
          <t>مصروف</t>
        </is>
      </c>
      <c r="E79" s="11" t="inlineStr">
        <is>
          <t>غسيل س عصمت</t>
        </is>
      </c>
      <c r="F79" s="12" t="n">
        <v>60</v>
      </c>
      <c r="G79" s="11" t="inlineStr">
        <is>
          <t>صيانة سيارات</t>
        </is>
      </c>
      <c r="H79" s="11" t="inlineStr">
        <is>
          <t>مغلسة تركي مبلش رشيد 2025-12-27، ينابع المئويه لتحلية 2025-12-20، مركز الخرج سابقا للا 2025-12-09</t>
        </is>
      </c>
      <c r="I79" s="11" t="n"/>
    </row>
    <row r="80">
      <c r="A80" s="11" t="n">
        <v>79</v>
      </c>
      <c r="B80" s="106" t="n">
        <v>46019</v>
      </c>
      <c r="C80" s="11" t="inlineStr">
        <is>
          <t>51</t>
        </is>
      </c>
      <c r="D80" s="11" t="inlineStr">
        <is>
          <t>مصروف</t>
        </is>
      </c>
      <c r="E80" s="11" t="inlineStr">
        <is>
          <t>شراء أغراض كهرباء للمطبخ</t>
        </is>
      </c>
      <c r="F80" s="12" t="n">
        <v>684</v>
      </c>
      <c r="G80" s="11" t="inlineStr">
        <is>
          <t>كهرباء وخدمات</t>
        </is>
      </c>
      <c r="H80" s="11" t="inlineStr">
        <is>
          <t>موسسسة افاق الاليه ل 2025-12-28</t>
        </is>
      </c>
      <c r="I80" s="11" t="n"/>
    </row>
    <row r="81">
      <c r="A81" s="11" t="n">
        <v>80</v>
      </c>
      <c r="B81" s="106" t="n">
        <v>46020</v>
      </c>
      <c r="C81" s="11" t="inlineStr">
        <is>
          <t>52</t>
        </is>
      </c>
      <c r="D81" s="11" t="inlineStr">
        <is>
          <t>مصروف</t>
        </is>
      </c>
      <c r="E81" s="11" t="inlineStr">
        <is>
          <t>سداد فاتورة كهرباء 12-2025</t>
        </is>
      </c>
      <c r="F81" s="12" t="n">
        <v>3735.94</v>
      </c>
      <c r="G81" s="11" t="inlineStr">
        <is>
          <t>كهرباء وخدمات</t>
        </is>
      </c>
      <c r="H81" s="11" t="inlineStr">
        <is>
          <t>الشركة السعوديه للكه 2025-12-29</t>
        </is>
      </c>
      <c r="I81" s="11" t="n"/>
    </row>
    <row r="82">
      <c r="A82" s="11" t="n">
        <v>81</v>
      </c>
      <c r="B82" s="106" t="n">
        <v>46020</v>
      </c>
      <c r="C82" s="11" t="inlineStr">
        <is>
          <t>53</t>
        </is>
      </c>
      <c r="D82" s="11" t="inlineStr">
        <is>
          <t>مصروف</t>
        </is>
      </c>
      <c r="E82" s="11" t="inlineStr">
        <is>
          <t>سداد فاتورة جيرانيوم 2</t>
        </is>
      </c>
      <c r="F82" s="12" t="n">
        <v>37442</v>
      </c>
      <c r="G82" s="11" t="inlineStr">
        <is>
          <t>نباتات وبذور</t>
        </is>
      </c>
      <c r="H82" s="11" t="inlineStr">
        <is>
          <t>الشركة المصرية الالم 2025-11-09</t>
        </is>
      </c>
      <c r="I82" s="11" t="n"/>
    </row>
    <row r="83">
      <c r="A83" s="11" t="n">
        <v>82</v>
      </c>
      <c r="B83" s="106" t="n">
        <v>46020</v>
      </c>
      <c r="C83" s="11" t="inlineStr">
        <is>
          <t>54</t>
        </is>
      </c>
      <c r="D83" s="11" t="inlineStr">
        <is>
          <t>مصروف</t>
        </is>
      </c>
      <c r="E83" s="11" t="inlineStr">
        <is>
          <t>سداد فاتورة جيرانيوم 3</t>
        </is>
      </c>
      <c r="F83" s="12" t="n">
        <v>44662</v>
      </c>
      <c r="G83" s="11" t="inlineStr">
        <is>
          <t>نباتات وبذور</t>
        </is>
      </c>
      <c r="H83" s="11" t="inlineStr">
        <is>
          <t>الشركة المصرية الالم 2025-12-29</t>
        </is>
      </c>
      <c r="I83" s="11" t="n"/>
    </row>
    <row r="84">
      <c r="A84" s="11" t="n">
        <v>83</v>
      </c>
      <c r="B84" s="106" t="n">
        <v>46021</v>
      </c>
      <c r="C84" s="11" t="inlineStr">
        <is>
          <t>53</t>
        </is>
      </c>
      <c r="D84" s="11" t="inlineStr">
        <is>
          <t>مصروف</t>
        </is>
      </c>
      <c r="E84" s="11" t="inlineStr">
        <is>
          <t xml:space="preserve">فاتورة تخليص جمارك جيرانيوم </t>
        </is>
      </c>
      <c r="F84" s="12" t="n">
        <v>2592.5</v>
      </c>
      <c r="G84" s="11" t="inlineStr">
        <is>
          <t>نباتات وبذور</t>
        </is>
      </c>
      <c r="H84" s="11" t="inlineStr">
        <is>
          <t>فواز الخالدي - التخل 2025-12-30</t>
        </is>
      </c>
      <c r="I84" s="11" t="n"/>
    </row>
    <row r="85">
      <c r="A85" s="11" t="n">
        <v>84</v>
      </c>
      <c r="B85" s="106" t="n">
        <v>46021</v>
      </c>
      <c r="C85" s="11" t="inlineStr">
        <is>
          <t>54</t>
        </is>
      </c>
      <c r="D85" s="11" t="inlineStr">
        <is>
          <t>مصروف</t>
        </is>
      </c>
      <c r="E85" s="11" t="inlineStr">
        <is>
          <t>فاتورة تخليص جمارك جيرانيوم2</t>
        </is>
      </c>
      <c r="F85" s="12" t="n">
        <v>2247.5</v>
      </c>
      <c r="G85" s="11" t="inlineStr">
        <is>
          <t>نباتات وبذور</t>
        </is>
      </c>
      <c r="H85" s="11" t="inlineStr">
        <is>
          <t>فواز الخالدي - التخل 2025-12-30</t>
        </is>
      </c>
      <c r="I85" s="11" t="n"/>
    </row>
    <row r="86">
      <c r="A86" s="11" t="n">
        <v>85</v>
      </c>
      <c r="B86" s="106" t="n">
        <v>46021</v>
      </c>
      <c r="C86" s="11" t="inlineStr">
        <is>
          <t>55</t>
        </is>
      </c>
      <c r="D86" s="11" t="inlineStr">
        <is>
          <t>مصروف</t>
        </is>
      </c>
      <c r="E86" s="11" t="inlineStr">
        <is>
          <t>فاتورة تخليص جمارك جيرانيوم3</t>
        </is>
      </c>
      <c r="F86" s="12" t="n">
        <v>5189</v>
      </c>
      <c r="G86" s="11" t="inlineStr">
        <is>
          <t>نباتات وبذور</t>
        </is>
      </c>
      <c r="H86" s="11" t="inlineStr">
        <is>
          <t>فواز الخالدي - التخل 2025-12-30</t>
        </is>
      </c>
      <c r="I86" s="11" t="n"/>
    </row>
    <row r="87">
      <c r="A87" s="11" t="n">
        <v>86</v>
      </c>
      <c r="B87" s="106" t="n">
        <v>46021</v>
      </c>
      <c r="C87" s="11" t="inlineStr">
        <is>
          <t>56</t>
        </is>
      </c>
      <c r="D87" s="11" t="inlineStr">
        <is>
          <t>مصروف</t>
        </is>
      </c>
      <c r="E87" s="11" t="inlineStr">
        <is>
          <t>شحن جوال عماد حمدي</t>
        </is>
      </c>
      <c r="F87" s="12" t="n">
        <v>120</v>
      </c>
      <c r="G87" s="11" t="inlineStr">
        <is>
          <t>اتصالات</t>
        </is>
      </c>
      <c r="H87" s="11" t="inlineStr">
        <is>
          <t>هاتف الموبايل 2025-12-30، محطة المجمع لخدمات ا 2025-11-12، موسسة بيت الوسيط لتج 2025-08-20</t>
        </is>
      </c>
      <c r="I87" s="11" t="n"/>
    </row>
    <row r="88">
      <c r="A88" s="11" t="n">
        <v>87</v>
      </c>
      <c r="B88" s="106" t="n">
        <v>46021</v>
      </c>
      <c r="C88" s="11" t="inlineStr">
        <is>
          <t>57</t>
        </is>
      </c>
      <c r="D88" s="11" t="inlineStr">
        <is>
          <t>مصروف</t>
        </is>
      </c>
      <c r="E88" s="11" t="inlineStr">
        <is>
          <t>أغراض سباكة وكهرباء للعمال</t>
        </is>
      </c>
      <c r="F88" s="12" t="n">
        <v>647</v>
      </c>
      <c r="G88" s="11" t="inlineStr">
        <is>
          <t>كهرباء وخدمات</t>
        </is>
      </c>
      <c r="H88" s="11" t="inlineStr">
        <is>
          <t>موسسسة افاق الاليه ل 2025-12-30</t>
        </is>
      </c>
      <c r="I88" s="11" t="n"/>
    </row>
    <row r="89">
      <c r="A89" s="11" t="n">
        <v>88</v>
      </c>
      <c r="B89" s="106" t="n">
        <v>46021</v>
      </c>
      <c r="C89" s="11" t="inlineStr">
        <is>
          <t>58</t>
        </is>
      </c>
      <c r="D89" s="11" t="inlineStr">
        <is>
          <t>مصروف</t>
        </is>
      </c>
      <c r="E89" s="11" t="inlineStr">
        <is>
          <t>باقي أغراض سباكة وكهرباء للعمال</t>
        </is>
      </c>
      <c r="F89" s="12" t="n">
        <v>488</v>
      </c>
      <c r="G89" s="11" t="inlineStr">
        <is>
          <t>كهرباء وخدمات</t>
        </is>
      </c>
      <c r="H89" s="11" t="inlineStr">
        <is>
          <t>موسسسة افاق الاليه ل 2025-12-30</t>
        </is>
      </c>
      <c r="I89" s="11" t="n"/>
    </row>
    <row r="90">
      <c r="A90" s="11" t="n">
        <v>89</v>
      </c>
      <c r="B90" s="106" t="n">
        <v>46022</v>
      </c>
      <c r="C90" s="11" t="inlineStr">
        <is>
          <t>59</t>
        </is>
      </c>
      <c r="D90" s="11" t="inlineStr">
        <is>
          <t>مصروف</t>
        </is>
      </c>
      <c r="E90" s="11" t="inlineStr">
        <is>
          <t>فاتورة بنزين للوانيت</t>
        </is>
      </c>
      <c r="F90" s="12" t="n">
        <v>70</v>
      </c>
      <c r="G90" s="11" t="inlineStr">
        <is>
          <t>وقود</t>
        </is>
      </c>
      <c r="H90" s="11" t="inlineStr">
        <is>
          <t>الوقود 2025-12-30، الوقود 2025-11-04، الوقود 2025-07-22</t>
        </is>
      </c>
      <c r="I90" s="11" t="n"/>
    </row>
    <row r="91">
      <c r="A91" s="11" t="n">
        <v>90</v>
      </c>
      <c r="B91" s="106" t="n">
        <v>46022</v>
      </c>
      <c r="C91" s="11" t="inlineStr">
        <is>
          <t>60</t>
        </is>
      </c>
      <c r="D91" s="11" t="inlineStr">
        <is>
          <t>مصروف</t>
        </is>
      </c>
      <c r="E91" s="11" t="inlineStr">
        <is>
          <t>فاتورة غيار زيت وفلاتر س عصمت</t>
        </is>
      </c>
      <c r="F91" s="12" t="n">
        <v>235</v>
      </c>
      <c r="G91" s="11" t="inlineStr">
        <is>
          <t>صيانة سيارات</t>
        </is>
      </c>
      <c r="H91" s="11" t="inlineStr">
        <is>
          <t>مؤسسة هيلاء عبيد الد 2025-12-30، مؤسسة هيلاء عبيد الد 2025-10-25، الوقود 2025-07-05</t>
        </is>
      </c>
      <c r="I91" s="11" t="n"/>
    </row>
    <row r="92">
      <c r="A92" s="11" t="n">
        <v>91</v>
      </c>
      <c r="B92" s="106" t="n">
        <v>46022</v>
      </c>
      <c r="C92" s="11" t="inlineStr">
        <is>
          <t>61</t>
        </is>
      </c>
      <c r="D92" s="11" t="inlineStr">
        <is>
          <t>مصروف</t>
        </is>
      </c>
      <c r="E92" s="11" t="inlineStr">
        <is>
          <t>عربون شغل كهرباء وسباكة</t>
        </is>
      </c>
      <c r="F92" s="12" t="n">
        <v>1000</v>
      </c>
      <c r="G92" s="11" t="inlineStr">
        <is>
          <t>كهرباء وخدمات</t>
        </is>
      </c>
      <c r="H92" s="11" t="inlineStr">
        <is>
          <t>مصنعيات 2025-12-30، عهدة حسين مصطفى 2026-07-15، عهدة عظمت الله خان 2026-06-14</t>
        </is>
      </c>
      <c r="I92" s="11" t="n"/>
    </row>
    <row r="93">
      <c r="A93" s="115" t="n">
        <v>92</v>
      </c>
      <c r="B93" s="116" t="n">
        <v>46023</v>
      </c>
      <c r="C93" s="115" t="inlineStr">
        <is>
          <t>62</t>
        </is>
      </c>
      <c r="D93" s="115" t="inlineStr">
        <is>
          <t>مصروف</t>
        </is>
      </c>
      <c r="E93" s="115" t="inlineStr">
        <is>
          <t>رمل وحصي للصرف المطبخ</t>
        </is>
      </c>
      <c r="F93" s="117" t="n">
        <v>0</v>
      </c>
      <c r="G93" s="115" t="inlineStr">
        <is>
          <t>مصروفات تشغيل متنوعة</t>
        </is>
      </c>
      <c r="H93" s="115" t="n"/>
      <c r="I93" s="115" t="inlineStr">
        <is>
          <t>مبلغ صفر – البيان مسجل بدون قيمة</t>
        </is>
      </c>
    </row>
    <row r="94">
      <c r="A94" s="11" t="n">
        <v>93</v>
      </c>
      <c r="B94" s="106" t="n">
        <v>46023</v>
      </c>
      <c r="C94" s="11" t="inlineStr">
        <is>
          <t>63</t>
        </is>
      </c>
      <c r="D94" s="11" t="inlineStr">
        <is>
          <t>مصروف</t>
        </is>
      </c>
      <c r="E94" s="11" t="inlineStr">
        <is>
          <t>شراء نقلة فلين 2000 حبه</t>
        </is>
      </c>
      <c r="F94" s="12" t="n">
        <v>4830</v>
      </c>
      <c r="G94" s="11" t="inlineStr">
        <is>
          <t>مستلزمات إنتاج (فلين)</t>
        </is>
      </c>
      <c r="H94" s="11" t="inlineStr">
        <is>
          <t>PO-6-REV1، PO-121، PO-9</t>
        </is>
      </c>
      <c r="I94" s="11" t="n"/>
    </row>
    <row r="95">
      <c r="A95" s="115" t="n">
        <v>94</v>
      </c>
      <c r="B95" s="116" t="n">
        <v>46023</v>
      </c>
      <c r="C95" s="115" t="inlineStr">
        <is>
          <t>64</t>
        </is>
      </c>
      <c r="D95" s="115" t="inlineStr">
        <is>
          <t>مصروف</t>
        </is>
      </c>
      <c r="E95" s="115" t="inlineStr">
        <is>
          <t>باقي حساب شغل كهرباء وسباكة</t>
        </is>
      </c>
      <c r="F95" s="117" t="n">
        <v>0</v>
      </c>
      <c r="G95" s="115" t="inlineStr">
        <is>
          <t>كهرباء وخدمات</t>
        </is>
      </c>
      <c r="H95" s="115" t="n"/>
      <c r="I95" s="115" t="inlineStr">
        <is>
          <t>مبلغ صفر – البيان مسجل بدون قيمة</t>
        </is>
      </c>
    </row>
    <row r="96">
      <c r="A96" s="115" t="n">
        <v>95</v>
      </c>
      <c r="B96" s="116" t="n">
        <v>46023</v>
      </c>
      <c r="C96" s="115" t="inlineStr">
        <is>
          <t>65</t>
        </is>
      </c>
      <c r="D96" s="115" t="inlineStr">
        <is>
          <t>مصروف</t>
        </is>
      </c>
      <c r="E96" s="115" t="inlineStr">
        <is>
          <t>غيار زيت وفلاتر س عماد</t>
        </is>
      </c>
      <c r="F96" s="117" t="n">
        <v>0</v>
      </c>
      <c r="G96" s="115" t="inlineStr">
        <is>
          <t>صيانة سيارات</t>
        </is>
      </c>
      <c r="H96" s="115" t="n"/>
      <c r="I96" s="115" t="inlineStr">
        <is>
          <t>مبلغ صفر – البيان مسجل بدون قيمة</t>
        </is>
      </c>
    </row>
    <row r="97">
      <c r="A97" s="115" t="n">
        <v>96</v>
      </c>
      <c r="B97" s="116" t="n">
        <v>46023</v>
      </c>
      <c r="C97" s="115" t="inlineStr">
        <is>
          <t>66</t>
        </is>
      </c>
      <c r="D97" s="115" t="inlineStr">
        <is>
          <t>مصروف</t>
        </is>
      </c>
      <c r="E97" s="115" t="inlineStr">
        <is>
          <t>شحن جوال حسين</t>
        </is>
      </c>
      <c r="F97" s="117" t="n">
        <v>0</v>
      </c>
      <c r="G97" s="115" t="inlineStr">
        <is>
          <t>اتصالات</t>
        </is>
      </c>
      <c r="H97" s="115" t="n"/>
      <c r="I97" s="115" t="inlineStr">
        <is>
          <t>مبلغ صفر – البيان مسجل بدون قيمة</t>
        </is>
      </c>
    </row>
    <row r="98">
      <c r="A98" s="11" t="n">
        <v>97</v>
      </c>
      <c r="B98" s="106" t="n">
        <v>46025</v>
      </c>
      <c r="C98" s="11" t="inlineStr">
        <is>
          <t>67</t>
        </is>
      </c>
      <c r="D98" s="11" t="inlineStr">
        <is>
          <t>مصروف</t>
        </is>
      </c>
      <c r="E98" s="11" t="inlineStr">
        <is>
          <t>شراء نقلة فلين 2000 حبه</t>
        </is>
      </c>
      <c r="F98" s="12" t="n">
        <v>4830</v>
      </c>
      <c r="G98" s="11" t="inlineStr">
        <is>
          <t>مستلزمات إنتاج (فلين)</t>
        </is>
      </c>
      <c r="H98" s="11" t="inlineStr">
        <is>
          <t>PO-6-REV1، PO-121، PO-9</t>
        </is>
      </c>
      <c r="I98" s="11" t="n"/>
    </row>
    <row r="99">
      <c r="A99" s="115" t="n">
        <v>98</v>
      </c>
      <c r="B99" s="116" t="n">
        <v>46025</v>
      </c>
      <c r="C99" s="115" t="inlineStr">
        <is>
          <t>68</t>
        </is>
      </c>
      <c r="D99" s="115" t="inlineStr">
        <is>
          <t>مصروف</t>
        </is>
      </c>
      <c r="E99" s="115" t="inlineStr">
        <is>
          <t>اسمنت وبلوك لصرف الحمام</t>
        </is>
      </c>
      <c r="F99" s="117" t="n">
        <v>0</v>
      </c>
      <c r="G99" s="115" t="inlineStr">
        <is>
          <t>مصروفات تشغيل متنوعة</t>
        </is>
      </c>
      <c r="H99" s="115" t="n"/>
      <c r="I99" s="115" t="inlineStr">
        <is>
          <t>مبلغ صفر – البيان مسجل بدون قيمة</t>
        </is>
      </c>
    </row>
    <row r="100">
      <c r="A100" s="115" t="n">
        <v>99</v>
      </c>
      <c r="B100" s="116" t="n">
        <v>46025</v>
      </c>
      <c r="C100" s="115" t="inlineStr">
        <is>
          <t>69</t>
        </is>
      </c>
      <c r="D100" s="115" t="inlineStr">
        <is>
          <t>مصروف</t>
        </is>
      </c>
      <c r="E100" s="115" t="inlineStr">
        <is>
          <t>شحن جوال عصمت</t>
        </is>
      </c>
      <c r="F100" s="117" t="n">
        <v>0</v>
      </c>
      <c r="G100" s="115" t="inlineStr">
        <is>
          <t>اتصالات</t>
        </is>
      </c>
      <c r="H100" s="115" t="n"/>
      <c r="I100" s="115" t="inlineStr">
        <is>
          <t>مبلغ صفر – البيان مسجل بدون قيمة</t>
        </is>
      </c>
    </row>
    <row r="101">
      <c r="A101" s="3" t="n">
        <v>100</v>
      </c>
      <c r="B101" s="107" t="n">
        <v>46026</v>
      </c>
      <c r="C101" s="3" t="inlineStr">
        <is>
          <t>70</t>
        </is>
      </c>
      <c r="D101" s="3" t="inlineStr">
        <is>
          <t>مصروف – رواتب</t>
        </is>
      </c>
      <c r="E101" s="3" t="inlineStr">
        <is>
          <t>مرتبات شهر 12-2025</t>
        </is>
      </c>
      <c r="F101" s="4" t="n">
        <v>38111</v>
      </c>
      <c r="G101" s="3" t="inlineStr">
        <is>
          <t>رواتب</t>
        </is>
      </c>
      <c r="H101" s="3" t="n"/>
      <c r="I101" s="3" t="n"/>
    </row>
    <row r="102">
      <c r="A102" s="115" t="n">
        <v>101</v>
      </c>
      <c r="B102" s="116" t="n">
        <v>46026</v>
      </c>
      <c r="C102" s="115" t="inlineStr">
        <is>
          <t>71</t>
        </is>
      </c>
      <c r="D102" s="115" t="inlineStr">
        <is>
          <t>مصروف</t>
        </is>
      </c>
      <c r="E102" s="115" t="inlineStr">
        <is>
          <t>اجرة بناء حمام ومطبخ</t>
        </is>
      </c>
      <c r="F102" s="117" t="n">
        <v>0</v>
      </c>
      <c r="G102" s="115" t="inlineStr">
        <is>
          <t>مصروفات تشغيل متنوعة</t>
        </is>
      </c>
      <c r="H102" s="115" t="n"/>
      <c r="I102" s="115" t="inlineStr">
        <is>
          <t>مبلغ صفر – البيان مسجل بدون قيمة</t>
        </is>
      </c>
    </row>
    <row r="103">
      <c r="A103" s="115" t="n">
        <v>102</v>
      </c>
      <c r="B103" s="116" t="n">
        <v>46027</v>
      </c>
      <c r="C103" s="115" t="inlineStr">
        <is>
          <t>72</t>
        </is>
      </c>
      <c r="D103" s="115" t="inlineStr">
        <is>
          <t>مصروف</t>
        </is>
      </c>
      <c r="E103" s="115" t="inlineStr">
        <is>
          <t>شراء 2 مشترك كهرباء عمال</t>
        </is>
      </c>
      <c r="F103" s="117" t="n">
        <v>0</v>
      </c>
      <c r="G103" s="115" t="inlineStr">
        <is>
          <t>كهرباء وخدمات</t>
        </is>
      </c>
      <c r="H103" s="115" t="n"/>
      <c r="I103" s="115" t="inlineStr">
        <is>
          <t>مبلغ صفر – البيان مسجل بدون قيمة</t>
        </is>
      </c>
    </row>
    <row r="104">
      <c r="A104" s="115" t="n">
        <v>103</v>
      </c>
      <c r="B104" s="116" t="n">
        <v>46029</v>
      </c>
      <c r="C104" s="115" t="inlineStr">
        <is>
          <t>73</t>
        </is>
      </c>
      <c r="D104" s="115" t="inlineStr">
        <is>
          <t>مصروف</t>
        </is>
      </c>
      <c r="E104" s="115" t="inlineStr">
        <is>
          <t>قيمة نقلة مياه للشرب</t>
        </is>
      </c>
      <c r="F104" s="117" t="n">
        <v>0</v>
      </c>
      <c r="G104" s="115" t="inlineStr">
        <is>
          <t>كهرباء وخدمات</t>
        </is>
      </c>
      <c r="H104" s="115" t="n"/>
      <c r="I104" s="115" t="inlineStr">
        <is>
          <t>مبلغ صفر – البيان مسجل بدون قيمة</t>
        </is>
      </c>
    </row>
    <row r="105">
      <c r="A105" s="115" t="n">
        <v>104</v>
      </c>
      <c r="B105" s="116" t="n">
        <v>46030</v>
      </c>
      <c r="C105" s="115" t="inlineStr">
        <is>
          <t>74</t>
        </is>
      </c>
      <c r="D105" s="115" t="inlineStr">
        <is>
          <t>مصروف</t>
        </is>
      </c>
      <c r="E105" s="115" t="inlineStr">
        <is>
          <t>رمل وحصي للصرف المطبخ</t>
        </is>
      </c>
      <c r="F105" s="117" t="n">
        <v>0</v>
      </c>
      <c r="G105" s="115" t="inlineStr">
        <is>
          <t>مصروفات تشغيل متنوعة</t>
        </is>
      </c>
      <c r="H105" s="115" t="n"/>
      <c r="I105" s="115" t="inlineStr">
        <is>
          <t>مبلغ صفر – البيان مسجل بدون قيمة</t>
        </is>
      </c>
    </row>
    <row r="106">
      <c r="A106" s="115" t="n">
        <v>105</v>
      </c>
      <c r="B106" s="116" t="n">
        <v>46030</v>
      </c>
      <c r="C106" s="115" t="inlineStr">
        <is>
          <t>75</t>
        </is>
      </c>
      <c r="D106" s="115" t="inlineStr">
        <is>
          <t>مصروف</t>
        </is>
      </c>
      <c r="E106" s="115" t="inlineStr">
        <is>
          <t>بنزين للوانيت 4 قارورة</t>
        </is>
      </c>
      <c r="F106" s="117" t="n">
        <v>0</v>
      </c>
      <c r="G106" s="115" t="inlineStr">
        <is>
          <t>وقود</t>
        </is>
      </c>
      <c r="H106" s="115" t="n"/>
      <c r="I106" s="115" t="inlineStr">
        <is>
          <t>مبلغ صفر – البيان مسجل بدون قيمة</t>
        </is>
      </c>
    </row>
    <row r="107">
      <c r="A107" s="11" t="n">
        <v>106</v>
      </c>
      <c r="B107" s="106" t="n">
        <v>46032</v>
      </c>
      <c r="C107" s="11" t="inlineStr">
        <is>
          <t>76</t>
        </is>
      </c>
      <c r="D107" s="11" t="inlineStr">
        <is>
          <t>مصروف</t>
        </is>
      </c>
      <c r="E107" s="11" t="inlineStr">
        <is>
          <t>شراء نقلة فلين 1000 حبه</t>
        </is>
      </c>
      <c r="F107" s="12" t="n">
        <v>2415</v>
      </c>
      <c r="G107" s="11" t="inlineStr">
        <is>
          <t>مستلزمات إنتاج (فلين)</t>
        </is>
      </c>
      <c r="H107" s="11" t="inlineStr">
        <is>
          <t>PO-67، شركة مصنع الديكور وا 2025-12-11، شركة مصنع الديكور وا 2025-12-10</t>
        </is>
      </c>
      <c r="I107" s="11" t="n"/>
    </row>
    <row r="108">
      <c r="A108" s="115" t="n">
        <v>107</v>
      </c>
      <c r="B108" s="116" t="n">
        <v>46035</v>
      </c>
      <c r="C108" s="115" t="inlineStr">
        <is>
          <t>77</t>
        </is>
      </c>
      <c r="D108" s="115" t="inlineStr">
        <is>
          <t>مصروف</t>
        </is>
      </c>
      <c r="E108" s="115" t="inlineStr">
        <is>
          <t>عمولة عصمت عن شهر 12-2025</t>
        </is>
      </c>
      <c r="F108" s="117" t="n">
        <v>0</v>
      </c>
      <c r="G108" s="115" t="inlineStr">
        <is>
          <t>رواتب وعمولات</t>
        </is>
      </c>
      <c r="H108" s="115" t="n"/>
      <c r="I108" s="115" t="inlineStr">
        <is>
          <t>مبلغ صفر – البيان مسجل بدون قيمة</t>
        </is>
      </c>
    </row>
    <row r="109">
      <c r="A109" s="115" t="n">
        <v>108</v>
      </c>
      <c r="B109" s="116" t="n">
        <v>46035</v>
      </c>
      <c r="C109" s="115" t="inlineStr">
        <is>
          <t>78</t>
        </is>
      </c>
      <c r="D109" s="115" t="inlineStr">
        <is>
          <t>مصروف</t>
        </is>
      </c>
      <c r="E109" s="115" t="inlineStr">
        <is>
          <t>عمولة وردود عماد عن شهر 12-2025</t>
        </is>
      </c>
      <c r="F109" s="117" t="n">
        <v>0</v>
      </c>
      <c r="G109" s="115" t="inlineStr">
        <is>
          <t>رواتب وعمولات</t>
        </is>
      </c>
      <c r="H109" s="115" t="n"/>
      <c r="I109" s="115" t="inlineStr">
        <is>
          <t>مبلغ صفر – البيان مسجل بدون قيمة</t>
        </is>
      </c>
    </row>
    <row r="110">
      <c r="A110" s="115" t="n">
        <v>109</v>
      </c>
      <c r="B110" s="116" t="n">
        <v>46035</v>
      </c>
      <c r="C110" s="115" t="inlineStr">
        <is>
          <t>79</t>
        </is>
      </c>
      <c r="D110" s="115" t="inlineStr">
        <is>
          <t>مصروف</t>
        </is>
      </c>
      <c r="E110" s="115" t="inlineStr">
        <is>
          <t>انتقالات عماد من الرياض لتبوك</t>
        </is>
      </c>
      <c r="F110" s="117" t="n">
        <v>0</v>
      </c>
      <c r="G110" s="115" t="inlineStr">
        <is>
          <t>مصروفات تشغيل متنوعة</t>
        </is>
      </c>
      <c r="H110" s="115" t="n"/>
      <c r="I110" s="115" t="inlineStr">
        <is>
          <t>مبلغ صفر – البيان مسجل بدون قيمة</t>
        </is>
      </c>
    </row>
    <row r="111">
      <c r="A111" s="115" t="n">
        <v>110</v>
      </c>
      <c r="B111" s="116" t="n">
        <v>46035</v>
      </c>
      <c r="C111" s="115" t="inlineStr">
        <is>
          <t>80</t>
        </is>
      </c>
      <c r="D111" s="115" t="inlineStr">
        <is>
          <t>مصروف</t>
        </is>
      </c>
      <c r="E111" s="115" t="inlineStr">
        <is>
          <t>غسيل وتشحيم س عماد</t>
        </is>
      </c>
      <c r="F111" s="117" t="n">
        <v>0</v>
      </c>
      <c r="G111" s="115" t="inlineStr">
        <is>
          <t>صيانة سيارات</t>
        </is>
      </c>
      <c r="H111" s="115" t="n"/>
      <c r="I111" s="115" t="inlineStr">
        <is>
          <t>مبلغ صفر – البيان مسجل بدون قيمة</t>
        </is>
      </c>
    </row>
    <row r="112">
      <c r="A112" s="115" t="n">
        <v>111</v>
      </c>
      <c r="B112" s="116" t="n">
        <v>46036</v>
      </c>
      <c r="C112" s="115" t="inlineStr">
        <is>
          <t>81</t>
        </is>
      </c>
      <c r="D112" s="115" t="inlineStr">
        <is>
          <t>مصروف</t>
        </is>
      </c>
      <c r="E112" s="115" t="inlineStr">
        <is>
          <t>شحن جوال محمد عبدالمجيد</t>
        </is>
      </c>
      <c r="F112" s="117" t="n">
        <v>0</v>
      </c>
      <c r="G112" s="115" t="inlineStr">
        <is>
          <t>اتصالات</t>
        </is>
      </c>
      <c r="H112" s="115" t="n"/>
      <c r="I112" s="115" t="inlineStr">
        <is>
          <t>مبلغ صفر – البيان مسجل بدون قيمة</t>
        </is>
      </c>
    </row>
    <row r="113">
      <c r="A113" s="115" t="n">
        <v>112</v>
      </c>
      <c r="B113" s="116" t="n">
        <v>46037</v>
      </c>
      <c r="C113" s="115" t="inlineStr">
        <is>
          <t>82</t>
        </is>
      </c>
      <c r="D113" s="115" t="inlineStr">
        <is>
          <t>مصروف</t>
        </is>
      </c>
      <c r="E113" s="115" t="inlineStr">
        <is>
          <t>شراء فايلات للورق</t>
        </is>
      </c>
      <c r="F113" s="117" t="n">
        <v>0</v>
      </c>
      <c r="G113" s="115" t="inlineStr">
        <is>
          <t>مصروفات تشغيل متنوعة</t>
        </is>
      </c>
      <c r="H113" s="115" t="n"/>
      <c r="I113" s="115" t="inlineStr">
        <is>
          <t>مبلغ صفر – البيان مسجل بدون قيمة</t>
        </is>
      </c>
    </row>
    <row r="114">
      <c r="A114" s="115" t="n">
        <v>113</v>
      </c>
      <c r="B114" s="116" t="n">
        <v>46037</v>
      </c>
      <c r="C114" s="115" t="inlineStr">
        <is>
          <t>83</t>
        </is>
      </c>
      <c r="D114" s="115" t="inlineStr">
        <is>
          <t>مصروف</t>
        </is>
      </c>
      <c r="E114" s="115" t="inlineStr">
        <is>
          <t>عمل كفر الوانيت</t>
        </is>
      </c>
      <c r="F114" s="117" t="n">
        <v>0</v>
      </c>
      <c r="G114" s="115" t="inlineStr">
        <is>
          <t>صيانة سيارات</t>
        </is>
      </c>
      <c r="H114" s="115" t="n"/>
      <c r="I114" s="115" t="inlineStr">
        <is>
          <t>مبلغ صفر – البيان مسجل بدون قيمة</t>
        </is>
      </c>
    </row>
    <row r="115">
      <c r="A115" s="115" t="n">
        <v>114</v>
      </c>
      <c r="B115" s="116" t="n">
        <v>46038</v>
      </c>
      <c r="C115" s="115" t="inlineStr">
        <is>
          <t>84</t>
        </is>
      </c>
      <c r="D115" s="115" t="inlineStr">
        <is>
          <t>مصروف</t>
        </is>
      </c>
      <c r="E115" s="115" t="inlineStr">
        <is>
          <t>شراء 8 محش وكالون للباب</t>
        </is>
      </c>
      <c r="F115" s="117" t="n">
        <v>0</v>
      </c>
      <c r="G115" s="115" t="inlineStr">
        <is>
          <t>مصروفات تشغيل متنوعة</t>
        </is>
      </c>
      <c r="H115" s="115" t="n"/>
      <c r="I115" s="115" t="inlineStr">
        <is>
          <t>مبلغ صفر – البيان مسجل بدون قيمة</t>
        </is>
      </c>
    </row>
    <row r="116">
      <c r="A116" s="115" t="n">
        <v>115</v>
      </c>
      <c r="B116" s="116" t="n">
        <v>46038</v>
      </c>
      <c r="C116" s="115" t="inlineStr">
        <is>
          <t>85</t>
        </is>
      </c>
      <c r="D116" s="115" t="inlineStr">
        <is>
          <t>مصروف</t>
        </is>
      </c>
      <c r="E116" s="115" t="inlineStr">
        <is>
          <t>قيمة شراء 132 فلين مستعمل</t>
        </is>
      </c>
      <c r="F116" s="117" t="n">
        <v>0</v>
      </c>
      <c r="G116" s="115" t="inlineStr">
        <is>
          <t>مستلزمات إنتاج (فلين)</t>
        </is>
      </c>
      <c r="H116" s="115" t="n"/>
      <c r="I116" s="115" t="inlineStr">
        <is>
          <t>مبلغ صفر – البيان مسجل بدون قيمة</t>
        </is>
      </c>
    </row>
    <row r="117">
      <c r="A117" s="115" t="n">
        <v>116</v>
      </c>
      <c r="B117" s="116" t="n">
        <v>46042</v>
      </c>
      <c r="C117" s="115" t="inlineStr">
        <is>
          <t>86</t>
        </is>
      </c>
      <c r="D117" s="115" t="inlineStr">
        <is>
          <t>مصروف</t>
        </is>
      </c>
      <c r="E117" s="115" t="inlineStr">
        <is>
          <t>صيانة س عصمت وغيار زيت</t>
        </is>
      </c>
      <c r="F117" s="117" t="n">
        <v>0</v>
      </c>
      <c r="G117" s="115" t="inlineStr">
        <is>
          <t>صيانة سيارات</t>
        </is>
      </c>
      <c r="H117" s="115" t="n"/>
      <c r="I117" s="115" t="inlineStr">
        <is>
          <t>مبلغ صفر – البيان مسجل بدون قيمة</t>
        </is>
      </c>
    </row>
    <row r="118">
      <c r="A118" s="115" t="n">
        <v>117</v>
      </c>
      <c r="B118" s="116" t="n">
        <v>46042</v>
      </c>
      <c r="C118" s="115" t="inlineStr">
        <is>
          <t>87</t>
        </is>
      </c>
      <c r="D118" s="115" t="inlineStr">
        <is>
          <t>مصروف</t>
        </is>
      </c>
      <c r="E118" s="115" t="inlineStr">
        <is>
          <t>سولار س عصمت</t>
        </is>
      </c>
      <c r="F118" s="117" t="n">
        <v>0</v>
      </c>
      <c r="G118" s="115" t="inlineStr">
        <is>
          <t>وقود</t>
        </is>
      </c>
      <c r="H118" s="115" t="n"/>
      <c r="I118" s="115" t="inlineStr">
        <is>
          <t>مبلغ صفر – البيان مسجل بدون قيمة</t>
        </is>
      </c>
    </row>
    <row r="119">
      <c r="A119" s="115" t="n">
        <v>118</v>
      </c>
      <c r="B119" s="116" t="n">
        <v>46042</v>
      </c>
      <c r="C119" s="115" t="inlineStr">
        <is>
          <t>88</t>
        </is>
      </c>
      <c r="D119" s="115" t="inlineStr">
        <is>
          <t>مصروف</t>
        </is>
      </c>
      <c r="E119" s="115" t="inlineStr">
        <is>
          <t>غسيل س - عصمت</t>
        </is>
      </c>
      <c r="F119" s="117" t="n">
        <v>0</v>
      </c>
      <c r="G119" s="115" t="inlineStr">
        <is>
          <t>صيانة سيارات</t>
        </is>
      </c>
      <c r="H119" s="115" t="n"/>
      <c r="I119" s="115" t="inlineStr">
        <is>
          <t>مبلغ صفر – البيان مسجل بدون قيمة</t>
        </is>
      </c>
    </row>
    <row r="120">
      <c r="A120" s="115" t="n">
        <v>119</v>
      </c>
      <c r="B120" s="116" t="n">
        <v>46044</v>
      </c>
      <c r="C120" s="115" t="inlineStr">
        <is>
          <t>89</t>
        </is>
      </c>
      <c r="D120" s="115" t="inlineStr">
        <is>
          <t>مصروف</t>
        </is>
      </c>
      <c r="E120" s="115" t="inlineStr">
        <is>
          <t>فاتورة كهرباء شهر 1-2026</t>
        </is>
      </c>
      <c r="F120" s="117" t="n">
        <v>0</v>
      </c>
      <c r="G120" s="115" t="inlineStr">
        <is>
          <t>كهرباء وخدمات</t>
        </is>
      </c>
      <c r="H120" s="115" t="n"/>
      <c r="I120" s="115" t="inlineStr">
        <is>
          <t>مبلغ صفر – البيان مسجل بدون قيمة</t>
        </is>
      </c>
    </row>
    <row r="121">
      <c r="A121" s="115" t="n">
        <v>120</v>
      </c>
      <c r="B121" s="116" t="n">
        <v>46044</v>
      </c>
      <c r="C121" s="115" t="inlineStr">
        <is>
          <t>90</t>
        </is>
      </c>
      <c r="D121" s="115" t="inlineStr">
        <is>
          <t>مصروف</t>
        </is>
      </c>
      <c r="E121" s="115" t="inlineStr">
        <is>
          <t>شراء ماتور صغير للحمامات</t>
        </is>
      </c>
      <c r="F121" s="117" t="n">
        <v>0</v>
      </c>
      <c r="G121" s="115" t="inlineStr">
        <is>
          <t>مصروفات تشغيل متنوعة</t>
        </is>
      </c>
      <c r="H121" s="115" t="n"/>
      <c r="I121" s="115" t="inlineStr">
        <is>
          <t>مبلغ صفر – البيان مسجل بدون قيمة</t>
        </is>
      </c>
    </row>
    <row r="122">
      <c r="A122" s="11" t="n">
        <v>121</v>
      </c>
      <c r="B122" s="106" t="n">
        <v>46044</v>
      </c>
      <c r="C122" s="11" t="inlineStr">
        <is>
          <t>91</t>
        </is>
      </c>
      <c r="D122" s="11" t="inlineStr">
        <is>
          <t>مصروف</t>
        </is>
      </c>
      <c r="E122" s="11" t="inlineStr">
        <is>
          <t xml:space="preserve">شراء 2 نقلة فلين </t>
        </is>
      </c>
      <c r="F122" s="12" t="n">
        <v>4830</v>
      </c>
      <c r="G122" s="11" t="inlineStr">
        <is>
          <t>مستلزمات إنتاج (فلين)</t>
        </is>
      </c>
      <c r="H122" s="11" t="inlineStr">
        <is>
          <t>PO-6-REV1، PO-121، PO-9</t>
        </is>
      </c>
      <c r="I122" s="11" t="n"/>
    </row>
    <row r="123">
      <c r="A123" s="115" t="n">
        <v>122</v>
      </c>
      <c r="B123" s="116" t="n">
        <v>46045</v>
      </c>
      <c r="C123" s="115" t="inlineStr">
        <is>
          <t>92</t>
        </is>
      </c>
      <c r="D123" s="115" t="inlineStr">
        <is>
          <t>مصروف</t>
        </is>
      </c>
      <c r="E123" s="115" t="inlineStr">
        <is>
          <t>صيانة كهرباء صندوق س عصمت</t>
        </is>
      </c>
      <c r="F123" s="117" t="n">
        <v>0</v>
      </c>
      <c r="G123" s="115" t="inlineStr">
        <is>
          <t>كهرباء وخدمات</t>
        </is>
      </c>
      <c r="H123" s="115" t="n"/>
      <c r="I123" s="115" t="inlineStr">
        <is>
          <t>مبلغ صفر – البيان مسجل بدون قيمة</t>
        </is>
      </c>
    </row>
    <row r="124">
      <c r="A124" s="115" t="n">
        <v>123</v>
      </c>
      <c r="B124" s="116" t="n">
        <v>46048</v>
      </c>
      <c r="C124" s="115" t="inlineStr">
        <is>
          <t>93</t>
        </is>
      </c>
      <c r="D124" s="115" t="inlineStr">
        <is>
          <t>مصروف</t>
        </is>
      </c>
      <c r="E124" s="115" t="inlineStr">
        <is>
          <t>نقلة مياه للشرب</t>
        </is>
      </c>
      <c r="F124" s="117" t="n">
        <v>0</v>
      </c>
      <c r="G124" s="115" t="inlineStr">
        <is>
          <t>كهرباء وخدمات</t>
        </is>
      </c>
      <c r="H124" s="115" t="n"/>
      <c r="I124" s="115" t="inlineStr">
        <is>
          <t>مبلغ صفر – البيان مسجل بدون قيمة</t>
        </is>
      </c>
    </row>
    <row r="125">
      <c r="A125" s="115" t="n">
        <v>124</v>
      </c>
      <c r="B125" s="116" t="n">
        <v>46048</v>
      </c>
      <c r="C125" s="115" t="inlineStr">
        <is>
          <t>94</t>
        </is>
      </c>
      <c r="D125" s="115" t="inlineStr">
        <is>
          <t>مصروف</t>
        </is>
      </c>
      <c r="E125" s="115" t="inlineStr">
        <is>
          <t>شراء أقلام سبورة لاستخدام المزرعة</t>
        </is>
      </c>
      <c r="F125" s="117" t="n">
        <v>0</v>
      </c>
      <c r="G125" s="115" t="inlineStr">
        <is>
          <t>مصروفات تشغيل متنوعة</t>
        </is>
      </c>
      <c r="H125" s="115" t="n"/>
      <c r="I125" s="115" t="inlineStr">
        <is>
          <t>مبلغ صفر – البيان مسجل بدون قيمة</t>
        </is>
      </c>
    </row>
    <row r="126">
      <c r="A126" s="115" t="n">
        <v>125</v>
      </c>
      <c r="B126" s="116" t="n">
        <v>46048</v>
      </c>
      <c r="C126" s="115" t="inlineStr">
        <is>
          <t>95</t>
        </is>
      </c>
      <c r="D126" s="115" t="inlineStr">
        <is>
          <t>مصروف</t>
        </is>
      </c>
      <c r="E126" s="115" t="inlineStr">
        <is>
          <t>غسيل وتشحيم سيارة عماد</t>
        </is>
      </c>
      <c r="F126" s="117" t="n">
        <v>0</v>
      </c>
      <c r="G126" s="115" t="inlineStr">
        <is>
          <t>صيانة سيارات</t>
        </is>
      </c>
      <c r="H126" s="115" t="n"/>
      <c r="I126" s="115" t="inlineStr">
        <is>
          <t>مبلغ صفر – البيان مسجل بدون قيمة</t>
        </is>
      </c>
    </row>
    <row r="127">
      <c r="A127" s="115" t="n">
        <v>126</v>
      </c>
      <c r="B127" s="116" t="n">
        <v>46049</v>
      </c>
      <c r="C127" s="115" t="inlineStr">
        <is>
          <t>96</t>
        </is>
      </c>
      <c r="D127" s="115" t="inlineStr">
        <is>
          <t>مصروف</t>
        </is>
      </c>
      <c r="E127" s="115" t="inlineStr">
        <is>
          <t>فاتورة بنزين للوانيت</t>
        </is>
      </c>
      <c r="F127" s="117" t="n">
        <v>0</v>
      </c>
      <c r="G127" s="115" t="inlineStr">
        <is>
          <t>وقود</t>
        </is>
      </c>
      <c r="H127" s="115" t="n"/>
      <c r="I127" s="115" t="inlineStr">
        <is>
          <t>مبلغ صفر – البيان مسجل بدون قيمة</t>
        </is>
      </c>
    </row>
    <row r="128">
      <c r="A128" s="115" t="n">
        <v>127</v>
      </c>
      <c r="B128" s="116" t="n">
        <v>46049</v>
      </c>
      <c r="C128" s="115" t="inlineStr">
        <is>
          <t>97</t>
        </is>
      </c>
      <c r="D128" s="115" t="inlineStr">
        <is>
          <t>مصروف</t>
        </is>
      </c>
      <c r="E128" s="115" t="inlineStr">
        <is>
          <t>شراء أغراض للصيانة</t>
        </is>
      </c>
      <c r="F128" s="117" t="n">
        <v>0</v>
      </c>
      <c r="G128" s="115" t="inlineStr">
        <is>
          <t>مصروفات تشغيل متنوعة</t>
        </is>
      </c>
      <c r="H128" s="115" t="n"/>
      <c r="I128" s="115" t="inlineStr">
        <is>
          <t>مبلغ صفر – البيان مسجل بدون قيمة</t>
        </is>
      </c>
    </row>
    <row r="129">
      <c r="A129" s="115" t="n">
        <v>128</v>
      </c>
      <c r="B129" s="116" t="n">
        <v>46051</v>
      </c>
      <c r="C129" s="115" t="inlineStr">
        <is>
          <t>98</t>
        </is>
      </c>
      <c r="D129" s="115" t="inlineStr">
        <is>
          <t>مصروف</t>
        </is>
      </c>
      <c r="E129" s="115" t="inlineStr">
        <is>
          <t>شراء اسمنت وباقي حساب بناء</t>
        </is>
      </c>
      <c r="F129" s="117" t="n">
        <v>0</v>
      </c>
      <c r="G129" s="115" t="inlineStr">
        <is>
          <t>مصروفات تشغيل متنوعة</t>
        </is>
      </c>
      <c r="H129" s="115" t="n"/>
      <c r="I129" s="115" t="inlineStr">
        <is>
          <t>مبلغ صفر – البيان مسجل بدون قيمة</t>
        </is>
      </c>
    </row>
    <row r="130">
      <c r="A130" s="115" t="n">
        <v>129</v>
      </c>
      <c r="B130" s="116" t="n">
        <v>46052</v>
      </c>
      <c r="C130" s="115" t="inlineStr">
        <is>
          <t>99</t>
        </is>
      </c>
      <c r="D130" s="115" t="inlineStr">
        <is>
          <t>مصروف</t>
        </is>
      </c>
      <c r="E130" s="115" t="inlineStr">
        <is>
          <t>شحن جوال حسين</t>
        </is>
      </c>
      <c r="F130" s="117" t="n">
        <v>0</v>
      </c>
      <c r="G130" s="115" t="inlineStr">
        <is>
          <t>اتصالات</t>
        </is>
      </c>
      <c r="H130" s="115" t="n"/>
      <c r="I130" s="115" t="inlineStr">
        <is>
          <t>مبلغ صفر – البيان مسجل بدون قيمة</t>
        </is>
      </c>
    </row>
    <row r="131">
      <c r="A131" s="11" t="n">
        <v>130</v>
      </c>
      <c r="B131" s="106" t="n">
        <v>46053</v>
      </c>
      <c r="C131" s="11" t="inlineStr">
        <is>
          <t>100</t>
        </is>
      </c>
      <c r="D131" s="11" t="inlineStr">
        <is>
          <t>مصروف</t>
        </is>
      </c>
      <c r="E131" s="11" t="inlineStr">
        <is>
          <t>شراء نقلة فلين 1000 حبه</t>
        </is>
      </c>
      <c r="F131" s="12" t="n">
        <v>2415</v>
      </c>
      <c r="G131" s="11" t="inlineStr">
        <is>
          <t>مستلزمات إنتاج (فلين)</t>
        </is>
      </c>
      <c r="H131" s="11" t="inlineStr">
        <is>
          <t>PO-67، شركة مصنع الديكور وا 2025-12-11، شركة مصنع الديكور وا 2025-12-10</t>
        </is>
      </c>
      <c r="I131" s="11" t="n"/>
    </row>
    <row r="132">
      <c r="A132" s="115" t="n">
        <v>131</v>
      </c>
      <c r="B132" s="116" t="n">
        <v>46053</v>
      </c>
      <c r="C132" s="115" t="inlineStr">
        <is>
          <t>101</t>
        </is>
      </c>
      <c r="D132" s="115" t="inlineStr">
        <is>
          <t>مصروف</t>
        </is>
      </c>
      <c r="E132" s="115" t="n"/>
      <c r="F132" s="117" t="n">
        <v>0</v>
      </c>
      <c r="G132" s="115" t="inlineStr">
        <is>
          <t>مصروفات تشغيل متنوعة</t>
        </is>
      </c>
      <c r="H132" s="115" t="n"/>
      <c r="I132" s="115" t="inlineStr">
        <is>
          <t>مبلغ صفر – البيان مسجل بدون قيمة</t>
        </is>
      </c>
    </row>
    <row r="133">
      <c r="A133" s="115" t="n">
        <v>132</v>
      </c>
      <c r="B133" s="116" t="n">
        <v>46053</v>
      </c>
      <c r="C133" s="115" t="inlineStr">
        <is>
          <t>102</t>
        </is>
      </c>
      <c r="D133" s="115" t="inlineStr">
        <is>
          <t>مصروف</t>
        </is>
      </c>
      <c r="E133" s="115" t="inlineStr">
        <is>
          <t>غيار زيت وفلاتر س عماد</t>
        </is>
      </c>
      <c r="F133" s="117" t="n">
        <v>0</v>
      </c>
      <c r="G133" s="115" t="inlineStr">
        <is>
          <t>صيانة سيارات</t>
        </is>
      </c>
      <c r="H133" s="115" t="n"/>
      <c r="I133" s="115" t="inlineStr">
        <is>
          <t>مبلغ صفر – البيان مسجل بدون قيمة</t>
        </is>
      </c>
    </row>
    <row r="134">
      <c r="A134" s="115" t="n">
        <v>133</v>
      </c>
      <c r="B134" s="116" t="n">
        <v>46055</v>
      </c>
      <c r="C134" s="115" t="inlineStr">
        <is>
          <t>103</t>
        </is>
      </c>
      <c r="D134" s="115" t="inlineStr">
        <is>
          <t>مصروف</t>
        </is>
      </c>
      <c r="E134" s="115" t="inlineStr">
        <is>
          <t>غيار زيت وفلاتر س عصمت</t>
        </is>
      </c>
      <c r="F134" s="117" t="n">
        <v>0</v>
      </c>
      <c r="G134" s="115" t="inlineStr">
        <is>
          <t>صيانة سيارات</t>
        </is>
      </c>
      <c r="H134" s="115" t="n"/>
      <c r="I134" s="115" t="inlineStr">
        <is>
          <t>مبلغ صفر – البيان مسجل بدون قيمة</t>
        </is>
      </c>
    </row>
    <row r="135">
      <c r="A135" s="115" t="n">
        <v>134</v>
      </c>
      <c r="B135" s="116" t="n">
        <v>46056</v>
      </c>
      <c r="C135" s="115" t="inlineStr">
        <is>
          <t>104</t>
        </is>
      </c>
      <c r="D135" s="115" t="inlineStr">
        <is>
          <t>مصروف</t>
        </is>
      </c>
      <c r="E135" s="115" t="inlineStr">
        <is>
          <t>شراء رشاش ومسحاة هندي</t>
        </is>
      </c>
      <c r="F135" s="117" t="n">
        <v>0</v>
      </c>
      <c r="G135" s="115" t="inlineStr">
        <is>
          <t>مصروفات تشغيل متنوعة</t>
        </is>
      </c>
      <c r="H135" s="115" t="n"/>
      <c r="I135" s="115" t="inlineStr">
        <is>
          <t>مبلغ صفر – البيان مسجل بدون قيمة</t>
        </is>
      </c>
    </row>
    <row r="136">
      <c r="A136" s="3" t="n">
        <v>135</v>
      </c>
      <c r="B136" s="107" t="n">
        <v>46057</v>
      </c>
      <c r="C136" s="3" t="inlineStr">
        <is>
          <t>105</t>
        </is>
      </c>
      <c r="D136" s="3" t="inlineStr">
        <is>
          <t>مصروف</t>
        </is>
      </c>
      <c r="E136" s="3" t="inlineStr">
        <is>
          <t xml:space="preserve">شراء 2 نقلة فلين </t>
        </is>
      </c>
      <c r="F136" s="4" t="n">
        <v>9370</v>
      </c>
      <c r="G136" s="3" t="inlineStr">
        <is>
          <t>مستلزمات إنتاج (فلين)</t>
        </is>
      </c>
      <c r="H136" s="3" t="n"/>
      <c r="I136" s="3" t="n"/>
    </row>
    <row r="137">
      <c r="A137" s="3" t="n">
        <v>136</v>
      </c>
      <c r="B137" s="107" t="n">
        <v>46058</v>
      </c>
      <c r="C137" s="3" t="inlineStr">
        <is>
          <t>106</t>
        </is>
      </c>
      <c r="D137" s="3" t="inlineStr">
        <is>
          <t>مصروف – رواتب</t>
        </is>
      </c>
      <c r="E137" s="3" t="inlineStr">
        <is>
          <t>رواتب شهر 1-2026</t>
        </is>
      </c>
      <c r="F137" s="4" t="n">
        <v>39655</v>
      </c>
      <c r="G137" s="3" t="inlineStr">
        <is>
          <t>رواتب</t>
        </is>
      </c>
      <c r="H137" s="3" t="n"/>
      <c r="I137" s="3" t="n"/>
    </row>
    <row r="138">
      <c r="A138" s="115" t="n">
        <v>137</v>
      </c>
      <c r="B138" s="116" t="n">
        <v>46059</v>
      </c>
      <c r="C138" s="115" t="inlineStr">
        <is>
          <t>107</t>
        </is>
      </c>
      <c r="D138" s="115" t="inlineStr">
        <is>
          <t>مصروف</t>
        </is>
      </c>
      <c r="E138" s="115" t="inlineStr">
        <is>
          <t>بنزين للوانيت 4 قارورة</t>
        </is>
      </c>
      <c r="F138" s="117" t="n">
        <v>0</v>
      </c>
      <c r="G138" s="115" t="inlineStr">
        <is>
          <t>وقود</t>
        </is>
      </c>
      <c r="H138" s="115" t="n"/>
      <c r="I138" s="115" t="inlineStr">
        <is>
          <t>مبلغ صفر – البيان مسجل بدون قيمة</t>
        </is>
      </c>
    </row>
    <row r="139">
      <c r="A139" s="115" t="n">
        <v>138</v>
      </c>
      <c r="B139" s="116" t="n">
        <v>46060</v>
      </c>
      <c r="C139" s="115" t="inlineStr">
        <is>
          <t>108</t>
        </is>
      </c>
      <c r="D139" s="115" t="inlineStr">
        <is>
          <t>مصروف</t>
        </is>
      </c>
      <c r="E139" s="115" t="inlineStr">
        <is>
          <t>علبة مفاتيح للصيانة</t>
        </is>
      </c>
      <c r="F139" s="117" t="n">
        <v>0</v>
      </c>
      <c r="G139" s="115" t="inlineStr">
        <is>
          <t>مصروفات تشغيل متنوعة</t>
        </is>
      </c>
      <c r="H139" s="115" t="n"/>
      <c r="I139" s="115" t="inlineStr">
        <is>
          <t>مبلغ صفر – البيان مسجل بدون قيمة</t>
        </is>
      </c>
    </row>
    <row r="140">
      <c r="A140" s="115" t="n">
        <v>139</v>
      </c>
      <c r="B140" s="116" t="n">
        <v>46060</v>
      </c>
      <c r="C140" s="115" t="inlineStr">
        <is>
          <t>109</t>
        </is>
      </c>
      <c r="D140" s="115" t="inlineStr">
        <is>
          <t>مصروف</t>
        </is>
      </c>
      <c r="E140" s="115" t="inlineStr">
        <is>
          <t>نولون نقل سماد معالج</t>
        </is>
      </c>
      <c r="F140" s="117" t="n">
        <v>0</v>
      </c>
      <c r="G140" s="115" t="inlineStr">
        <is>
          <t>مواد زراعية</t>
        </is>
      </c>
      <c r="H140" s="115" t="n"/>
      <c r="I140" s="115" t="inlineStr">
        <is>
          <t>مبلغ صفر – البيان مسجل بدون قيمة</t>
        </is>
      </c>
    </row>
    <row r="141">
      <c r="A141" s="11" t="n">
        <v>140</v>
      </c>
      <c r="B141" s="106" t="n">
        <v>46060</v>
      </c>
      <c r="C141" s="11" t="inlineStr">
        <is>
          <t>110</t>
        </is>
      </c>
      <c r="D141" s="11" t="inlineStr">
        <is>
          <t>مصروف</t>
        </is>
      </c>
      <c r="E141" s="11" t="inlineStr">
        <is>
          <t>شراء نقلة سماد معالج</t>
        </is>
      </c>
      <c r="F141" s="12" t="n">
        <v>2000</v>
      </c>
      <c r="G141" s="11" t="inlineStr">
        <is>
          <t>مواد زراعية</t>
        </is>
      </c>
      <c r="H141" s="11" t="inlineStr">
        <is>
          <t>PO-210، عهدة حسين مصطفى 2026-06-07</t>
        </is>
      </c>
      <c r="I141" s="11" t="n"/>
    </row>
    <row r="142">
      <c r="A142" s="115" t="n">
        <v>141</v>
      </c>
      <c r="B142" s="116" t="n">
        <v>46060</v>
      </c>
      <c r="C142" s="115" t="inlineStr">
        <is>
          <t>111</t>
        </is>
      </c>
      <c r="D142" s="115" t="inlineStr">
        <is>
          <t>مصروف</t>
        </is>
      </c>
      <c r="E142" s="115" t="inlineStr">
        <is>
          <t>فاتورة سولار س - عصمت</t>
        </is>
      </c>
      <c r="F142" s="117" t="n">
        <v>0</v>
      </c>
      <c r="G142" s="115" t="inlineStr">
        <is>
          <t>وقود</t>
        </is>
      </c>
      <c r="H142" s="115" t="n"/>
      <c r="I142" s="115" t="inlineStr">
        <is>
          <t>مبلغ صفر – البيان مسجل بدون قيمة</t>
        </is>
      </c>
    </row>
    <row r="143">
      <c r="A143" s="115" t="n">
        <v>142</v>
      </c>
      <c r="B143" s="116" t="n">
        <v>46060</v>
      </c>
      <c r="C143" s="115" t="inlineStr">
        <is>
          <t>112</t>
        </is>
      </c>
      <c r="D143" s="115" t="inlineStr">
        <is>
          <t>مصروف</t>
        </is>
      </c>
      <c r="E143" s="115" t="inlineStr">
        <is>
          <t>استيكر س عصمت</t>
        </is>
      </c>
      <c r="F143" s="117" t="n">
        <v>0</v>
      </c>
      <c r="G143" s="115" t="inlineStr">
        <is>
          <t>مصروفات تشغيل متنوعة</t>
        </is>
      </c>
      <c r="H143" s="115" t="n"/>
      <c r="I143" s="115" t="inlineStr">
        <is>
          <t>مبلغ صفر – البيان مسجل بدون قيمة</t>
        </is>
      </c>
    </row>
    <row r="144">
      <c r="A144" s="115" t="n">
        <v>143</v>
      </c>
      <c r="B144" s="116" t="n">
        <v>46061</v>
      </c>
      <c r="C144" s="115" t="inlineStr">
        <is>
          <t>113</t>
        </is>
      </c>
      <c r="D144" s="115" t="inlineStr">
        <is>
          <t>مصروف</t>
        </is>
      </c>
      <c r="E144" s="115" t="inlineStr">
        <is>
          <t>زيت وفلتر للوانيت</t>
        </is>
      </c>
      <c r="F144" s="117" t="n">
        <v>0</v>
      </c>
      <c r="G144" s="115" t="inlineStr">
        <is>
          <t>صيانة سيارات</t>
        </is>
      </c>
      <c r="H144" s="115" t="n"/>
      <c r="I144" s="115" t="inlineStr">
        <is>
          <t>مبلغ صفر – البيان مسجل بدون قيمة</t>
        </is>
      </c>
    </row>
    <row r="145">
      <c r="A145" s="115" t="n">
        <v>144</v>
      </c>
      <c r="B145" s="116" t="n">
        <v>46062</v>
      </c>
      <c r="C145" s="115" t="inlineStr">
        <is>
          <t>114</t>
        </is>
      </c>
      <c r="D145" s="115" t="inlineStr">
        <is>
          <t>مصروف</t>
        </is>
      </c>
      <c r="E145" s="115" t="inlineStr">
        <is>
          <t>غسيل وتشحيم  س - عماد</t>
        </is>
      </c>
      <c r="F145" s="117" t="n">
        <v>0</v>
      </c>
      <c r="G145" s="115" t="inlineStr">
        <is>
          <t>صيانة سيارات</t>
        </is>
      </c>
      <c r="H145" s="115" t="n"/>
      <c r="I145" s="115" t="inlineStr">
        <is>
          <t>مبلغ صفر – البيان مسجل بدون قيمة</t>
        </is>
      </c>
    </row>
    <row r="146">
      <c r="A146" s="11" t="n">
        <v>145</v>
      </c>
      <c r="B146" s="106" t="n">
        <v>46064</v>
      </c>
      <c r="C146" s="11" t="inlineStr">
        <is>
          <t>116</t>
        </is>
      </c>
      <c r="D146" s="11" t="inlineStr">
        <is>
          <t>مصروف</t>
        </is>
      </c>
      <c r="E146" s="11" t="inlineStr">
        <is>
          <t>قيمة 4 نقل فلين - 4000</t>
        </is>
      </c>
      <c r="F146" s="12" t="n">
        <v>9660</v>
      </c>
      <c r="G146" s="11" t="inlineStr">
        <is>
          <t>مستلزمات إنتاج (فلين)</t>
        </is>
      </c>
      <c r="H146" s="11" t="inlineStr">
        <is>
          <t>PO-294، PO-228-REV1</t>
        </is>
      </c>
      <c r="I146" s="11" t="n"/>
    </row>
    <row r="147">
      <c r="A147" s="11" t="n">
        <v>146</v>
      </c>
      <c r="B147" s="106" t="n">
        <v>46065</v>
      </c>
      <c r="C147" s="11" t="inlineStr">
        <is>
          <t>117</t>
        </is>
      </c>
      <c r="D147" s="11" t="inlineStr">
        <is>
          <t>مصروف</t>
        </is>
      </c>
      <c r="E147" s="11" t="inlineStr">
        <is>
          <t>تصفية عهدة حسين حتي 12-2</t>
        </is>
      </c>
      <c r="F147" s="12" t="n">
        <v>13264</v>
      </c>
      <c r="G147" s="11" t="inlineStr">
        <is>
          <t>تعزيز/تصفية عهدة</t>
        </is>
      </c>
      <c r="H147" s="11" t="inlineStr">
        <is>
          <t>عهدة حسين مصطفى 2026-02-17</t>
        </is>
      </c>
      <c r="I147" s="11" t="n"/>
    </row>
    <row r="148">
      <c r="A148" s="115" t="n">
        <v>147</v>
      </c>
      <c r="B148" s="116" t="n">
        <v>46067</v>
      </c>
      <c r="C148" s="115" t="inlineStr">
        <is>
          <t>118</t>
        </is>
      </c>
      <c r="D148" s="115" t="inlineStr">
        <is>
          <t>مصروف</t>
        </is>
      </c>
      <c r="E148" s="115" t="inlineStr">
        <is>
          <t>غيار زيت وفلاتر س للوانيت</t>
        </is>
      </c>
      <c r="F148" s="117" t="n">
        <v>0</v>
      </c>
      <c r="G148" s="115" t="inlineStr">
        <is>
          <t>صيانة سيارات</t>
        </is>
      </c>
      <c r="H148" s="115" t="n"/>
      <c r="I148" s="115" t="inlineStr">
        <is>
          <t>مبلغ صفر – البيان مسجل بدون قيمة</t>
        </is>
      </c>
    </row>
    <row r="149">
      <c r="A149" s="115" t="n">
        <v>148</v>
      </c>
      <c r="B149" s="116" t="n">
        <v>46068</v>
      </c>
      <c r="C149" s="115" t="n"/>
      <c r="D149" s="115" t="inlineStr">
        <is>
          <t>مصروف</t>
        </is>
      </c>
      <c r="E149" s="115" t="inlineStr">
        <is>
          <t>بنزين للوانيت 4 قارورة</t>
        </is>
      </c>
      <c r="F149" s="117" t="n">
        <v>0</v>
      </c>
      <c r="G149" s="115" t="inlineStr">
        <is>
          <t>وقود</t>
        </is>
      </c>
      <c r="H149" s="115" t="n"/>
      <c r="I149" s="115" t="inlineStr">
        <is>
          <t>مبلغ صفر – البيان مسجل بدون قيمة</t>
        </is>
      </c>
    </row>
    <row r="150">
      <c r="A150" s="115" t="n">
        <v>149</v>
      </c>
      <c r="B150" s="116" t="n">
        <v>46069</v>
      </c>
      <c r="C150" s="115" t="n"/>
      <c r="D150" s="115" t="inlineStr">
        <is>
          <t>مصروف</t>
        </is>
      </c>
      <c r="E150" s="115" t="inlineStr">
        <is>
          <t>فاتورة كهرباء شهر 2-2026</t>
        </is>
      </c>
      <c r="F150" s="117" t="n">
        <v>0</v>
      </c>
      <c r="G150" s="115" t="inlineStr">
        <is>
          <t>كهرباء وخدمات</t>
        </is>
      </c>
      <c r="H150" s="115" t="n"/>
      <c r="I150" s="115" t="inlineStr">
        <is>
          <t>مبلغ صفر – البيان مسجل بدون قيمة</t>
        </is>
      </c>
    </row>
    <row r="151">
      <c r="A151" s="115" t="n">
        <v>150</v>
      </c>
      <c r="B151" s="116" t="n">
        <v>46069</v>
      </c>
      <c r="C151" s="115" t="n"/>
      <c r="D151" s="115" t="inlineStr">
        <is>
          <t>مصروف</t>
        </is>
      </c>
      <c r="E151" s="115" t="inlineStr">
        <is>
          <t>شراء حديد خرده ولفة سلك</t>
        </is>
      </c>
      <c r="F151" s="117" t="n">
        <v>0</v>
      </c>
      <c r="G151" s="115" t="inlineStr">
        <is>
          <t>مصروفات تشغيل متنوعة</t>
        </is>
      </c>
      <c r="H151" s="115" t="n"/>
      <c r="I151" s="115" t="inlineStr">
        <is>
          <t>مبلغ صفر – البيان مسجل بدون قيمة</t>
        </is>
      </c>
    </row>
    <row r="152">
      <c r="A152" s="115" t="n">
        <v>151</v>
      </c>
      <c r="B152" s="116" t="n">
        <v>46072</v>
      </c>
      <c r="C152" s="115" t="n"/>
      <c r="D152" s="115" t="inlineStr">
        <is>
          <t>مصروف</t>
        </is>
      </c>
      <c r="E152" s="115" t="inlineStr">
        <is>
          <t>غيار زيت س - عماد</t>
        </is>
      </c>
      <c r="F152" s="117" t="n">
        <v>0</v>
      </c>
      <c r="G152" s="115" t="inlineStr">
        <is>
          <t>صيانة سيارات</t>
        </is>
      </c>
      <c r="H152" s="115" t="n"/>
      <c r="I152" s="115" t="inlineStr">
        <is>
          <t>مبلغ صفر – البيان مسجل بدون قيمة</t>
        </is>
      </c>
    </row>
    <row r="153">
      <c r="A153" s="115" t="n">
        <v>152</v>
      </c>
      <c r="B153" s="116" t="n">
        <v>46074</v>
      </c>
      <c r="C153" s="115" t="n"/>
      <c r="D153" s="115" t="inlineStr">
        <is>
          <t>مصروف</t>
        </is>
      </c>
      <c r="E153" s="115" t="inlineStr">
        <is>
          <t>غيار زيت س - عصمت</t>
        </is>
      </c>
      <c r="F153" s="117" t="n">
        <v>0</v>
      </c>
      <c r="G153" s="115" t="inlineStr">
        <is>
          <t>صيانة سيارات</t>
        </is>
      </c>
      <c r="H153" s="115" t="n"/>
      <c r="I153" s="115" t="inlineStr">
        <is>
          <t>مبلغ صفر – البيان مسجل بدون قيمة</t>
        </is>
      </c>
    </row>
    <row r="154">
      <c r="A154" s="11" t="n">
        <v>153</v>
      </c>
      <c r="B154" s="106" t="n">
        <v>46077</v>
      </c>
      <c r="C154" s="11" t="inlineStr">
        <is>
          <t>120</t>
        </is>
      </c>
      <c r="D154" s="11" t="inlineStr">
        <is>
          <t>مصروف</t>
        </is>
      </c>
      <c r="E154" s="11" t="inlineStr">
        <is>
          <t>شراء عدد 5000 مركن 40</t>
        </is>
      </c>
      <c r="F154" s="12" t="n">
        <v>18000</v>
      </c>
      <c r="G154" s="11" t="inlineStr">
        <is>
          <t>مستلزمات إنتاج (مراكن)</t>
        </is>
      </c>
      <c r="H154" s="11" t="inlineStr">
        <is>
          <t>PO-265-REV1</t>
        </is>
      </c>
      <c r="I154" s="11" t="n"/>
    </row>
    <row r="155">
      <c r="A155" s="11" t="n">
        <v>154</v>
      </c>
      <c r="B155" s="106" t="n">
        <v>46078</v>
      </c>
      <c r="C155" s="11" t="inlineStr">
        <is>
          <t>121</t>
        </is>
      </c>
      <c r="D155" s="11" t="inlineStr">
        <is>
          <t>مصروف</t>
        </is>
      </c>
      <c r="E155" s="11" t="inlineStr">
        <is>
          <t>فاتورة شراء بذور</t>
        </is>
      </c>
      <c r="F155" s="12" t="n">
        <v>32750</v>
      </c>
      <c r="G155" s="11" t="inlineStr">
        <is>
          <t>نباتات وبذور</t>
        </is>
      </c>
      <c r="H155" s="11" t="inlineStr">
        <is>
          <t>PO-146</t>
        </is>
      </c>
      <c r="I155" s="11" t="n"/>
    </row>
    <row r="156">
      <c r="A156" s="11" t="n">
        <v>155</v>
      </c>
      <c r="B156" s="106" t="n">
        <v>46078</v>
      </c>
      <c r="C156" s="11" t="inlineStr">
        <is>
          <t>122</t>
        </is>
      </c>
      <c r="D156" s="11" t="inlineStr">
        <is>
          <t>مصروف</t>
        </is>
      </c>
      <c r="E156" s="11" t="inlineStr">
        <is>
          <t>فاتورة شراء بذور</t>
        </is>
      </c>
      <c r="F156" s="12" t="n">
        <v>2750</v>
      </c>
      <c r="G156" s="11" t="inlineStr">
        <is>
          <t>نباتات وبذور</t>
        </is>
      </c>
      <c r="H156" s="11" t="inlineStr">
        <is>
          <t>PO-255-REV1</t>
        </is>
      </c>
      <c r="I156" s="11" t="n"/>
    </row>
    <row r="157">
      <c r="A157" s="11" t="n">
        <v>156</v>
      </c>
      <c r="B157" s="106" t="n">
        <v>46081</v>
      </c>
      <c r="C157" s="11" t="inlineStr">
        <is>
          <t>125</t>
        </is>
      </c>
      <c r="D157" s="11" t="inlineStr">
        <is>
          <t>مصروف</t>
        </is>
      </c>
      <c r="E157" s="11" t="inlineStr">
        <is>
          <t>مشتريات جهنمية كروية</t>
        </is>
      </c>
      <c r="F157" s="12" t="n">
        <v>37550</v>
      </c>
      <c r="G157" s="11" t="inlineStr">
        <is>
          <t>نباتات وبذور</t>
        </is>
      </c>
      <c r="H157" s="11" t="inlineStr">
        <is>
          <t>مشتل الجوده المطلقه  2025-08-11</t>
        </is>
      </c>
      <c r="I157" s="11" t="n"/>
    </row>
    <row r="158">
      <c r="A158" s="11" t="n">
        <v>157</v>
      </c>
      <c r="B158" s="106" t="n">
        <v>46081</v>
      </c>
      <c r="C158" s="11" t="inlineStr">
        <is>
          <t>125</t>
        </is>
      </c>
      <c r="D158" s="11" t="inlineStr">
        <is>
          <t>مصروف</t>
        </is>
      </c>
      <c r="E158" s="11" t="inlineStr">
        <is>
          <t>مشتريات شجر سايكس</t>
        </is>
      </c>
      <c r="F158" s="12" t="n">
        <v>12000</v>
      </c>
      <c r="G158" s="11" t="inlineStr">
        <is>
          <t>نباتات وبذور</t>
        </is>
      </c>
      <c r="H158" s="11" t="inlineStr">
        <is>
          <t>مشتل الجوده المطلقه  2025-08-11</t>
        </is>
      </c>
      <c r="I158" s="11" t="n"/>
    </row>
    <row r="159">
      <c r="A159" s="11" t="n">
        <v>158</v>
      </c>
      <c r="B159" s="106" t="n">
        <v>46081</v>
      </c>
      <c r="C159" s="11" t="inlineStr">
        <is>
          <t>124</t>
        </is>
      </c>
      <c r="D159" s="11" t="inlineStr">
        <is>
          <t>مصروف</t>
        </is>
      </c>
      <c r="E159" s="11" t="inlineStr">
        <is>
          <t>مشتريات غرس نجد</t>
        </is>
      </c>
      <c r="F159" s="12" t="n">
        <v>14515</v>
      </c>
      <c r="G159" s="11" t="inlineStr">
        <is>
          <t>نباتات وبذور</t>
        </is>
      </c>
      <c r="H159" s="11" t="inlineStr">
        <is>
          <t>PO-295، شركة غرس نجد الزراعي 2025-08-04</t>
        </is>
      </c>
      <c r="I159" s="11" t="n"/>
    </row>
    <row r="160">
      <c r="A160" s="3" t="n">
        <v>159</v>
      </c>
      <c r="B160" s="107" t="n">
        <v>46081</v>
      </c>
      <c r="C160" s="3" t="inlineStr">
        <is>
          <t>126</t>
        </is>
      </c>
      <c r="D160" s="3" t="inlineStr">
        <is>
          <t>مصروف</t>
        </is>
      </c>
      <c r="E160" s="3" t="inlineStr">
        <is>
          <t>بذور بساتين الرياض - قديم</t>
        </is>
      </c>
      <c r="F160" s="4" t="n">
        <v>147745.75</v>
      </c>
      <c r="G160" s="3" t="inlineStr">
        <is>
          <t>نباتات وبذور</t>
        </is>
      </c>
      <c r="H160" s="3" t="n"/>
      <c r="I160" s="3" t="n"/>
    </row>
    <row r="161">
      <c r="A161" s="11" t="n">
        <v>160</v>
      </c>
      <c r="B161" s="106" t="n">
        <v>46081</v>
      </c>
      <c r="C161" s="11" t="inlineStr">
        <is>
          <t>123</t>
        </is>
      </c>
      <c r="D161" s="11" t="inlineStr">
        <is>
          <t>مصروف</t>
        </is>
      </c>
      <c r="E161" s="11" t="inlineStr">
        <is>
          <t>شراء فلين 4000 حبه</t>
        </is>
      </c>
      <c r="F161" s="12" t="n">
        <v>9660</v>
      </c>
      <c r="G161" s="11" t="inlineStr">
        <is>
          <t>مستلزمات إنتاج (فلين)</t>
        </is>
      </c>
      <c r="H161" s="11" t="inlineStr">
        <is>
          <t>PO-294، PO-228-REV1</t>
        </is>
      </c>
      <c r="I161" s="11" t="n"/>
    </row>
    <row r="162">
      <c r="A162" s="11" t="n">
        <v>161</v>
      </c>
      <c r="B162" s="106" t="n">
        <v>46084</v>
      </c>
      <c r="C162" s="11" t="inlineStr">
        <is>
          <t>127</t>
        </is>
      </c>
      <c r="D162" s="11" t="inlineStr">
        <is>
          <t>مصروف</t>
        </is>
      </c>
      <c r="E162" s="11" t="inlineStr">
        <is>
          <t>قيمة شراء 500 كيس بيتموس</t>
        </is>
      </c>
      <c r="F162" s="12" t="n">
        <v>53475</v>
      </c>
      <c r="G162" s="11" t="inlineStr">
        <is>
          <t>مواد زراعية</t>
        </is>
      </c>
      <c r="H162" s="11" t="inlineStr">
        <is>
          <t>PO-309، PO-267</t>
        </is>
      </c>
      <c r="I162" s="11" t="n"/>
    </row>
    <row r="163">
      <c r="A163" s="11" t="n">
        <v>162</v>
      </c>
      <c r="B163" s="106" t="n">
        <v>46085</v>
      </c>
      <c r="C163" s="11" t="inlineStr">
        <is>
          <t>128</t>
        </is>
      </c>
      <c r="D163" s="11" t="inlineStr">
        <is>
          <t>مصروف</t>
        </is>
      </c>
      <c r="E163" s="11" t="inlineStr">
        <is>
          <t>مصاريف من عهدة حسين 2-2026</t>
        </is>
      </c>
      <c r="F163" s="12" t="n">
        <v>3628</v>
      </c>
      <c r="G163" s="11" t="inlineStr">
        <is>
          <t>تعزيز/تصفية عهدة</t>
        </is>
      </c>
      <c r="H163" s="11" t="inlineStr">
        <is>
          <t>عهدة حسين مصطفى 2026-03-02</t>
        </is>
      </c>
      <c r="I163" s="11" t="n"/>
    </row>
    <row r="164">
      <c r="A164" s="3" t="n">
        <v>163</v>
      </c>
      <c r="B164" s="107" t="n">
        <v>46098</v>
      </c>
      <c r="C164" s="3" t="inlineStr">
        <is>
          <t>135</t>
        </is>
      </c>
      <c r="D164" s="3" t="inlineStr">
        <is>
          <t>مصروف</t>
        </is>
      </c>
      <c r="E164" s="3" t="inlineStr">
        <is>
          <t>مصاريف من عهدة حسين 3-2026</t>
        </is>
      </c>
      <c r="F164" s="4" t="n">
        <v>2110</v>
      </c>
      <c r="G164" s="3" t="inlineStr">
        <is>
          <t>تعزيز/تصفية عهدة</t>
        </is>
      </c>
      <c r="H164" s="3" t="n"/>
      <c r="I164" s="3" t="n"/>
    </row>
    <row r="165">
      <c r="A165" s="11" t="n">
        <v>164</v>
      </c>
      <c r="B165" s="106" t="n">
        <v>46089</v>
      </c>
      <c r="C165" s="11" t="inlineStr">
        <is>
          <t>129</t>
        </is>
      </c>
      <c r="D165" s="11" t="inlineStr">
        <is>
          <t>مصروف</t>
        </is>
      </c>
      <c r="E165" s="11" t="inlineStr">
        <is>
          <t>شراء حديد مخلبي 10 علبة</t>
        </is>
      </c>
      <c r="F165" s="12" t="n">
        <v>500</v>
      </c>
      <c r="G165" s="11" t="inlineStr">
        <is>
          <t>مصروفات تشغيل متنوعة</t>
        </is>
      </c>
      <c r="H165" s="11" t="inlineStr">
        <is>
          <t>مصنعيات 2025-07-28، عهدة حسين مصطفى 2026-07-02، عهدة عظمت الله خان 2026-06-29</t>
        </is>
      </c>
      <c r="I165" s="11" t="n"/>
    </row>
    <row r="166">
      <c r="A166" s="3" t="n">
        <v>165</v>
      </c>
      <c r="B166" s="107" t="n">
        <v>46090</v>
      </c>
      <c r="C166" s="3" t="inlineStr">
        <is>
          <t>130</t>
        </is>
      </c>
      <c r="D166" s="3" t="inlineStr">
        <is>
          <t>مصروف – رواتب</t>
        </is>
      </c>
      <c r="E166" s="3" t="inlineStr">
        <is>
          <t>رواتب شهر 2-2026</t>
        </is>
      </c>
      <c r="F166" s="4" t="n">
        <v>32899</v>
      </c>
      <c r="G166" s="3" t="inlineStr">
        <is>
          <t>رواتب</t>
        </is>
      </c>
      <c r="H166" s="3" t="n"/>
      <c r="I166" s="3" t="n"/>
    </row>
    <row r="167">
      <c r="A167" s="3" t="n">
        <v>166</v>
      </c>
      <c r="B167" s="107" t="n">
        <v>46090</v>
      </c>
      <c r="C167" s="3" t="inlineStr">
        <is>
          <t>131</t>
        </is>
      </c>
      <c r="D167" s="3" t="inlineStr">
        <is>
          <t>مصروف</t>
        </is>
      </c>
      <c r="E167" s="3" t="inlineStr">
        <is>
          <t>منصرف لابوخالد تعليمات أبو مازن</t>
        </is>
      </c>
      <c r="F167" s="4" t="n">
        <v>100000</v>
      </c>
      <c r="G167" s="3" t="inlineStr">
        <is>
          <t>مسحوبات شركاء</t>
        </is>
      </c>
      <c r="H167" s="3" t="n"/>
      <c r="I167" s="3" t="n"/>
    </row>
    <row r="168">
      <c r="A168" s="3" t="n">
        <v>167</v>
      </c>
      <c r="B168" s="107" t="n">
        <v>46090</v>
      </c>
      <c r="C168" s="3" t="inlineStr">
        <is>
          <t>132</t>
        </is>
      </c>
      <c r="D168" s="3" t="inlineStr">
        <is>
          <t>مصروف</t>
        </is>
      </c>
      <c r="E168" s="3" t="inlineStr">
        <is>
          <t>كهرباء  المزرعة عن 3-2026</t>
        </is>
      </c>
      <c r="F168" s="4" t="n">
        <v>3085.56</v>
      </c>
      <c r="G168" s="3" t="inlineStr">
        <is>
          <t>كهرباء وخدمات</t>
        </is>
      </c>
      <c r="H168" s="3" t="n"/>
      <c r="I168" s="3" t="n"/>
    </row>
    <row r="169">
      <c r="A169" s="11" t="n">
        <v>168</v>
      </c>
      <c r="B169" s="106" t="n">
        <v>46095</v>
      </c>
      <c r="C169" s="11" t="inlineStr">
        <is>
          <t>134</t>
        </is>
      </c>
      <c r="D169" s="11" t="inlineStr">
        <is>
          <t>مصروف</t>
        </is>
      </c>
      <c r="E169" s="11" t="inlineStr">
        <is>
          <t>شراء مركن مقاس 9</t>
        </is>
      </c>
      <c r="F169" s="12" t="n">
        <v>10000</v>
      </c>
      <c r="G169" s="11" t="inlineStr">
        <is>
          <t>مستلزمات إنتاج (مراكن)</t>
        </is>
      </c>
      <c r="H169" s="11" t="inlineStr">
        <is>
          <t>PO-313</t>
        </is>
      </c>
      <c r="I169" s="11" t="n"/>
    </row>
    <row r="170">
      <c r="A170" s="11" t="n">
        <v>169</v>
      </c>
      <c r="B170" s="106" t="n">
        <v>46099</v>
      </c>
      <c r="C170" s="11" t="inlineStr">
        <is>
          <t>142</t>
        </is>
      </c>
      <c r="D170" s="11" t="inlineStr">
        <is>
          <t>مصروف</t>
        </is>
      </c>
      <c r="E170" s="11" t="inlineStr">
        <is>
          <t>عهدة حسين 7-4-2026</t>
        </is>
      </c>
      <c r="F170" s="12" t="n">
        <v>3266.5</v>
      </c>
      <c r="G170" s="11" t="inlineStr">
        <is>
          <t>تعزيز/تصفية عهدة</t>
        </is>
      </c>
      <c r="H170" s="11" t="inlineStr">
        <is>
          <t>عهدة حسين مصطفى 2026-04-06</t>
        </is>
      </c>
      <c r="I170" s="11" t="n"/>
    </row>
    <row r="171">
      <c r="A171" s="11" t="n">
        <v>170</v>
      </c>
      <c r="B171" s="106" t="n">
        <v>46104</v>
      </c>
      <c r="C171" s="11" t="inlineStr">
        <is>
          <t>136</t>
        </is>
      </c>
      <c r="D171" s="11" t="inlineStr">
        <is>
          <t>مصروف</t>
        </is>
      </c>
      <c r="E171" s="11" t="inlineStr">
        <is>
          <t>شراء سندات لاشجار</t>
        </is>
      </c>
      <c r="F171" s="12" t="n">
        <v>6000</v>
      </c>
      <c r="G171" s="11" t="inlineStr">
        <is>
          <t>مصروفات تشغيل متنوعة</t>
        </is>
      </c>
      <c r="H171" s="11" t="inlineStr">
        <is>
          <t>PO-365</t>
        </is>
      </c>
      <c r="I171" s="11" t="n"/>
    </row>
    <row r="172">
      <c r="A172" s="11" t="n">
        <v>171</v>
      </c>
      <c r="B172" s="106" t="n">
        <v>46104</v>
      </c>
      <c r="C172" s="11" t="inlineStr">
        <is>
          <t>137</t>
        </is>
      </c>
      <c r="D172" s="11" t="inlineStr">
        <is>
          <t>مصروف</t>
        </is>
      </c>
      <c r="E172" s="11" t="inlineStr">
        <is>
          <t>فاتورة فلين</t>
        </is>
      </c>
      <c r="F172" s="12" t="n">
        <v>4200</v>
      </c>
      <c r="G172" s="11" t="inlineStr">
        <is>
          <t>مستلزمات إنتاج (فلين)</t>
        </is>
      </c>
      <c r="H172" s="11" t="inlineStr">
        <is>
          <t>PO-366</t>
        </is>
      </c>
      <c r="I172" s="11" t="n"/>
    </row>
    <row r="173">
      <c r="A173" s="11" t="n">
        <v>172</v>
      </c>
      <c r="B173" s="106" t="n">
        <v>46104</v>
      </c>
      <c r="C173" s="11" t="inlineStr">
        <is>
          <t>138</t>
        </is>
      </c>
      <c r="D173" s="11" t="inlineStr">
        <is>
          <t>مصروف</t>
        </is>
      </c>
      <c r="E173" s="11" t="inlineStr">
        <is>
          <t>شراء كمبوست</t>
        </is>
      </c>
      <c r="F173" s="12" t="n">
        <v>400</v>
      </c>
      <c r="G173" s="11" t="inlineStr">
        <is>
          <t>مصروفات تشغيل متنوعة</t>
        </is>
      </c>
      <c r="H173" s="11" t="inlineStr">
        <is>
          <t>ورشة الرحالة لصيانة  2025-12-17</t>
        </is>
      </c>
      <c r="I173" s="11" t="n"/>
    </row>
    <row r="174">
      <c r="A174" s="11" t="n">
        <v>173</v>
      </c>
      <c r="B174" s="106" t="n">
        <v>46105</v>
      </c>
      <c r="C174" s="11" t="inlineStr">
        <is>
          <t>139</t>
        </is>
      </c>
      <c r="D174" s="11" t="inlineStr">
        <is>
          <t>مصروف</t>
        </is>
      </c>
      <c r="E174" s="11" t="inlineStr">
        <is>
          <t>شراء بيتموس 500 كيس</t>
        </is>
      </c>
      <c r="F174" s="12" t="n">
        <v>53475</v>
      </c>
      <c r="G174" s="11" t="inlineStr">
        <is>
          <t>مواد زراعية</t>
        </is>
      </c>
      <c r="H174" s="11" t="inlineStr">
        <is>
          <t>PO-309، PO-267</t>
        </is>
      </c>
      <c r="I174" s="11" t="n"/>
    </row>
    <row r="175">
      <c r="A175" s="11" t="n">
        <v>174</v>
      </c>
      <c r="B175" s="106" t="n">
        <v>46112</v>
      </c>
      <c r="C175" s="11" t="inlineStr">
        <is>
          <t>141</t>
        </is>
      </c>
      <c r="D175" s="11" t="inlineStr">
        <is>
          <t>مصروف</t>
        </is>
      </c>
      <c r="E175" s="11" t="inlineStr">
        <is>
          <t>قيمة شراء مركن 19 علاقة</t>
        </is>
      </c>
      <c r="F175" s="12" t="n">
        <v>4000</v>
      </c>
      <c r="G175" s="11" t="inlineStr">
        <is>
          <t>مستلزمات إنتاج (مراكن)</t>
        </is>
      </c>
      <c r="H175" s="11" t="inlineStr">
        <is>
          <t>PO-404-REV1</t>
        </is>
      </c>
      <c r="I175" s="11" t="n"/>
    </row>
    <row r="176">
      <c r="A176" s="11" t="n">
        <v>175</v>
      </c>
      <c r="B176" s="106" t="n">
        <v>46132</v>
      </c>
      <c r="C176" s="11" t="inlineStr">
        <is>
          <t>145</t>
        </is>
      </c>
      <c r="D176" s="11" t="inlineStr">
        <is>
          <t>مصروف</t>
        </is>
      </c>
      <c r="E176" s="11" t="inlineStr">
        <is>
          <t>عهدة حسين 20-4-2026</t>
        </is>
      </c>
      <c r="F176" s="12" t="n">
        <v>3306</v>
      </c>
      <c r="G176" s="11" t="inlineStr">
        <is>
          <t>تعزيز/تصفية عهدة</t>
        </is>
      </c>
      <c r="H176" s="11" t="inlineStr">
        <is>
          <t>عهدة حسين مصطفى 2026-04-19</t>
        </is>
      </c>
      <c r="I176" s="11" t="n"/>
    </row>
    <row r="177">
      <c r="A177" s="11" t="n">
        <v>176</v>
      </c>
      <c r="B177" s="106" t="n">
        <v>46119</v>
      </c>
      <c r="C177" s="11" t="inlineStr">
        <is>
          <t>140</t>
        </is>
      </c>
      <c r="D177" s="11" t="inlineStr">
        <is>
          <t>مصروف</t>
        </is>
      </c>
      <c r="E177" s="11" t="inlineStr">
        <is>
          <t>نولون نقل بيرلايت الدمام</t>
        </is>
      </c>
      <c r="F177" s="12" t="n">
        <v>500</v>
      </c>
      <c r="G177" s="11" t="inlineStr">
        <is>
          <t>مصروفات تشغيل متنوعة</t>
        </is>
      </c>
      <c r="H177" s="11" t="inlineStr">
        <is>
          <t>مصنعيات 2025-07-28، عهدة حسين مصطفى 2026-07-02، عهدة عظمت الله خان 2026-06-29</t>
        </is>
      </c>
      <c r="I177" s="11" t="n"/>
    </row>
    <row r="178">
      <c r="A178" s="3" t="n">
        <v>177</v>
      </c>
      <c r="B178" s="107" t="n">
        <v>46123</v>
      </c>
      <c r="C178" s="3" t="inlineStr">
        <is>
          <t>143</t>
        </is>
      </c>
      <c r="D178" s="3" t="inlineStr">
        <is>
          <t>مصروف</t>
        </is>
      </c>
      <c r="E178" s="3" t="inlineStr">
        <is>
          <t>كهرباء  المزرعة عن 4-2026</t>
        </is>
      </c>
      <c r="F178" s="4" t="n">
        <v>2904</v>
      </c>
      <c r="G178" s="3" t="inlineStr">
        <is>
          <t>كهرباء وخدمات</t>
        </is>
      </c>
      <c r="H178" s="3" t="n"/>
      <c r="I178" s="3" t="n"/>
    </row>
    <row r="179">
      <c r="A179" s="3" t="n">
        <v>178</v>
      </c>
      <c r="B179" s="107" t="n">
        <v>46125</v>
      </c>
      <c r="C179" s="3" t="inlineStr">
        <is>
          <t>144</t>
        </is>
      </c>
      <c r="D179" s="3" t="inlineStr">
        <is>
          <t>مصروف</t>
        </is>
      </c>
      <c r="E179" s="3" t="inlineStr">
        <is>
          <t>شراء حديد مخلبي وسم فئران</t>
        </is>
      </c>
      <c r="F179" s="4" t="n">
        <v>1095</v>
      </c>
      <c r="G179" s="3" t="inlineStr">
        <is>
          <t>مصروفات تشغيل متنوعة</t>
        </is>
      </c>
      <c r="H179" s="3" t="n"/>
      <c r="I179" s="3" t="n"/>
    </row>
    <row r="180">
      <c r="A180" s="11" t="n">
        <v>179</v>
      </c>
      <c r="B180" s="106" t="n">
        <v>46133</v>
      </c>
      <c r="C180" s="11" t="inlineStr">
        <is>
          <t>146</t>
        </is>
      </c>
      <c r="D180" s="11" t="inlineStr">
        <is>
          <t>مصروف</t>
        </is>
      </c>
      <c r="E180" s="11" t="inlineStr">
        <is>
          <t>شراء مركن مقاس 9 -400 الاف</t>
        </is>
      </c>
      <c r="F180" s="12" t="n">
        <v>20000</v>
      </c>
      <c r="G180" s="11" t="inlineStr">
        <is>
          <t>مستلزمات إنتاج (مراكن)</t>
        </is>
      </c>
      <c r="H180" s="11" t="inlineStr">
        <is>
          <t>PO-419</t>
        </is>
      </c>
      <c r="I180" s="11" t="n"/>
    </row>
    <row r="181">
      <c r="A181" s="3" t="n">
        <v>180</v>
      </c>
      <c r="B181" s="107" t="n">
        <v>46134</v>
      </c>
      <c r="C181" s="3" t="inlineStr">
        <is>
          <t>147</t>
        </is>
      </c>
      <c r="D181" s="3" t="inlineStr">
        <is>
          <t>مصروف – رواتب</t>
        </is>
      </c>
      <c r="E181" s="3" t="inlineStr">
        <is>
          <t>مرتبات شهر 3-2026</t>
        </is>
      </c>
      <c r="F181" s="4" t="n">
        <v>33165</v>
      </c>
      <c r="G181" s="3" t="inlineStr">
        <is>
          <t>رواتب</t>
        </is>
      </c>
      <c r="H181" s="3" t="n"/>
      <c r="I181" s="3" t="n"/>
    </row>
    <row r="182">
      <c r="A182" s="3" t="n">
        <v>181</v>
      </c>
      <c r="B182" s="107" t="n">
        <v>46173</v>
      </c>
      <c r="C182" s="3" t="inlineStr">
        <is>
          <t>160</t>
        </is>
      </c>
      <c r="D182" s="3" t="inlineStr">
        <is>
          <t>مصروف</t>
        </is>
      </c>
      <c r="E182" s="3" t="inlineStr">
        <is>
          <t>عهدة حسين 22-4-2026</t>
        </is>
      </c>
      <c r="F182" s="4" t="n">
        <v>13942.5</v>
      </c>
      <c r="G182" s="3" t="inlineStr">
        <is>
          <t>تعزيز/تصفية عهدة</t>
        </is>
      </c>
      <c r="H182" s="3" t="n"/>
      <c r="I182" s="3" t="n"/>
    </row>
    <row r="183">
      <c r="A183" s="3" t="n">
        <v>182</v>
      </c>
      <c r="B183" s="107" t="n">
        <v>46141</v>
      </c>
      <c r="C183" s="3" t="inlineStr">
        <is>
          <t>148</t>
        </is>
      </c>
      <c r="D183" s="3" t="inlineStr">
        <is>
          <t>مصروف</t>
        </is>
      </c>
      <c r="E183" s="3" t="inlineStr">
        <is>
          <t>سداد GPS س عصمت</t>
        </is>
      </c>
      <c r="F183" s="4" t="n">
        <v>536</v>
      </c>
      <c r="G183" s="3" t="inlineStr">
        <is>
          <t>مصروفات تشغيل متنوعة</t>
        </is>
      </c>
      <c r="H183" s="3" t="n"/>
      <c r="I183" s="3" t="n"/>
    </row>
    <row r="184">
      <c r="A184" s="11" t="n">
        <v>183</v>
      </c>
      <c r="B184" s="106" t="n">
        <v>46141</v>
      </c>
      <c r="C184" s="11" t="inlineStr">
        <is>
          <t>149</t>
        </is>
      </c>
      <c r="D184" s="11" t="inlineStr">
        <is>
          <t>مصروف</t>
        </is>
      </c>
      <c r="E184" s="11" t="inlineStr">
        <is>
          <t>سداد نقاط س عصمت</t>
        </is>
      </c>
      <c r="F184" s="12" t="n">
        <v>115</v>
      </c>
      <c r="G184" s="11" t="inlineStr">
        <is>
          <t>مصروفات تشغيل متنوعة</t>
        </is>
      </c>
      <c r="H184" s="11" t="inlineStr">
        <is>
          <t>هاتف الموبايل 2025-12-17، هاتف الموبايل 2025-12-04، هاتف الموبايل 2025-11-22</t>
        </is>
      </c>
      <c r="I184" s="11" t="n"/>
    </row>
    <row r="185">
      <c r="A185" s="3" t="n">
        <v>184</v>
      </c>
      <c r="B185" s="107" t="n">
        <v>46142</v>
      </c>
      <c r="C185" s="3" t="inlineStr">
        <is>
          <t>150</t>
        </is>
      </c>
      <c r="D185" s="3" t="inlineStr">
        <is>
          <t>مصروف</t>
        </is>
      </c>
      <c r="E185" s="3" t="inlineStr">
        <is>
          <t>سداد تامين سيارة عصمت</t>
        </is>
      </c>
      <c r="F185" s="4" t="n">
        <v>1870</v>
      </c>
      <c r="G185" s="3" t="inlineStr">
        <is>
          <t>مصروفات تشغيل متنوعة</t>
        </is>
      </c>
      <c r="H185" s="3" t="n"/>
      <c r="I185" s="3" t="n"/>
    </row>
    <row r="186">
      <c r="A186" s="11" t="n">
        <v>185</v>
      </c>
      <c r="B186" s="106" t="n">
        <v>46147</v>
      </c>
      <c r="C186" s="11" t="inlineStr">
        <is>
          <t>151</t>
        </is>
      </c>
      <c r="D186" s="11" t="inlineStr">
        <is>
          <t>مصروف</t>
        </is>
      </c>
      <c r="E186" s="11" t="inlineStr">
        <is>
          <t>شراء 2 كيس سماد سنجرال</t>
        </is>
      </c>
      <c r="F186" s="12" t="n">
        <v>700</v>
      </c>
      <c r="G186" s="11" t="inlineStr">
        <is>
          <t>مواد زراعية</t>
        </is>
      </c>
      <c r="H186" s="11" t="inlineStr">
        <is>
          <t>PO-585، مؤسسة محمد عبدالله ل 2025-11-23</t>
        </is>
      </c>
      <c r="I186" s="11" t="n"/>
    </row>
    <row r="187">
      <c r="A187" s="3" t="n">
        <v>186</v>
      </c>
      <c r="B187" s="107" t="n">
        <v>46149</v>
      </c>
      <c r="C187" s="3" t="inlineStr">
        <is>
          <t>152</t>
        </is>
      </c>
      <c r="D187" s="3" t="inlineStr">
        <is>
          <t>مصروف – رواتب</t>
        </is>
      </c>
      <c r="E187" s="3" t="inlineStr">
        <is>
          <t>مرتبات شهر 4-2026</t>
        </is>
      </c>
      <c r="F187" s="4" t="n">
        <v>31722</v>
      </c>
      <c r="G187" s="3" t="inlineStr">
        <is>
          <t>رواتب</t>
        </is>
      </c>
      <c r="H187" s="3" t="n"/>
      <c r="I187" s="3" t="n"/>
    </row>
    <row r="188">
      <c r="A188" s="11" t="n">
        <v>187</v>
      </c>
      <c r="B188" s="106" t="n">
        <v>46155</v>
      </c>
      <c r="C188" s="11" t="inlineStr">
        <is>
          <t>153</t>
        </is>
      </c>
      <c r="D188" s="11" t="inlineStr">
        <is>
          <t>مصروف</t>
        </is>
      </c>
      <c r="E188" s="11" t="inlineStr">
        <is>
          <t>شراء فلين 5000 حبه</t>
        </is>
      </c>
      <c r="F188" s="12" t="n">
        <v>13250</v>
      </c>
      <c r="G188" s="11" t="inlineStr">
        <is>
          <t>مستلزمات إنتاج (فلين)</t>
        </is>
      </c>
      <c r="H188" s="11" t="inlineStr">
        <is>
          <t>PO-557، PO-506</t>
        </is>
      </c>
      <c r="I188" s="11" t="n"/>
    </row>
    <row r="189">
      <c r="A189" s="11" t="n">
        <v>188</v>
      </c>
      <c r="B189" s="106" t="n">
        <v>46155</v>
      </c>
      <c r="C189" s="11" t="inlineStr">
        <is>
          <t>154</t>
        </is>
      </c>
      <c r="D189" s="11" t="inlineStr">
        <is>
          <t>مصروف</t>
        </is>
      </c>
      <c r="E189" s="11" t="inlineStr">
        <is>
          <t>شراء فلين 5000 حبه</t>
        </is>
      </c>
      <c r="F189" s="12" t="n">
        <v>13250</v>
      </c>
      <c r="G189" s="11" t="inlineStr">
        <is>
          <t>مستلزمات إنتاج (فلين)</t>
        </is>
      </c>
      <c r="H189" s="11" t="inlineStr">
        <is>
          <t>PO-557، PO-506</t>
        </is>
      </c>
      <c r="I189" s="11" t="n"/>
    </row>
    <row r="190">
      <c r="A190" s="3" t="n">
        <v>189</v>
      </c>
      <c r="B190" s="107" t="n">
        <v>46155</v>
      </c>
      <c r="C190" s="3" t="inlineStr">
        <is>
          <t>155</t>
        </is>
      </c>
      <c r="D190" s="3" t="inlineStr">
        <is>
          <t>مصروف</t>
        </is>
      </c>
      <c r="E190" s="3" t="inlineStr">
        <is>
          <t>شراء بذور</t>
        </is>
      </c>
      <c r="F190" s="4" t="n">
        <v>4800</v>
      </c>
      <c r="G190" s="3" t="inlineStr">
        <is>
          <t>نباتات وبذور</t>
        </is>
      </c>
      <c r="H190" s="3" t="n"/>
      <c r="I190" s="3" t="n"/>
    </row>
    <row r="191">
      <c r="A191" s="11" t="n">
        <v>190</v>
      </c>
      <c r="B191" s="106" t="n">
        <v>46160</v>
      </c>
      <c r="C191" s="11" t="inlineStr">
        <is>
          <t>156</t>
        </is>
      </c>
      <c r="D191" s="11" t="inlineStr">
        <is>
          <t>أبو خالد</t>
        </is>
      </c>
      <c r="E191" s="11" t="inlineStr">
        <is>
          <t>تسديد لابوخالد من المديونية</t>
        </is>
      </c>
      <c r="F191" s="12" t="n">
        <v>2000</v>
      </c>
      <c r="G191" s="11" t="inlineStr">
        <is>
          <t>مسحوبات شركاء</t>
        </is>
      </c>
      <c r="H191" s="11" t="inlineStr">
        <is>
          <t>PO-210، عهدة حسين مصطفى 2026-06-07</t>
        </is>
      </c>
      <c r="I191" s="11" t="inlineStr">
        <is>
          <t>مسجل على حساب أبو خالد</t>
        </is>
      </c>
    </row>
    <row r="192">
      <c r="A192" s="11" t="n">
        <v>191</v>
      </c>
      <c r="B192" s="106" t="n">
        <v>46163</v>
      </c>
      <c r="C192" s="11" t="inlineStr">
        <is>
          <t>157</t>
        </is>
      </c>
      <c r="D192" s="11" t="inlineStr">
        <is>
          <t>مصروف</t>
        </is>
      </c>
      <c r="E192" s="11" t="inlineStr">
        <is>
          <t>توريد نقدي لادارة - ابومازن</t>
        </is>
      </c>
      <c r="F192" s="12" t="n">
        <v>13000</v>
      </c>
      <c r="G192" s="11" t="inlineStr">
        <is>
          <t>مسحوبات شركاء</t>
        </is>
      </c>
      <c r="H192" s="11" t="inlineStr">
        <is>
          <t>ورشة الرحالة لصيانة  2025-12-17، شركة التاج المميزة ا 2025-11-17</t>
        </is>
      </c>
      <c r="I192" s="11" t="n"/>
    </row>
    <row r="193">
      <c r="A193" s="3" t="n">
        <v>192</v>
      </c>
      <c r="B193" s="107" t="n">
        <v>46165</v>
      </c>
      <c r="C193" s="3" t="inlineStr">
        <is>
          <t>158</t>
        </is>
      </c>
      <c r="D193" s="3" t="inlineStr">
        <is>
          <t>مصروف</t>
        </is>
      </c>
      <c r="E193" s="3" t="inlineStr">
        <is>
          <t>سلفة عماد حمدي - مخالفات المرور</t>
        </is>
      </c>
      <c r="F193" s="4" t="n">
        <v>1351</v>
      </c>
      <c r="G193" s="3" t="inlineStr">
        <is>
          <t>مصروفات تشغيل متنوعة</t>
        </is>
      </c>
      <c r="H193" s="3" t="n"/>
      <c r="I193" s="3" t="n"/>
    </row>
    <row r="194">
      <c r="A194" s="115" t="n">
        <v>193</v>
      </c>
      <c r="B194" s="116" t="n">
        <v>46173</v>
      </c>
      <c r="C194" s="115" t="inlineStr">
        <is>
          <t>159</t>
        </is>
      </c>
      <c r="D194" s="115" t="inlineStr">
        <is>
          <t>مصروف – رواتب</t>
        </is>
      </c>
      <c r="E194" s="115" t="inlineStr">
        <is>
          <t>رواتب شهر 5-2026 (المبلغ مكتوب بخانة البيان 29,457 والمبلغ صفر)</t>
        </is>
      </c>
      <c r="F194" s="117" t="n">
        <v>0</v>
      </c>
      <c r="G194" s="115" t="inlineStr">
        <is>
          <t>رواتب</t>
        </is>
      </c>
      <c r="H194" s="115" t="n"/>
      <c r="I194" s="115" t="inlineStr">
        <is>
          <t>مبلغ صفر – البيان مسجل بدون قيمة</t>
        </is>
      </c>
    </row>
    <row r="195">
      <c r="A195" s="115" t="n">
        <v>194</v>
      </c>
      <c r="B195" s="116" t="n">
        <v>46174</v>
      </c>
      <c r="C195" s="115" t="inlineStr">
        <is>
          <t>111</t>
        </is>
      </c>
      <c r="D195" s="115" t="inlineStr">
        <is>
          <t>مصروف</t>
        </is>
      </c>
      <c r="E195" s="115" t="inlineStr">
        <is>
          <t>مصروفات من عهدة حسين جديد</t>
        </is>
      </c>
      <c r="F195" s="117" t="n">
        <v>0</v>
      </c>
      <c r="G195" s="115" t="inlineStr">
        <is>
          <t>تعزيز/تصفية عهدة</t>
        </is>
      </c>
      <c r="H195" s="115" t="n"/>
      <c r="I195" s="115" t="inlineStr">
        <is>
          <t>مبلغ صفر – البيان مسجل بدون قيمة</t>
        </is>
      </c>
    </row>
    <row r="196">
      <c r="A196" s="115" t="n">
        <v>195</v>
      </c>
      <c r="B196" s="116" t="n">
        <v>46176</v>
      </c>
      <c r="C196" s="115" t="inlineStr">
        <is>
          <t>161</t>
        </is>
      </c>
      <c r="D196" s="115" t="inlineStr">
        <is>
          <t>مصروف</t>
        </is>
      </c>
      <c r="E196" s="115" t="inlineStr">
        <is>
          <t>دفع فاتورة كهرباء شهر 5-2026</t>
        </is>
      </c>
      <c r="F196" s="117" t="n">
        <v>0</v>
      </c>
      <c r="G196" s="115" t="inlineStr">
        <is>
          <t>كهرباء وخدمات</t>
        </is>
      </c>
      <c r="H196" s="115" t="n"/>
      <c r="I196" s="115" t="inlineStr">
        <is>
          <t>مبلغ صفر – البيان مسجل بدون قيمة</t>
        </is>
      </c>
    </row>
    <row r="197">
      <c r="A197" s="9" t="n"/>
      <c r="B197" s="9" t="n"/>
      <c r="C197" s="9" t="n"/>
      <c r="D197" s="9" t="n"/>
      <c r="E197" s="9" t="inlineStr">
        <is>
          <t>الإجمالي</t>
        </is>
      </c>
      <c r="F197" s="10">
        <f>SUM(F2:F196)</f>
        <v/>
      </c>
      <c r="G197" s="9" t="n"/>
      <c r="H197" s="9" t="n"/>
      <c r="I197" s="9" t="n"/>
    </row>
  </sheetData>
  <autoFilter ref="A1:I19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C55A11"/>
    <outlinePr summaryBelow="1" summaryRight="1"/>
    <pageSetUpPr/>
  </sheetPr>
  <dimension ref="A1:H79"/>
  <sheetViews>
    <sheetView rightToLeft="1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2" customWidth="1" min="3" max="3"/>
    <col width="14" customWidth="1" min="4" max="4"/>
    <col width="40" customWidth="1" min="5" max="5"/>
    <col width="14" customWidth="1" min="6" max="6"/>
    <col width="14" customWidth="1" min="7" max="7"/>
    <col width="60" customWidth="1" min="8" max="8"/>
  </cols>
  <sheetData>
    <row r="1">
      <c r="A1" s="14" t="inlineStr">
        <is>
          <t>كشف خزنة الرياض – النظام الجديد (يونيو ويوليو 2026 فقط)</t>
        </is>
      </c>
    </row>
    <row r="2">
      <c r="A2" s="2" t="inlineStr">
        <is>
          <t>م</t>
        </is>
      </c>
      <c r="B2" s="2" t="inlineStr">
        <is>
          <t>رقم السند</t>
        </is>
      </c>
      <c r="C2" s="2" t="inlineStr">
        <is>
          <t>التاريخ</t>
        </is>
      </c>
      <c r="D2" s="2" t="inlineStr">
        <is>
          <t>النوع</t>
        </is>
      </c>
      <c r="E2" s="2" t="inlineStr">
        <is>
          <t>العميل / المستفيد</t>
        </is>
      </c>
      <c r="F2" s="2" t="inlineStr">
        <is>
          <t>مقبوضات</t>
        </is>
      </c>
      <c r="G2" s="2" t="inlineStr">
        <is>
          <t>مدفوعات</t>
        </is>
      </c>
      <c r="H2" s="2" t="inlineStr">
        <is>
          <t>ملاحظة المراجعة</t>
        </is>
      </c>
    </row>
    <row r="3">
      <c r="A3" s="3" t="n">
        <v>1</v>
      </c>
      <c r="B3" s="3" t="inlineStr">
        <is>
          <t>DIS-Riyadh-0001</t>
        </is>
      </c>
      <c r="C3" s="107" t="n">
        <v>46180</v>
      </c>
      <c r="D3" s="3" t="inlineStr">
        <is>
          <t>صرف</t>
        </is>
      </c>
      <c r="E3" s="3" t="inlineStr">
        <is>
          <t>رواتب (عمال المزرعة – 18 اسم)</t>
        </is>
      </c>
      <c r="F3" s="4" t="n"/>
      <c r="G3" s="4" t="n">
        <v>29457.25</v>
      </c>
      <c r="H3" s="3" t="inlineStr">
        <is>
          <t>رواتب شهر 5-2026 (مطابق للمبلغ المكتوب بخانة البيان في كشف الخزنة القديم 29,457)</t>
        </is>
      </c>
    </row>
    <row r="4">
      <c r="A4" s="11" t="n">
        <v>2</v>
      </c>
      <c r="B4" s="11" t="inlineStr">
        <is>
          <t>DIS-Riyadh-0002</t>
        </is>
      </c>
      <c r="C4" s="106" t="n">
        <v>46180</v>
      </c>
      <c r="D4" s="11" t="inlineStr">
        <is>
          <t>صرف</t>
        </is>
      </c>
      <c r="E4" s="11" t="inlineStr">
        <is>
          <t>RIYADH NURSERY</t>
        </is>
      </c>
      <c r="F4" s="12" t="n"/>
      <c r="G4" s="12" t="n">
        <v>3963.64</v>
      </c>
      <c r="H4" s="11" t="inlineStr">
        <is>
          <t>⚠ بدون بيان – مطابق تقريباً لإضافة عهدة حسين 3,984.33 في 30-5</t>
        </is>
      </c>
    </row>
    <row r="5">
      <c r="A5" s="3" t="n">
        <v>3</v>
      </c>
      <c r="B5" s="3" t="inlineStr">
        <is>
          <t>DP-Riyadh-0001</t>
        </is>
      </c>
      <c r="C5" s="107" t="n">
        <v>46182</v>
      </c>
      <c r="D5" s="3" t="inlineStr">
        <is>
          <t>قبض – سداد عميل</t>
        </is>
      </c>
      <c r="E5" s="3" t="inlineStr">
        <is>
          <t>مشتل عبدالقادر-الرياض</t>
        </is>
      </c>
      <c r="F5" s="4" t="n">
        <v>1900</v>
      </c>
      <c r="G5" s="4" t="n"/>
      <c r="H5" s="3" t="inlineStr">
        <is>
          <t xml:space="preserve"> | سيارة 1219</t>
        </is>
      </c>
    </row>
    <row r="6">
      <c r="A6" s="3" t="n">
        <v>4</v>
      </c>
      <c r="B6" s="3" t="inlineStr">
        <is>
          <t>DP-Riyadh-0002</t>
        </is>
      </c>
      <c r="C6" s="107" t="n">
        <v>46182</v>
      </c>
      <c r="D6" s="3" t="inlineStr">
        <is>
          <t>قبض – سداد عميل</t>
        </is>
      </c>
      <c r="E6" s="3" t="inlineStr">
        <is>
          <t>مشتل سليمان - فحص دوري-الرياض</t>
        </is>
      </c>
      <c r="F6" s="4" t="n">
        <v>6000</v>
      </c>
      <c r="G6" s="4" t="n"/>
      <c r="H6" s="3" t="inlineStr">
        <is>
          <t xml:space="preserve"> | سداد مديونية قديمة (لا توجد مبيعات سيارات لهذا العميل)</t>
        </is>
      </c>
    </row>
    <row r="7">
      <c r="A7" s="3" t="n">
        <v>5</v>
      </c>
      <c r="B7" s="3" t="inlineStr">
        <is>
          <t>DIS-Riyadh-0003</t>
        </is>
      </c>
      <c r="C7" s="107" t="n">
        <v>46183</v>
      </c>
      <c r="D7" s="3" t="inlineStr">
        <is>
          <t>صرف</t>
        </is>
      </c>
      <c r="E7" s="3" t="inlineStr">
        <is>
          <t>—</t>
        </is>
      </c>
      <c r="F7" s="4" t="n"/>
      <c r="G7" s="4" t="n">
        <v>2000</v>
      </c>
      <c r="H7" s="3" t="inlineStr">
        <is>
          <t>إضافة عهدة حسين 2,000 (7-6)</t>
        </is>
      </c>
    </row>
    <row r="8">
      <c r="A8" s="11" t="n">
        <v>6</v>
      </c>
      <c r="B8" s="11" t="inlineStr">
        <is>
          <t>DIS-Riyadh-0004</t>
        </is>
      </c>
      <c r="C8" s="106" t="n">
        <v>46186</v>
      </c>
      <c r="D8" s="11" t="inlineStr">
        <is>
          <t>صرف</t>
        </is>
      </c>
      <c r="E8" s="11" t="inlineStr">
        <is>
          <t>ENG.AHMED ABDELSABOUR</t>
        </is>
      </c>
      <c r="F8" s="12" t="n"/>
      <c r="G8" s="12" t="n">
        <v>1500</v>
      </c>
      <c r="H8" s="11" t="inlineStr">
        <is>
          <t>⚠ صرف لموظف نسما – بدون بيان</t>
        </is>
      </c>
    </row>
    <row r="9">
      <c r="A9" s="3" t="n">
        <v>7</v>
      </c>
      <c r="B9" s="3" t="inlineStr">
        <is>
          <t>DIS-Riyadh-0005</t>
        </is>
      </c>
      <c r="C9" s="107" t="n">
        <v>46186</v>
      </c>
      <c r="D9" s="3" t="inlineStr">
        <is>
          <t>صرف</t>
        </is>
      </c>
      <c r="E9" s="3" t="inlineStr">
        <is>
          <t>MR.MOHAMMED ALI</t>
        </is>
      </c>
      <c r="F9" s="4" t="n"/>
      <c r="G9" s="4" t="n">
        <v>3167.11</v>
      </c>
      <c r="H9" s="3" t="inlineStr">
        <is>
          <t>أمر شراء PO-0706 شركة إيراد المتحدة 3,167.10</t>
        </is>
      </c>
    </row>
    <row r="10">
      <c r="A10" s="3" t="n">
        <v>8</v>
      </c>
      <c r="B10" s="3" t="inlineStr">
        <is>
          <t>DP-Riyadh-0003</t>
        </is>
      </c>
      <c r="C10" s="107" t="n">
        <v>46186</v>
      </c>
      <c r="D10" s="3" t="inlineStr">
        <is>
          <t>قبض – سداد عميل</t>
        </is>
      </c>
      <c r="E10" s="3" t="inlineStr">
        <is>
          <t>مشاتل مخرج 15-الرياض</t>
        </is>
      </c>
      <c r="F10" s="4" t="n">
        <v>1770</v>
      </c>
      <c r="G10" s="4" t="n"/>
      <c r="H10" s="3" t="inlineStr">
        <is>
          <t xml:space="preserve"> | سيارة 1219</t>
        </is>
      </c>
    </row>
    <row r="11">
      <c r="A11" s="3" t="n">
        <v>9</v>
      </c>
      <c r="B11" s="3" t="inlineStr">
        <is>
          <t>DIS-Riyadh-0006</t>
        </is>
      </c>
      <c r="C11" s="107" t="n">
        <v>46187</v>
      </c>
      <c r="D11" s="3" t="inlineStr">
        <is>
          <t>صرف</t>
        </is>
      </c>
      <c r="E11" s="3" t="inlineStr">
        <is>
          <t>—</t>
        </is>
      </c>
      <c r="F11" s="4" t="n"/>
      <c r="G11" s="4" t="n">
        <v>245</v>
      </c>
      <c r="H11" s="3" t="inlineStr">
        <is>
          <t>عهدة عصمت 245 (11-6)</t>
        </is>
      </c>
    </row>
    <row r="12">
      <c r="A12" s="3" t="n">
        <v>10</v>
      </c>
      <c r="B12" s="3" t="inlineStr">
        <is>
          <t>DIS-Riyadh-0007</t>
        </is>
      </c>
      <c r="C12" s="107" t="n">
        <v>46187</v>
      </c>
      <c r="D12" s="3" t="inlineStr">
        <is>
          <t>صرف</t>
        </is>
      </c>
      <c r="E12" s="3" t="inlineStr">
        <is>
          <t>—</t>
        </is>
      </c>
      <c r="F12" s="4" t="n"/>
      <c r="G12" s="4" t="n">
        <v>1000</v>
      </c>
      <c r="H12" s="3" t="inlineStr">
        <is>
          <t>عهدة عصمت 1,000 (14-6)</t>
        </is>
      </c>
    </row>
    <row r="13">
      <c r="A13" s="3" t="n">
        <v>11</v>
      </c>
      <c r="B13" s="3" t="inlineStr">
        <is>
          <t>DP-Riyadh-0004</t>
        </is>
      </c>
      <c r="C13" s="107" t="n">
        <v>46187</v>
      </c>
      <c r="D13" s="3" t="inlineStr">
        <is>
          <t>قبض – سداد عميل</t>
        </is>
      </c>
      <c r="E13" s="3" t="inlineStr">
        <is>
          <t>مشاتل طريق خريص-الرياض</t>
        </is>
      </c>
      <c r="F13" s="4" t="n">
        <v>1800</v>
      </c>
      <c r="G13" s="4" t="n"/>
      <c r="H13" s="3" t="inlineStr">
        <is>
          <t xml:space="preserve"> | سيارة 1219</t>
        </is>
      </c>
    </row>
    <row r="14">
      <c r="A14" s="3" t="n">
        <v>12</v>
      </c>
      <c r="B14" s="3" t="inlineStr">
        <is>
          <t>DP-Riyadh-0005</t>
        </is>
      </c>
      <c r="C14" s="107" t="n">
        <v>46187</v>
      </c>
      <c r="D14" s="3" t="inlineStr">
        <is>
          <t>قبض – سداد عميل</t>
        </is>
      </c>
      <c r="E14" s="3" t="inlineStr">
        <is>
          <t>مشاتل طريق مخرج 8-الرياض</t>
        </is>
      </c>
      <c r="F14" s="4" t="n">
        <v>1800</v>
      </c>
      <c r="G14" s="4" t="n"/>
      <c r="H14" s="3" t="inlineStr">
        <is>
          <t xml:space="preserve"> | سيارة 1219</t>
        </is>
      </c>
    </row>
    <row r="15">
      <c r="A15" s="11" t="n">
        <v>13</v>
      </c>
      <c r="B15" s="11" t="inlineStr">
        <is>
          <t>DP-Riyadh-0006</t>
        </is>
      </c>
      <c r="C15" s="106" t="n">
        <v>46187</v>
      </c>
      <c r="D15" s="11" t="inlineStr">
        <is>
          <t>قبض – سداد عميل</t>
        </is>
      </c>
      <c r="E15" s="11" t="inlineStr">
        <is>
          <t>مشتل حي لبن - الرياض</t>
        </is>
      </c>
      <c r="F15" s="12" t="n">
        <v>2200</v>
      </c>
      <c r="G15" s="12" t="n"/>
      <c r="H15" s="11" t="inlineStr">
        <is>
          <t>⚠ غير موجود في شيت "المدفوعات" المرفق مع مبيعات السيارات | سيارة 1219</t>
        </is>
      </c>
    </row>
    <row r="16">
      <c r="A16" s="3" t="n">
        <v>14</v>
      </c>
      <c r="B16" s="3" t="inlineStr">
        <is>
          <t>DP-Riyadh-0007</t>
        </is>
      </c>
      <c r="C16" s="107" t="n">
        <v>46190</v>
      </c>
      <c r="D16" s="3" t="inlineStr">
        <is>
          <t>قبض – سداد عميل</t>
        </is>
      </c>
      <c r="E16" s="3" t="inlineStr">
        <is>
          <t>مشتل سالم-الرياض</t>
        </is>
      </c>
      <c r="F16" s="4" t="n">
        <v>767</v>
      </c>
      <c r="G16" s="4" t="n"/>
      <c r="H16" s="3" t="inlineStr">
        <is>
          <t xml:space="preserve"> | سيارة 1219</t>
        </is>
      </c>
    </row>
    <row r="17">
      <c r="A17" s="3" t="n">
        <v>15</v>
      </c>
      <c r="B17" s="3" t="inlineStr">
        <is>
          <t>DP-Riyadh-0008</t>
        </is>
      </c>
      <c r="C17" s="107" t="n">
        <v>46190</v>
      </c>
      <c r="D17" s="3" t="inlineStr">
        <is>
          <t>قبض – سداد عميل</t>
        </is>
      </c>
      <c r="E17" s="3" t="inlineStr">
        <is>
          <t>مشتل حي لبن - الرياض</t>
        </is>
      </c>
      <c r="F17" s="4" t="n">
        <v>50</v>
      </c>
      <c r="G17" s="4" t="n"/>
      <c r="H17" s="3" t="inlineStr">
        <is>
          <t xml:space="preserve"> | سيارة 1219</t>
        </is>
      </c>
    </row>
    <row r="18">
      <c r="A18" s="3" t="n">
        <v>16</v>
      </c>
      <c r="B18" s="3" t="inlineStr">
        <is>
          <t>DP-Riyadh-0009</t>
        </is>
      </c>
      <c r="C18" s="107" t="n">
        <v>46190</v>
      </c>
      <c r="D18" s="3" t="inlineStr">
        <is>
          <t>قبض – سداد عميل</t>
        </is>
      </c>
      <c r="E18" s="3" t="inlineStr">
        <is>
          <t>مشاتل طريق مخرج 8-الرياض</t>
        </is>
      </c>
      <c r="F18" s="4" t="n">
        <v>167</v>
      </c>
      <c r="G18" s="4" t="n"/>
      <c r="H18" s="3" t="inlineStr">
        <is>
          <t xml:space="preserve"> | سيارة 1219</t>
        </is>
      </c>
    </row>
    <row r="19">
      <c r="A19" s="3" t="n">
        <v>17</v>
      </c>
      <c r="B19" s="3" t="inlineStr">
        <is>
          <t>DP-Riyadh-0010</t>
        </is>
      </c>
      <c r="C19" s="107" t="n">
        <v>46190</v>
      </c>
      <c r="D19" s="3" t="inlineStr">
        <is>
          <t>قبض – سداد عميل</t>
        </is>
      </c>
      <c r="E19" s="3" t="inlineStr">
        <is>
          <t>مشتل عبدالقادر-الرياض</t>
        </is>
      </c>
      <c r="F19" s="4" t="n">
        <v>440</v>
      </c>
      <c r="G19" s="4" t="n"/>
      <c r="H19" s="3" t="inlineStr">
        <is>
          <t xml:space="preserve"> | سيارة 1219</t>
        </is>
      </c>
    </row>
    <row r="20">
      <c r="A20" s="3" t="n">
        <v>18</v>
      </c>
      <c r="B20" s="3" t="inlineStr">
        <is>
          <t>DP-Riyadh-0011</t>
        </is>
      </c>
      <c r="C20" s="107" t="n">
        <v>46191</v>
      </c>
      <c r="D20" s="3" t="inlineStr">
        <is>
          <t>قبض – سداد عميل</t>
        </is>
      </c>
      <c r="E20" s="3" t="inlineStr">
        <is>
          <t>مشاتل مخرج 15-الرياض</t>
        </is>
      </c>
      <c r="F20" s="4" t="n">
        <v>1000</v>
      </c>
      <c r="G20" s="4" t="n"/>
      <c r="H20" s="3" t="inlineStr">
        <is>
          <t xml:space="preserve"> | سيارة 1219</t>
        </is>
      </c>
    </row>
    <row r="21">
      <c r="A21" s="3" t="n">
        <v>19</v>
      </c>
      <c r="B21" s="3" t="inlineStr">
        <is>
          <t>DP-Riyadh-0012</t>
        </is>
      </c>
      <c r="C21" s="107" t="n">
        <v>46192</v>
      </c>
      <c r="D21" s="3" t="inlineStr">
        <is>
          <t>قبض – سداد عميل</t>
        </is>
      </c>
      <c r="E21" s="3" t="inlineStr">
        <is>
          <t>مشاتل اليوسف-الدمام</t>
        </is>
      </c>
      <c r="F21" s="4" t="n">
        <v>2054.75</v>
      </c>
      <c r="G21" s="4" t="n"/>
      <c r="H21" s="3" t="inlineStr">
        <is>
          <t xml:space="preserve"> | سيارة 3010</t>
        </is>
      </c>
    </row>
    <row r="22">
      <c r="A22" s="3" t="n">
        <v>20</v>
      </c>
      <c r="B22" s="3" t="inlineStr">
        <is>
          <t>DIS-Riyadh-0008</t>
        </is>
      </c>
      <c r="C22" s="107" t="n">
        <v>46193</v>
      </c>
      <c r="D22" s="3" t="inlineStr">
        <is>
          <t>صرف</t>
        </is>
      </c>
      <c r="E22" s="3" t="inlineStr">
        <is>
          <t>—</t>
        </is>
      </c>
      <c r="F22" s="4" t="n"/>
      <c r="G22" s="4" t="n">
        <v>755</v>
      </c>
      <c r="H22" s="3" t="inlineStr">
        <is>
          <t>عهدة عصمت 755 (17-6)</t>
        </is>
      </c>
    </row>
    <row r="23">
      <c r="A23" s="3" t="n">
        <v>21</v>
      </c>
      <c r="B23" s="3" t="inlineStr">
        <is>
          <t>DIS-Riyadh-0009</t>
        </is>
      </c>
      <c r="C23" s="107" t="n">
        <v>46193</v>
      </c>
      <c r="D23" s="3" t="inlineStr">
        <is>
          <t>صرف</t>
        </is>
      </c>
      <c r="E23" s="3" t="inlineStr">
        <is>
          <t>—</t>
        </is>
      </c>
      <c r="F23" s="4" t="n"/>
      <c r="G23" s="4" t="n">
        <v>500</v>
      </c>
      <c r="H23" s="3" t="inlineStr">
        <is>
          <t>عهدة عماد 500 (19-6)</t>
        </is>
      </c>
    </row>
    <row r="24">
      <c r="A24" s="11" t="n">
        <v>22</v>
      </c>
      <c r="B24" s="11" t="inlineStr">
        <is>
          <t>DIS-Riyadh-0010</t>
        </is>
      </c>
      <c r="C24" s="106" t="n">
        <v>46194</v>
      </c>
      <c r="D24" s="11" t="inlineStr">
        <is>
          <t>صرف</t>
        </is>
      </c>
      <c r="E24" s="11" t="inlineStr">
        <is>
          <t>RIYADH NURSERY</t>
        </is>
      </c>
      <c r="F24" s="12" t="n"/>
      <c r="G24" s="12" t="n">
        <v>5863.8</v>
      </c>
      <c r="H24" s="11" t="inlineStr">
        <is>
          <t>⚠ بدون بيان</t>
        </is>
      </c>
    </row>
    <row r="25">
      <c r="A25" s="3" t="n">
        <v>23</v>
      </c>
      <c r="B25" s="3" t="inlineStr">
        <is>
          <t>DP-Riyadh-0013</t>
        </is>
      </c>
      <c r="C25" s="107" t="n">
        <v>46194</v>
      </c>
      <c r="D25" s="3" t="inlineStr">
        <is>
          <t>قبض – سداد عميل</t>
        </is>
      </c>
      <c r="E25" s="3" t="inlineStr">
        <is>
          <t>مشتل زهور الرياض - الرياض</t>
        </is>
      </c>
      <c r="F25" s="4" t="n">
        <v>1395</v>
      </c>
      <c r="G25" s="4" t="n"/>
      <c r="H25" s="3" t="inlineStr">
        <is>
          <t xml:space="preserve"> | سيارة 1219</t>
        </is>
      </c>
    </row>
    <row r="26">
      <c r="A26" s="3" t="n">
        <v>24</v>
      </c>
      <c r="B26" s="3" t="inlineStr">
        <is>
          <t>DP-Riyadh-0014</t>
        </is>
      </c>
      <c r="C26" s="107" t="n">
        <v>46195</v>
      </c>
      <c r="D26" s="3" t="inlineStr">
        <is>
          <t>قبض – سداد عميل</t>
        </is>
      </c>
      <c r="E26" s="3" t="inlineStr">
        <is>
          <t>مشتل افتخار-الرياض</t>
        </is>
      </c>
      <c r="F26" s="4" t="n">
        <v>870</v>
      </c>
      <c r="G26" s="4" t="n"/>
      <c r="H26" s="3" t="inlineStr">
        <is>
          <t xml:space="preserve"> | سيارة 1219</t>
        </is>
      </c>
    </row>
    <row r="27">
      <c r="A27" s="3" t="n">
        <v>25</v>
      </c>
      <c r="B27" s="3" t="inlineStr">
        <is>
          <t>DP-Riyadh-0015</t>
        </is>
      </c>
      <c r="C27" s="107" t="n">
        <v>46195</v>
      </c>
      <c r="D27" s="3" t="inlineStr">
        <is>
          <t>قبض – سداد عميل</t>
        </is>
      </c>
      <c r="E27" s="3" t="inlineStr">
        <is>
          <t>مشتل نسيم الصبا - الرياض</t>
        </is>
      </c>
      <c r="F27" s="4" t="n">
        <v>730</v>
      </c>
      <c r="G27" s="4" t="n"/>
      <c r="H27" s="3" t="inlineStr">
        <is>
          <t xml:space="preserve"> | سيارة 1219</t>
        </is>
      </c>
    </row>
    <row r="28">
      <c r="A28" s="3" t="n">
        <v>26</v>
      </c>
      <c r="B28" s="3" t="inlineStr">
        <is>
          <t>DP-Riyadh-0016</t>
        </is>
      </c>
      <c r="C28" s="107" t="n">
        <v>46196</v>
      </c>
      <c r="D28" s="3" t="inlineStr">
        <is>
          <t>قبض – سداد عميل</t>
        </is>
      </c>
      <c r="E28" s="3" t="inlineStr">
        <is>
          <t>مشتل حي لبن - الرياض</t>
        </is>
      </c>
      <c r="F28" s="4" t="n">
        <v>255.5</v>
      </c>
      <c r="G28" s="4" t="n"/>
      <c r="H28" s="3" t="inlineStr">
        <is>
          <t xml:space="preserve"> | سيارة 1219</t>
        </is>
      </c>
    </row>
    <row r="29">
      <c r="A29" s="3" t="n">
        <v>27</v>
      </c>
      <c r="B29" s="3" t="inlineStr">
        <is>
          <t>DP-Riyadh-0017</t>
        </is>
      </c>
      <c r="C29" s="107" t="n">
        <v>46198</v>
      </c>
      <c r="D29" s="3" t="inlineStr">
        <is>
          <t>قبض – سداد عميل</t>
        </is>
      </c>
      <c r="E29" s="3" t="inlineStr">
        <is>
          <t>مشاتل العليا-الرياض</t>
        </is>
      </c>
      <c r="F29" s="4" t="n">
        <v>980.75</v>
      </c>
      <c r="G29" s="4" t="n"/>
      <c r="H29" s="3" t="inlineStr">
        <is>
          <t xml:space="preserve"> | سيارة 1219</t>
        </is>
      </c>
    </row>
    <row r="30">
      <c r="A30" s="3" t="n">
        <v>28</v>
      </c>
      <c r="B30" s="3" t="inlineStr">
        <is>
          <t>DP-Riyadh-0018</t>
        </is>
      </c>
      <c r="C30" s="107" t="n">
        <v>46200</v>
      </c>
      <c r="D30" s="3" t="inlineStr">
        <is>
          <t>قبض – سداد عميل</t>
        </is>
      </c>
      <c r="E30" s="3" t="inlineStr">
        <is>
          <t>مشتل سليمان - فحص دوري-الرياض</t>
        </is>
      </c>
      <c r="F30" s="4" t="n">
        <v>2000</v>
      </c>
      <c r="G30" s="4" t="n"/>
      <c r="H30" s="3" t="inlineStr">
        <is>
          <t xml:space="preserve"> | سداد مديونية قديمة (لا توجد مبيعات سيارات لهذا العميل)</t>
        </is>
      </c>
    </row>
    <row r="31">
      <c r="A31" s="3" t="n">
        <v>29</v>
      </c>
      <c r="B31" s="3" t="inlineStr">
        <is>
          <t>DP-Riyadh-0019</t>
        </is>
      </c>
      <c r="C31" s="107" t="n">
        <v>46200</v>
      </c>
      <c r="D31" s="3" t="inlineStr">
        <is>
          <t>قبض – سداد عميل</t>
        </is>
      </c>
      <c r="E31" s="3" t="inlineStr">
        <is>
          <t>مشتل حي لبن - الرياض</t>
        </is>
      </c>
      <c r="F31" s="4" t="n">
        <v>495</v>
      </c>
      <c r="G31" s="4" t="n"/>
      <c r="H31" s="3" t="inlineStr">
        <is>
          <t xml:space="preserve"> | سيارة 1219</t>
        </is>
      </c>
    </row>
    <row r="32">
      <c r="A32" s="3" t="n">
        <v>30</v>
      </c>
      <c r="B32" s="3" t="inlineStr">
        <is>
          <t>DP-Riyadh-0020</t>
        </is>
      </c>
      <c r="C32" s="107" t="n">
        <v>46201</v>
      </c>
      <c r="D32" s="3" t="inlineStr">
        <is>
          <t>قبض – سداد عميل</t>
        </is>
      </c>
      <c r="E32" s="3" t="inlineStr">
        <is>
          <t>مشتل سالم-الرياض</t>
        </is>
      </c>
      <c r="F32" s="4" t="n">
        <v>1135</v>
      </c>
      <c r="G32" s="4" t="n"/>
      <c r="H32" s="3" t="inlineStr">
        <is>
          <t xml:space="preserve"> | سيارة 1219</t>
        </is>
      </c>
    </row>
    <row r="33">
      <c r="A33" s="3" t="n">
        <v>31</v>
      </c>
      <c r="B33" s="3" t="inlineStr">
        <is>
          <t>DIS-Riyadh-0011</t>
        </is>
      </c>
      <c r="C33" s="107" t="n">
        <v>46202</v>
      </c>
      <c r="D33" s="3" t="inlineStr">
        <is>
          <t>صرف</t>
        </is>
      </c>
      <c r="E33" s="3" t="inlineStr">
        <is>
          <t>—</t>
        </is>
      </c>
      <c r="F33" s="4" t="n"/>
      <c r="G33" s="4" t="n">
        <v>500</v>
      </c>
      <c r="H33" s="3" t="inlineStr">
        <is>
          <t>عهدة عصمت 500 (29-6)</t>
        </is>
      </c>
    </row>
    <row r="34">
      <c r="A34" s="3" t="n">
        <v>32</v>
      </c>
      <c r="B34" s="3" t="inlineStr">
        <is>
          <t>DP-Riyadh-0021</t>
        </is>
      </c>
      <c r="C34" s="107" t="n">
        <v>46202</v>
      </c>
      <c r="D34" s="3" t="inlineStr">
        <is>
          <t>قبض – سداد عميل</t>
        </is>
      </c>
      <c r="E34" s="3" t="inlineStr">
        <is>
          <t>مشتل حي لبن - الرياض</t>
        </is>
      </c>
      <c r="F34" s="4" t="n">
        <v>1040</v>
      </c>
      <c r="G34" s="4" t="n"/>
      <c r="H34" s="3" t="inlineStr">
        <is>
          <t xml:space="preserve"> | سيارة 1219</t>
        </is>
      </c>
    </row>
    <row r="35">
      <c r="A35" s="11" t="n">
        <v>33</v>
      </c>
      <c r="B35" s="11" t="inlineStr">
        <is>
          <t>DP-Riyadh-0022</t>
        </is>
      </c>
      <c r="C35" s="106" t="n">
        <v>46203</v>
      </c>
      <c r="D35" s="11" t="inlineStr">
        <is>
          <t>قبض – سداد عميل</t>
        </is>
      </c>
      <c r="E35" s="11" t="inlineStr">
        <is>
          <t>مشاتل وردة الياسمين - الرياض</t>
        </is>
      </c>
      <c r="F35" s="12" t="n">
        <v>540</v>
      </c>
      <c r="G35" s="12" t="n"/>
      <c r="H35" s="11" t="inlineStr">
        <is>
          <t>⚠ غير موجود في شيت "المدفوعات" المرفق مع مبيعات السيارات | سيارة 1219</t>
        </is>
      </c>
    </row>
    <row r="36">
      <c r="A36" s="128" t="n">
        <v>34</v>
      </c>
      <c r="B36" s="128" t="inlineStr">
        <is>
          <t>DIS-Riyadh-0012</t>
        </is>
      </c>
      <c r="C36" s="129" t="n">
        <v>46204</v>
      </c>
      <c r="D36" s="128" t="inlineStr">
        <is>
          <t>صرف</t>
        </is>
      </c>
      <c r="E36" s="128" t="inlineStr">
        <is>
          <t>ENG.AHMED ABDELSABOUR</t>
        </is>
      </c>
      <c r="F36" s="130" t="n"/>
      <c r="G36" s="130" t="n">
        <v>11000</v>
      </c>
      <c r="H36" s="128" t="inlineStr">
        <is>
          <t>سداد جزئي لأمر الشراء PO-0777 (بساتين الرياض) – المتبقي 55,420</t>
        </is>
      </c>
    </row>
    <row r="37">
      <c r="A37" s="3" t="n">
        <v>35</v>
      </c>
      <c r="B37" s="3" t="inlineStr">
        <is>
          <t>DIS-Riyadh-0013</t>
        </is>
      </c>
      <c r="C37" s="107" t="n">
        <v>46205</v>
      </c>
      <c r="D37" s="3" t="inlineStr">
        <is>
          <t>صرف</t>
        </is>
      </c>
      <c r="E37" s="3" t="inlineStr">
        <is>
          <t>—</t>
        </is>
      </c>
      <c r="F37" s="4" t="n"/>
      <c r="G37" s="4" t="n">
        <v>500</v>
      </c>
      <c r="H37" s="3" t="inlineStr">
        <is>
          <t>عهدة حسين 500 (2-7)</t>
        </is>
      </c>
    </row>
    <row r="38">
      <c r="A38" s="3" t="n">
        <v>36</v>
      </c>
      <c r="B38" s="3" t="inlineStr">
        <is>
          <t>DP-Riyadh-0023</t>
        </is>
      </c>
      <c r="C38" s="107" t="n">
        <v>46208</v>
      </c>
      <c r="D38" s="3" t="inlineStr">
        <is>
          <t>قبض – سداد عميل</t>
        </is>
      </c>
      <c r="E38" s="3" t="inlineStr">
        <is>
          <t>مشاتل مخرج 15-الرياض</t>
        </is>
      </c>
      <c r="F38" s="4" t="n">
        <v>1100</v>
      </c>
      <c r="G38" s="4" t="n"/>
      <c r="H38" s="3" t="inlineStr">
        <is>
          <t xml:space="preserve"> | سيارة 1219</t>
        </is>
      </c>
    </row>
    <row r="39">
      <c r="A39" s="3" t="n">
        <v>37</v>
      </c>
      <c r="B39" s="3" t="inlineStr">
        <is>
          <t>DP-Riyadh-0024</t>
        </is>
      </c>
      <c r="C39" s="107" t="n">
        <v>46208</v>
      </c>
      <c r="D39" s="3" t="inlineStr">
        <is>
          <t>قبض – سداد عميل</t>
        </is>
      </c>
      <c r="E39" s="3" t="inlineStr">
        <is>
          <t>مشتل سليمان - فحص دوري-الرياض</t>
        </is>
      </c>
      <c r="F39" s="4" t="n">
        <v>5900</v>
      </c>
      <c r="G39" s="4" t="n"/>
      <c r="H39" s="3" t="inlineStr">
        <is>
          <t xml:space="preserve"> | سداد مديونية قديمة (لا توجد مبيعات سيارات لهذا العميل)</t>
        </is>
      </c>
    </row>
    <row r="40">
      <c r="A40" s="3" t="n">
        <v>38</v>
      </c>
      <c r="B40" s="3" t="inlineStr">
        <is>
          <t>DP-Riyadh-0025</t>
        </is>
      </c>
      <c r="C40" s="107" t="n">
        <v>46210</v>
      </c>
      <c r="D40" s="3" t="inlineStr">
        <is>
          <t>قبض – سداد عميل</t>
        </is>
      </c>
      <c r="E40" s="3" t="inlineStr">
        <is>
          <t>مشاتل زهور الاحساء-الدمام</t>
        </is>
      </c>
      <c r="F40" s="4" t="n">
        <v>1495</v>
      </c>
      <c r="G40" s="4" t="n"/>
      <c r="H40" s="3" t="inlineStr">
        <is>
          <t xml:space="preserve"> | سيارة 3010</t>
        </is>
      </c>
    </row>
    <row r="41">
      <c r="A41" s="3" t="n">
        <v>39</v>
      </c>
      <c r="B41" s="3" t="inlineStr">
        <is>
          <t>DP-Riyadh-0026</t>
        </is>
      </c>
      <c r="C41" s="107" t="n">
        <v>46214</v>
      </c>
      <c r="D41" s="3" t="inlineStr">
        <is>
          <t>قبض – سداد عميل</t>
        </is>
      </c>
      <c r="E41" s="3" t="inlineStr">
        <is>
          <t>مشتل احمد بتشا-الرياض</t>
        </is>
      </c>
      <c r="F41" s="4" t="n">
        <v>800</v>
      </c>
      <c r="G41" s="4" t="n"/>
      <c r="H41" s="3" t="inlineStr">
        <is>
          <t xml:space="preserve"> | سيارة 1219</t>
        </is>
      </c>
    </row>
    <row r="42">
      <c r="A42" s="3" t="n">
        <v>40</v>
      </c>
      <c r="B42" s="3" t="inlineStr">
        <is>
          <t>DP-Riyadh-0027</t>
        </is>
      </c>
      <c r="C42" s="107" t="n">
        <v>46214</v>
      </c>
      <c r="D42" s="3" t="inlineStr">
        <is>
          <t>قبض – سداد عميل</t>
        </is>
      </c>
      <c r="E42" s="3" t="inlineStr">
        <is>
          <t>مشتل عمر الخضير-الرياض</t>
        </is>
      </c>
      <c r="F42" s="4" t="n">
        <v>1000</v>
      </c>
      <c r="G42" s="4" t="n"/>
      <c r="H42" s="3" t="inlineStr">
        <is>
          <t xml:space="preserve"> | سيارة 1219</t>
        </is>
      </c>
    </row>
    <row r="43">
      <c r="A43" s="3" t="n">
        <v>41</v>
      </c>
      <c r="B43" s="3" t="inlineStr">
        <is>
          <t>DP-Riyadh-0028</t>
        </is>
      </c>
      <c r="C43" s="107" t="n">
        <v>46216</v>
      </c>
      <c r="D43" s="3" t="inlineStr">
        <is>
          <t>قبض – سداد عميل</t>
        </is>
      </c>
      <c r="E43" s="3" t="inlineStr">
        <is>
          <t>مشتل عمر الخضير-الرياض</t>
        </is>
      </c>
      <c r="F43" s="4" t="n">
        <v>1000</v>
      </c>
      <c r="G43" s="4" t="n"/>
      <c r="H43" s="3" t="inlineStr">
        <is>
          <t xml:space="preserve"> | سيارة 1219</t>
        </is>
      </c>
    </row>
    <row r="44">
      <c r="A44" s="3" t="n">
        <v>42</v>
      </c>
      <c r="B44" s="3" t="inlineStr">
        <is>
          <t>DP-Riyadh-0029</t>
        </is>
      </c>
      <c r="C44" s="107" t="n">
        <v>46216</v>
      </c>
      <c r="D44" s="3" t="inlineStr">
        <is>
          <t>قبض – سداد عميل</t>
        </is>
      </c>
      <c r="E44" s="3" t="inlineStr">
        <is>
          <t>مشتل نسيم الصبا - الرياض</t>
        </is>
      </c>
      <c r="F44" s="4" t="n">
        <v>160</v>
      </c>
      <c r="G44" s="4" t="n"/>
      <c r="H44" s="3" t="inlineStr">
        <is>
          <t xml:space="preserve"> | سيارة 1219</t>
        </is>
      </c>
    </row>
    <row r="45">
      <c r="A45" s="3" t="n">
        <v>43</v>
      </c>
      <c r="B45" s="3" t="inlineStr">
        <is>
          <t>DP-Riyadh-0030</t>
        </is>
      </c>
      <c r="C45" s="107" t="n">
        <v>46217</v>
      </c>
      <c r="D45" s="3" t="inlineStr">
        <is>
          <t>قبض – سداد عميل</t>
        </is>
      </c>
      <c r="E45" s="3" t="inlineStr">
        <is>
          <t>مشتل سالم-الرياض</t>
        </is>
      </c>
      <c r="F45" s="4" t="n">
        <v>1000</v>
      </c>
      <c r="G45" s="4" t="n"/>
      <c r="H45" s="3" t="inlineStr">
        <is>
          <t xml:space="preserve"> | سيارة 1219</t>
        </is>
      </c>
    </row>
    <row r="46">
      <c r="A46" s="11" t="n">
        <v>44</v>
      </c>
      <c r="B46" s="11" t="inlineStr">
        <is>
          <t>DIS-Riyadh-0014</t>
        </is>
      </c>
      <c r="C46" s="106" t="n">
        <v>46218</v>
      </c>
      <c r="D46" s="11" t="inlineStr">
        <is>
          <t>صرف</t>
        </is>
      </c>
      <c r="E46" s="11" t="inlineStr">
        <is>
          <t>محمد عبدالمجيد (70)</t>
        </is>
      </c>
      <c r="F46" s="12" t="n"/>
      <c r="G46" s="12" t="n">
        <v>2588</v>
      </c>
      <c r="H46" s="11" t="inlineStr">
        <is>
          <t>⚠ بدون بيان</t>
        </is>
      </c>
    </row>
    <row r="47">
      <c r="A47" s="3" t="n">
        <v>45</v>
      </c>
      <c r="B47" s="3" t="inlineStr">
        <is>
          <t>DIS-Riyadh-0015</t>
        </is>
      </c>
      <c r="C47" s="107" t="n">
        <v>46218</v>
      </c>
      <c r="D47" s="3" t="inlineStr">
        <is>
          <t>صرف</t>
        </is>
      </c>
      <c r="E47" s="3" t="inlineStr">
        <is>
          <t>—</t>
        </is>
      </c>
      <c r="F47" s="4" t="n"/>
      <c r="G47" s="4" t="n">
        <v>1190</v>
      </c>
      <c r="H47" s="3" t="inlineStr">
        <is>
          <t>عهدة حسين 1,000 (15-7) + عهدة عماد 190 (15-7)</t>
        </is>
      </c>
    </row>
    <row r="48">
      <c r="A48" s="11" t="n">
        <v>46</v>
      </c>
      <c r="B48" s="11" t="inlineStr">
        <is>
          <t>DP-Riyadh-0031</t>
        </is>
      </c>
      <c r="C48" s="106" t="n">
        <v>46218</v>
      </c>
      <c r="D48" s="11" t="inlineStr">
        <is>
          <t>قبض – سداد عميل</t>
        </is>
      </c>
      <c r="E48" s="11" t="inlineStr">
        <is>
          <t>مشتل اسماعيل - الرياض</t>
        </is>
      </c>
      <c r="F48" s="12" t="n">
        <v>745</v>
      </c>
      <c r="G48" s="12" t="n"/>
      <c r="H48" s="11" t="inlineStr">
        <is>
          <t>⚠ غير موجود في شيت "المدفوعات" المرفق مع مبيعات السيارات | سيارة 3010</t>
        </is>
      </c>
    </row>
    <row r="49">
      <c r="A49" s="3" t="n">
        <v>47</v>
      </c>
      <c r="B49" s="3" t="inlineStr">
        <is>
          <t>DIS-Riyadh-0016</t>
        </is>
      </c>
      <c r="C49" s="107" t="n">
        <v>46219</v>
      </c>
      <c r="D49" s="3" t="inlineStr">
        <is>
          <t>صرف</t>
        </is>
      </c>
      <c r="E49" s="3" t="inlineStr">
        <is>
          <t>—</t>
        </is>
      </c>
      <c r="F49" s="4" t="n"/>
      <c r="G49" s="4" t="n">
        <v>1500</v>
      </c>
      <c r="H49" s="3" t="inlineStr">
        <is>
          <t>عهدة حسين 1,500 (16-7)</t>
        </is>
      </c>
    </row>
    <row r="50">
      <c r="A50" s="3" t="n">
        <v>48</v>
      </c>
      <c r="B50" s="3" t="inlineStr">
        <is>
          <t>DP-Riyadh-0032</t>
        </is>
      </c>
      <c r="C50" s="107" t="n">
        <v>46219</v>
      </c>
      <c r="D50" s="3" t="inlineStr">
        <is>
          <t>قبض – سداد عميل</t>
        </is>
      </c>
      <c r="E50" s="3" t="inlineStr">
        <is>
          <t>مشتل زهور الرياض - الرياض</t>
        </is>
      </c>
      <c r="F50" s="4" t="n">
        <v>300</v>
      </c>
      <c r="G50" s="4" t="n"/>
      <c r="H50" s="3" t="inlineStr">
        <is>
          <t xml:space="preserve"> | سيارة 1219</t>
        </is>
      </c>
    </row>
    <row r="51">
      <c r="A51" s="11" t="n">
        <v>49</v>
      </c>
      <c r="B51" s="11" t="inlineStr">
        <is>
          <t>DP-Riyadh-0033</t>
        </is>
      </c>
      <c r="C51" s="106" t="n">
        <v>46219</v>
      </c>
      <c r="D51" s="11" t="inlineStr">
        <is>
          <t>قبض – سداد عميل</t>
        </is>
      </c>
      <c r="E51" s="11" t="inlineStr">
        <is>
          <t>مشتل اسماعيل - الرياض</t>
        </is>
      </c>
      <c r="F51" s="12" t="n">
        <v>295</v>
      </c>
      <c r="G51" s="12" t="n"/>
      <c r="H51" s="11" t="inlineStr">
        <is>
          <t>⚠ غير موجود في شيت "المدفوعات" المرفق مع مبيعات السيارات | سيارة 3010</t>
        </is>
      </c>
    </row>
    <row r="52">
      <c r="A52" s="3" t="n">
        <v>50</v>
      </c>
      <c r="B52" s="3" t="inlineStr">
        <is>
          <t>DIS-Riyadh-0017</t>
        </is>
      </c>
      <c r="C52" s="107" t="n">
        <v>46221</v>
      </c>
      <c r="D52" s="3" t="inlineStr">
        <is>
          <t>صرف</t>
        </is>
      </c>
      <c r="E52" s="3" t="inlineStr">
        <is>
          <t>—</t>
        </is>
      </c>
      <c r="F52" s="4" t="n"/>
      <c r="G52" s="4" t="n">
        <v>1500</v>
      </c>
      <c r="H52" s="3" t="inlineStr">
        <is>
          <t>عهدة إسماعيل 1,500 (18-7)</t>
        </is>
      </c>
    </row>
    <row r="53">
      <c r="A53" s="11" t="n">
        <v>51</v>
      </c>
      <c r="B53" s="11" t="inlineStr">
        <is>
          <t>DP-Riyadh-0034</t>
        </is>
      </c>
      <c r="C53" s="106" t="n">
        <v>46221</v>
      </c>
      <c r="D53" s="11" t="inlineStr">
        <is>
          <t>قبض – سداد عميل</t>
        </is>
      </c>
      <c r="E53" s="11" t="inlineStr">
        <is>
          <t>مشتل اسماعيل - الرياض</t>
        </is>
      </c>
      <c r="F53" s="12" t="n">
        <v>285</v>
      </c>
      <c r="G53" s="12" t="n"/>
      <c r="H53" s="11" t="inlineStr">
        <is>
          <t>⚠ غير موجود في شيت "المدفوعات" المرفق مع مبيعات السيارات | سيارة 3010</t>
        </is>
      </c>
    </row>
    <row r="54">
      <c r="A54" s="3" t="n">
        <v>52</v>
      </c>
      <c r="B54" s="3" t="inlineStr">
        <is>
          <t>DP-Riyadh-0035</t>
        </is>
      </c>
      <c r="C54" s="107" t="n">
        <v>46222</v>
      </c>
      <c r="D54" s="3" t="inlineStr">
        <is>
          <t>قبض – سداد عميل</t>
        </is>
      </c>
      <c r="E54" s="3" t="inlineStr">
        <is>
          <t>مشاتل العليا-الرياض</t>
        </is>
      </c>
      <c r="F54" s="4" t="n">
        <v>540</v>
      </c>
      <c r="G54" s="4" t="n"/>
      <c r="H54" s="3" t="inlineStr">
        <is>
          <t xml:space="preserve"> | سيارة 1219</t>
        </is>
      </c>
    </row>
    <row r="55">
      <c r="A55" s="3" t="n">
        <v>53</v>
      </c>
      <c r="B55" s="3" t="inlineStr">
        <is>
          <t>DP-Riyadh-0036</t>
        </is>
      </c>
      <c r="C55" s="107" t="n">
        <v>46222</v>
      </c>
      <c r="D55" s="3" t="inlineStr">
        <is>
          <t>قبض – سداد عميل</t>
        </is>
      </c>
      <c r="E55" s="3" t="inlineStr">
        <is>
          <t>مشاتل الثمامة-الرياض</t>
        </is>
      </c>
      <c r="F55" s="4" t="n">
        <v>585</v>
      </c>
      <c r="G55" s="4" t="n"/>
      <c r="H55" s="3" t="inlineStr">
        <is>
          <t xml:space="preserve"> | سيارة 1219</t>
        </is>
      </c>
    </row>
    <row r="56">
      <c r="A56" s="11" t="n">
        <v>54</v>
      </c>
      <c r="B56" s="11" t="inlineStr">
        <is>
          <t>DP-Riyadh-0037</t>
        </is>
      </c>
      <c r="C56" s="106" t="n">
        <v>46222</v>
      </c>
      <c r="D56" s="11" t="inlineStr">
        <is>
          <t>قبض – سداد عميل</t>
        </is>
      </c>
      <c r="E56" s="11" t="inlineStr">
        <is>
          <t>مشتل اسماعيل - الرياض</t>
        </is>
      </c>
      <c r="F56" s="12" t="n">
        <v>145</v>
      </c>
      <c r="G56" s="12" t="n"/>
      <c r="H56" s="11" t="inlineStr">
        <is>
          <t>⚠ غير موجود في شيت "المدفوعات" المرفق مع مبيعات السيارات | سيارة 3010</t>
        </is>
      </c>
    </row>
    <row r="57">
      <c r="A57" s="11" t="n">
        <v>55</v>
      </c>
      <c r="B57" s="11" t="inlineStr">
        <is>
          <t>DIS-Riyadh-0018</t>
        </is>
      </c>
      <c r="C57" s="106" t="n">
        <v>46223</v>
      </c>
      <c r="D57" s="11" t="inlineStr">
        <is>
          <t>صرف</t>
        </is>
      </c>
      <c r="E57" s="11" t="inlineStr">
        <is>
          <t>محمد عبدالمجيد (70)</t>
        </is>
      </c>
      <c r="F57" s="12" t="n"/>
      <c r="G57" s="12" t="n">
        <v>4200</v>
      </c>
      <c r="H57" s="11" t="inlineStr">
        <is>
          <t>⚠ بدون بيان</t>
        </is>
      </c>
    </row>
    <row r="58">
      <c r="A58" s="3" t="n">
        <v>56</v>
      </c>
      <c r="B58" s="3" t="inlineStr">
        <is>
          <t>DP-Riyadh-0038</t>
        </is>
      </c>
      <c r="C58" s="107" t="n">
        <v>46223</v>
      </c>
      <c r="D58" s="3" t="inlineStr">
        <is>
          <t>قبض – سداد عميل</t>
        </is>
      </c>
      <c r="E58" s="3" t="inlineStr">
        <is>
          <t>مشتل احمد بتشا-الرياض</t>
        </is>
      </c>
      <c r="F58" s="4" t="n">
        <v>1540</v>
      </c>
      <c r="G58" s="4" t="n"/>
      <c r="H58" s="3" t="inlineStr">
        <is>
          <t xml:space="preserve"> | سيارة 1219</t>
        </is>
      </c>
    </row>
    <row r="59">
      <c r="A59" s="11" t="n">
        <v>57</v>
      </c>
      <c r="B59" s="11" t="inlineStr">
        <is>
          <t>DP-Riyadh-0039</t>
        </is>
      </c>
      <c r="C59" s="106" t="n">
        <v>46223</v>
      </c>
      <c r="D59" s="11" t="inlineStr">
        <is>
          <t>قبض – سداد عميل</t>
        </is>
      </c>
      <c r="E59" s="11" t="inlineStr">
        <is>
          <t>مشتل اسماعيل - الرياض</t>
        </is>
      </c>
      <c r="F59" s="12" t="n">
        <v>270</v>
      </c>
      <c r="G59" s="12" t="n"/>
      <c r="H59" s="11" t="inlineStr">
        <is>
          <t>⚠ غير موجود في شيت "المدفوعات" المرفق مع مبيعات السيارات | سيارة 3010</t>
        </is>
      </c>
    </row>
    <row r="60">
      <c r="A60" s="3" t="n">
        <v>58</v>
      </c>
      <c r="B60" s="3" t="inlineStr">
        <is>
          <t>DP-Riyadh-0040</t>
        </is>
      </c>
      <c r="C60" s="107" t="n">
        <v>46224</v>
      </c>
      <c r="D60" s="3" t="inlineStr">
        <is>
          <t>قبض – سداد عميل</t>
        </is>
      </c>
      <c r="E60" s="3" t="inlineStr">
        <is>
          <t>مشتل زهور الرياض - الرياض</t>
        </is>
      </c>
      <c r="F60" s="4" t="n">
        <v>300</v>
      </c>
      <c r="G60" s="4" t="n"/>
      <c r="H60" s="3" t="inlineStr">
        <is>
          <t xml:space="preserve"> | سيارة 1219</t>
        </is>
      </c>
    </row>
    <row r="61">
      <c r="A61" s="11" t="n">
        <v>59</v>
      </c>
      <c r="B61" s="11" t="inlineStr">
        <is>
          <t>DP-Riyadh-0041</t>
        </is>
      </c>
      <c r="C61" s="106" t="n">
        <v>46224</v>
      </c>
      <c r="D61" s="11" t="inlineStr">
        <is>
          <t>قبض – سداد عميل</t>
        </is>
      </c>
      <c r="E61" s="11" t="inlineStr">
        <is>
          <t>مشتل اسماعيل - الرياض</t>
        </is>
      </c>
      <c r="F61" s="12" t="n">
        <v>150</v>
      </c>
      <c r="G61" s="12" t="n"/>
      <c r="H61" s="11" t="inlineStr">
        <is>
          <t>⚠ غير موجود في شيت "المدفوعات" المرفق مع مبيعات السيارات | سيارة 3010</t>
        </is>
      </c>
    </row>
    <row r="62">
      <c r="A62" s="3" t="n">
        <v>60</v>
      </c>
      <c r="B62" s="3" t="inlineStr">
        <is>
          <t>DP-Riyadh-0042</t>
        </is>
      </c>
      <c r="C62" s="107" t="n">
        <v>46225</v>
      </c>
      <c r="D62" s="3" t="inlineStr">
        <is>
          <t>قبض – سداد عميل</t>
        </is>
      </c>
      <c r="E62" s="3" t="inlineStr">
        <is>
          <t>مشتل عمر الخضير-الرياض</t>
        </is>
      </c>
      <c r="F62" s="4" t="n">
        <v>800</v>
      </c>
      <c r="G62" s="4" t="n"/>
      <c r="H62" s="3" t="inlineStr">
        <is>
          <t xml:space="preserve"> | سيارة 1219</t>
        </is>
      </c>
    </row>
    <row r="63">
      <c r="A63" s="11" t="n">
        <v>61</v>
      </c>
      <c r="B63" s="11" t="inlineStr">
        <is>
          <t>DP-Riyadh-0043</t>
        </is>
      </c>
      <c r="C63" s="106" t="n">
        <v>46225</v>
      </c>
      <c r="D63" s="11" t="inlineStr">
        <is>
          <t>قبض – سداد عميل</t>
        </is>
      </c>
      <c r="E63" s="11" t="inlineStr">
        <is>
          <t>مشتل اسماعيل - الرياض</t>
        </is>
      </c>
      <c r="F63" s="12" t="n">
        <v>125</v>
      </c>
      <c r="G63" s="12" t="n"/>
      <c r="H63" s="11" t="inlineStr">
        <is>
          <t>⚠ غير موجود في شيت "المدفوعات" المرفق مع مبيعات السيارات | سيارة 3010</t>
        </is>
      </c>
    </row>
    <row r="64">
      <c r="A64" s="3" t="n">
        <v>62</v>
      </c>
      <c r="B64" s="3" t="inlineStr">
        <is>
          <t>DP-Riyadh-0044</t>
        </is>
      </c>
      <c r="C64" s="107" t="n">
        <v>46226</v>
      </c>
      <c r="D64" s="3" t="inlineStr">
        <is>
          <t>قبض – سداد عميل</t>
        </is>
      </c>
      <c r="E64" s="3" t="inlineStr">
        <is>
          <t>مشتل زهور الرياض - الرياض</t>
        </is>
      </c>
      <c r="F64" s="4" t="n">
        <v>545</v>
      </c>
      <c r="G64" s="4" t="n"/>
      <c r="H64" s="3" t="inlineStr">
        <is>
          <t xml:space="preserve"> | سيارة 1219</t>
        </is>
      </c>
    </row>
    <row r="65">
      <c r="A65" s="11" t="n">
        <v>63</v>
      </c>
      <c r="B65" s="11" t="inlineStr">
        <is>
          <t>DP-Riyadh-0045</t>
        </is>
      </c>
      <c r="C65" s="106" t="n">
        <v>46226</v>
      </c>
      <c r="D65" s="11" t="inlineStr">
        <is>
          <t>قبض – سداد عميل</t>
        </is>
      </c>
      <c r="E65" s="11" t="inlineStr">
        <is>
          <t>مشتل اسماعيل - الرياض</t>
        </is>
      </c>
      <c r="F65" s="12" t="n">
        <v>125</v>
      </c>
      <c r="G65" s="12" t="n"/>
      <c r="H65" s="11" t="inlineStr">
        <is>
          <t>⚠ غير موجود في شيت "المدفوعات" المرفق مع مبيعات السيارات | سيارة 3010</t>
        </is>
      </c>
    </row>
    <row r="66">
      <c r="A66" s="3" t="n">
        <v>64</v>
      </c>
      <c r="B66" s="3" t="inlineStr">
        <is>
          <t>DP-Riyadh-0046</t>
        </is>
      </c>
      <c r="C66" s="107" t="n">
        <v>46228</v>
      </c>
      <c r="D66" s="3" t="inlineStr">
        <is>
          <t>قبض – سداد عميل</t>
        </is>
      </c>
      <c r="E66" s="3" t="inlineStr">
        <is>
          <t>مشاتل مخرج 22-الرياض</t>
        </is>
      </c>
      <c r="F66" s="4" t="n">
        <v>584</v>
      </c>
      <c r="G66" s="4" t="n"/>
      <c r="H66" s="3" t="inlineStr">
        <is>
          <t xml:space="preserve"> | سيارة 1219</t>
        </is>
      </c>
    </row>
    <row r="67">
      <c r="A67" s="11" t="n">
        <v>65</v>
      </c>
      <c r="B67" s="11" t="inlineStr">
        <is>
          <t>DP-Riyadh-0047</t>
        </is>
      </c>
      <c r="C67" s="106" t="n">
        <v>46228</v>
      </c>
      <c r="D67" s="11" t="inlineStr">
        <is>
          <t>قبض – سداد عميل</t>
        </is>
      </c>
      <c r="E67" s="11" t="inlineStr">
        <is>
          <t>مشتل اسماعيل - الرياض</t>
        </is>
      </c>
      <c r="F67" s="12" t="n">
        <v>270</v>
      </c>
      <c r="G67" s="12" t="n"/>
      <c r="H67" s="11" t="inlineStr">
        <is>
          <t>⚠ غير موجود في شيت "المدفوعات" المرفق مع مبيعات السيارات | سيارة 3010</t>
        </is>
      </c>
    </row>
    <row r="68">
      <c r="A68" s="3" t="n">
        <v>66</v>
      </c>
      <c r="B68" s="3" t="inlineStr">
        <is>
          <t>DP-Riyadh-0048</t>
        </is>
      </c>
      <c r="C68" s="107" t="n">
        <v>46230</v>
      </c>
      <c r="D68" s="3" t="inlineStr">
        <is>
          <t>قبض – سداد عميل</t>
        </is>
      </c>
      <c r="E68" s="3" t="inlineStr">
        <is>
          <t>مشاتل طريق خريص-الرياض</t>
        </is>
      </c>
      <c r="F68" s="4" t="n">
        <v>500</v>
      </c>
      <c r="G68" s="4" t="n"/>
      <c r="H68" s="3" t="inlineStr">
        <is>
          <t xml:space="preserve"> | سيارة 1219</t>
        </is>
      </c>
    </row>
    <row r="69">
      <c r="A69" s="3" t="n">
        <v>67</v>
      </c>
      <c r="B69" s="3" t="inlineStr">
        <is>
          <t>DP-Riyadh-0049</t>
        </is>
      </c>
      <c r="C69" s="107" t="n">
        <v>46231</v>
      </c>
      <c r="D69" s="3" t="inlineStr">
        <is>
          <t>قبض – سداد عميل</t>
        </is>
      </c>
      <c r="E69" s="3" t="inlineStr">
        <is>
          <t>مشتل افتخار-الرياض</t>
        </is>
      </c>
      <c r="F69" s="4" t="n">
        <v>500</v>
      </c>
      <c r="G69" s="4" t="n"/>
      <c r="H69" s="3" t="inlineStr">
        <is>
          <t xml:space="preserve"> | سيارة 1219</t>
        </is>
      </c>
    </row>
    <row r="70">
      <c r="A70" s="11" t="n">
        <v>68</v>
      </c>
      <c r="B70" s="11" t="inlineStr">
        <is>
          <t>DP-Riyadh-0050</t>
        </is>
      </c>
      <c r="C70" s="106" t="n">
        <v>46232</v>
      </c>
      <c r="D70" s="11" t="inlineStr">
        <is>
          <t>قبض – سداد عميل</t>
        </is>
      </c>
      <c r="E70" s="11" t="inlineStr">
        <is>
          <t>كيان الوطن الصناعية ( اسماعيل ) - الرياض</t>
        </is>
      </c>
      <c r="F70" s="12" t="n">
        <v>125</v>
      </c>
      <c r="G70" s="12" t="n"/>
      <c r="H70" s="11" t="inlineStr">
        <is>
          <t>⚠ غير موجود في شيت "المدفوعات" المرفق مع مبيعات السيارات | سيارة 3010</t>
        </is>
      </c>
    </row>
    <row r="71">
      <c r="A71" s="11" t="n">
        <v>69</v>
      </c>
      <c r="B71" s="11" t="inlineStr">
        <is>
          <t>DP-Riyadh-0051</t>
        </is>
      </c>
      <c r="C71" s="106" t="n">
        <v>46233</v>
      </c>
      <c r="D71" s="11" t="inlineStr">
        <is>
          <t>قبض – سداد عميل</t>
        </is>
      </c>
      <c r="E71" s="11" t="inlineStr">
        <is>
          <t>مؤسسة فارس علي السالمي التجارية ( اسماعيل ) - الرياض</t>
        </is>
      </c>
      <c r="F71" s="12" t="n">
        <v>75</v>
      </c>
      <c r="G71" s="12" t="n"/>
      <c r="H71" s="11" t="inlineStr">
        <is>
          <t>⚠ غير موجود في شيت "المدفوعات" المرفق مع مبيعات السيارات | سيارة 3010</t>
        </is>
      </c>
    </row>
    <row r="72">
      <c r="A72" s="9" t="inlineStr"/>
      <c r="B72" s="9" t="inlineStr"/>
      <c r="C72" s="9" t="inlineStr"/>
      <c r="D72" s="9" t="inlineStr"/>
      <c r="E72" s="9" t="inlineStr">
        <is>
          <t>الإجمالي (يونيو–يوليو)</t>
        </is>
      </c>
      <c r="F72" s="10">
        <f>SUM(F3:F71)</f>
        <v/>
      </c>
      <c r="G72" s="10">
        <f>SUM(G3:G71)</f>
        <v/>
      </c>
      <c r="H72" s="9" t="n"/>
    </row>
    <row r="73" ht="32" customHeight="1">
      <c r="A73" s="13" t="inlineStr"/>
    </row>
    <row r="74" ht="32" customHeight="1">
      <c r="A74" s="13" t="inlineStr">
        <is>
          <t>ملاحظات:</t>
        </is>
      </c>
    </row>
    <row r="75" ht="32" customHeight="1">
      <c r="A75" s="13" t="inlineStr">
        <is>
          <t>1) تقرير الخزنة (150 سند من 7-6 إلى 26-9-2026): رصيد افتتاحي 41,269.00 – مقبوضات 120,008.00 – مدفوعات 150,686.21 – رصيد 10,590.79. المراجعة هنا ليونيو ويوليو فقط كما طُلب.</t>
        </is>
      </c>
    </row>
    <row r="76" ht="32" customHeight="1">
      <c r="A76" s="13" t="inlineStr">
        <is>
          <t>2) ⚠ شيت "المدفوعات" المرفق سابقاً مع مبيعات السيارات كان ناقصاً 13 سند قبض (منها كل سدادات عملاء سيارة 3010 في يوليو) – التقرير الحالي هو المرجع.</t>
        </is>
      </c>
    </row>
    <row r="77" ht="32" customHeight="1">
      <c r="A77" s="13" t="inlineStr">
        <is>
          <t>3) ⚠ سدادات مشتل سليمان - فحص دوري (13,900) وجزء من سدادات عمر الخضير وأحمد بتشا وافتخار وعبدالقادر تزيد عن مبيعات السيارات لهم – أي أنها سداد لمديونيات جملة قديمة (عصمت).</t>
        </is>
      </c>
    </row>
    <row r="78" ht="32" customHeight="1">
      <c r="A78" s="13" t="inlineStr">
        <is>
          <t>4) مصروفات العهد في هذا التقرير مطابقة لإضافات العهد في تقارير العهدة (عصمت وعماد وإسماعيل وحسين).</t>
        </is>
      </c>
    </row>
    <row r="79" ht="32" customHeight="1">
      <c r="A79" s="13" t="inlineStr">
        <is>
          <t>5) ⚠ صرف 11,000 و 1,500 لـ ENG.AHMED ABDELSABOUR، و 2,588 و 4,200 لمحمد عبدالمجيد، و 3,963.64 و 5,863.80 لـ RIYADH NURSERY – بدون بيان.</t>
        </is>
      </c>
    </row>
  </sheetData>
  <mergeCells count="8">
    <mergeCell ref="A78:H78"/>
    <mergeCell ref="A77:H77"/>
    <mergeCell ref="A73:H73"/>
    <mergeCell ref="A76:H76"/>
    <mergeCell ref="A1:H1"/>
    <mergeCell ref="A75:H75"/>
    <mergeCell ref="A79:H79"/>
    <mergeCell ref="A74:H7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4" customWidth="1" min="4" max="4"/>
    <col width="34" customWidth="1" min="5" max="5"/>
    <col width="30" customWidth="1" min="6" max="6"/>
    <col width="34" customWidth="1" min="7" max="7"/>
    <col width="40" customWidth="1" min="8" max="8"/>
  </cols>
  <sheetData>
    <row r="1">
      <c r="A1" s="1" t="inlineStr">
        <is>
          <t>سندات صرف بدون بيان أو بمبلغ غير مسجل</t>
        </is>
      </c>
    </row>
    <row r="2">
      <c r="A2" s="2" t="inlineStr">
        <is>
          <t>م</t>
        </is>
      </c>
      <c r="B2" s="2" t="inlineStr">
        <is>
          <t>رقم السند</t>
        </is>
      </c>
      <c r="C2" s="2" t="inlineStr">
        <is>
          <t>التاريخ</t>
        </is>
      </c>
      <c r="D2" s="2" t="inlineStr">
        <is>
          <t>المبلغ</t>
        </is>
      </c>
      <c r="E2" s="2" t="inlineStr">
        <is>
          <t>المستفيد</t>
        </is>
      </c>
      <c r="F2" s="2" t="inlineStr">
        <is>
          <t>المصدر</t>
        </is>
      </c>
      <c r="G2" s="2" t="inlineStr">
        <is>
          <t>مكانه في الملف</t>
        </is>
      </c>
      <c r="H2" s="2" t="inlineStr">
        <is>
          <t>ملاحظة</t>
        </is>
      </c>
    </row>
    <row r="3">
      <c r="A3" s="3" t="n">
        <v>1</v>
      </c>
      <c r="B3" s="3" t="inlineStr">
        <is>
          <t>DIS-Riyadh-0002</t>
        </is>
      </c>
      <c r="C3" s="107" t="n">
        <v>46180</v>
      </c>
      <c r="D3" s="4" t="n">
        <v>3963.64</v>
      </c>
      <c r="E3" s="3" t="inlineStr">
        <is>
          <t>RIYADH NURSERY</t>
        </is>
      </c>
      <c r="F3" s="3" t="inlineStr">
        <is>
          <t>تقرير خزنة الرياض (النظام الجديد) – صفحة 7 سطر 149</t>
        </is>
      </c>
      <c r="G3" s="3" t="inlineStr">
        <is>
          <t>صفحة "خزنة الرياض 6-7 2026"</t>
        </is>
      </c>
      <c r="H3" s="3" t="inlineStr">
        <is>
          <t>مقارب لإضافة عهدة حسين 3,984.33 (30-5) – فرق 20.69</t>
        </is>
      </c>
    </row>
    <row r="4">
      <c r="A4" s="3" t="n">
        <v>2</v>
      </c>
      <c r="B4" s="3" t="inlineStr">
        <is>
          <t>DIS-Riyadh-0004</t>
        </is>
      </c>
      <c r="C4" s="107" t="n">
        <v>46186</v>
      </c>
      <c r="D4" s="4" t="n">
        <v>1500</v>
      </c>
      <c r="E4" s="3" t="inlineStr">
        <is>
          <t>ENG.AHMED ABDELSABOUR</t>
        </is>
      </c>
      <c r="F4" s="3" t="inlineStr">
        <is>
          <t>تقرير الخزنة – صفحة 7 سطر 145</t>
        </is>
      </c>
      <c r="G4" s="3" t="inlineStr">
        <is>
          <t>صفحة "خزنة الرياض 6-7 2026"</t>
        </is>
      </c>
      <c r="H4" s="3" t="inlineStr"/>
    </row>
    <row r="5">
      <c r="A5" s="3" t="n">
        <v>3</v>
      </c>
      <c r="B5" s="3" t="inlineStr">
        <is>
          <t>DIS-Riyadh-0010</t>
        </is>
      </c>
      <c r="C5" s="107" t="n">
        <v>46194</v>
      </c>
      <c r="D5" s="4" t="n">
        <v>5863.8</v>
      </c>
      <c r="E5" s="3" t="inlineStr">
        <is>
          <t>RIYADH NURSERY</t>
        </is>
      </c>
      <c r="F5" s="3" t="inlineStr">
        <is>
          <t>تقرير الخزنة – صفحة 6 سطر 128</t>
        </is>
      </c>
      <c r="G5" s="3" t="inlineStr">
        <is>
          <t>صفحة "خزنة الرياض 6-7 2026"</t>
        </is>
      </c>
      <c r="H5" s="3" t="inlineStr"/>
    </row>
    <row r="6">
      <c r="A6" s="128" t="n">
        <v>4</v>
      </c>
      <c r="B6" s="128" t="inlineStr">
        <is>
          <t>DIS-Riyadh-0012</t>
        </is>
      </c>
      <c r="C6" s="129" t="n">
        <v>46204</v>
      </c>
      <c r="D6" s="130" t="n">
        <v>11000</v>
      </c>
      <c r="E6" s="128" t="inlineStr">
        <is>
          <t>ENG.AHMED ABDELSABOUR</t>
        </is>
      </c>
      <c r="F6" s="128" t="inlineStr">
        <is>
          <t>تقرير الخزنة – صفحة 5 سطر 117</t>
        </is>
      </c>
      <c r="G6" s="128" t="inlineStr">
        <is>
          <t>صفحة "خزنة الرياض 6-7 2026"</t>
        </is>
      </c>
      <c r="H6" s="128" t="inlineStr">
        <is>
          <t>✓ تم التوضيح: سداد جزئي لـ PO-0777 (بساتين الرياض)</t>
        </is>
      </c>
    </row>
    <row r="7">
      <c r="A7" s="3" t="n">
        <v>5</v>
      </c>
      <c r="B7" s="3" t="inlineStr">
        <is>
          <t>DIS-Riyadh-0014</t>
        </is>
      </c>
      <c r="C7" s="107" t="n">
        <v>46218</v>
      </c>
      <c r="D7" s="4" t="n">
        <v>2588</v>
      </c>
      <c r="E7" s="3" t="inlineStr">
        <is>
          <t>محمد عبدالمجيد (70)</t>
        </is>
      </c>
      <c r="F7" s="3" t="inlineStr">
        <is>
          <t>تقرير الخزنة – صفحة 6 سطر 107</t>
        </is>
      </c>
      <c r="G7" s="3" t="inlineStr">
        <is>
          <t>صفحة "خزنة الرياض 6-7 2026"</t>
        </is>
      </c>
      <c r="H7" s="3" t="inlineStr"/>
    </row>
    <row r="8">
      <c r="A8" s="3" t="n">
        <v>6</v>
      </c>
      <c r="B8" s="3" t="inlineStr">
        <is>
          <t>DIS-Riyadh-0018</t>
        </is>
      </c>
      <c r="C8" s="107" t="n">
        <v>46223</v>
      </c>
      <c r="D8" s="4" t="n">
        <v>4200</v>
      </c>
      <c r="E8" s="3" t="inlineStr">
        <is>
          <t>محمد عبدالمجيد (70)</t>
        </is>
      </c>
      <c r="F8" s="3" t="inlineStr">
        <is>
          <t>تقرير الخزنة – صفحة 5 سطر 95</t>
        </is>
      </c>
      <c r="G8" s="3" t="inlineStr">
        <is>
          <t>صفحة "خزنة الرياض 6-7 2026"</t>
        </is>
      </c>
      <c r="H8" s="3" t="inlineStr"/>
    </row>
    <row r="9">
      <c r="A9" s="9" t="inlineStr"/>
      <c r="B9" s="9" t="inlineStr">
        <is>
          <t>الإجمالي</t>
        </is>
      </c>
      <c r="C9" s="9" t="inlineStr"/>
      <c r="D9" s="10">
        <f>SUM(D3:D8)</f>
        <v/>
      </c>
      <c r="E9" s="9" t="n"/>
      <c r="F9" s="9" t="n"/>
      <c r="G9" s="9" t="n"/>
      <c r="H9" s="9" t="n"/>
    </row>
    <row r="10"/>
    <row r="11" ht="34" customHeight="1">
      <c r="B11" s="13" t="inlineStr">
        <is>
          <t>كشف الخزنة القديم: 53 سند مصروفات مسجلة بمبلغ صفر (يناير–فبراير 2026) + رواتب 5-2026 مكتوبة بالبيان – موجودة في صفحة "مصروفات الخزنة (كشف الحساب)" باللون الرمادي (فلتر عمود المبلغ = 0).</t>
        </is>
      </c>
    </row>
  </sheetData>
  <mergeCells count="2">
    <mergeCell ref="B11:H11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C55A11"/>
    <outlinePr summaryBelow="1" summaryRight="1"/>
    <pageSetUpPr/>
  </sheetPr>
  <dimension ref="A1:G41"/>
  <sheetViews>
    <sheetView rightToLeft="1" zoomScale="10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4" t="inlineStr">
        <is>
          <t>المبالغ الآجلة لدى العملاء والمستحقة للموردين حتى 31-7-2026</t>
        </is>
      </c>
    </row>
    <row r="2"/>
    <row r="3">
      <c r="A3" s="61" t="inlineStr">
        <is>
          <t>أولاً: عملاء مبيعات السيارات (يونيو–يوليو 2026)</t>
        </is>
      </c>
    </row>
    <row r="4">
      <c r="A4" s="86" t="inlineStr">
        <is>
          <t>م</t>
        </is>
      </c>
      <c r="B4" s="86" t="inlineStr">
        <is>
          <t>العميل</t>
        </is>
      </c>
      <c r="C4" s="86" t="inlineStr">
        <is>
          <t>السيارة</t>
        </is>
      </c>
      <c r="D4" s="86" t="inlineStr">
        <is>
          <t>المبيعات (صافي المرتجع)</t>
        </is>
      </c>
      <c r="E4" s="86" t="inlineStr">
        <is>
          <t>المقبوض يونيو–يوليو</t>
        </is>
      </c>
      <c r="F4" s="86" t="inlineStr">
        <is>
          <t>الرصيد الآجل</t>
        </is>
      </c>
      <c r="G4" s="86" t="inlineStr">
        <is>
          <t>ملاحظة</t>
        </is>
      </c>
    </row>
    <row r="5">
      <c r="A5" s="18" t="n">
        <v>1</v>
      </c>
      <c r="B5" s="18" t="inlineStr">
        <is>
          <t>مشاتل طريق خريص-الرياض</t>
        </is>
      </c>
      <c r="C5" s="18" t="inlineStr">
        <is>
          <t>1219</t>
        </is>
      </c>
      <c r="D5" s="19" t="n">
        <v>4732.5</v>
      </c>
      <c r="E5" s="19" t="n">
        <v>2300</v>
      </c>
      <c r="F5" s="19">
        <f>D5-E5</f>
        <v/>
      </c>
      <c r="G5" s="18" t="inlineStr"/>
    </row>
    <row r="6">
      <c r="A6" s="18" t="n">
        <v>2</v>
      </c>
      <c r="B6" s="18" t="inlineStr">
        <is>
          <t>مشتل نسيم الصبا - الرياض</t>
        </is>
      </c>
      <c r="C6" s="18" t="inlineStr">
        <is>
          <t>1219</t>
        </is>
      </c>
      <c r="D6" s="19" t="n">
        <v>2805.31</v>
      </c>
      <c r="E6" s="19" t="n">
        <v>890</v>
      </c>
      <c r="F6" s="19">
        <f>D6-E6</f>
        <v/>
      </c>
      <c r="G6" s="18" t="inlineStr"/>
    </row>
    <row r="7">
      <c r="A7" s="18" t="n">
        <v>3</v>
      </c>
      <c r="B7" s="18" t="inlineStr">
        <is>
          <t>مشاتل مخرج 15-الرياض</t>
        </is>
      </c>
      <c r="C7" s="18" t="inlineStr">
        <is>
          <t>1219</t>
        </is>
      </c>
      <c r="D7" s="19" t="n">
        <v>4997</v>
      </c>
      <c r="E7" s="19" t="n">
        <v>3870</v>
      </c>
      <c r="F7" s="19">
        <f>D7-E7</f>
        <v/>
      </c>
      <c r="G7" s="18" t="inlineStr"/>
    </row>
    <row r="8">
      <c r="A8" s="18" t="n">
        <v>4</v>
      </c>
      <c r="B8" s="18" t="inlineStr">
        <is>
          <t>مشاتل طريق ملك عبدالله-الرياض</t>
        </is>
      </c>
      <c r="C8" s="18" t="inlineStr">
        <is>
          <t>1219</t>
        </is>
      </c>
      <c r="D8" s="19" t="n">
        <v>1085.54</v>
      </c>
      <c r="E8" s="19" t="n">
        <v>0</v>
      </c>
      <c r="F8" s="19">
        <f>D8-E8</f>
        <v/>
      </c>
      <c r="G8" s="18" t="inlineStr"/>
    </row>
    <row r="9">
      <c r="A9" s="18" t="n">
        <v>5</v>
      </c>
      <c r="B9" s="18" t="inlineStr">
        <is>
          <t>مشتل ظهرة البديعة - الرياض</t>
        </is>
      </c>
      <c r="C9" s="18" t="inlineStr">
        <is>
          <t>1219</t>
        </is>
      </c>
      <c r="D9" s="19" t="n">
        <v>450</v>
      </c>
      <c r="E9" s="19" t="n">
        <v>0</v>
      </c>
      <c r="F9" s="19">
        <f>D9-E9</f>
        <v/>
      </c>
      <c r="G9" s="18" t="inlineStr"/>
    </row>
    <row r="10">
      <c r="A10" s="18" t="n">
        <v>6</v>
      </c>
      <c r="B10" s="18" t="inlineStr">
        <is>
          <t>مشتل حي لبن - الرياض</t>
        </is>
      </c>
      <c r="C10" s="18" t="inlineStr">
        <is>
          <t>1219</t>
        </is>
      </c>
      <c r="D10" s="19" t="n">
        <v>4370.57</v>
      </c>
      <c r="E10" s="19" t="n">
        <v>4040.5</v>
      </c>
      <c r="F10" s="19">
        <f>D10-E10</f>
        <v/>
      </c>
      <c r="G10" s="18" t="inlineStr"/>
    </row>
    <row r="11">
      <c r="A11" s="18" t="n">
        <v>7</v>
      </c>
      <c r="B11" s="18" t="inlineStr">
        <is>
          <t>مشاتل زهور الاحساء-الدمام</t>
        </is>
      </c>
      <c r="C11" s="18" t="inlineStr">
        <is>
          <t>3010</t>
        </is>
      </c>
      <c r="D11" s="19" t="n">
        <v>1795</v>
      </c>
      <c r="E11" s="19" t="n">
        <v>1495</v>
      </c>
      <c r="F11" s="19">
        <f>D11-E11</f>
        <v/>
      </c>
      <c r="G11" s="18" t="inlineStr"/>
    </row>
    <row r="12">
      <c r="A12" s="18" t="n">
        <v>8</v>
      </c>
      <c r="B12" s="18" t="inlineStr">
        <is>
          <t>مشاتل مخرج 22-الرياض</t>
        </is>
      </c>
      <c r="C12" s="18" t="inlineStr">
        <is>
          <t>1219</t>
        </is>
      </c>
      <c r="D12" s="19" t="n">
        <v>808</v>
      </c>
      <c r="E12" s="19" t="n">
        <v>584</v>
      </c>
      <c r="F12" s="19">
        <f>D12-E12</f>
        <v/>
      </c>
      <c r="G12" s="18" t="inlineStr"/>
    </row>
    <row r="13">
      <c r="A13" s="18" t="n">
        <v>9</v>
      </c>
      <c r="B13" s="18" t="inlineStr">
        <is>
          <t>مشتل زهور الرياض - الرياض</t>
        </is>
      </c>
      <c r="C13" s="18" t="inlineStr">
        <is>
          <t>1219</t>
        </is>
      </c>
      <c r="D13" s="19" t="n">
        <v>2644</v>
      </c>
      <c r="E13" s="19" t="n">
        <v>2540</v>
      </c>
      <c r="F13" s="19">
        <f>D13-E13</f>
        <v/>
      </c>
      <c r="G13" s="18" t="inlineStr"/>
    </row>
    <row r="14">
      <c r="A14" s="18" t="n">
        <v>10</v>
      </c>
      <c r="B14" s="18" t="inlineStr">
        <is>
          <t>مشاتل وردة الياسمين - الرياض</t>
        </is>
      </c>
      <c r="C14" s="18" t="inlineStr">
        <is>
          <t>1219</t>
        </is>
      </c>
      <c r="D14" s="19" t="n">
        <v>620</v>
      </c>
      <c r="E14" s="19" t="n">
        <v>540</v>
      </c>
      <c r="F14" s="19">
        <f>D14-E14</f>
        <v/>
      </c>
      <c r="G14" s="18" t="inlineStr"/>
    </row>
    <row r="15">
      <c r="A15" s="18" t="n">
        <v>11</v>
      </c>
      <c r="B15" s="18" t="inlineStr">
        <is>
          <t>مشاتل الثمامة-الرياض</t>
        </is>
      </c>
      <c r="C15" s="18" t="inlineStr">
        <is>
          <t>1219</t>
        </is>
      </c>
      <c r="D15" s="19" t="n">
        <v>645</v>
      </c>
      <c r="E15" s="19" t="n">
        <v>585</v>
      </c>
      <c r="F15" s="19">
        <f>D15-E15</f>
        <v/>
      </c>
      <c r="G15" s="18" t="inlineStr"/>
    </row>
    <row r="16">
      <c r="A16" s="16" t="n">
        <v>12</v>
      </c>
      <c r="B16" s="16" t="inlineStr">
        <is>
          <t>مؤسسة فارس علي السالمي التجارية ( اسماعيل ) - الرياض</t>
        </is>
      </c>
      <c r="C16" s="16" t="inlineStr">
        <is>
          <t>3010</t>
        </is>
      </c>
      <c r="D16" s="17" t="n">
        <v>75</v>
      </c>
      <c r="E16" s="17" t="n">
        <v>75</v>
      </c>
      <c r="F16" s="17">
        <f>D16-E16</f>
        <v/>
      </c>
      <c r="G16" s="16" t="inlineStr"/>
    </row>
    <row r="17">
      <c r="A17" s="16" t="n">
        <v>13</v>
      </c>
      <c r="B17" s="16" t="inlineStr">
        <is>
          <t>كيان الوطن الصناعية ( اسماعيل ) - الرياض</t>
        </is>
      </c>
      <c r="C17" s="16" t="inlineStr">
        <is>
          <t>3010</t>
        </is>
      </c>
      <c r="D17" s="17" t="n">
        <v>125</v>
      </c>
      <c r="E17" s="17" t="n">
        <v>125</v>
      </c>
      <c r="F17" s="17">
        <f>D17-E17</f>
        <v/>
      </c>
      <c r="G17" s="16" t="inlineStr"/>
    </row>
    <row r="18">
      <c r="A18" s="16" t="n">
        <v>14</v>
      </c>
      <c r="B18" s="16" t="inlineStr">
        <is>
          <t>مشتل اسماعيل - الرياض</t>
        </is>
      </c>
      <c r="C18" s="16" t="inlineStr">
        <is>
          <t>3010</t>
        </is>
      </c>
      <c r="D18" s="17" t="n">
        <v>2410</v>
      </c>
      <c r="E18" s="17" t="n">
        <v>2410</v>
      </c>
      <c r="F18" s="17">
        <f>D18-E18</f>
        <v/>
      </c>
      <c r="G18" s="16" t="inlineStr"/>
    </row>
    <row r="19">
      <c r="A19" s="16" t="n">
        <v>15</v>
      </c>
      <c r="B19" s="16" t="inlineStr">
        <is>
          <t>مشاتل اليوسف-الدمام</t>
        </is>
      </c>
      <c r="C19" s="16" t="inlineStr">
        <is>
          <t>3010</t>
        </is>
      </c>
      <c r="D19" s="17" t="n">
        <v>2054.75</v>
      </c>
      <c r="E19" s="17" t="n">
        <v>2054.75</v>
      </c>
      <c r="F19" s="17">
        <f>D19-E19</f>
        <v/>
      </c>
      <c r="G19" s="16" t="inlineStr"/>
    </row>
    <row r="20">
      <c r="A20" s="16" t="n">
        <v>16</v>
      </c>
      <c r="B20" s="16" t="inlineStr">
        <is>
          <t>مشاتل العليا-الرياض</t>
        </is>
      </c>
      <c r="C20" s="16" t="inlineStr">
        <is>
          <t>1219</t>
        </is>
      </c>
      <c r="D20" s="17" t="n">
        <v>1520.75</v>
      </c>
      <c r="E20" s="17" t="n">
        <v>1520.75</v>
      </c>
      <c r="F20" s="17">
        <f>D20-E20</f>
        <v/>
      </c>
      <c r="G20" s="16" t="inlineStr"/>
    </row>
    <row r="21">
      <c r="A21" s="16" t="n">
        <v>17</v>
      </c>
      <c r="B21" s="16" t="inlineStr">
        <is>
          <t>مشاتل طريق مخرج 8-الرياض</t>
        </is>
      </c>
      <c r="C21" s="16" t="inlineStr">
        <is>
          <t>1219</t>
        </is>
      </c>
      <c r="D21" s="17" t="n">
        <v>1967</v>
      </c>
      <c r="E21" s="17" t="n">
        <v>1967</v>
      </c>
      <c r="F21" s="17">
        <f>D21-E21</f>
        <v/>
      </c>
      <c r="G21" s="16" t="inlineStr"/>
    </row>
    <row r="22">
      <c r="A22" s="16" t="n">
        <v>18</v>
      </c>
      <c r="B22" s="16" t="inlineStr">
        <is>
          <t>مشتل سالم-الرياض</t>
        </is>
      </c>
      <c r="C22" s="16" t="inlineStr">
        <is>
          <t>1219</t>
        </is>
      </c>
      <c r="D22" s="17" t="n">
        <v>2832</v>
      </c>
      <c r="E22" s="17" t="n">
        <v>2902</v>
      </c>
      <c r="F22" s="17">
        <f>D22-E22</f>
        <v/>
      </c>
      <c r="G22" s="16" t="inlineStr">
        <is>
          <t>المقبوض أكبر من مبيعات السيارات – الفرق سداد لمديونية جملة سابقة</t>
        </is>
      </c>
    </row>
    <row r="23">
      <c r="A23" s="16" t="n">
        <v>19</v>
      </c>
      <c r="B23" s="16" t="inlineStr">
        <is>
          <t>مشتل عبدالقادر-الرياض</t>
        </is>
      </c>
      <c r="C23" s="16" t="inlineStr">
        <is>
          <t>1219</t>
        </is>
      </c>
      <c r="D23" s="17" t="n">
        <v>2007.5</v>
      </c>
      <c r="E23" s="17" t="n">
        <v>2340</v>
      </c>
      <c r="F23" s="17">
        <f>D23-E23</f>
        <v/>
      </c>
      <c r="G23" s="16" t="inlineStr">
        <is>
          <t>المقبوض أكبر من مبيعات السيارات – الفرق سداد لمديونية جملة سابقة</t>
        </is>
      </c>
    </row>
    <row r="24">
      <c r="A24" s="16" t="n">
        <v>20</v>
      </c>
      <c r="B24" s="16" t="inlineStr">
        <is>
          <t>مشتل عمر الخضير-الرياض</t>
        </is>
      </c>
      <c r="C24" s="16" t="inlineStr">
        <is>
          <t>1219</t>
        </is>
      </c>
      <c r="D24" s="17" t="n">
        <v>1915</v>
      </c>
      <c r="E24" s="17" t="n">
        <v>2800</v>
      </c>
      <c r="F24" s="17">
        <f>D24-E24</f>
        <v/>
      </c>
      <c r="G24" s="16" t="inlineStr">
        <is>
          <t>المقبوض أكبر من مبيعات السيارات – الفرق سداد لمديونية جملة سابقة</t>
        </is>
      </c>
    </row>
    <row r="25">
      <c r="A25" s="16" t="n">
        <v>21</v>
      </c>
      <c r="B25" s="16" t="inlineStr">
        <is>
          <t>مشتل افتخار-الرياض</t>
        </is>
      </c>
      <c r="C25" s="16" t="inlineStr">
        <is>
          <t>1219</t>
        </is>
      </c>
      <c r="D25" s="17" t="n">
        <v>440</v>
      </c>
      <c r="E25" s="17" t="n">
        <v>1370</v>
      </c>
      <c r="F25" s="17">
        <f>D25-E25</f>
        <v/>
      </c>
      <c r="G25" s="16" t="inlineStr">
        <is>
          <t>المقبوض أكبر من مبيعات السيارات – الفرق سداد لمديونية جملة سابقة</t>
        </is>
      </c>
    </row>
    <row r="26">
      <c r="A26" s="16" t="n">
        <v>22</v>
      </c>
      <c r="B26" s="16" t="inlineStr">
        <is>
          <t>مشتل احمد بتشا-الرياض</t>
        </is>
      </c>
      <c r="C26" s="16" t="inlineStr">
        <is>
          <t>1219</t>
        </is>
      </c>
      <c r="D26" s="17" t="n">
        <v>769</v>
      </c>
      <c r="E26" s="17" t="n">
        <v>2340</v>
      </c>
      <c r="F26" s="17">
        <f>D26-E26</f>
        <v/>
      </c>
      <c r="G26" s="16" t="inlineStr">
        <is>
          <t>المقبوض أكبر من مبيعات السيارات – الفرق سداد لمديونية جملة سابقة</t>
        </is>
      </c>
    </row>
    <row r="27">
      <c r="A27" s="16" t="n">
        <v>23</v>
      </c>
      <c r="B27" s="16" t="inlineStr">
        <is>
          <t>مشتل سليمان - فحص دوري-الرياض</t>
        </is>
      </c>
      <c r="C27" s="16" t="inlineStr">
        <is>
          <t>—</t>
        </is>
      </c>
      <c r="D27" s="17" t="n">
        <v>0</v>
      </c>
      <c r="E27" s="17" t="n">
        <v>13900</v>
      </c>
      <c r="F27" s="17">
        <f>D27-E27</f>
        <v/>
      </c>
      <c r="G27" s="16" t="inlineStr">
        <is>
          <t>لا مبيعات سيارات – سداد مديونية جملة سابقة</t>
        </is>
      </c>
    </row>
    <row r="28">
      <c r="A28" s="9" t="inlineStr"/>
      <c r="B28" s="9" t="inlineStr">
        <is>
          <t>الإجمالي</t>
        </is>
      </c>
      <c r="C28" s="9" t="inlineStr"/>
      <c r="D28" s="10">
        <f>SUM(D5:D27)</f>
        <v/>
      </c>
      <c r="E28" s="10">
        <f>SUM(E5:E27)</f>
        <v/>
      </c>
      <c r="F28" s="10">
        <f>SUM(F5:F27)</f>
        <v/>
      </c>
      <c r="G28" s="9" t="n"/>
    </row>
    <row r="29">
      <c r="A29" s="56" t="inlineStr"/>
      <c r="B29" s="56" t="inlineStr">
        <is>
          <t>الآجل الموجب فقط (مبالغ لدى العملاء من مبيعات السيارات)</t>
        </is>
      </c>
      <c r="C29" s="56" t="inlineStr"/>
      <c r="D29" s="56" t="inlineStr"/>
      <c r="E29" s="56" t="inlineStr"/>
      <c r="F29" s="57">
        <f>SUMIF(F5:F27,"&gt;0")</f>
        <v/>
      </c>
      <c r="G29" s="56" t="n"/>
    </row>
    <row r="30">
      <c r="A30" s="56" t="inlineStr"/>
      <c r="B30" s="56" t="inlineStr">
        <is>
          <t>المقبوض الزائد = سداد مديونيات جملة سابقة (يُخصم من أرصدة المناديب)</t>
        </is>
      </c>
      <c r="C30" s="56" t="inlineStr"/>
      <c r="D30" s="56" t="inlineStr"/>
      <c r="E30" s="56" t="inlineStr"/>
      <c r="F30" s="57">
        <f>-SUMIF(F5:F27,"&lt;0")</f>
        <v/>
      </c>
      <c r="G30" s="56" t="n"/>
    </row>
    <row r="31"/>
    <row r="32">
      <c r="A32" s="61" t="inlineStr">
        <is>
          <t>ثانياً: أرصدة المناديب (جملة) حسب كشف الخزنة حتى 3-6-2026</t>
        </is>
      </c>
    </row>
    <row r="33">
      <c r="A33" s="42" t="inlineStr">
        <is>
          <t>م</t>
        </is>
      </c>
      <c r="B33" s="42" t="inlineStr">
        <is>
          <t>المندوب</t>
        </is>
      </c>
      <c r="C33" s="42" t="inlineStr"/>
      <c r="D33" s="42" t="inlineStr">
        <is>
          <t>المبيعات بالكشف</t>
        </is>
      </c>
      <c r="E33" s="42" t="inlineStr">
        <is>
          <t>السداد بالكشف</t>
        </is>
      </c>
      <c r="F33" s="42" t="inlineStr">
        <is>
          <t>الرصيد الآجل</t>
        </is>
      </c>
      <c r="G33" s="42" t="inlineStr">
        <is>
          <t>ملاحظة</t>
        </is>
      </c>
    </row>
    <row r="34">
      <c r="A34" s="16" t="n">
        <v>1</v>
      </c>
      <c r="B34" s="16" t="inlineStr">
        <is>
          <t>عصمت الله خان (5001)</t>
        </is>
      </c>
      <c r="C34" s="16" t="inlineStr"/>
      <c r="D34" s="17" t="n">
        <v>555547.5</v>
      </c>
      <c r="E34" s="17" t="n">
        <v>491714.93</v>
      </c>
      <c r="F34" s="17">
        <f>D34-E34</f>
        <v/>
      </c>
      <c r="G34" s="16" t="inlineStr">
        <is>
          <t>الكشف يبدأ من 1-11-2025</t>
        </is>
      </c>
    </row>
    <row r="35">
      <c r="A35" s="16" t="n">
        <v>2</v>
      </c>
      <c r="B35" s="16" t="inlineStr">
        <is>
          <t>عماد حمدي (5002)</t>
        </is>
      </c>
      <c r="C35" s="16" t="inlineStr"/>
      <c r="D35" s="17" t="n">
        <v>235450.75</v>
      </c>
      <c r="E35" s="17" t="n">
        <v>228618</v>
      </c>
      <c r="F35" s="17">
        <f>D35-E35</f>
        <v/>
      </c>
      <c r="G35" s="16" t="inlineStr"/>
    </row>
    <row r="36"/>
    <row r="37">
      <c r="A37" s="61" t="inlineStr">
        <is>
          <t>ثالثاً: المستحق للموردين حتى 31-7-2026</t>
        </is>
      </c>
    </row>
    <row r="38">
      <c r="A38" s="42" t="inlineStr">
        <is>
          <t>م</t>
        </is>
      </c>
      <c r="B38" s="42" t="inlineStr">
        <is>
          <t>المورد / المستند</t>
        </is>
      </c>
      <c r="C38" s="42" t="inlineStr"/>
      <c r="D38" s="42" t="inlineStr">
        <is>
          <t>القيمة</t>
        </is>
      </c>
      <c r="E38" s="42" t="inlineStr">
        <is>
          <t>المسدد</t>
        </is>
      </c>
      <c r="F38" s="42" t="inlineStr">
        <is>
          <t>المتبقي</t>
        </is>
      </c>
      <c r="G38" s="42" t="inlineStr">
        <is>
          <t>ملاحظة</t>
        </is>
      </c>
    </row>
    <row r="39">
      <c r="A39" s="16" t="n">
        <v>1</v>
      </c>
      <c r="B39" s="16" t="inlineStr">
        <is>
          <t>بساتين الرياض – PO-1023 (28-7-2026)</t>
        </is>
      </c>
      <c r="C39" s="16" t="inlineStr"/>
      <c r="D39" s="17" t="n">
        <v>33950</v>
      </c>
      <c r="E39" s="17" t="n">
        <v>0</v>
      </c>
      <c r="F39" s="17">
        <f>D39-IF(E39="",0,E39)</f>
        <v/>
      </c>
      <c r="G39" s="16" t="inlineStr">
        <is>
          <t>غير مدفوع – مستلم</t>
        </is>
      </c>
    </row>
    <row r="40">
      <c r="A40" s="16" t="n">
        <v>2</v>
      </c>
      <c r="B40" s="16" t="inlineStr">
        <is>
          <t>بساتين الرياض – PO-0777 (24-6-2026)</t>
        </is>
      </c>
      <c r="C40" s="16" t="inlineStr"/>
      <c r="D40" s="17" t="n">
        <v>66420</v>
      </c>
      <c r="E40" s="17" t="n">
        <v>11000</v>
      </c>
      <c r="F40" s="17">
        <f>D40-IF(E40="",0,E40)</f>
        <v/>
      </c>
      <c r="G40" s="16" t="inlineStr">
        <is>
          <t>مسدد 11,000 بسند الخزنة DIS-Riyadh-0012 (1-7-2026) – المتبقي 55,420</t>
        </is>
      </c>
    </row>
    <row r="41">
      <c r="A41" s="9" t="inlineStr"/>
      <c r="B41" s="9" t="inlineStr">
        <is>
          <t>الإجمالي</t>
        </is>
      </c>
      <c r="C41" s="9" t="inlineStr"/>
      <c r="D41" s="10">
        <f>SUM(D39:D40)</f>
        <v/>
      </c>
      <c r="E41" s="9" t="inlineStr"/>
      <c r="F41" s="10">
        <f>SUM(F39:F40)</f>
        <v/>
      </c>
      <c r="G41" s="9" t="n"/>
    </row>
  </sheetData>
  <mergeCells count="4">
    <mergeCell ref="A32:G32"/>
    <mergeCell ref="A3:G3"/>
    <mergeCell ref="A1:G1"/>
    <mergeCell ref="A37:G3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301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24" customWidth="1" min="4" max="4"/>
    <col width="24" customWidth="1" min="5" max="5"/>
    <col width="13" customWidth="1" min="6" max="6"/>
    <col width="8" customWidth="1" min="7" max="7"/>
    <col width="13" customWidth="1" min="8" max="8"/>
    <col width="7" customWidth="1" min="9" max="9"/>
    <col width="16" customWidth="1" min="10" max="10"/>
    <col width="34" customWidth="1" min="11" max="11"/>
    <col width="70" customWidth="1" min="12" max="12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المورد / البيان</t>
        </is>
      </c>
      <c r="D1" s="22" t="inlineStr">
        <is>
          <t>أمر الشراء / الاسم</t>
        </is>
      </c>
      <c r="E1" s="22" t="inlineStr">
        <is>
          <t>المرجع</t>
        </is>
      </c>
      <c r="F1" s="22" t="inlineStr">
        <is>
          <t>قبل الضريبة</t>
        </is>
      </c>
      <c r="G1" s="22" t="inlineStr">
        <is>
          <t>الضريبة %</t>
        </is>
      </c>
      <c r="H1" s="22" t="inlineStr">
        <is>
          <t>الإجمالي</t>
        </is>
      </c>
      <c r="I1" s="22" t="inlineStr">
        <is>
          <t>مدفوع</t>
        </is>
      </c>
      <c r="J1" s="22" t="inlineStr">
        <is>
          <t>جهة الدفع</t>
        </is>
      </c>
      <c r="K1" s="22" t="inlineStr">
        <is>
          <t>التصنيف</t>
        </is>
      </c>
      <c r="L1" s="22" t="inlineStr">
        <is>
          <t>ملاحظة</t>
        </is>
      </c>
    </row>
    <row r="2">
      <c r="A2" s="79" t="n">
        <v>1</v>
      </c>
      <c r="B2" s="114" t="n">
        <v>45809</v>
      </c>
      <c r="C2" s="79" t="inlineStr">
        <is>
          <t>الشركة السعوديه للكهرباء</t>
        </is>
      </c>
      <c r="D2" s="79" t="inlineStr">
        <is>
          <t>RIYADH NURSERY</t>
        </is>
      </c>
      <c r="E2" s="79" t="inlineStr">
        <is>
          <t>فاتوره كهرباء شهر 6</t>
        </is>
      </c>
      <c r="F2" s="81" t="n">
        <v>5220.27</v>
      </c>
      <c r="G2" s="79" t="n">
        <v>15</v>
      </c>
      <c r="H2" s="81" t="n">
        <v>6003.31</v>
      </c>
      <c r="I2" s="79" t="inlineStr">
        <is>
          <t>نعم</t>
        </is>
      </c>
      <c r="J2" s="79" t="inlineStr">
        <is>
          <t>مزرعة الرياض (عهدة/صندوق)</t>
        </is>
      </c>
      <c r="K2" s="79" t="inlineStr">
        <is>
          <t>خدمات (كهرباء/مياه/اتصالات)</t>
        </is>
      </c>
      <c r="L2" s="79" t="inlineStr">
        <is>
          <t>قبل 1-7-2025 (فاتورة كهرباء شهر 6)</t>
        </is>
      </c>
    </row>
    <row r="3">
      <c r="A3" s="16" t="n">
        <v>2</v>
      </c>
      <c r="B3" s="95" t="n">
        <v>45839</v>
      </c>
      <c r="C3" s="16" t="inlineStr">
        <is>
          <t>الشركة السعوديه للكهرباء</t>
        </is>
      </c>
      <c r="D3" s="16" t="inlineStr">
        <is>
          <t>RIYADH NURSERY</t>
        </is>
      </c>
      <c r="E3" s="16" t="inlineStr">
        <is>
          <t>ايصال الكهرباء شهر 7</t>
        </is>
      </c>
      <c r="F3" s="17" t="n">
        <v>3955.58</v>
      </c>
      <c r="G3" s="16" t="n">
        <v>15</v>
      </c>
      <c r="H3" s="17" t="n">
        <v>4548.92</v>
      </c>
      <c r="I3" s="16" t="inlineStr">
        <is>
          <t>نعم</t>
        </is>
      </c>
      <c r="J3" s="16" t="inlineStr">
        <is>
          <t>مزرعة الرياض (عهدة/صندوق)</t>
        </is>
      </c>
      <c r="K3" s="16" t="inlineStr">
        <is>
          <t>خدمات (كهرباء/مياه/اتصالات)</t>
        </is>
      </c>
      <c r="L3" s="16" t="n"/>
    </row>
    <row r="4">
      <c r="A4" s="16" t="n">
        <v>3</v>
      </c>
      <c r="B4" s="95" t="n">
        <v>45839</v>
      </c>
      <c r="C4" s="16" t="inlineStr">
        <is>
          <t>رواتب</t>
        </is>
      </c>
      <c r="D4" s="16" t="inlineStr">
        <is>
          <t>RIYADH NURSERY</t>
        </is>
      </c>
      <c r="E4" s="16" t="inlineStr">
        <is>
          <t>رواتب شهر 7</t>
        </is>
      </c>
      <c r="F4" s="17" t="n">
        <v>24332.17</v>
      </c>
      <c r="G4" s="16" t="n">
        <v>15</v>
      </c>
      <c r="H4" s="17" t="n">
        <v>27982</v>
      </c>
      <c r="I4" s="16" t="inlineStr">
        <is>
          <t>نعم</t>
        </is>
      </c>
      <c r="J4" s="16" t="inlineStr">
        <is>
          <t>مزرعة الرياض (عهدة/صندوق)</t>
        </is>
      </c>
      <c r="K4" s="16" t="inlineStr">
        <is>
          <t>رواتب وعمولات</t>
        </is>
      </c>
      <c r="L4" s="16" t="n"/>
    </row>
    <row r="5">
      <c r="A5" s="16" t="n">
        <v>4</v>
      </c>
      <c r="B5" s="95" t="n">
        <v>45840</v>
      </c>
      <c r="C5" s="16" t="inlineStr">
        <is>
          <t>الوقود</t>
        </is>
      </c>
      <c r="D5" s="16" t="inlineStr">
        <is>
          <t>RIYADH NURSERY</t>
        </is>
      </c>
      <c r="E5" s="16" t="n"/>
      <c r="F5" s="17" t="n">
        <v>217.42</v>
      </c>
      <c r="G5" s="16" t="n">
        <v>15</v>
      </c>
      <c r="H5" s="17" t="n">
        <v>250.03</v>
      </c>
      <c r="I5" s="16" t="inlineStr">
        <is>
          <t>نعم</t>
        </is>
      </c>
      <c r="J5" s="16" t="inlineStr">
        <is>
          <t>مزرعة الرياض (عهدة/صندوق)</t>
        </is>
      </c>
      <c r="K5" s="16" t="inlineStr">
        <is>
          <t>وقود</t>
        </is>
      </c>
      <c r="L5" s="16" t="n"/>
    </row>
    <row r="6">
      <c r="A6" s="16" t="n">
        <v>5</v>
      </c>
      <c r="B6" s="95" t="n">
        <v>45840</v>
      </c>
      <c r="C6" s="16" t="inlineStr">
        <is>
          <t>ينابع المئويه لتحلية المياه</t>
        </is>
      </c>
      <c r="D6" s="16" t="inlineStr">
        <is>
          <t>RIYADH NURSERY</t>
        </is>
      </c>
      <c r="E6" s="16" t="inlineStr">
        <is>
          <t>رد مياه</t>
        </is>
      </c>
      <c r="F6" s="17" t="n">
        <v>52.17</v>
      </c>
      <c r="G6" s="16" t="n">
        <v>15</v>
      </c>
      <c r="H6" s="17" t="n">
        <v>60</v>
      </c>
      <c r="I6" s="16" t="inlineStr">
        <is>
          <t>نعم</t>
        </is>
      </c>
      <c r="J6" s="16" t="inlineStr">
        <is>
          <t>مزرعة الرياض (عهدة/صندوق)</t>
        </is>
      </c>
      <c r="K6" s="16" t="inlineStr">
        <is>
          <t>خدمات (كهرباء/مياه/اتصالات)</t>
        </is>
      </c>
      <c r="L6" s="16" t="n"/>
    </row>
    <row r="7">
      <c r="A7" s="16" t="n">
        <v>6</v>
      </c>
      <c r="B7" s="95" t="n">
        <v>45840</v>
      </c>
      <c r="C7" s="16" t="inlineStr">
        <is>
          <t>الوقود</t>
        </is>
      </c>
      <c r="D7" s="16" t="inlineStr">
        <is>
          <t>RIYADH NURSERY</t>
        </is>
      </c>
      <c r="E7" s="16" t="inlineStr">
        <is>
          <t>غسيل سياره</t>
        </is>
      </c>
      <c r="F7" s="17" t="n">
        <v>52.17</v>
      </c>
      <c r="G7" s="16" t="n">
        <v>15</v>
      </c>
      <c r="H7" s="17" t="n">
        <v>60</v>
      </c>
      <c r="I7" s="16" t="inlineStr">
        <is>
          <t>نعم</t>
        </is>
      </c>
      <c r="J7" s="16" t="inlineStr">
        <is>
          <t>مزرعة الرياض (عهدة/صندوق)</t>
        </is>
      </c>
      <c r="K7" s="16" t="inlineStr">
        <is>
          <t>وقود</t>
        </is>
      </c>
      <c r="L7" s="16" t="n"/>
    </row>
    <row r="8">
      <c r="A8" s="16" t="n">
        <v>7</v>
      </c>
      <c r="B8" s="95" t="n">
        <v>45840</v>
      </c>
      <c r="C8" s="16" t="inlineStr">
        <is>
          <t>محطة المجمع لخدمات السيارات</t>
        </is>
      </c>
      <c r="D8" s="16" t="inlineStr">
        <is>
          <t>RIYADH NURSERY</t>
        </is>
      </c>
      <c r="E8" s="16" t="inlineStr">
        <is>
          <t>بنشر كفر السياره</t>
        </is>
      </c>
      <c r="F8" s="17" t="n">
        <v>13.04</v>
      </c>
      <c r="G8" s="16" t="n">
        <v>15</v>
      </c>
      <c r="H8" s="17" t="n">
        <v>15</v>
      </c>
      <c r="I8" s="16" t="inlineStr">
        <is>
          <t>نعم</t>
        </is>
      </c>
      <c r="J8" s="16" t="inlineStr">
        <is>
          <t>مزرعة الرياض (عهدة/صندوق)</t>
        </is>
      </c>
      <c r="K8" s="16" t="inlineStr">
        <is>
          <t>صيانة سيارات ومعدات</t>
        </is>
      </c>
      <c r="L8" s="16" t="n"/>
    </row>
    <row r="9">
      <c r="A9" s="16" t="n">
        <v>8</v>
      </c>
      <c r="B9" s="95" t="n">
        <v>45841</v>
      </c>
      <c r="C9" s="16" t="inlineStr">
        <is>
          <t>الوقود</t>
        </is>
      </c>
      <c r="D9" s="16" t="inlineStr">
        <is>
          <t>RIYADH NURSERY</t>
        </is>
      </c>
      <c r="E9" s="16" t="n"/>
      <c r="F9" s="17" t="n">
        <v>93.04000000000001</v>
      </c>
      <c r="G9" s="16" t="n">
        <v>15</v>
      </c>
      <c r="H9" s="17" t="n">
        <v>107</v>
      </c>
      <c r="I9" s="16" t="inlineStr">
        <is>
          <t>نعم</t>
        </is>
      </c>
      <c r="J9" s="16" t="inlineStr">
        <is>
          <t>مزرعة الرياض (عهدة/صندوق)</t>
        </is>
      </c>
      <c r="K9" s="16" t="inlineStr">
        <is>
          <t>وقود</t>
        </is>
      </c>
      <c r="L9" s="16" t="n"/>
    </row>
    <row r="10">
      <c r="A10" s="16" t="n">
        <v>9</v>
      </c>
      <c r="B10" s="95" t="n">
        <v>45841</v>
      </c>
      <c r="C10" s="16" t="inlineStr">
        <is>
          <t>الوقود</t>
        </is>
      </c>
      <c r="D10" s="16" t="inlineStr">
        <is>
          <t>RIYADH NURSERY</t>
        </is>
      </c>
      <c r="E10" s="16" t="n"/>
      <c r="F10" s="17" t="n">
        <v>111.3</v>
      </c>
      <c r="G10" s="16" t="n">
        <v>15</v>
      </c>
      <c r="H10" s="17" t="n">
        <v>128</v>
      </c>
      <c r="I10" s="16" t="inlineStr">
        <is>
          <t>نعم</t>
        </is>
      </c>
      <c r="J10" s="16" t="inlineStr">
        <is>
          <t>مزرعة الرياض (عهدة/صندوق)</t>
        </is>
      </c>
      <c r="K10" s="16" t="inlineStr">
        <is>
          <t>وقود</t>
        </is>
      </c>
      <c r="L10" s="16" t="n"/>
    </row>
    <row r="11">
      <c r="A11" s="16" t="n">
        <v>10</v>
      </c>
      <c r="B11" s="95" t="n">
        <v>45842</v>
      </c>
      <c r="C11" s="16" t="inlineStr">
        <is>
          <t>الوقود</t>
        </is>
      </c>
      <c r="D11" s="16" t="inlineStr">
        <is>
          <t>RIYADH NURSERY</t>
        </is>
      </c>
      <c r="E11" s="16" t="n"/>
      <c r="F11" s="17" t="n">
        <v>185.22</v>
      </c>
      <c r="G11" s="16" t="n">
        <v>15</v>
      </c>
      <c r="H11" s="17" t="n">
        <v>213</v>
      </c>
      <c r="I11" s="16" t="inlineStr">
        <is>
          <t>نعم</t>
        </is>
      </c>
      <c r="J11" s="16" t="inlineStr">
        <is>
          <t>مزرعة الرياض (عهدة/صندوق)</t>
        </is>
      </c>
      <c r="K11" s="16" t="inlineStr">
        <is>
          <t>وقود</t>
        </is>
      </c>
      <c r="L11" s="16" t="n"/>
    </row>
    <row r="12">
      <c r="A12" s="16" t="n">
        <v>11</v>
      </c>
      <c r="B12" s="95" t="n">
        <v>45843</v>
      </c>
      <c r="C12" s="16" t="inlineStr">
        <is>
          <t>الوقود</t>
        </is>
      </c>
      <c r="D12" s="16" t="inlineStr">
        <is>
          <t>RIYADH NURSERY</t>
        </is>
      </c>
      <c r="E12" s="16" t="n"/>
      <c r="F12" s="17" t="n">
        <v>132.17</v>
      </c>
      <c r="G12" s="16" t="n">
        <v>15</v>
      </c>
      <c r="H12" s="17" t="n">
        <v>152</v>
      </c>
      <c r="I12" s="16" t="inlineStr">
        <is>
          <t>نعم</t>
        </is>
      </c>
      <c r="J12" s="16" t="inlineStr">
        <is>
          <t>مزرعة الرياض (عهدة/صندوق)</t>
        </is>
      </c>
      <c r="K12" s="16" t="inlineStr">
        <is>
          <t>وقود</t>
        </is>
      </c>
      <c r="L12" s="16" t="n"/>
    </row>
    <row r="13">
      <c r="A13" s="16" t="n">
        <v>12</v>
      </c>
      <c r="B13" s="95" t="n">
        <v>45843</v>
      </c>
      <c r="C13" s="16" t="inlineStr">
        <is>
          <t>الوقود</t>
        </is>
      </c>
      <c r="D13" s="16" t="inlineStr">
        <is>
          <t>RIYADH NURSERY</t>
        </is>
      </c>
      <c r="E13" s="16" t="n"/>
      <c r="F13" s="17" t="n">
        <v>204.35</v>
      </c>
      <c r="G13" s="16" t="n">
        <v>15</v>
      </c>
      <c r="H13" s="17" t="n">
        <v>235</v>
      </c>
      <c r="I13" s="16" t="inlineStr">
        <is>
          <t>نعم</t>
        </is>
      </c>
      <c r="J13" s="16" t="inlineStr">
        <is>
          <t>مزرعة الرياض (عهدة/صندوق)</t>
        </is>
      </c>
      <c r="K13" s="16" t="inlineStr">
        <is>
          <t>وقود</t>
        </is>
      </c>
      <c r="L13" s="16" t="n"/>
    </row>
    <row r="14">
      <c r="A14" s="16" t="n">
        <v>13</v>
      </c>
      <c r="B14" s="95" t="n">
        <v>45843</v>
      </c>
      <c r="C14" s="16" t="inlineStr">
        <is>
          <t>الوقود</t>
        </is>
      </c>
      <c r="D14" s="16" t="inlineStr">
        <is>
          <t>RIYADH NURSERY</t>
        </is>
      </c>
      <c r="E14" s="16" t="n"/>
      <c r="F14" s="17" t="n">
        <v>78.29000000000001</v>
      </c>
      <c r="G14" s="16" t="n">
        <v>15</v>
      </c>
      <c r="H14" s="17" t="n">
        <v>90.03</v>
      </c>
      <c r="I14" s="16" t="inlineStr">
        <is>
          <t>نعم</t>
        </is>
      </c>
      <c r="J14" s="16" t="inlineStr">
        <is>
          <t>مزرعة الرياض (عهدة/صندوق)</t>
        </is>
      </c>
      <c r="K14" s="16" t="inlineStr">
        <is>
          <t>وقود</t>
        </is>
      </c>
      <c r="L14" s="16" t="n"/>
    </row>
    <row r="15">
      <c r="A15" s="16" t="n">
        <v>14</v>
      </c>
      <c r="B15" s="95" t="n">
        <v>45848</v>
      </c>
      <c r="C15" s="16" t="inlineStr">
        <is>
          <t>الوقود</t>
        </is>
      </c>
      <c r="D15" s="16" t="inlineStr">
        <is>
          <t>RIYADH NURSERY</t>
        </is>
      </c>
      <c r="E15" s="16" t="n"/>
      <c r="F15" s="17" t="n">
        <v>173.91</v>
      </c>
      <c r="G15" s="16" t="n">
        <v>15</v>
      </c>
      <c r="H15" s="17" t="n">
        <v>200</v>
      </c>
      <c r="I15" s="16" t="inlineStr">
        <is>
          <t>نعم</t>
        </is>
      </c>
      <c r="J15" s="16" t="inlineStr">
        <is>
          <t>مزرعة الرياض (عهدة/صندوق)</t>
        </is>
      </c>
      <c r="K15" s="16" t="inlineStr">
        <is>
          <t>وقود</t>
        </is>
      </c>
      <c r="L15" s="16" t="n"/>
    </row>
    <row r="16">
      <c r="A16" s="16" t="n">
        <v>15</v>
      </c>
      <c r="B16" s="95" t="n">
        <v>45852</v>
      </c>
      <c r="C16" s="16" t="inlineStr">
        <is>
          <t>الوقود</t>
        </is>
      </c>
      <c r="D16" s="16" t="inlineStr">
        <is>
          <t>RIYADH NURSERY</t>
        </is>
      </c>
      <c r="E16" s="16" t="n"/>
      <c r="F16" s="17" t="n">
        <v>191.3</v>
      </c>
      <c r="G16" s="16" t="n">
        <v>15</v>
      </c>
      <c r="H16" s="17" t="n">
        <v>220</v>
      </c>
      <c r="I16" s="16" t="inlineStr">
        <is>
          <t>نعم</t>
        </is>
      </c>
      <c r="J16" s="16" t="inlineStr">
        <is>
          <t>مزرعة الرياض (عهدة/صندوق)</t>
        </is>
      </c>
      <c r="K16" s="16" t="inlineStr">
        <is>
          <t>وقود</t>
        </is>
      </c>
      <c r="L16" s="16" t="n"/>
    </row>
    <row r="17">
      <c r="A17" s="16" t="n">
        <v>16</v>
      </c>
      <c r="B17" s="95" t="n">
        <v>45854</v>
      </c>
      <c r="C17" s="16" t="inlineStr">
        <is>
          <t>ينابع المئويه لتحلية المياه</t>
        </is>
      </c>
      <c r="D17" s="16" t="inlineStr">
        <is>
          <t>RIYADH NURSERY</t>
        </is>
      </c>
      <c r="E17" s="16" t="n"/>
      <c r="F17" s="17" t="n">
        <v>52.17</v>
      </c>
      <c r="G17" s="16" t="n">
        <v>15</v>
      </c>
      <c r="H17" s="17" t="n">
        <v>60</v>
      </c>
      <c r="I17" s="16" t="inlineStr">
        <is>
          <t>نعم</t>
        </is>
      </c>
      <c r="J17" s="16" t="inlineStr">
        <is>
          <t>مزرعة الرياض (عهدة/صندوق)</t>
        </is>
      </c>
      <c r="K17" s="16" t="inlineStr">
        <is>
          <t>خدمات (كهرباء/مياه/اتصالات)</t>
        </is>
      </c>
      <c r="L17" s="16" t="n"/>
    </row>
    <row r="18">
      <c r="A18" s="18" t="n">
        <v>17</v>
      </c>
      <c r="B18" s="98" t="n">
        <v>45854</v>
      </c>
      <c r="C18" s="18" t="inlineStr">
        <is>
          <t>مؤسسة بساتين الرياض</t>
        </is>
      </c>
      <c r="D18" s="18" t="inlineStr">
        <is>
          <t>RIYADH NURSERY-PO876</t>
        </is>
      </c>
      <c r="E18" s="18" t="inlineStr">
        <is>
          <t>شراء بذور</t>
        </is>
      </c>
      <c r="F18" s="19" t="n">
        <v>17180</v>
      </c>
      <c r="G18" s="18" t="n">
        <v>15</v>
      </c>
      <c r="H18" s="19" t="n">
        <v>19757</v>
      </c>
      <c r="I18" s="18" t="inlineStr">
        <is>
          <t>لا</t>
        </is>
      </c>
      <c r="J18" s="18" t="inlineStr">
        <is>
          <t>مزرعة الرياض (عهدة/صندوق)</t>
        </is>
      </c>
      <c r="K18" s="18" t="inlineStr">
        <is>
          <t>مشتريات نباتات وبذور</t>
        </is>
      </c>
      <c r="L18" s="18" t="inlineStr">
        <is>
          <t>غير مدفوع في 2025 – تم سداده في 2026 ضمن أمر PO-287-REV1</t>
        </is>
      </c>
    </row>
    <row r="19">
      <c r="A19" s="16" t="n">
        <v>18</v>
      </c>
      <c r="B19" s="95" t="n">
        <v>45855</v>
      </c>
      <c r="C19" s="16" t="inlineStr">
        <is>
          <t>الوقود</t>
        </is>
      </c>
      <c r="D19" s="16" t="inlineStr">
        <is>
          <t>RIYADH NURSERY</t>
        </is>
      </c>
      <c r="E19" s="16" t="n"/>
      <c r="F19" s="17" t="n">
        <v>173.91</v>
      </c>
      <c r="G19" s="16" t="n">
        <v>15</v>
      </c>
      <c r="H19" s="17" t="n">
        <v>200</v>
      </c>
      <c r="I19" s="16" t="inlineStr">
        <is>
          <t>نعم</t>
        </is>
      </c>
      <c r="J19" s="16" t="inlineStr">
        <is>
          <t>مزرعة الرياض (عهدة/صندوق)</t>
        </is>
      </c>
      <c r="K19" s="16" t="inlineStr">
        <is>
          <t>وقود</t>
        </is>
      </c>
      <c r="L19" s="16" t="n"/>
    </row>
    <row r="20">
      <c r="A20" s="16" t="n">
        <v>19</v>
      </c>
      <c r="B20" s="95" t="n">
        <v>45859</v>
      </c>
      <c r="C20" s="16" t="inlineStr">
        <is>
          <t>الوقود</t>
        </is>
      </c>
      <c r="D20" s="16" t="inlineStr">
        <is>
          <t>RIYADH NURSERY</t>
        </is>
      </c>
      <c r="E20" s="16" t="n"/>
      <c r="F20" s="17" t="n">
        <v>173.91</v>
      </c>
      <c r="G20" s="16" t="n">
        <v>15</v>
      </c>
      <c r="H20" s="17" t="n">
        <v>200</v>
      </c>
      <c r="I20" s="16" t="inlineStr">
        <is>
          <t>نعم</t>
        </is>
      </c>
      <c r="J20" s="16" t="inlineStr">
        <is>
          <t>مزرعة الرياض (عهدة/صندوق)</t>
        </is>
      </c>
      <c r="K20" s="16" t="inlineStr">
        <is>
          <t>وقود</t>
        </is>
      </c>
      <c r="L20" s="16" t="n"/>
    </row>
    <row r="21">
      <c r="A21" s="16" t="n">
        <v>20</v>
      </c>
      <c r="B21" s="95" t="n">
        <v>45860</v>
      </c>
      <c r="C21" s="16" t="inlineStr">
        <is>
          <t>الأمور الإدارية</t>
        </is>
      </c>
      <c r="D21" s="16" t="inlineStr">
        <is>
          <t>RIYADH NURSERY</t>
        </is>
      </c>
      <c r="E21" s="16" t="inlineStr">
        <is>
          <t>ادوات كهربائيه</t>
        </is>
      </c>
      <c r="F21" s="17" t="n">
        <v>30.43</v>
      </c>
      <c r="G21" s="16" t="n">
        <v>15</v>
      </c>
      <c r="H21" s="17" t="n">
        <v>35</v>
      </c>
      <c r="I21" s="16" t="inlineStr">
        <is>
          <t>نعم</t>
        </is>
      </c>
      <c r="J21" s="16" t="inlineStr">
        <is>
          <t>مزرعة الرياض (عهدة/صندوق)</t>
        </is>
      </c>
      <c r="K21" s="16" t="inlineStr">
        <is>
          <t>مصروفات إدارية وأخرى</t>
        </is>
      </c>
      <c r="L21" s="16" t="n"/>
    </row>
    <row r="22">
      <c r="A22" s="16" t="n">
        <v>21</v>
      </c>
      <c r="B22" s="95" t="n">
        <v>45860</v>
      </c>
      <c r="C22" s="16" t="inlineStr">
        <is>
          <t>الوقود</t>
        </is>
      </c>
      <c r="D22" s="16" t="inlineStr">
        <is>
          <t>RIYADH NURSERY</t>
        </is>
      </c>
      <c r="E22" s="16" t="n"/>
      <c r="F22" s="17" t="n">
        <v>60.87</v>
      </c>
      <c r="G22" s="16" t="n">
        <v>15</v>
      </c>
      <c r="H22" s="17" t="n">
        <v>70</v>
      </c>
      <c r="I22" s="16" t="inlineStr">
        <is>
          <t>نعم</t>
        </is>
      </c>
      <c r="J22" s="16" t="inlineStr">
        <is>
          <t>مزرعة الرياض (عهدة/صندوق)</t>
        </is>
      </c>
      <c r="K22" s="16" t="inlineStr">
        <is>
          <t>وقود</t>
        </is>
      </c>
      <c r="L22" s="16" t="n"/>
    </row>
    <row r="23">
      <c r="A23" s="16" t="n">
        <v>22</v>
      </c>
      <c r="B23" s="95" t="n">
        <v>45862</v>
      </c>
      <c r="C23" s="16" t="inlineStr">
        <is>
          <t>الوقود</t>
        </is>
      </c>
      <c r="D23" s="16" t="inlineStr">
        <is>
          <t>RIYADH NURSERY</t>
        </is>
      </c>
      <c r="E23" s="16" t="n"/>
      <c r="F23" s="17" t="n">
        <v>173.91</v>
      </c>
      <c r="G23" s="16" t="n">
        <v>15</v>
      </c>
      <c r="H23" s="17" t="n">
        <v>200</v>
      </c>
      <c r="I23" s="16" t="inlineStr">
        <is>
          <t>نعم</t>
        </is>
      </c>
      <c r="J23" s="16" t="inlineStr">
        <is>
          <t>مزرعة الرياض (عهدة/صندوق)</t>
        </is>
      </c>
      <c r="K23" s="16" t="inlineStr">
        <is>
          <t>وقود</t>
        </is>
      </c>
      <c r="L23" s="16" t="n"/>
    </row>
    <row r="24">
      <c r="A24" s="16" t="n">
        <v>23</v>
      </c>
      <c r="B24" s="95" t="n">
        <v>45865</v>
      </c>
      <c r="C24" s="16" t="inlineStr">
        <is>
          <t>الأمور الإدارية</t>
        </is>
      </c>
      <c r="D24" s="16" t="inlineStr">
        <is>
          <t>RIYADH NURSERY</t>
        </is>
      </c>
      <c r="E24" s="16" t="inlineStr">
        <is>
          <t>ادوات كهرباء</t>
        </is>
      </c>
      <c r="F24" s="17" t="n">
        <v>837.39</v>
      </c>
      <c r="G24" s="16" t="n">
        <v>15</v>
      </c>
      <c r="H24" s="17" t="n">
        <v>963</v>
      </c>
      <c r="I24" s="16" t="inlineStr">
        <is>
          <t>نعم</t>
        </is>
      </c>
      <c r="J24" s="16" t="inlineStr">
        <is>
          <t>مزرعة الرياض (عهدة/صندوق)</t>
        </is>
      </c>
      <c r="K24" s="16" t="inlineStr">
        <is>
          <t>مصروفات إدارية وأخرى</t>
        </is>
      </c>
      <c r="L24" s="16" t="n"/>
    </row>
    <row r="25">
      <c r="A25" s="16" t="n">
        <v>24</v>
      </c>
      <c r="B25" s="95" t="n">
        <v>45865</v>
      </c>
      <c r="C25" s="16" t="inlineStr">
        <is>
          <t>الوقود</t>
        </is>
      </c>
      <c r="D25" s="16" t="inlineStr">
        <is>
          <t>RIYADH NURSERY</t>
        </is>
      </c>
      <c r="E25" s="16" t="n"/>
      <c r="F25" s="17" t="n">
        <v>173.91</v>
      </c>
      <c r="G25" s="16" t="n">
        <v>15</v>
      </c>
      <c r="H25" s="17" t="n">
        <v>200</v>
      </c>
      <c r="I25" s="16" t="inlineStr">
        <is>
          <t>نعم</t>
        </is>
      </c>
      <c r="J25" s="16" t="inlineStr">
        <is>
          <t>مزرعة الرياض (عهدة/صندوق)</t>
        </is>
      </c>
      <c r="K25" s="16" t="inlineStr">
        <is>
          <t>وقود</t>
        </is>
      </c>
      <c r="L25" s="16" t="n"/>
    </row>
    <row r="26">
      <c r="A26" s="16" t="n">
        <v>25</v>
      </c>
      <c r="B26" s="95" t="n">
        <v>45866</v>
      </c>
      <c r="C26" s="16" t="inlineStr">
        <is>
          <t>مصنعيات</t>
        </is>
      </c>
      <c r="D26" s="16" t="inlineStr">
        <is>
          <t>RIYADH NURSERY</t>
        </is>
      </c>
      <c r="E26" s="16" t="inlineStr">
        <is>
          <t>اجره كهربائى</t>
        </is>
      </c>
      <c r="F26" s="17" t="n">
        <v>434.78</v>
      </c>
      <c r="G26" s="16" t="n">
        <v>15</v>
      </c>
      <c r="H26" s="17" t="n">
        <v>500</v>
      </c>
      <c r="I26" s="16" t="inlineStr">
        <is>
          <t>نعم</t>
        </is>
      </c>
      <c r="J26" s="16" t="inlineStr">
        <is>
          <t>مزرعة الرياض (عهدة/صندوق)</t>
        </is>
      </c>
      <c r="K26" s="16" t="inlineStr">
        <is>
          <t>صيانة وإنشاءات المزرعة</t>
        </is>
      </c>
      <c r="L26" s="16" t="n"/>
    </row>
    <row r="27">
      <c r="A27" s="16" t="n">
        <v>26</v>
      </c>
      <c r="B27" s="95" t="n">
        <v>45866</v>
      </c>
      <c r="C27" s="16" t="inlineStr">
        <is>
          <t>الوقود</t>
        </is>
      </c>
      <c r="D27" s="16" t="inlineStr">
        <is>
          <t>RIYADH NURSERY</t>
        </is>
      </c>
      <c r="E27" s="16" t="n"/>
      <c r="F27" s="17" t="n">
        <v>213.04</v>
      </c>
      <c r="G27" s="16" t="n">
        <v>15</v>
      </c>
      <c r="H27" s="17" t="n">
        <v>245</v>
      </c>
      <c r="I27" s="16" t="inlineStr">
        <is>
          <t>نعم</t>
        </is>
      </c>
      <c r="J27" s="16" t="inlineStr">
        <is>
          <t>مزرعة الرياض (عهدة/صندوق)</t>
        </is>
      </c>
      <c r="K27" s="16" t="inlineStr">
        <is>
          <t>وقود</t>
        </is>
      </c>
      <c r="L27" s="16" t="n"/>
    </row>
    <row r="28">
      <c r="A28" s="16" t="n">
        <v>27</v>
      </c>
      <c r="B28" s="95" t="n">
        <v>45866</v>
      </c>
      <c r="C28" s="16" t="inlineStr">
        <is>
          <t>الأمور الإدارية</t>
        </is>
      </c>
      <c r="D28" s="16" t="inlineStr">
        <is>
          <t>RIYADH NURSERY</t>
        </is>
      </c>
      <c r="E28" s="16" t="inlineStr">
        <is>
          <t>ادوات سباكه</t>
        </is>
      </c>
      <c r="F28" s="17" t="n">
        <v>2865.22</v>
      </c>
      <c r="G28" s="16" t="n">
        <v>15</v>
      </c>
      <c r="H28" s="17" t="n">
        <v>3295</v>
      </c>
      <c r="I28" s="16" t="inlineStr">
        <is>
          <t>نعم</t>
        </is>
      </c>
      <c r="J28" s="16" t="inlineStr">
        <is>
          <t>مزرعة الرياض (عهدة/صندوق)</t>
        </is>
      </c>
      <c r="K28" s="16" t="inlineStr">
        <is>
          <t>مصروفات إدارية وأخرى</t>
        </is>
      </c>
      <c r="L28" s="16" t="n"/>
    </row>
    <row r="29">
      <c r="A29" s="16" t="n">
        <v>28</v>
      </c>
      <c r="B29" s="95" t="n">
        <v>45867</v>
      </c>
      <c r="C29" s="16" t="inlineStr">
        <is>
          <t>الأمور الإدارية</t>
        </is>
      </c>
      <c r="D29" s="16" t="inlineStr">
        <is>
          <t>RIYADH NURSERY</t>
        </is>
      </c>
      <c r="E29" s="16" t="inlineStr">
        <is>
          <t>قفل + سلسله</t>
        </is>
      </c>
      <c r="F29" s="17" t="n">
        <v>143.48</v>
      </c>
      <c r="G29" s="16" t="n">
        <v>15</v>
      </c>
      <c r="H29" s="17" t="n">
        <v>165</v>
      </c>
      <c r="I29" s="16" t="inlineStr">
        <is>
          <t>نعم</t>
        </is>
      </c>
      <c r="J29" s="16" t="inlineStr">
        <is>
          <t>مزرعة الرياض (عهدة/صندوق)</t>
        </is>
      </c>
      <c r="K29" s="16" t="inlineStr">
        <is>
          <t>مصروفات إدارية وأخرى</t>
        </is>
      </c>
      <c r="L29" s="16" t="n"/>
    </row>
    <row r="30">
      <c r="A30" s="16" t="n">
        <v>29</v>
      </c>
      <c r="B30" s="95" t="n">
        <v>45868</v>
      </c>
      <c r="C30" s="16" t="inlineStr">
        <is>
          <t>ينابع المئويه لتحلية المياه</t>
        </is>
      </c>
      <c r="D30" s="16" t="inlineStr">
        <is>
          <t>RIYADH NURSERY</t>
        </is>
      </c>
      <c r="E30" s="16" t="n"/>
      <c r="F30" s="17" t="n">
        <v>52.17</v>
      </c>
      <c r="G30" s="16" t="n">
        <v>15</v>
      </c>
      <c r="H30" s="17" t="n">
        <v>60</v>
      </c>
      <c r="I30" s="16" t="inlineStr">
        <is>
          <t>نعم</t>
        </is>
      </c>
      <c r="J30" s="16" t="inlineStr">
        <is>
          <t>مزرعة الرياض (عهدة/صندوق)</t>
        </is>
      </c>
      <c r="K30" s="16" t="inlineStr">
        <is>
          <t>خدمات (كهرباء/مياه/اتصالات)</t>
        </is>
      </c>
      <c r="L30" s="16" t="n"/>
    </row>
    <row r="31">
      <c r="A31" s="16" t="n">
        <v>30</v>
      </c>
      <c r="B31" s="95" t="n">
        <v>45868</v>
      </c>
      <c r="C31" s="16" t="inlineStr">
        <is>
          <t>الأمور الإدارية</t>
        </is>
      </c>
      <c r="D31" s="16" t="inlineStr">
        <is>
          <t>RIYADH NURSERY</t>
        </is>
      </c>
      <c r="E31" s="16" t="n"/>
      <c r="F31" s="17" t="n">
        <v>165</v>
      </c>
      <c r="G31" s="16" t="n">
        <v>15</v>
      </c>
      <c r="H31" s="17" t="n">
        <v>189.75</v>
      </c>
      <c r="I31" s="16" t="inlineStr">
        <is>
          <t>نعم</t>
        </is>
      </c>
      <c r="J31" s="16" t="inlineStr">
        <is>
          <t>مزرعة الرياض (عهدة/صندوق)</t>
        </is>
      </c>
      <c r="K31" s="16" t="inlineStr">
        <is>
          <t>مصروفات إدارية وأخرى</t>
        </is>
      </c>
      <c r="L31" s="16" t="n"/>
    </row>
    <row r="32">
      <c r="A32" s="16" t="n">
        <v>31</v>
      </c>
      <c r="B32" s="95" t="n">
        <v>45868</v>
      </c>
      <c r="C32" s="16" t="inlineStr">
        <is>
          <t>الوقود</t>
        </is>
      </c>
      <c r="D32" s="16" t="inlineStr">
        <is>
          <t>RIYADH NURSERY</t>
        </is>
      </c>
      <c r="E32" s="16" t="inlineStr">
        <is>
          <t>توصيل 2 مكيف مع التركيب</t>
        </is>
      </c>
      <c r="F32" s="17" t="n">
        <v>260.87</v>
      </c>
      <c r="G32" s="16" t="n">
        <v>15</v>
      </c>
      <c r="H32" s="17" t="n">
        <v>300</v>
      </c>
      <c r="I32" s="16" t="inlineStr">
        <is>
          <t>نعم</t>
        </is>
      </c>
      <c r="J32" s="16" t="inlineStr">
        <is>
          <t>مزرعة الرياض (عهدة/صندوق)</t>
        </is>
      </c>
      <c r="K32" s="16" t="inlineStr">
        <is>
          <t>وقود</t>
        </is>
      </c>
      <c r="L32" s="16" t="n"/>
    </row>
    <row r="33">
      <c r="A33" s="16" t="n">
        <v>32</v>
      </c>
      <c r="B33" s="95" t="n">
        <v>45869</v>
      </c>
      <c r="C33" s="16" t="inlineStr">
        <is>
          <t>الوقود</t>
        </is>
      </c>
      <c r="D33" s="16" t="inlineStr">
        <is>
          <t>RIYADH NURSERY</t>
        </is>
      </c>
      <c r="E33" s="16" t="n"/>
      <c r="F33" s="17" t="n">
        <v>232.17</v>
      </c>
      <c r="G33" s="16" t="n">
        <v>15</v>
      </c>
      <c r="H33" s="17" t="n">
        <v>267</v>
      </c>
      <c r="I33" s="16" t="inlineStr">
        <is>
          <t>نعم</t>
        </is>
      </c>
      <c r="J33" s="16" t="inlineStr">
        <is>
          <t>مزرعة الرياض (عهدة/صندوق)</t>
        </is>
      </c>
      <c r="K33" s="16" t="inlineStr">
        <is>
          <t>وقود</t>
        </is>
      </c>
      <c r="L33" s="16" t="n"/>
    </row>
    <row r="34">
      <c r="A34" s="16" t="n">
        <v>33</v>
      </c>
      <c r="B34" s="95" t="n">
        <v>45869</v>
      </c>
      <c r="C34" s="16" t="inlineStr">
        <is>
          <t>الوقود</t>
        </is>
      </c>
      <c r="D34" s="16" t="inlineStr">
        <is>
          <t>RIYADH NURSERY</t>
        </is>
      </c>
      <c r="E34" s="16" t="n"/>
      <c r="F34" s="17" t="n">
        <v>210.65</v>
      </c>
      <c r="G34" s="16" t="n">
        <v>15</v>
      </c>
      <c r="H34" s="17" t="n">
        <v>242.25</v>
      </c>
      <c r="I34" s="16" t="inlineStr">
        <is>
          <t>نعم</t>
        </is>
      </c>
      <c r="J34" s="16" t="inlineStr">
        <is>
          <t>مزرعة الرياض (عهدة/صندوق)</t>
        </is>
      </c>
      <c r="K34" s="16" t="inlineStr">
        <is>
          <t>وقود</t>
        </is>
      </c>
      <c r="L34" s="16" t="n"/>
    </row>
    <row r="35">
      <c r="A35" s="16" t="n">
        <v>34</v>
      </c>
      <c r="B35" s="95" t="n">
        <v>45870</v>
      </c>
      <c r="C35" s="16" t="inlineStr">
        <is>
          <t>الوقود</t>
        </is>
      </c>
      <c r="D35" s="16" t="inlineStr">
        <is>
          <t>RIYADH NURSERY</t>
        </is>
      </c>
      <c r="E35" s="16" t="n"/>
      <c r="F35" s="17" t="n">
        <v>221.75</v>
      </c>
      <c r="G35" s="16" t="n">
        <v>15</v>
      </c>
      <c r="H35" s="17" t="n">
        <v>255.01</v>
      </c>
      <c r="I35" s="16" t="inlineStr">
        <is>
          <t>نعم</t>
        </is>
      </c>
      <c r="J35" s="16" t="inlineStr">
        <is>
          <t>مزرعة الرياض (عهدة/صندوق)</t>
        </is>
      </c>
      <c r="K35" s="16" t="inlineStr">
        <is>
          <t>وقود</t>
        </is>
      </c>
      <c r="L35" s="16" t="n"/>
    </row>
    <row r="36">
      <c r="A36" s="16" t="n">
        <v>35</v>
      </c>
      <c r="B36" s="95" t="n">
        <v>45870</v>
      </c>
      <c r="C36" s="16" t="inlineStr">
        <is>
          <t>الطعام</t>
        </is>
      </c>
      <c r="D36" s="16" t="inlineStr">
        <is>
          <t>RIYADH NURSERY</t>
        </is>
      </c>
      <c r="E36" s="16" t="inlineStr">
        <is>
          <t>وجبة سفر تيمور من تبوك ال</t>
        </is>
      </c>
      <c r="F36" s="17" t="n">
        <v>30.43</v>
      </c>
      <c r="G36" s="16" t="n">
        <v>15</v>
      </c>
      <c r="H36" s="17" t="n">
        <v>35</v>
      </c>
      <c r="I36" s="16" t="inlineStr">
        <is>
          <t>نعم</t>
        </is>
      </c>
      <c r="J36" s="16" t="inlineStr">
        <is>
          <t>مزرعة الرياض (عهدة/صندوق)</t>
        </is>
      </c>
      <c r="K36" s="16" t="inlineStr">
        <is>
          <t>مصروفات إدارية وأخرى</t>
        </is>
      </c>
      <c r="L36" s="16" t="n"/>
    </row>
    <row r="37">
      <c r="A37" s="16" t="n">
        <v>36</v>
      </c>
      <c r="B37" s="95" t="n">
        <v>45870</v>
      </c>
      <c r="C37" s="16" t="inlineStr">
        <is>
          <t>الشركة السعوديه للكهرباء</t>
        </is>
      </c>
      <c r="D37" s="16" t="inlineStr">
        <is>
          <t>RIYADH NURSERY</t>
        </is>
      </c>
      <c r="E37" s="16" t="n"/>
      <c r="F37" s="17" t="n">
        <v>3931.59</v>
      </c>
      <c r="G37" s="16" t="n">
        <v>15</v>
      </c>
      <c r="H37" s="17" t="n">
        <v>4521.33</v>
      </c>
      <c r="I37" s="16" t="inlineStr">
        <is>
          <t>نعم</t>
        </is>
      </c>
      <c r="J37" s="16" t="inlineStr">
        <is>
          <t>مزرعة الرياض (عهدة/صندوق)</t>
        </is>
      </c>
      <c r="K37" s="16" t="inlineStr">
        <is>
          <t>خدمات (كهرباء/مياه/اتصالات)</t>
        </is>
      </c>
      <c r="L37" s="16" t="n"/>
    </row>
    <row r="38">
      <c r="A38" s="16" t="n">
        <v>37</v>
      </c>
      <c r="B38" s="95" t="n">
        <v>45871</v>
      </c>
      <c r="C38" s="16" t="inlineStr">
        <is>
          <t>الطعام</t>
        </is>
      </c>
      <c r="D38" s="16" t="inlineStr">
        <is>
          <t>RIYADH NURSERY</t>
        </is>
      </c>
      <c r="E38" s="16" t="inlineStr">
        <is>
          <t>وجبة سفر تيمور من تبوك ال</t>
        </is>
      </c>
      <c r="F38" s="17" t="n">
        <v>13.91</v>
      </c>
      <c r="G38" s="16" t="n">
        <v>15</v>
      </c>
      <c r="H38" s="17" t="n">
        <v>16</v>
      </c>
      <c r="I38" s="16" t="inlineStr">
        <is>
          <t>نعم</t>
        </is>
      </c>
      <c r="J38" s="16" t="inlineStr">
        <is>
          <t>مزرعة الرياض (عهدة/صندوق)</t>
        </is>
      </c>
      <c r="K38" s="16" t="inlineStr">
        <is>
          <t>مصروفات إدارية وأخرى</t>
        </is>
      </c>
      <c r="L38" s="16" t="n"/>
    </row>
    <row r="39">
      <c r="A39" s="16" t="n">
        <v>38</v>
      </c>
      <c r="B39" s="95" t="n">
        <v>45871</v>
      </c>
      <c r="C39" s="16" t="inlineStr">
        <is>
          <t>الطعام</t>
        </is>
      </c>
      <c r="D39" s="16" t="inlineStr">
        <is>
          <t>RIYADH NURSERY</t>
        </is>
      </c>
      <c r="E39" s="16" t="inlineStr">
        <is>
          <t>وجبة سفر تيمور من تبوك ال</t>
        </is>
      </c>
      <c r="F39" s="17" t="n">
        <v>14.78</v>
      </c>
      <c r="G39" s="16" t="n">
        <v>15</v>
      </c>
      <c r="H39" s="17" t="n">
        <v>17</v>
      </c>
      <c r="I39" s="16" t="inlineStr">
        <is>
          <t>نعم</t>
        </is>
      </c>
      <c r="J39" s="16" t="inlineStr">
        <is>
          <t>مزرعة الرياض (عهدة/صندوق)</t>
        </is>
      </c>
      <c r="K39" s="16" t="inlineStr">
        <is>
          <t>مصروفات إدارية وأخرى</t>
        </is>
      </c>
      <c r="L39" s="16" t="n"/>
    </row>
    <row r="40">
      <c r="A40" s="16" t="n">
        <v>39</v>
      </c>
      <c r="B40" s="95" t="n">
        <v>45871</v>
      </c>
      <c r="C40" s="16" t="inlineStr">
        <is>
          <t>الوقود</t>
        </is>
      </c>
      <c r="D40" s="16" t="inlineStr">
        <is>
          <t>RIYADH NURSERY</t>
        </is>
      </c>
      <c r="E40" s="16" t="inlineStr">
        <is>
          <t>صيانة الاونيت فى المزرعه</t>
        </is>
      </c>
      <c r="F40" s="17" t="n">
        <v>260.87</v>
      </c>
      <c r="G40" s="16" t="n">
        <v>15</v>
      </c>
      <c r="H40" s="17" t="n">
        <v>300</v>
      </c>
      <c r="I40" s="16" t="inlineStr">
        <is>
          <t>نعم</t>
        </is>
      </c>
      <c r="J40" s="16" t="inlineStr">
        <is>
          <t>مزرعة الرياض (عهدة/صندوق)</t>
        </is>
      </c>
      <c r="K40" s="16" t="inlineStr">
        <is>
          <t>وقود</t>
        </is>
      </c>
      <c r="L40" s="16" t="n"/>
    </row>
    <row r="41">
      <c r="A41" s="16" t="n">
        <v>40</v>
      </c>
      <c r="B41" s="95" t="n">
        <v>45871</v>
      </c>
      <c r="C41" s="16" t="inlineStr">
        <is>
          <t>الوقود</t>
        </is>
      </c>
      <c r="D41" s="16" t="inlineStr">
        <is>
          <t>RIYADH NURSERY</t>
        </is>
      </c>
      <c r="E41" s="16" t="n"/>
      <c r="F41" s="17" t="n">
        <v>204.35</v>
      </c>
      <c r="G41" s="16" t="n">
        <v>15</v>
      </c>
      <c r="H41" s="17" t="n">
        <v>235</v>
      </c>
      <c r="I41" s="16" t="inlineStr">
        <is>
          <t>نعم</t>
        </is>
      </c>
      <c r="J41" s="16" t="inlineStr">
        <is>
          <t>مزرعة الرياض (عهدة/صندوق)</t>
        </is>
      </c>
      <c r="K41" s="16" t="inlineStr">
        <is>
          <t>وقود</t>
        </is>
      </c>
      <c r="L41" s="16" t="n"/>
    </row>
    <row r="42">
      <c r="A42" s="16" t="n">
        <v>41</v>
      </c>
      <c r="B42" s="95" t="n">
        <v>45871</v>
      </c>
      <c r="C42" s="16" t="inlineStr">
        <is>
          <t>الوقود</t>
        </is>
      </c>
      <c r="D42" s="16" t="inlineStr">
        <is>
          <t>RIYADH NURSERY</t>
        </is>
      </c>
      <c r="E42" s="16" t="n"/>
      <c r="F42" s="17" t="n">
        <v>244.37</v>
      </c>
      <c r="G42" s="16" t="n">
        <v>15</v>
      </c>
      <c r="H42" s="17" t="n">
        <v>281.02</v>
      </c>
      <c r="I42" s="16" t="inlineStr">
        <is>
          <t>نعم</t>
        </is>
      </c>
      <c r="J42" s="16" t="inlineStr">
        <is>
          <t>مزرعة الرياض (عهدة/صندوق)</t>
        </is>
      </c>
      <c r="K42" s="16" t="inlineStr">
        <is>
          <t>وقود</t>
        </is>
      </c>
      <c r="L42" s="16" t="n"/>
    </row>
    <row r="43">
      <c r="A43" s="16" t="n">
        <v>42</v>
      </c>
      <c r="B43" s="95" t="n">
        <v>45872</v>
      </c>
      <c r="C43" s="16" t="inlineStr">
        <is>
          <t>صيانة</t>
        </is>
      </c>
      <c r="D43" s="16" t="inlineStr">
        <is>
          <t>RIYADH NURSERY</t>
        </is>
      </c>
      <c r="E43" s="16" t="inlineStr">
        <is>
          <t>لمبة فرامل شغل يد</t>
        </is>
      </c>
      <c r="F43" s="17" t="n">
        <v>73.91</v>
      </c>
      <c r="G43" s="16" t="n">
        <v>15</v>
      </c>
      <c r="H43" s="17" t="n">
        <v>85</v>
      </c>
      <c r="I43" s="16" t="inlineStr">
        <is>
          <t>نعم</t>
        </is>
      </c>
      <c r="J43" s="16" t="inlineStr">
        <is>
          <t>مزرعة الرياض (عهدة/صندوق)</t>
        </is>
      </c>
      <c r="K43" s="16" t="inlineStr">
        <is>
          <t>صيانة وإنشاءات المزرعة</t>
        </is>
      </c>
      <c r="L43" s="16" t="n"/>
    </row>
    <row r="44">
      <c r="A44" s="16" t="n">
        <v>43</v>
      </c>
      <c r="B44" s="95" t="n">
        <v>45872</v>
      </c>
      <c r="C44" s="16" t="inlineStr">
        <is>
          <t>الطعام</t>
        </is>
      </c>
      <c r="D44" s="16" t="inlineStr">
        <is>
          <t>RIYADH NURSERY</t>
        </is>
      </c>
      <c r="E44" s="16" t="n"/>
      <c r="F44" s="17" t="n">
        <v>10.43</v>
      </c>
      <c r="G44" s="16" t="n">
        <v>15</v>
      </c>
      <c r="H44" s="17" t="n">
        <v>12</v>
      </c>
      <c r="I44" s="16" t="inlineStr">
        <is>
          <t>نعم</t>
        </is>
      </c>
      <c r="J44" s="16" t="inlineStr">
        <is>
          <t>مزرعة الرياض (عهدة/صندوق)</t>
        </is>
      </c>
      <c r="K44" s="16" t="inlineStr">
        <is>
          <t>مصروفات إدارية وأخرى</t>
        </is>
      </c>
      <c r="L44" s="16" t="n"/>
    </row>
    <row r="45">
      <c r="A45" s="16" t="n">
        <v>44</v>
      </c>
      <c r="B45" s="95" t="n">
        <v>45872</v>
      </c>
      <c r="C45" s="16" t="inlineStr">
        <is>
          <t>مصروفات ناسيس الرياض</t>
        </is>
      </c>
      <c r="D45" s="16" t="inlineStr">
        <is>
          <t>RIYADH NURSERY</t>
        </is>
      </c>
      <c r="E45" s="16" t="inlineStr">
        <is>
          <t>فاتورة الكمبيوتر</t>
        </is>
      </c>
      <c r="F45" s="17" t="n">
        <v>373.91</v>
      </c>
      <c r="G45" s="16" t="n">
        <v>15</v>
      </c>
      <c r="H45" s="17" t="n">
        <v>430</v>
      </c>
      <c r="I45" s="16" t="inlineStr">
        <is>
          <t>نعم</t>
        </is>
      </c>
      <c r="J45" s="16" t="inlineStr">
        <is>
          <t>مزرعة الرياض (عهدة/صندوق)</t>
        </is>
      </c>
      <c r="K45" s="16" t="inlineStr">
        <is>
          <t>مصروفات إدارية وأخرى</t>
        </is>
      </c>
      <c r="L45" s="16" t="n"/>
    </row>
    <row r="46">
      <c r="A46" s="18" t="n">
        <v>45</v>
      </c>
      <c r="B46" s="98" t="n">
        <v>45873</v>
      </c>
      <c r="C46" s="18" t="inlineStr">
        <is>
          <t>شركة غرس نجد الزراعيه</t>
        </is>
      </c>
      <c r="D46" s="18" t="inlineStr">
        <is>
          <t>RIYADH NURSERY</t>
        </is>
      </c>
      <c r="E46" s="18" t="n"/>
      <c r="F46" s="19" t="n">
        <v>12621.74</v>
      </c>
      <c r="G46" s="18" t="n">
        <v>15</v>
      </c>
      <c r="H46" s="19" t="n">
        <v>14515</v>
      </c>
      <c r="I46" s="18" t="inlineStr">
        <is>
          <t>لا</t>
        </is>
      </c>
      <c r="J46" s="18" t="inlineStr">
        <is>
          <t>مزرعة الرياض (عهدة/صندوق)</t>
        </is>
      </c>
      <c r="K46" s="18" t="inlineStr">
        <is>
          <t>مشتريات نباتات وبذور</t>
        </is>
      </c>
      <c r="L46" s="18" t="inlineStr">
        <is>
          <t>غير مدفوع في 2025 – تم سداده في 2026 ضمن أمر PO-295 (14,515)</t>
        </is>
      </c>
    </row>
    <row r="47">
      <c r="A47" s="16" t="n">
        <v>46</v>
      </c>
      <c r="B47" s="95" t="n">
        <v>45874</v>
      </c>
      <c r="C47" s="16" t="inlineStr">
        <is>
          <t>مصروفات ناسيس الرياض</t>
        </is>
      </c>
      <c r="D47" s="16" t="inlineStr">
        <is>
          <t>RIYADH NURSERY</t>
        </is>
      </c>
      <c r="E47" s="16" t="n"/>
      <c r="F47" s="17" t="n">
        <v>203.48</v>
      </c>
      <c r="G47" s="16" t="n">
        <v>15</v>
      </c>
      <c r="H47" s="17" t="n">
        <v>234</v>
      </c>
      <c r="I47" s="16" t="inlineStr">
        <is>
          <t>نعم</t>
        </is>
      </c>
      <c r="J47" s="16" t="inlineStr">
        <is>
          <t>مزرعة الرياض (عهدة/صندوق)</t>
        </is>
      </c>
      <c r="K47" s="16" t="inlineStr">
        <is>
          <t>مصروفات إدارية وأخرى</t>
        </is>
      </c>
      <c r="L47" s="16" t="n"/>
    </row>
    <row r="48">
      <c r="A48" s="16" t="n">
        <v>47</v>
      </c>
      <c r="B48" s="95" t="n">
        <v>45876</v>
      </c>
      <c r="C48" s="16" t="inlineStr">
        <is>
          <t>الوقود</t>
        </is>
      </c>
      <c r="D48" s="16" t="inlineStr">
        <is>
          <t>RIYADH NURSERY</t>
        </is>
      </c>
      <c r="E48" s="16" t="n"/>
      <c r="F48" s="17" t="n">
        <v>173.91</v>
      </c>
      <c r="G48" s="16" t="n">
        <v>15</v>
      </c>
      <c r="H48" s="17" t="n">
        <v>200</v>
      </c>
      <c r="I48" s="16" t="inlineStr">
        <is>
          <t>نعم</t>
        </is>
      </c>
      <c r="J48" s="16" t="inlineStr">
        <is>
          <t>مزرعة الرياض (عهدة/صندوق)</t>
        </is>
      </c>
      <c r="K48" s="16" t="inlineStr">
        <is>
          <t>وقود</t>
        </is>
      </c>
      <c r="L48" s="16" t="n"/>
    </row>
    <row r="49">
      <c r="A49" s="16" t="n">
        <v>48</v>
      </c>
      <c r="B49" s="95" t="n">
        <v>45878</v>
      </c>
      <c r="C49" s="16" t="inlineStr">
        <is>
          <t>مصروفات ناسيس الرياض</t>
        </is>
      </c>
      <c r="D49" s="16" t="inlineStr">
        <is>
          <t>RIYADH NURSERY</t>
        </is>
      </c>
      <c r="E49" s="16" t="inlineStr">
        <is>
          <t>فاتورة الكمبيوتر</t>
        </is>
      </c>
      <c r="F49" s="17" t="n">
        <v>782.61</v>
      </c>
      <c r="G49" s="16" t="n">
        <v>15</v>
      </c>
      <c r="H49" s="17" t="n">
        <v>900</v>
      </c>
      <c r="I49" s="16" t="inlineStr">
        <is>
          <t>نعم</t>
        </is>
      </c>
      <c r="J49" s="16" t="inlineStr">
        <is>
          <t>مزرعة الرياض (عهدة/صندوق)</t>
        </is>
      </c>
      <c r="K49" s="16" t="inlineStr">
        <is>
          <t>مصروفات إدارية وأخرى</t>
        </is>
      </c>
      <c r="L49" s="16" t="n"/>
    </row>
    <row r="50">
      <c r="A50" s="16" t="n">
        <v>49</v>
      </c>
      <c r="B50" s="95" t="n">
        <v>45878</v>
      </c>
      <c r="C50" s="16" t="inlineStr">
        <is>
          <t>مصروفات ناسيس الرياض</t>
        </is>
      </c>
      <c r="D50" s="16" t="inlineStr">
        <is>
          <t>RIYADH NURSERY</t>
        </is>
      </c>
      <c r="E50" s="16" t="inlineStr">
        <is>
          <t>فاتورة الكمبيوتر</t>
        </is>
      </c>
      <c r="F50" s="17" t="n">
        <v>334.78</v>
      </c>
      <c r="G50" s="16" t="n">
        <v>15</v>
      </c>
      <c r="H50" s="17" t="n">
        <v>385</v>
      </c>
      <c r="I50" s="16" t="inlineStr">
        <is>
          <t>نعم</t>
        </is>
      </c>
      <c r="J50" s="16" t="inlineStr">
        <is>
          <t>مزرعة الرياض (عهدة/صندوق)</t>
        </is>
      </c>
      <c r="K50" s="16" t="inlineStr">
        <is>
          <t>مصروفات إدارية وأخرى</t>
        </is>
      </c>
      <c r="L50" s="16" t="n"/>
    </row>
    <row r="51">
      <c r="A51" s="16" t="n">
        <v>50</v>
      </c>
      <c r="B51" s="95" t="n">
        <v>45879</v>
      </c>
      <c r="C51" s="16" t="inlineStr">
        <is>
          <t>الوقود</t>
        </is>
      </c>
      <c r="D51" s="16" t="inlineStr">
        <is>
          <t>RIYADH NURSERY</t>
        </is>
      </c>
      <c r="E51" s="16" t="n"/>
      <c r="F51" s="17" t="n">
        <v>173.91</v>
      </c>
      <c r="G51" s="16" t="n">
        <v>15</v>
      </c>
      <c r="H51" s="17" t="n">
        <v>200</v>
      </c>
      <c r="I51" s="16" t="inlineStr">
        <is>
          <t>نعم</t>
        </is>
      </c>
      <c r="J51" s="16" t="inlineStr">
        <is>
          <t>مزرعة الرياض (عهدة/صندوق)</t>
        </is>
      </c>
      <c r="K51" s="16" t="inlineStr">
        <is>
          <t>وقود</t>
        </is>
      </c>
      <c r="L51" s="16" t="n"/>
    </row>
    <row r="52">
      <c r="A52" s="18" t="n">
        <v>51</v>
      </c>
      <c r="B52" s="98" t="n">
        <v>45880</v>
      </c>
      <c r="C52" s="18" t="inlineStr">
        <is>
          <t>مشتل الجوده المطلقه لزراعه</t>
        </is>
      </c>
      <c r="D52" s="18" t="inlineStr">
        <is>
          <t>RIYADH NURSERY-PO878</t>
        </is>
      </c>
      <c r="E52" s="18" t="inlineStr">
        <is>
          <t>40 نخل سايكس</t>
        </is>
      </c>
      <c r="F52" s="19" t="n">
        <v>10434.78</v>
      </c>
      <c r="G52" s="18" t="n">
        <v>15</v>
      </c>
      <c r="H52" s="19" t="n">
        <v>12000</v>
      </c>
      <c r="I52" s="18" t="inlineStr">
        <is>
          <t>لا</t>
        </is>
      </c>
      <c r="J52" s="18" t="inlineStr">
        <is>
          <t>مزرعة الرياض (عهدة/صندوق)</t>
        </is>
      </c>
      <c r="K52" s="18" t="inlineStr">
        <is>
          <t>مشتريات نباتات وبذور</t>
        </is>
      </c>
      <c r="L52" s="18" t="inlineStr">
        <is>
          <t>غير مدفوع في 2025 – تم سداده في 2026 ضمن أمر PO-296</t>
        </is>
      </c>
    </row>
    <row r="53">
      <c r="A53" s="30" t="n">
        <v>52</v>
      </c>
      <c r="B53" s="97" t="n">
        <v>45880</v>
      </c>
      <c r="C53" s="30" t="inlineStr">
        <is>
          <t>شركة المدارات السعودية للتجارة والاستيراد</t>
        </is>
      </c>
      <c r="D53" s="30" t="inlineStr">
        <is>
          <t>RIYADH NURSERY-PO599</t>
        </is>
      </c>
      <c r="E53" s="30" t="inlineStr">
        <is>
          <t>تحويل بنكى</t>
        </is>
      </c>
      <c r="F53" s="32" t="n">
        <v>4000</v>
      </c>
      <c r="G53" s="30" t="n">
        <v>15</v>
      </c>
      <c r="H53" s="32" t="n">
        <v>4600</v>
      </c>
      <c r="I53" s="30" t="inlineStr">
        <is>
          <t>نعم</t>
        </is>
      </c>
      <c r="J53" s="30" t="inlineStr">
        <is>
          <t>مزرعة تبوك (نسما) – تحويل بنكي</t>
        </is>
      </c>
      <c r="K53" s="30" t="inlineStr">
        <is>
          <t>مواد زراعية (بيتموس/بيرلايت/أسمدة/مبيدات)</t>
        </is>
      </c>
      <c r="L53" s="30" t="inlineStr">
        <is>
          <t>مدفوع عن طريق مزرعة تبوك – مديونية على مزرعة الرياض</t>
        </is>
      </c>
    </row>
    <row r="54">
      <c r="A54" s="18" t="n">
        <v>53</v>
      </c>
      <c r="B54" s="98" t="n">
        <v>45880</v>
      </c>
      <c r="C54" s="18" t="inlineStr">
        <is>
          <t>مشتل الجوده المطلقه لزراعه</t>
        </is>
      </c>
      <c r="D54" s="18" t="inlineStr">
        <is>
          <t>RIYADH NURSERY-PO877</t>
        </is>
      </c>
      <c r="E54" s="18" t="n"/>
      <c r="F54" s="19" t="n">
        <v>32652.17</v>
      </c>
      <c r="G54" s="18" t="n">
        <v>15</v>
      </c>
      <c r="H54" s="19" t="n">
        <v>37550</v>
      </c>
      <c r="I54" s="18" t="inlineStr">
        <is>
          <t>لا</t>
        </is>
      </c>
      <c r="J54" s="18" t="inlineStr">
        <is>
          <t>مزرعة الرياض (عهدة/صندوق)</t>
        </is>
      </c>
      <c r="K54" s="18" t="inlineStr">
        <is>
          <t>مشتريات نباتات وبذور</t>
        </is>
      </c>
      <c r="L54" s="18" t="inlineStr">
        <is>
          <t>غير مدفوع في 2025 – تم سداده في 2026 ضمن أمر PO-296</t>
        </is>
      </c>
    </row>
    <row r="55">
      <c r="A55" s="16" t="n">
        <v>54</v>
      </c>
      <c r="B55" s="95" t="n">
        <v>45880</v>
      </c>
      <c r="C55" s="16" t="inlineStr">
        <is>
          <t>الوقود</t>
        </is>
      </c>
      <c r="D55" s="16" t="inlineStr">
        <is>
          <t>RIYADH NURSERY</t>
        </is>
      </c>
      <c r="E55" s="16" t="n"/>
      <c r="F55" s="17" t="n">
        <v>173.91</v>
      </c>
      <c r="G55" s="16" t="n">
        <v>15</v>
      </c>
      <c r="H55" s="17" t="n">
        <v>200</v>
      </c>
      <c r="I55" s="16" t="inlineStr">
        <is>
          <t>نعم</t>
        </is>
      </c>
      <c r="J55" s="16" t="inlineStr">
        <is>
          <t>مزرعة الرياض (عهدة/صندوق)</t>
        </is>
      </c>
      <c r="K55" s="16" t="inlineStr">
        <is>
          <t>وقود</t>
        </is>
      </c>
      <c r="L55" s="16" t="n"/>
    </row>
    <row r="56">
      <c r="A56" s="16" t="n">
        <v>55</v>
      </c>
      <c r="B56" s="95" t="n">
        <v>45882</v>
      </c>
      <c r="C56" s="16" t="inlineStr">
        <is>
          <t>موسسة المحترف الامثل لتجاره</t>
        </is>
      </c>
      <c r="D56" s="16" t="inlineStr">
        <is>
          <t>RIYADH NURSERY</t>
        </is>
      </c>
      <c r="E56" s="16" t="inlineStr">
        <is>
          <t>شراء اشياء سباكه</t>
        </is>
      </c>
      <c r="F56" s="17" t="n">
        <v>60</v>
      </c>
      <c r="G56" s="16" t="n">
        <v>15</v>
      </c>
      <c r="H56" s="17" t="n">
        <v>69</v>
      </c>
      <c r="I56" s="16" t="inlineStr">
        <is>
          <t>نعم</t>
        </is>
      </c>
      <c r="J56" s="16" t="inlineStr">
        <is>
          <t>مزرعة الرياض (عهدة/صندوق)</t>
        </is>
      </c>
      <c r="K56" s="16" t="inlineStr">
        <is>
          <t>مصروفات إدارية وأخرى</t>
        </is>
      </c>
      <c r="L56" s="16" t="n"/>
    </row>
    <row r="57">
      <c r="A57" s="16" t="n">
        <v>56</v>
      </c>
      <c r="B57" s="95" t="n">
        <v>45883</v>
      </c>
      <c r="C57" s="16" t="inlineStr">
        <is>
          <t>الوقود</t>
        </is>
      </c>
      <c r="D57" s="16" t="inlineStr">
        <is>
          <t>RIYADH NURSERY</t>
        </is>
      </c>
      <c r="E57" s="16" t="n"/>
      <c r="F57" s="17" t="n">
        <v>173.91</v>
      </c>
      <c r="G57" s="16" t="n">
        <v>15</v>
      </c>
      <c r="H57" s="17" t="n">
        <v>200</v>
      </c>
      <c r="I57" s="16" t="inlineStr">
        <is>
          <t>نعم</t>
        </is>
      </c>
      <c r="J57" s="16" t="inlineStr">
        <is>
          <t>مزرعة الرياض (عهدة/صندوق)</t>
        </is>
      </c>
      <c r="K57" s="16" t="inlineStr">
        <is>
          <t>وقود</t>
        </is>
      </c>
      <c r="L57" s="16" t="n"/>
    </row>
    <row r="58">
      <c r="A58" s="16" t="n">
        <v>57</v>
      </c>
      <c r="B58" s="95" t="n">
        <v>45885</v>
      </c>
      <c r="C58" s="16" t="inlineStr">
        <is>
          <t>الوقود</t>
        </is>
      </c>
      <c r="D58" s="16" t="inlineStr">
        <is>
          <t>RIYADH NURSERY</t>
        </is>
      </c>
      <c r="E58" s="16" t="n"/>
      <c r="F58" s="17" t="n">
        <v>200</v>
      </c>
      <c r="G58" s="16" t="n">
        <v>15</v>
      </c>
      <c r="H58" s="17" t="n">
        <v>230</v>
      </c>
      <c r="I58" s="16" t="inlineStr">
        <is>
          <t>نعم</t>
        </is>
      </c>
      <c r="J58" s="16" t="inlineStr">
        <is>
          <t>مزرعة الرياض (عهدة/صندوق)</t>
        </is>
      </c>
      <c r="K58" s="16" t="inlineStr">
        <is>
          <t>وقود</t>
        </is>
      </c>
      <c r="L58" s="16" t="n"/>
    </row>
    <row r="59">
      <c r="A59" s="16" t="n">
        <v>58</v>
      </c>
      <c r="B59" s="95" t="n">
        <v>45885</v>
      </c>
      <c r="C59" s="16" t="inlineStr">
        <is>
          <t>مؤسسة اركان ود للتجاره</t>
        </is>
      </c>
      <c r="D59" s="16" t="inlineStr">
        <is>
          <t>RIYADH NURSERY</t>
        </is>
      </c>
      <c r="E59" s="16" t="n"/>
      <c r="F59" s="17" t="n">
        <v>18.26</v>
      </c>
      <c r="G59" s="16" t="n">
        <v>15</v>
      </c>
      <c r="H59" s="17" t="n">
        <v>21</v>
      </c>
      <c r="I59" s="16" t="inlineStr">
        <is>
          <t>نعم</t>
        </is>
      </c>
      <c r="J59" s="16" t="inlineStr">
        <is>
          <t>مزرعة الرياض (عهدة/صندوق)</t>
        </is>
      </c>
      <c r="K59" s="16" t="inlineStr">
        <is>
          <t>صيانة وإنشاءات المزرعة</t>
        </is>
      </c>
      <c r="L59" s="16" t="n"/>
    </row>
    <row r="60">
      <c r="A60" s="16" t="n">
        <v>59</v>
      </c>
      <c r="B60" s="95" t="n">
        <v>45885</v>
      </c>
      <c r="C60" s="16" t="inlineStr">
        <is>
          <t>ينابع المئويه لتحلية المياه</t>
        </is>
      </c>
      <c r="D60" s="16" t="inlineStr">
        <is>
          <t>RIYADH NURSERY</t>
        </is>
      </c>
      <c r="E60" s="16" t="n"/>
      <c r="F60" s="17" t="n">
        <v>52.17</v>
      </c>
      <c r="G60" s="16" t="n">
        <v>15</v>
      </c>
      <c r="H60" s="17" t="n">
        <v>60</v>
      </c>
      <c r="I60" s="16" t="inlineStr">
        <is>
          <t>نعم</t>
        </is>
      </c>
      <c r="J60" s="16" t="inlineStr">
        <is>
          <t>مزرعة الرياض (عهدة/صندوق)</t>
        </is>
      </c>
      <c r="K60" s="16" t="inlineStr">
        <is>
          <t>خدمات (كهرباء/مياه/اتصالات)</t>
        </is>
      </c>
      <c r="L60" s="16" t="n"/>
    </row>
    <row r="61">
      <c r="A61" s="30" t="n">
        <v>60</v>
      </c>
      <c r="B61" s="97" t="n">
        <v>45887</v>
      </c>
      <c r="C61" s="30" t="inlineStr">
        <is>
          <t>Arabian Vermiculite Industries (AVI)</t>
        </is>
      </c>
      <c r="D61" s="30" t="inlineStr">
        <is>
          <t>RIYADH NURSERY</t>
        </is>
      </c>
      <c r="E61" s="30" t="inlineStr">
        <is>
          <t>تحويل بنكى</t>
        </is>
      </c>
      <c r="F61" s="32" t="n">
        <v>14820</v>
      </c>
      <c r="G61" s="30" t="n">
        <v>15</v>
      </c>
      <c r="H61" s="32" t="n">
        <v>17043</v>
      </c>
      <c r="I61" s="30" t="inlineStr">
        <is>
          <t>نعم</t>
        </is>
      </c>
      <c r="J61" s="30" t="inlineStr">
        <is>
          <t>مزرعة تبوك (نسما) – تحويل بنكي</t>
        </is>
      </c>
      <c r="K61" s="30" t="inlineStr">
        <is>
          <t>مواد زراعية (بيتموس/بيرلايت/أسمدة/مبيدات)</t>
        </is>
      </c>
      <c r="L61" s="30" t="inlineStr">
        <is>
          <t>مدفوع عن طريق مزرعة تبوك – مديونية على مزرعة الرياض</t>
        </is>
      </c>
    </row>
    <row r="62">
      <c r="A62" s="30" t="n">
        <v>61</v>
      </c>
      <c r="B62" s="97" t="n">
        <v>45887</v>
      </c>
      <c r="C62" s="30" t="inlineStr">
        <is>
          <t>شركة التاج المميزة التجارية</t>
        </is>
      </c>
      <c r="D62" s="30" t="inlineStr">
        <is>
          <t>RIYADH NURSERY-PO#627</t>
        </is>
      </c>
      <c r="E62" s="30" t="inlineStr">
        <is>
          <t>تحويل بنكى</t>
        </is>
      </c>
      <c r="F62" s="32" t="n">
        <v>23500</v>
      </c>
      <c r="G62" s="30" t="n">
        <v>15</v>
      </c>
      <c r="H62" s="32" t="n">
        <v>27025</v>
      </c>
      <c r="I62" s="30" t="inlineStr">
        <is>
          <t>نعم</t>
        </is>
      </c>
      <c r="J62" s="30" t="inlineStr">
        <is>
          <t>مزرعة تبوك (نسما) – تحويل بنكي</t>
        </is>
      </c>
      <c r="K62" s="30" t="inlineStr">
        <is>
          <t>مواد زراعية (بيتموس/بيرلايت/أسمدة/مبيدات)</t>
        </is>
      </c>
      <c r="L62" s="30" t="inlineStr">
        <is>
          <t>مدفوع عن طريق مزرعة تبوك – مديونية على مزرعة الرياض</t>
        </is>
      </c>
    </row>
    <row r="63">
      <c r="A63" s="16" t="n">
        <v>62</v>
      </c>
      <c r="B63" s="95" t="n">
        <v>45889</v>
      </c>
      <c r="C63" s="16" t="inlineStr">
        <is>
          <t>موسسة بيت الوسيط لتجاره</t>
        </is>
      </c>
      <c r="D63" s="16" t="inlineStr">
        <is>
          <t>RIYADH NURSERY</t>
        </is>
      </c>
      <c r="E63" s="16" t="n"/>
      <c r="F63" s="17" t="n">
        <v>104.35</v>
      </c>
      <c r="G63" s="16" t="n">
        <v>15</v>
      </c>
      <c r="H63" s="17" t="n">
        <v>120</v>
      </c>
      <c r="I63" s="16" t="inlineStr">
        <is>
          <t>نعم</t>
        </is>
      </c>
      <c r="J63" s="16" t="inlineStr">
        <is>
          <t>مزرعة الرياض (عهدة/صندوق)</t>
        </is>
      </c>
      <c r="K63" s="16" t="inlineStr">
        <is>
          <t>مواد زراعية (بيتموس/بيرلايت/أسمدة/مبيدات)</t>
        </is>
      </c>
      <c r="L63" s="16" t="n"/>
    </row>
    <row r="64">
      <c r="A64" s="16" t="n">
        <v>63</v>
      </c>
      <c r="B64" s="95" t="n">
        <v>45889</v>
      </c>
      <c r="C64" s="16" t="inlineStr">
        <is>
          <t>الوقود</t>
        </is>
      </c>
      <c r="D64" s="16" t="inlineStr">
        <is>
          <t>RIYADH NURSERY</t>
        </is>
      </c>
      <c r="E64" s="16" t="n"/>
      <c r="F64" s="17" t="n">
        <v>173.91</v>
      </c>
      <c r="G64" s="16" t="n">
        <v>15</v>
      </c>
      <c r="H64" s="17" t="n">
        <v>200</v>
      </c>
      <c r="I64" s="16" t="inlineStr">
        <is>
          <t>نعم</t>
        </is>
      </c>
      <c r="J64" s="16" t="inlineStr">
        <is>
          <t>مزرعة الرياض (عهدة/صندوق)</t>
        </is>
      </c>
      <c r="K64" s="16" t="inlineStr">
        <is>
          <t>وقود</t>
        </is>
      </c>
      <c r="L64" s="16" t="n"/>
    </row>
    <row r="65">
      <c r="A65" s="16" t="n">
        <v>64</v>
      </c>
      <c r="B65" s="95" t="n">
        <v>45889</v>
      </c>
      <c r="C65" s="16" t="inlineStr">
        <is>
          <t>الوقود</t>
        </is>
      </c>
      <c r="D65" s="16" t="inlineStr">
        <is>
          <t>RIYADH NURSERY</t>
        </is>
      </c>
      <c r="E65" s="16" t="n"/>
      <c r="F65" s="17" t="n">
        <v>59.17</v>
      </c>
      <c r="G65" s="16" t="n">
        <v>15</v>
      </c>
      <c r="H65" s="17" t="n">
        <v>68.04000000000001</v>
      </c>
      <c r="I65" s="16" t="inlineStr">
        <is>
          <t>نعم</t>
        </is>
      </c>
      <c r="J65" s="16" t="inlineStr">
        <is>
          <t>مزرعة الرياض (عهدة/صندوق)</t>
        </is>
      </c>
      <c r="K65" s="16" t="inlineStr">
        <is>
          <t>وقود</t>
        </is>
      </c>
      <c r="L65" s="16" t="n"/>
    </row>
    <row r="66">
      <c r="A66" s="16" t="n">
        <v>65</v>
      </c>
      <c r="B66" s="95" t="n">
        <v>45890</v>
      </c>
      <c r="C66" s="16" t="inlineStr">
        <is>
          <t>الوقود</t>
        </is>
      </c>
      <c r="D66" s="16" t="inlineStr">
        <is>
          <t>RIYADH NURSERY</t>
        </is>
      </c>
      <c r="E66" s="16" t="n"/>
      <c r="F66" s="17" t="n">
        <v>173.91</v>
      </c>
      <c r="G66" s="16" t="n">
        <v>15</v>
      </c>
      <c r="H66" s="17" t="n">
        <v>200</v>
      </c>
      <c r="I66" s="16" t="inlineStr">
        <is>
          <t>نعم</t>
        </is>
      </c>
      <c r="J66" s="16" t="inlineStr">
        <is>
          <t>مزرعة الرياض (عهدة/صندوق)</t>
        </is>
      </c>
      <c r="K66" s="16" t="inlineStr">
        <is>
          <t>وقود</t>
        </is>
      </c>
      <c r="L66" s="16" t="n"/>
    </row>
    <row r="67">
      <c r="A67" s="16" t="n">
        <v>66</v>
      </c>
      <c r="B67" s="95" t="n">
        <v>45890</v>
      </c>
      <c r="C67" s="16" t="inlineStr">
        <is>
          <t>موسسسة افاق الاليه لادوات الكهربيه</t>
        </is>
      </c>
      <c r="D67" s="16" t="inlineStr">
        <is>
          <t>RIYADH NURSERY</t>
        </is>
      </c>
      <c r="E67" s="16" t="inlineStr">
        <is>
          <t>شراء سلك تربيط</t>
        </is>
      </c>
      <c r="F67" s="17" t="n">
        <v>30.5</v>
      </c>
      <c r="G67" s="16" t="n">
        <v>15</v>
      </c>
      <c r="H67" s="17" t="n">
        <v>35.08</v>
      </c>
      <c r="I67" s="16" t="inlineStr">
        <is>
          <t>نعم</t>
        </is>
      </c>
      <c r="J67" s="16" t="inlineStr">
        <is>
          <t>مزرعة الرياض (عهدة/صندوق)</t>
        </is>
      </c>
      <c r="K67" s="16" t="inlineStr">
        <is>
          <t>صيانة وإنشاءات المزرعة</t>
        </is>
      </c>
      <c r="L67" s="16" t="n"/>
    </row>
    <row r="68">
      <c r="A68" s="16" t="n">
        <v>67</v>
      </c>
      <c r="B68" s="95" t="n">
        <v>45894</v>
      </c>
      <c r="C68" s="16" t="inlineStr">
        <is>
          <t>الوقود</t>
        </is>
      </c>
      <c r="D68" s="16" t="inlineStr">
        <is>
          <t>RIYADH NURSERY</t>
        </is>
      </c>
      <c r="E68" s="16" t="n"/>
      <c r="F68" s="17" t="n">
        <v>173.91</v>
      </c>
      <c r="G68" s="16" t="n">
        <v>15</v>
      </c>
      <c r="H68" s="17" t="n">
        <v>200</v>
      </c>
      <c r="I68" s="16" t="inlineStr">
        <is>
          <t>نعم</t>
        </is>
      </c>
      <c r="J68" s="16" t="inlineStr">
        <is>
          <t>مزرعة الرياض (عهدة/صندوق)</t>
        </is>
      </c>
      <c r="K68" s="16" t="inlineStr">
        <is>
          <t>وقود</t>
        </is>
      </c>
      <c r="L68" s="16" t="n"/>
    </row>
    <row r="69">
      <c r="A69" s="16" t="n">
        <v>68</v>
      </c>
      <c r="B69" s="95" t="n">
        <v>45894</v>
      </c>
      <c r="C69" s="16" t="inlineStr">
        <is>
          <t>موسسة الدلتا الخضراء للتجاره</t>
        </is>
      </c>
      <c r="D69" s="16" t="inlineStr">
        <is>
          <t>RIYADH NURSERY</t>
        </is>
      </c>
      <c r="E69" s="16" t="n"/>
      <c r="F69" s="17" t="n">
        <v>40</v>
      </c>
      <c r="G69" s="16" t="n">
        <v>15</v>
      </c>
      <c r="H69" s="17" t="n">
        <v>46</v>
      </c>
      <c r="I69" s="16" t="inlineStr">
        <is>
          <t>نعم</t>
        </is>
      </c>
      <c r="J69" s="16" t="inlineStr">
        <is>
          <t>مزرعة الرياض (عهدة/صندوق)</t>
        </is>
      </c>
      <c r="K69" s="16" t="inlineStr">
        <is>
          <t>مشتريات نباتات وبذور</t>
        </is>
      </c>
      <c r="L69" s="16" t="n"/>
    </row>
    <row r="70">
      <c r="A70" s="16" t="n">
        <v>69</v>
      </c>
      <c r="B70" s="95" t="n">
        <v>45894</v>
      </c>
      <c r="C70" s="16" t="inlineStr">
        <is>
          <t>شركة التلال الزراعيه</t>
        </is>
      </c>
      <c r="D70" s="16" t="inlineStr">
        <is>
          <t>RIYADH NURSERY</t>
        </is>
      </c>
      <c r="E70" s="16" t="n"/>
      <c r="F70" s="17" t="n">
        <v>60.87</v>
      </c>
      <c r="G70" s="16" t="n">
        <v>15</v>
      </c>
      <c r="H70" s="17" t="n">
        <v>70</v>
      </c>
      <c r="I70" s="16" t="inlineStr">
        <is>
          <t>نعم</t>
        </is>
      </c>
      <c r="J70" s="16" t="inlineStr">
        <is>
          <t>مزرعة الرياض (عهدة/صندوق)</t>
        </is>
      </c>
      <c r="K70" s="16" t="inlineStr">
        <is>
          <t>مصروفات إدارية وأخرى</t>
        </is>
      </c>
      <c r="L70" s="16" t="n"/>
    </row>
    <row r="71">
      <c r="A71" s="16" t="n">
        <v>70</v>
      </c>
      <c r="B71" s="95" t="n">
        <v>45894</v>
      </c>
      <c r="C71" s="16" t="inlineStr">
        <is>
          <t>شركة التقنيات المتطوره الحديثه</t>
        </is>
      </c>
      <c r="D71" s="16" t="inlineStr">
        <is>
          <t>RIYADH NURSERY</t>
        </is>
      </c>
      <c r="E71" s="16" t="inlineStr">
        <is>
          <t>شراء غطاس 1/2 حصان</t>
        </is>
      </c>
      <c r="F71" s="17" t="n">
        <v>400</v>
      </c>
      <c r="G71" s="16" t="n">
        <v>15</v>
      </c>
      <c r="H71" s="17" t="n">
        <v>460</v>
      </c>
      <c r="I71" s="16" t="inlineStr">
        <is>
          <t>نعم</t>
        </is>
      </c>
      <c r="J71" s="16" t="inlineStr">
        <is>
          <t>مزرعة الرياض (عهدة/صندوق)</t>
        </is>
      </c>
      <c r="K71" s="16" t="inlineStr">
        <is>
          <t>مصروفات إدارية وأخرى</t>
        </is>
      </c>
      <c r="L71" s="16" t="n"/>
    </row>
    <row r="72">
      <c r="A72" s="18" t="n">
        <v>71</v>
      </c>
      <c r="B72" s="98" t="n">
        <v>45897</v>
      </c>
      <c r="C72" s="18" t="inlineStr">
        <is>
          <t>مؤسسة بساتين الرياض</t>
        </is>
      </c>
      <c r="D72" s="18" t="inlineStr">
        <is>
          <t>RIYADH NURSERY-PO711</t>
        </is>
      </c>
      <c r="E72" s="18" t="n"/>
      <c r="F72" s="19" t="n">
        <v>37949.57</v>
      </c>
      <c r="G72" s="18" t="n">
        <v>15</v>
      </c>
      <c r="H72" s="19" t="n">
        <v>43642</v>
      </c>
      <c r="I72" s="18" t="inlineStr">
        <is>
          <t>لا</t>
        </is>
      </c>
      <c r="J72" s="18" t="inlineStr">
        <is>
          <t>مزرعة الرياض (عهدة/صندوق)</t>
        </is>
      </c>
      <c r="K72" s="18" t="inlineStr">
        <is>
          <t>مشتريات نباتات وبذور</t>
        </is>
      </c>
      <c r="L72" s="18" t="inlineStr">
        <is>
          <t>غير مدفوع في 2025 – تم سداده في 2026 ضمن أمر PO-288</t>
        </is>
      </c>
    </row>
    <row r="73">
      <c r="A73" s="16" t="n">
        <v>72</v>
      </c>
      <c r="B73" s="95" t="n">
        <v>45897</v>
      </c>
      <c r="C73" s="16" t="inlineStr">
        <is>
          <t>الوقود</t>
        </is>
      </c>
      <c r="D73" s="16" t="inlineStr">
        <is>
          <t>RIYADH NURSERY</t>
        </is>
      </c>
      <c r="E73" s="16" t="n"/>
      <c r="F73" s="17" t="n">
        <v>217.39</v>
      </c>
      <c r="G73" s="16" t="n">
        <v>15</v>
      </c>
      <c r="H73" s="17" t="n">
        <v>250</v>
      </c>
      <c r="I73" s="16" t="inlineStr">
        <is>
          <t>نعم</t>
        </is>
      </c>
      <c r="J73" s="16" t="inlineStr">
        <is>
          <t>مزرعة الرياض (عهدة/صندوق)</t>
        </is>
      </c>
      <c r="K73" s="16" t="inlineStr">
        <is>
          <t>وقود</t>
        </is>
      </c>
      <c r="L73" s="16" t="n"/>
    </row>
    <row r="74">
      <c r="A74" s="16" t="n">
        <v>73</v>
      </c>
      <c r="B74" s="95" t="n">
        <v>45900</v>
      </c>
      <c r="C74" s="16" t="inlineStr">
        <is>
          <t>ينابع المئويه لتحلية المياه</t>
        </is>
      </c>
      <c r="D74" s="16" t="inlineStr">
        <is>
          <t>RIYADH NURSERY</t>
        </is>
      </c>
      <c r="E74" s="16" t="n"/>
      <c r="F74" s="17" t="n">
        <v>52.17</v>
      </c>
      <c r="G74" s="16" t="n">
        <v>15</v>
      </c>
      <c r="H74" s="17" t="n">
        <v>60</v>
      </c>
      <c r="I74" s="16" t="inlineStr">
        <is>
          <t>نعم</t>
        </is>
      </c>
      <c r="J74" s="16" t="inlineStr">
        <is>
          <t>مزرعة الرياض (عهدة/صندوق)</t>
        </is>
      </c>
      <c r="K74" s="16" t="inlineStr">
        <is>
          <t>خدمات (كهرباء/مياه/اتصالات)</t>
        </is>
      </c>
      <c r="L74" s="16" t="n"/>
    </row>
    <row r="75">
      <c r="A75" s="16" t="n">
        <v>74</v>
      </c>
      <c r="B75" s="95" t="n">
        <v>45900</v>
      </c>
      <c r="C75" s="16" t="inlineStr">
        <is>
          <t>الوقود</t>
        </is>
      </c>
      <c r="D75" s="16" t="inlineStr">
        <is>
          <t>RIYADH NURSERY</t>
        </is>
      </c>
      <c r="E75" s="16" t="n"/>
      <c r="F75" s="17" t="n">
        <v>17.39</v>
      </c>
      <c r="G75" s="16" t="n">
        <v>15</v>
      </c>
      <c r="H75" s="17" t="n">
        <v>20</v>
      </c>
      <c r="I75" s="16" t="inlineStr">
        <is>
          <t>نعم</t>
        </is>
      </c>
      <c r="J75" s="16" t="inlineStr">
        <is>
          <t>مزرعة الرياض (عهدة/صندوق)</t>
        </is>
      </c>
      <c r="K75" s="16" t="inlineStr">
        <is>
          <t>وقود</t>
        </is>
      </c>
      <c r="L75" s="16" t="n"/>
    </row>
    <row r="76">
      <c r="A76" s="16" t="n">
        <v>75</v>
      </c>
      <c r="B76" s="95" t="n">
        <v>45900</v>
      </c>
      <c r="C76" s="16" t="inlineStr">
        <is>
          <t>الوقود</t>
        </is>
      </c>
      <c r="D76" s="16" t="inlineStr">
        <is>
          <t>RIYADH NURSERY</t>
        </is>
      </c>
      <c r="E76" s="16" t="n"/>
      <c r="F76" s="17" t="n">
        <v>60.87</v>
      </c>
      <c r="G76" s="16" t="n">
        <v>15</v>
      </c>
      <c r="H76" s="17" t="n">
        <v>70</v>
      </c>
      <c r="I76" s="16" t="inlineStr">
        <is>
          <t>نعم</t>
        </is>
      </c>
      <c r="J76" s="16" t="inlineStr">
        <is>
          <t>مزرعة الرياض (عهدة/صندوق)</t>
        </is>
      </c>
      <c r="K76" s="16" t="inlineStr">
        <is>
          <t>وقود</t>
        </is>
      </c>
      <c r="L76" s="16" t="n"/>
    </row>
    <row r="77">
      <c r="A77" s="30" t="n">
        <v>76</v>
      </c>
      <c r="B77" s="97" t="n">
        <v>45901</v>
      </c>
      <c r="C77" s="30" t="inlineStr">
        <is>
          <t>شركة التكامل</t>
        </is>
      </c>
      <c r="D77" s="30" t="inlineStr">
        <is>
          <t>RIYADH NURSERYpo-747</t>
        </is>
      </c>
      <c r="E77" s="30" t="inlineStr">
        <is>
          <t>تحويل بنكى</t>
        </is>
      </c>
      <c r="F77" s="32" t="n">
        <v>19440</v>
      </c>
      <c r="G77" s="30" t="n">
        <v>15</v>
      </c>
      <c r="H77" s="32" t="n">
        <v>22356</v>
      </c>
      <c r="I77" s="30" t="inlineStr">
        <is>
          <t>نعم</t>
        </is>
      </c>
      <c r="J77" s="30" t="inlineStr">
        <is>
          <t>مزرعة تبوك (نسما) – تحويل بنكي</t>
        </is>
      </c>
      <c r="K77" s="30" t="inlineStr">
        <is>
          <t>مشتريات نباتات وبذور</t>
        </is>
      </c>
      <c r="L77" s="30" t="inlineStr">
        <is>
          <t>مدفوع عن طريق مزرعة تبوك – مديونية على مزرعة الرياض</t>
        </is>
      </c>
    </row>
    <row r="78">
      <c r="A78" s="18" t="n">
        <v>77</v>
      </c>
      <c r="B78" s="98" t="n">
        <v>45902</v>
      </c>
      <c r="C78" s="18" t="inlineStr">
        <is>
          <t>الوقود</t>
        </is>
      </c>
      <c r="D78" s="18" t="inlineStr">
        <is>
          <t>RIYADH NURSERY</t>
        </is>
      </c>
      <c r="E78" s="18" t="n"/>
      <c r="F78" s="19" t="n">
        <v>173.91</v>
      </c>
      <c r="G78" s="18" t="n">
        <v>15</v>
      </c>
      <c r="H78" s="19" t="n">
        <v>200</v>
      </c>
      <c r="I78" s="18" t="inlineStr">
        <is>
          <t>نعم</t>
        </is>
      </c>
      <c r="J78" s="18" t="inlineStr">
        <is>
          <t>مزرعة الرياض (عهدة/صندوق)</t>
        </is>
      </c>
      <c r="K78" s="18" t="inlineStr">
        <is>
          <t>وقود</t>
        </is>
      </c>
      <c r="L78" s="18" t="inlineStr">
        <is>
          <t>⚠ نفس المورد ونفس التاريخ ونفس القيمة مكرر – يلزم التأكد</t>
        </is>
      </c>
    </row>
    <row r="79">
      <c r="A79" s="18" t="n">
        <v>78</v>
      </c>
      <c r="B79" s="98" t="n">
        <v>45902</v>
      </c>
      <c r="C79" s="18" t="inlineStr">
        <is>
          <t>الوقود</t>
        </is>
      </c>
      <c r="D79" s="18" t="inlineStr">
        <is>
          <t>RIYADH NURSERY</t>
        </is>
      </c>
      <c r="E79" s="18" t="n"/>
      <c r="F79" s="19" t="n">
        <v>173.91</v>
      </c>
      <c r="G79" s="18" t="n">
        <v>15</v>
      </c>
      <c r="H79" s="19" t="n">
        <v>200</v>
      </c>
      <c r="I79" s="18" t="inlineStr">
        <is>
          <t>نعم</t>
        </is>
      </c>
      <c r="J79" s="18" t="inlineStr">
        <is>
          <t>مزرعة الرياض (عهدة/صندوق)</t>
        </is>
      </c>
      <c r="K79" s="18" t="inlineStr">
        <is>
          <t>وقود</t>
        </is>
      </c>
      <c r="L79" s="18" t="inlineStr">
        <is>
          <t>⚠ نفس المورد ونفس التاريخ ونفس القيمة مكرر – يلزم التأكد</t>
        </is>
      </c>
    </row>
    <row r="80">
      <c r="A80" s="16" t="n">
        <v>79</v>
      </c>
      <c r="B80" s="95" t="n">
        <v>45905</v>
      </c>
      <c r="C80" s="16" t="inlineStr">
        <is>
          <t>الوقود</t>
        </is>
      </c>
      <c r="D80" s="16" t="inlineStr">
        <is>
          <t>RIYADH NURSERY</t>
        </is>
      </c>
      <c r="E80" s="16" t="inlineStr">
        <is>
          <t>غيار زيت + فلتر زيت +شحم</t>
        </is>
      </c>
      <c r="F80" s="17" t="n">
        <v>204.35</v>
      </c>
      <c r="G80" s="16" t="n">
        <v>15</v>
      </c>
      <c r="H80" s="17" t="n">
        <v>235</v>
      </c>
      <c r="I80" s="16" t="inlineStr">
        <is>
          <t>نعم</t>
        </is>
      </c>
      <c r="J80" s="16" t="inlineStr">
        <is>
          <t>مزرعة الرياض (عهدة/صندوق)</t>
        </is>
      </c>
      <c r="K80" s="16" t="inlineStr">
        <is>
          <t>وقود</t>
        </is>
      </c>
      <c r="L80" s="16" t="n"/>
    </row>
    <row r="81">
      <c r="A81" s="18" t="n">
        <v>80</v>
      </c>
      <c r="B81" s="98" t="n">
        <v>45913</v>
      </c>
      <c r="C81" s="18" t="inlineStr">
        <is>
          <t>شركة سائح لى للبلاستيك المحدوده</t>
        </is>
      </c>
      <c r="D81" s="18" t="inlineStr">
        <is>
          <t>RIYADH NURSERY-PO749</t>
        </is>
      </c>
      <c r="E81" s="18" t="inlineStr">
        <is>
          <t>تحويل بنكى</t>
        </is>
      </c>
      <c r="F81" s="19" t="n">
        <v>1965.6</v>
      </c>
      <c r="G81" s="18" t="n">
        <v>15</v>
      </c>
      <c r="H81" s="19" t="n">
        <v>2260.44</v>
      </c>
      <c r="I81" s="18" t="inlineStr">
        <is>
          <t>نعم</t>
        </is>
      </c>
      <c r="J81" s="18" t="inlineStr">
        <is>
          <t>مزرعة تبوك (نسما) – تحويل بنكي</t>
        </is>
      </c>
      <c r="K81" s="18" t="inlineStr">
        <is>
          <t>مستلزمات إنتاج (مراكن/فلين/مفارش)</t>
        </is>
      </c>
      <c r="L81" s="18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82">
      <c r="A82" s="18" t="n">
        <v>81</v>
      </c>
      <c r="B82" s="98" t="n">
        <v>45913</v>
      </c>
      <c r="C82" s="18" t="inlineStr">
        <is>
          <t>شركة سائح لى للبلاستيك المحدوده</t>
        </is>
      </c>
      <c r="D82" s="18" t="inlineStr">
        <is>
          <t>RIYADH NURSERY-PO-736</t>
        </is>
      </c>
      <c r="E82" s="18" t="inlineStr">
        <is>
          <t>تحويل بنكى</t>
        </is>
      </c>
      <c r="F82" s="19" t="n">
        <v>1965.6</v>
      </c>
      <c r="G82" s="18" t="n">
        <v>15</v>
      </c>
      <c r="H82" s="19" t="n">
        <v>2260.44</v>
      </c>
      <c r="I82" s="18" t="inlineStr">
        <is>
          <t>نعم</t>
        </is>
      </c>
      <c r="J82" s="18" t="inlineStr">
        <is>
          <t>مزرعة تبوك (نسما) – تحويل بنكي</t>
        </is>
      </c>
      <c r="K82" s="18" t="inlineStr">
        <is>
          <t>مستلزمات إنتاج (مراكن/فلين/مفارش)</t>
        </is>
      </c>
      <c r="L82" s="18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83">
      <c r="A83" s="16" t="n">
        <v>82</v>
      </c>
      <c r="B83" s="95" t="n">
        <v>45913</v>
      </c>
      <c r="C83" s="16" t="inlineStr">
        <is>
          <t>الوقود</t>
        </is>
      </c>
      <c r="D83" s="16" t="inlineStr">
        <is>
          <t>RIYADH NURSERY</t>
        </is>
      </c>
      <c r="E83" s="16" t="n"/>
      <c r="F83" s="17" t="n">
        <v>30.43</v>
      </c>
      <c r="G83" s="16" t="n">
        <v>15</v>
      </c>
      <c r="H83" s="17" t="n">
        <v>35</v>
      </c>
      <c r="I83" s="16" t="inlineStr">
        <is>
          <t>نعم</t>
        </is>
      </c>
      <c r="J83" s="16" t="inlineStr">
        <is>
          <t>مزرعة الرياض (عهدة/صندوق)</t>
        </is>
      </c>
      <c r="K83" s="16" t="inlineStr">
        <is>
          <t>وقود</t>
        </is>
      </c>
      <c r="L83" s="16" t="n"/>
    </row>
    <row r="84">
      <c r="A84" s="18" t="n">
        <v>83</v>
      </c>
      <c r="B84" s="98" t="n">
        <v>45913</v>
      </c>
      <c r="C84" s="18" t="inlineStr">
        <is>
          <t>الوقود</t>
        </is>
      </c>
      <c r="D84" s="18" t="inlineStr">
        <is>
          <t>RIYADH NURSERY</t>
        </is>
      </c>
      <c r="E84" s="18" t="n"/>
      <c r="F84" s="19" t="n">
        <v>173.91</v>
      </c>
      <c r="G84" s="18" t="n">
        <v>15</v>
      </c>
      <c r="H84" s="19" t="n">
        <v>200</v>
      </c>
      <c r="I84" s="18" t="inlineStr">
        <is>
          <t>نعم</t>
        </is>
      </c>
      <c r="J84" s="18" t="inlineStr">
        <is>
          <t>مزرعة الرياض (عهدة/صندوق)</t>
        </is>
      </c>
      <c r="K84" s="18" t="inlineStr">
        <is>
          <t>وقود</t>
        </is>
      </c>
      <c r="L84" s="18" t="inlineStr">
        <is>
          <t>⚠ نفس المورد ونفس التاريخ ونفس القيمة مكرر – يلزم التأكد</t>
        </is>
      </c>
    </row>
    <row r="85">
      <c r="A85" s="16" t="n">
        <v>84</v>
      </c>
      <c r="B85" s="95" t="n">
        <v>45913</v>
      </c>
      <c r="C85" s="16" t="inlineStr">
        <is>
          <t>الوقود</t>
        </is>
      </c>
      <c r="D85" s="16" t="inlineStr">
        <is>
          <t>RIYADH NURSERY</t>
        </is>
      </c>
      <c r="E85" s="16" t="n"/>
      <c r="F85" s="17" t="n">
        <v>60.87</v>
      </c>
      <c r="G85" s="16" t="n">
        <v>15</v>
      </c>
      <c r="H85" s="17" t="n">
        <v>70</v>
      </c>
      <c r="I85" s="16" t="inlineStr">
        <is>
          <t>نعم</t>
        </is>
      </c>
      <c r="J85" s="16" t="inlineStr">
        <is>
          <t>مزرعة الرياض (عهدة/صندوق)</t>
        </is>
      </c>
      <c r="K85" s="16" t="inlineStr">
        <is>
          <t>وقود</t>
        </is>
      </c>
      <c r="L85" s="16" t="n"/>
    </row>
    <row r="86">
      <c r="A86" s="18" t="n">
        <v>85</v>
      </c>
      <c r="B86" s="98" t="n">
        <v>45913</v>
      </c>
      <c r="C86" s="18" t="inlineStr">
        <is>
          <t>الوقود</t>
        </is>
      </c>
      <c r="D86" s="18" t="inlineStr">
        <is>
          <t>RIYADH NURSERY</t>
        </is>
      </c>
      <c r="E86" s="18" t="n"/>
      <c r="F86" s="19" t="n">
        <v>173.91</v>
      </c>
      <c r="G86" s="18" t="n">
        <v>15</v>
      </c>
      <c r="H86" s="19" t="n">
        <v>200</v>
      </c>
      <c r="I86" s="18" t="inlineStr">
        <is>
          <t>نعم</t>
        </is>
      </c>
      <c r="J86" s="18" t="inlineStr">
        <is>
          <t>مزرعة الرياض (عهدة/صندوق)</t>
        </is>
      </c>
      <c r="K86" s="18" t="inlineStr">
        <is>
          <t>وقود</t>
        </is>
      </c>
      <c r="L86" s="18" t="inlineStr">
        <is>
          <t>⚠ نفس المورد ونفس التاريخ ونفس القيمة مكرر – يلزم التأكد</t>
        </is>
      </c>
    </row>
    <row r="87">
      <c r="A87" s="16" t="n">
        <v>86</v>
      </c>
      <c r="B87" s="95" t="n">
        <v>45913</v>
      </c>
      <c r="C87" s="16" t="inlineStr">
        <is>
          <t>الوقود</t>
        </is>
      </c>
      <c r="D87" s="16" t="inlineStr">
        <is>
          <t>RIYADH NURSERY</t>
        </is>
      </c>
      <c r="E87" s="16" t="n"/>
      <c r="F87" s="17" t="n">
        <v>217.39</v>
      </c>
      <c r="G87" s="16" t="n">
        <v>15</v>
      </c>
      <c r="H87" s="17" t="n">
        <v>250</v>
      </c>
      <c r="I87" s="16" t="inlineStr">
        <is>
          <t>نعم</t>
        </is>
      </c>
      <c r="J87" s="16" t="inlineStr">
        <is>
          <t>مزرعة الرياض (عهدة/صندوق)</t>
        </is>
      </c>
      <c r="K87" s="16" t="inlineStr">
        <is>
          <t>وقود</t>
        </is>
      </c>
      <c r="L87" s="16" t="n"/>
    </row>
    <row r="88">
      <c r="A88" s="18" t="n">
        <v>87</v>
      </c>
      <c r="B88" s="98" t="n">
        <v>45913</v>
      </c>
      <c r="C88" s="18" t="inlineStr">
        <is>
          <t>مؤسسة بساتين الرياض</t>
        </is>
      </c>
      <c r="D88" s="18" t="inlineStr">
        <is>
          <t>RIYADH NURSERY-PO748</t>
        </is>
      </c>
      <c r="E88" s="18" t="inlineStr">
        <is>
          <t>غير مدفوعه</t>
        </is>
      </c>
      <c r="F88" s="19" t="n">
        <v>37055</v>
      </c>
      <c r="G88" s="18" t="n">
        <v>15</v>
      </c>
      <c r="H88" s="19" t="n">
        <v>42613.25</v>
      </c>
      <c r="I88" s="18" t="inlineStr">
        <is>
          <t>لا</t>
        </is>
      </c>
      <c r="J88" s="18" t="inlineStr">
        <is>
          <t>مزرعة الرياض (عهدة/صندوق)</t>
        </is>
      </c>
      <c r="K88" s="18" t="inlineStr">
        <is>
          <t>مشتريات نباتات وبذور</t>
        </is>
      </c>
      <c r="L88" s="18" t="inlineStr">
        <is>
          <t>غير مدفوع في 2025 – تم سداده في 2026 ضمن أمر PO-288</t>
        </is>
      </c>
    </row>
    <row r="89">
      <c r="A89" s="16" t="n">
        <v>88</v>
      </c>
      <c r="B89" s="95" t="n">
        <v>45914</v>
      </c>
      <c r="C89" s="16" t="inlineStr">
        <is>
          <t>الوقود</t>
        </is>
      </c>
      <c r="D89" s="16" t="inlineStr">
        <is>
          <t>RIYADH NURSERY</t>
        </is>
      </c>
      <c r="E89" s="16" t="n"/>
      <c r="F89" s="17" t="n">
        <v>226.09</v>
      </c>
      <c r="G89" s="16" t="n">
        <v>15</v>
      </c>
      <c r="H89" s="17" t="n">
        <v>260</v>
      </c>
      <c r="I89" s="16" t="inlineStr">
        <is>
          <t>نعم</t>
        </is>
      </c>
      <c r="J89" s="16" t="inlineStr">
        <is>
          <t>مزرعة الرياض (عهدة/صندوق)</t>
        </is>
      </c>
      <c r="K89" s="16" t="inlineStr">
        <is>
          <t>وقود</t>
        </is>
      </c>
      <c r="L89" s="16" t="n"/>
    </row>
    <row r="90">
      <c r="A90" s="16" t="n">
        <v>89</v>
      </c>
      <c r="B90" s="95" t="n">
        <v>45915</v>
      </c>
      <c r="C90" s="16" t="inlineStr">
        <is>
          <t>ينابع المئويه لتحلية المياه</t>
        </is>
      </c>
      <c r="D90" s="16" t="inlineStr">
        <is>
          <t>RIYADH NURSERY</t>
        </is>
      </c>
      <c r="E90" s="16" t="n"/>
      <c r="F90" s="17" t="n">
        <v>52.17</v>
      </c>
      <c r="G90" s="16" t="n">
        <v>15</v>
      </c>
      <c r="H90" s="17" t="n">
        <v>60</v>
      </c>
      <c r="I90" s="16" t="inlineStr">
        <is>
          <t>نعم</t>
        </is>
      </c>
      <c r="J90" s="16" t="inlineStr">
        <is>
          <t>مزرعة الرياض (عهدة/صندوق)</t>
        </is>
      </c>
      <c r="K90" s="16" t="inlineStr">
        <is>
          <t>خدمات (كهرباء/مياه/اتصالات)</t>
        </is>
      </c>
      <c r="L90" s="16" t="n"/>
    </row>
    <row r="91">
      <c r="A91" s="16" t="n">
        <v>90</v>
      </c>
      <c r="B91" s="95" t="n">
        <v>45918</v>
      </c>
      <c r="C91" s="16" t="inlineStr">
        <is>
          <t>شركة ايراد المتحدة التجارية</t>
        </is>
      </c>
      <c r="D91" s="16" t="inlineStr">
        <is>
          <t>RIYADH NURSERY-PO809</t>
        </is>
      </c>
      <c r="E91" s="16" t="n"/>
      <c r="F91" s="17" t="n">
        <v>2295.68</v>
      </c>
      <c r="G91" s="16" t="n">
        <v>15</v>
      </c>
      <c r="H91" s="17" t="n">
        <v>2640.03</v>
      </c>
      <c r="I91" s="16" t="inlineStr">
        <is>
          <t>نعم</t>
        </is>
      </c>
      <c r="J91" s="16" t="inlineStr">
        <is>
          <t>مزرعة الرياض (عهدة/صندوق)</t>
        </is>
      </c>
      <c r="K91" s="16" t="inlineStr">
        <is>
          <t>مواد زراعية (بيتموس/بيرلايت/أسمدة/مبيدات)</t>
        </is>
      </c>
      <c r="L91" s="16" t="n"/>
    </row>
    <row r="92">
      <c r="A92" s="16" t="n">
        <v>91</v>
      </c>
      <c r="B92" s="95" t="n">
        <v>45918</v>
      </c>
      <c r="C92" s="16" t="inlineStr">
        <is>
          <t>موسسة بيت الوسيط لتجاره</t>
        </is>
      </c>
      <c r="D92" s="16" t="inlineStr">
        <is>
          <t>RIYADH NURSERY</t>
        </is>
      </c>
      <c r="E92" s="16" t="n"/>
      <c r="F92" s="17" t="n">
        <v>143.48</v>
      </c>
      <c r="G92" s="16" t="n">
        <v>15</v>
      </c>
      <c r="H92" s="17" t="n">
        <v>165</v>
      </c>
      <c r="I92" s="16" t="inlineStr">
        <is>
          <t>نعم</t>
        </is>
      </c>
      <c r="J92" s="16" t="inlineStr">
        <is>
          <t>مزرعة الرياض (عهدة/صندوق)</t>
        </is>
      </c>
      <c r="K92" s="16" t="inlineStr">
        <is>
          <t>مواد زراعية (بيتموس/بيرلايت/أسمدة/مبيدات)</t>
        </is>
      </c>
      <c r="L92" s="16" t="n"/>
    </row>
    <row r="93">
      <c r="A93" s="16" t="n">
        <v>92</v>
      </c>
      <c r="B93" s="95" t="n">
        <v>45918</v>
      </c>
      <c r="C93" s="16" t="inlineStr">
        <is>
          <t>مصنع المراعى للاسمدة</t>
        </is>
      </c>
      <c r="D93" s="16" t="inlineStr">
        <is>
          <t>RIYADH NURSERY</t>
        </is>
      </c>
      <c r="E93" s="16" t="inlineStr">
        <is>
          <t>مرفق طلب التوريد</t>
        </is>
      </c>
      <c r="F93" s="17" t="n">
        <v>121.74</v>
      </c>
      <c r="G93" s="16" t="n">
        <v>15</v>
      </c>
      <c r="H93" s="17" t="n">
        <v>140</v>
      </c>
      <c r="I93" s="16" t="inlineStr">
        <is>
          <t>نعم</t>
        </is>
      </c>
      <c r="J93" s="16" t="inlineStr">
        <is>
          <t>مزرعة الرياض (عهدة/صندوق)</t>
        </is>
      </c>
      <c r="K93" s="16" t="inlineStr">
        <is>
          <t>مصروفات إدارية وأخرى</t>
        </is>
      </c>
      <c r="L93" s="16" t="n"/>
    </row>
    <row r="94">
      <c r="A94" s="30" t="n">
        <v>93</v>
      </c>
      <c r="B94" s="97" t="n">
        <v>45920</v>
      </c>
      <c r="C94" s="30" t="inlineStr">
        <is>
          <t>شركة التاج المميزة التجارية</t>
        </is>
      </c>
      <c r="D94" s="30" t="inlineStr">
        <is>
          <t>RIYADH NURSERY PO-743</t>
        </is>
      </c>
      <c r="E94" s="30" t="inlineStr">
        <is>
          <t>تحويل بنكى</t>
        </is>
      </c>
      <c r="F94" s="32" t="n">
        <v>25000</v>
      </c>
      <c r="G94" s="30" t="n">
        <v>15</v>
      </c>
      <c r="H94" s="32" t="n">
        <v>28750</v>
      </c>
      <c r="I94" s="30" t="inlineStr">
        <is>
          <t>نعم</t>
        </is>
      </c>
      <c r="J94" s="30" t="inlineStr">
        <is>
          <t>مزرعة تبوك (نسما) – تحويل بنكي</t>
        </is>
      </c>
      <c r="K94" s="30" t="inlineStr">
        <is>
          <t>مواد زراعية (بيتموس/بيرلايت/أسمدة/مبيدات)</t>
        </is>
      </c>
      <c r="L94" s="30" t="inlineStr">
        <is>
          <t>مدفوع عن طريق مزرعة تبوك – مديونية على مزرعة الرياض</t>
        </is>
      </c>
    </row>
    <row r="95">
      <c r="A95" s="16" t="n">
        <v>94</v>
      </c>
      <c r="B95" s="95" t="n">
        <v>45920</v>
      </c>
      <c r="C95" s="16" t="inlineStr">
        <is>
          <t>الوقود</t>
        </is>
      </c>
      <c r="D95" s="16" t="inlineStr">
        <is>
          <t>RIYADH NURSERY</t>
        </is>
      </c>
      <c r="E95" s="16" t="n"/>
      <c r="F95" s="17" t="n">
        <v>173.91</v>
      </c>
      <c r="G95" s="16" t="n">
        <v>15</v>
      </c>
      <c r="H95" s="17" t="n">
        <v>200</v>
      </c>
      <c r="I95" s="16" t="inlineStr">
        <is>
          <t>نعم</t>
        </is>
      </c>
      <c r="J95" s="16" t="inlineStr">
        <is>
          <t>مزرعة الرياض (عهدة/صندوق)</t>
        </is>
      </c>
      <c r="K95" s="16" t="inlineStr">
        <is>
          <t>وقود</t>
        </is>
      </c>
      <c r="L95" s="16" t="n"/>
    </row>
    <row r="96">
      <c r="A96" s="16" t="n">
        <v>95</v>
      </c>
      <c r="B96" s="95" t="n">
        <v>45920</v>
      </c>
      <c r="C96" s="16" t="inlineStr">
        <is>
          <t>ورشة اليسر الراجح للميكانيك</t>
        </is>
      </c>
      <c r="D96" s="16" t="inlineStr">
        <is>
          <t>RIYADH NURSERY</t>
        </is>
      </c>
      <c r="E96" s="16" t="n"/>
      <c r="F96" s="17" t="n">
        <v>86.95999999999999</v>
      </c>
      <c r="G96" s="16" t="n">
        <v>15</v>
      </c>
      <c r="H96" s="17" t="n">
        <v>100</v>
      </c>
      <c r="I96" s="16" t="inlineStr">
        <is>
          <t>نعم</t>
        </is>
      </c>
      <c r="J96" s="16" t="inlineStr">
        <is>
          <t>مزرعة الرياض (عهدة/صندوق)</t>
        </is>
      </c>
      <c r="K96" s="16" t="inlineStr">
        <is>
          <t>صيانة سيارات ومعدات</t>
        </is>
      </c>
      <c r="L96" s="16" t="n"/>
    </row>
    <row r="97">
      <c r="A97" s="16" t="n">
        <v>96</v>
      </c>
      <c r="B97" s="95" t="n">
        <v>45920</v>
      </c>
      <c r="C97" s="16" t="inlineStr">
        <is>
          <t>مؤسسة نجم المفاتيح</t>
        </is>
      </c>
      <c r="D97" s="16" t="inlineStr">
        <is>
          <t>RIYADH NURSERY</t>
        </is>
      </c>
      <c r="E97" s="16" t="n"/>
      <c r="F97" s="17" t="n">
        <v>17.39</v>
      </c>
      <c r="G97" s="16" t="n">
        <v>15</v>
      </c>
      <c r="H97" s="17" t="n">
        <v>20</v>
      </c>
      <c r="I97" s="16" t="inlineStr">
        <is>
          <t>نعم</t>
        </is>
      </c>
      <c r="J97" s="16" t="inlineStr">
        <is>
          <t>مزرعة الرياض (عهدة/صندوق)</t>
        </is>
      </c>
      <c r="K97" s="16" t="inlineStr">
        <is>
          <t>مصروفات إدارية وأخرى</t>
        </is>
      </c>
      <c r="L97" s="16" t="n"/>
    </row>
    <row r="98">
      <c r="A98" s="16" t="n">
        <v>97</v>
      </c>
      <c r="B98" s="95" t="n">
        <v>45920</v>
      </c>
      <c r="C98" s="16" t="inlineStr">
        <is>
          <t>مؤسسة نوفا المتحده</t>
        </is>
      </c>
      <c r="D98" s="16" t="inlineStr">
        <is>
          <t>RIYADH NURSERY</t>
        </is>
      </c>
      <c r="E98" s="16" t="n"/>
      <c r="F98" s="17" t="n">
        <v>54.78</v>
      </c>
      <c r="G98" s="16" t="n">
        <v>15</v>
      </c>
      <c r="H98" s="17" t="n">
        <v>63</v>
      </c>
      <c r="I98" s="16" t="inlineStr">
        <is>
          <t>نعم</t>
        </is>
      </c>
      <c r="J98" s="16" t="inlineStr">
        <is>
          <t>مزرعة الرياض (عهدة/صندوق)</t>
        </is>
      </c>
      <c r="K98" s="16" t="inlineStr">
        <is>
          <t>مصروفات إدارية وأخرى</t>
        </is>
      </c>
      <c r="L98" s="16" t="n"/>
    </row>
    <row r="99">
      <c r="A99" s="16" t="n">
        <v>98</v>
      </c>
      <c r="B99" s="95" t="n">
        <v>45920</v>
      </c>
      <c r="C99" s="16" t="inlineStr">
        <is>
          <t>مؤسسة تلال الربيع للمفارش</t>
        </is>
      </c>
      <c r="D99" s="16" t="inlineStr">
        <is>
          <t>RIYADH NURSERY</t>
        </is>
      </c>
      <c r="E99" s="16" t="n"/>
      <c r="F99" s="17" t="n">
        <v>1078.26</v>
      </c>
      <c r="G99" s="16" t="n">
        <v>15</v>
      </c>
      <c r="H99" s="17" t="n">
        <v>1240</v>
      </c>
      <c r="I99" s="16" t="inlineStr">
        <is>
          <t>نعم</t>
        </is>
      </c>
      <c r="J99" s="16" t="inlineStr">
        <is>
          <t>مزرعة الرياض (عهدة/صندوق)</t>
        </is>
      </c>
      <c r="K99" s="16" t="inlineStr">
        <is>
          <t>مصروفات إدارية وأخرى</t>
        </is>
      </c>
      <c r="L99" s="16" t="n"/>
    </row>
    <row r="100">
      <c r="A100" s="30" t="n">
        <v>99</v>
      </c>
      <c r="B100" s="97" t="n">
        <v>45921</v>
      </c>
      <c r="C100" s="30" t="inlineStr">
        <is>
          <t>شركة المدارات السعودية للتجارة والاستيراد</t>
        </is>
      </c>
      <c r="D100" s="30" t="inlineStr">
        <is>
          <t>RIYADH NURSERY-PO785</t>
        </is>
      </c>
      <c r="E100" s="30" t="inlineStr">
        <is>
          <t>تحويل بنكى</t>
        </is>
      </c>
      <c r="F100" s="32" t="n">
        <v>8000</v>
      </c>
      <c r="G100" s="30" t="n">
        <v>15</v>
      </c>
      <c r="H100" s="32" t="n">
        <v>9200</v>
      </c>
      <c r="I100" s="30" t="inlineStr">
        <is>
          <t>نعم</t>
        </is>
      </c>
      <c r="J100" s="30" t="inlineStr">
        <is>
          <t>مزرعة تبوك (نسما) – تحويل بنكي</t>
        </is>
      </c>
      <c r="K100" s="30" t="inlineStr">
        <is>
          <t>مواد زراعية (بيتموس/بيرلايت/أسمدة/مبيدات)</t>
        </is>
      </c>
      <c r="L100" s="30" t="inlineStr">
        <is>
          <t>مدفوع عن طريق مزرعة تبوك – مديونية على مزرعة الرياض</t>
        </is>
      </c>
    </row>
    <row r="101">
      <c r="A101" s="18" t="n">
        <v>100</v>
      </c>
      <c r="B101" s="98" t="n">
        <v>45924</v>
      </c>
      <c r="C101" s="18" t="inlineStr">
        <is>
          <t>مؤسسة بساتين الرياض</t>
        </is>
      </c>
      <c r="D101" s="18" t="inlineStr">
        <is>
          <t>RIYADH NURSERY PO838</t>
        </is>
      </c>
      <c r="E101" s="18" t="n"/>
      <c r="F101" s="19" t="n">
        <v>36290</v>
      </c>
      <c r="G101" s="18" t="n">
        <v>15</v>
      </c>
      <c r="H101" s="19" t="n">
        <v>41733.5</v>
      </c>
      <c r="I101" s="18" t="inlineStr">
        <is>
          <t>لا</t>
        </is>
      </c>
      <c r="J101" s="18" t="inlineStr">
        <is>
          <t>مزرعة الرياض (عهدة/صندوق)</t>
        </is>
      </c>
      <c r="K101" s="18" t="inlineStr">
        <is>
          <t>مشتريات نباتات وبذور</t>
        </is>
      </c>
      <c r="L101" s="18" t="inlineStr">
        <is>
          <t>غير مدفوع في 2025 – تم سداده في 2026 ضمن أمر PO-287-REV1</t>
        </is>
      </c>
    </row>
    <row r="102">
      <c r="A102" s="16" t="n">
        <v>101</v>
      </c>
      <c r="B102" s="95" t="n">
        <v>45924</v>
      </c>
      <c r="C102" s="16" t="inlineStr">
        <is>
          <t>مؤسسة رغدان للزراعه</t>
        </is>
      </c>
      <c r="D102" s="16" t="inlineStr">
        <is>
          <t>RIYADH NURSERY</t>
        </is>
      </c>
      <c r="E102" s="16" t="n"/>
      <c r="F102" s="17" t="n">
        <v>252.17</v>
      </c>
      <c r="G102" s="16" t="n">
        <v>15</v>
      </c>
      <c r="H102" s="17" t="n">
        <v>290</v>
      </c>
      <c r="I102" s="16" t="inlineStr">
        <is>
          <t>نعم</t>
        </is>
      </c>
      <c r="J102" s="16" t="inlineStr">
        <is>
          <t>مزرعة الرياض (عهدة/صندوق)</t>
        </is>
      </c>
      <c r="K102" s="16" t="inlineStr">
        <is>
          <t>مشتريات نباتات وبذور</t>
        </is>
      </c>
      <c r="L102" s="16" t="n"/>
    </row>
    <row r="103">
      <c r="A103" s="16" t="n">
        <v>102</v>
      </c>
      <c r="B103" s="95" t="n">
        <v>45924</v>
      </c>
      <c r="C103" s="16" t="inlineStr">
        <is>
          <t>الوقود</t>
        </is>
      </c>
      <c r="D103" s="16" t="inlineStr">
        <is>
          <t>RIYADH NURSERY</t>
        </is>
      </c>
      <c r="E103" s="16" t="n"/>
      <c r="F103" s="17" t="n">
        <v>173.91</v>
      </c>
      <c r="G103" s="16" t="n">
        <v>15</v>
      </c>
      <c r="H103" s="17" t="n">
        <v>200</v>
      </c>
      <c r="I103" s="16" t="inlineStr">
        <is>
          <t>نعم</t>
        </is>
      </c>
      <c r="J103" s="16" t="inlineStr">
        <is>
          <t>مزرعة الرياض (عهدة/صندوق)</t>
        </is>
      </c>
      <c r="K103" s="16" t="inlineStr">
        <is>
          <t>وقود</t>
        </is>
      </c>
      <c r="L103" s="16" t="n"/>
    </row>
    <row r="104">
      <c r="A104" s="16" t="n">
        <v>103</v>
      </c>
      <c r="B104" s="95" t="n">
        <v>45924</v>
      </c>
      <c r="C104" s="16" t="inlineStr">
        <is>
          <t>الوقود</t>
        </is>
      </c>
      <c r="D104" s="16" t="inlineStr">
        <is>
          <t>RIYADH NURSERY</t>
        </is>
      </c>
      <c r="E104" s="16" t="n"/>
      <c r="F104" s="17" t="n">
        <v>31.28</v>
      </c>
      <c r="G104" s="16" t="n">
        <v>15</v>
      </c>
      <c r="H104" s="17" t="n">
        <v>35.97</v>
      </c>
      <c r="I104" s="16" t="inlineStr">
        <is>
          <t>نعم</t>
        </is>
      </c>
      <c r="J104" s="16" t="inlineStr">
        <is>
          <t>مزرعة الرياض (عهدة/صندوق)</t>
        </is>
      </c>
      <c r="K104" s="16" t="inlineStr">
        <is>
          <t>وقود</t>
        </is>
      </c>
      <c r="L104" s="16" t="n"/>
    </row>
    <row r="105">
      <c r="A105" s="16" t="n">
        <v>104</v>
      </c>
      <c r="B105" s="95" t="n">
        <v>45924</v>
      </c>
      <c r="C105" s="16" t="inlineStr">
        <is>
          <t>الوقود</t>
        </is>
      </c>
      <c r="D105" s="16" t="inlineStr">
        <is>
          <t>RIYADH NURSERY</t>
        </is>
      </c>
      <c r="E105" s="16" t="n"/>
      <c r="F105" s="17" t="n">
        <v>217.41</v>
      </c>
      <c r="G105" s="16" t="n">
        <v>15</v>
      </c>
      <c r="H105" s="17" t="n">
        <v>250.02</v>
      </c>
      <c r="I105" s="16" t="inlineStr">
        <is>
          <t>نعم</t>
        </is>
      </c>
      <c r="J105" s="16" t="inlineStr">
        <is>
          <t>مزرعة الرياض (عهدة/صندوق)</t>
        </is>
      </c>
      <c r="K105" s="16" t="inlineStr">
        <is>
          <t>وقود</t>
        </is>
      </c>
      <c r="L105" s="16" t="n"/>
    </row>
    <row r="106">
      <c r="A106" s="16" t="n">
        <v>105</v>
      </c>
      <c r="B106" s="95" t="n">
        <v>45924</v>
      </c>
      <c r="C106" s="16" t="inlineStr">
        <is>
          <t>شركة اليمنى للسيارات</t>
        </is>
      </c>
      <c r="D106" s="16" t="inlineStr">
        <is>
          <t>RIYADH NURSERY</t>
        </is>
      </c>
      <c r="E106" s="16" t="n"/>
      <c r="F106" s="17" t="n">
        <v>890.5</v>
      </c>
      <c r="G106" s="16" t="n">
        <v>15</v>
      </c>
      <c r="H106" s="17" t="n">
        <v>1024.07</v>
      </c>
      <c r="I106" s="16" t="inlineStr">
        <is>
          <t>نعم</t>
        </is>
      </c>
      <c r="J106" s="16" t="inlineStr">
        <is>
          <t>مزرعة الرياض (عهدة/صندوق)</t>
        </is>
      </c>
      <c r="K106" s="16" t="inlineStr">
        <is>
          <t>صيانة سيارات ومعدات</t>
        </is>
      </c>
      <c r="L106" s="16" t="n"/>
    </row>
    <row r="107">
      <c r="A107" s="16" t="n">
        <v>106</v>
      </c>
      <c r="B107" s="95" t="n">
        <v>45925</v>
      </c>
      <c r="C107" s="16" t="inlineStr">
        <is>
          <t>صيدلة تبون الطبيه</t>
        </is>
      </c>
      <c r="D107" s="16" t="inlineStr">
        <is>
          <t>RIYADH NURSERY</t>
        </is>
      </c>
      <c r="E107" s="16" t="n"/>
      <c r="F107" s="17" t="n">
        <v>25.65</v>
      </c>
      <c r="G107" s="16" t="n">
        <v>15</v>
      </c>
      <c r="H107" s="17" t="n">
        <v>29.5</v>
      </c>
      <c r="I107" s="16" t="inlineStr">
        <is>
          <t>نعم</t>
        </is>
      </c>
      <c r="J107" s="16" t="inlineStr">
        <is>
          <t>مزرعة الرياض (عهدة/صندوق)</t>
        </is>
      </c>
      <c r="K107" s="16" t="inlineStr">
        <is>
          <t>مصروفات إدارية وأخرى</t>
        </is>
      </c>
      <c r="L107" s="16" t="n"/>
    </row>
    <row r="108">
      <c r="A108" s="16" t="n">
        <v>107</v>
      </c>
      <c r="B108" s="95" t="n">
        <v>45925</v>
      </c>
      <c r="C108" s="16" t="inlineStr">
        <is>
          <t>شركة حقول السلام للتجاره</t>
        </is>
      </c>
      <c r="D108" s="16" t="inlineStr">
        <is>
          <t>RIYADH NURSERY</t>
        </is>
      </c>
      <c r="E108" s="16" t="n"/>
      <c r="F108" s="17" t="n">
        <v>156.52</v>
      </c>
      <c r="G108" s="16" t="n">
        <v>15</v>
      </c>
      <c r="H108" s="17" t="n">
        <v>180</v>
      </c>
      <c r="I108" s="16" t="inlineStr">
        <is>
          <t>نعم</t>
        </is>
      </c>
      <c r="J108" s="16" t="inlineStr">
        <is>
          <t>مزرعة الرياض (عهدة/صندوق)</t>
        </is>
      </c>
      <c r="K108" s="16" t="inlineStr">
        <is>
          <t>مشتريات نباتات وبذور</t>
        </is>
      </c>
      <c r="L108" s="16" t="n"/>
    </row>
    <row r="109">
      <c r="A109" s="16" t="n">
        <v>108</v>
      </c>
      <c r="B109" s="95" t="n">
        <v>45925</v>
      </c>
      <c r="C109" s="16" t="inlineStr">
        <is>
          <t>شركة حقول السلام للتجاره</t>
        </is>
      </c>
      <c r="D109" s="16" t="inlineStr">
        <is>
          <t>RIYADH NURSERY</t>
        </is>
      </c>
      <c r="E109" s="16" t="inlineStr">
        <is>
          <t>شراء مبيدات</t>
        </is>
      </c>
      <c r="F109" s="17" t="n">
        <v>347.82</v>
      </c>
      <c r="G109" s="16" t="n">
        <v>15</v>
      </c>
      <c r="H109" s="17" t="n">
        <v>399.99</v>
      </c>
      <c r="I109" s="16" t="inlineStr">
        <is>
          <t>نعم</t>
        </is>
      </c>
      <c r="J109" s="16" t="inlineStr">
        <is>
          <t>مزرعة الرياض (عهدة/صندوق)</t>
        </is>
      </c>
      <c r="K109" s="16" t="inlineStr">
        <is>
          <t>مشتريات نباتات وبذور</t>
        </is>
      </c>
      <c r="L109" s="16" t="n"/>
    </row>
    <row r="110">
      <c r="A110" s="16" t="n">
        <v>109</v>
      </c>
      <c r="B110" s="95" t="n">
        <v>45925</v>
      </c>
      <c r="C110" s="16" t="inlineStr">
        <is>
          <t>موسسسة افاق الاليه لادوات الكهربيه</t>
        </is>
      </c>
      <c r="D110" s="16" t="inlineStr">
        <is>
          <t>RIYADH NURSERY</t>
        </is>
      </c>
      <c r="E110" s="16" t="n"/>
      <c r="F110" s="17" t="n">
        <v>2799.13</v>
      </c>
      <c r="G110" s="16" t="n">
        <v>15</v>
      </c>
      <c r="H110" s="17" t="n">
        <v>3219</v>
      </c>
      <c r="I110" s="16" t="inlineStr">
        <is>
          <t>نعم</t>
        </is>
      </c>
      <c r="J110" s="16" t="inlineStr">
        <is>
          <t>مزرعة الرياض (عهدة/صندوق)</t>
        </is>
      </c>
      <c r="K110" s="16" t="inlineStr">
        <is>
          <t>صيانة وإنشاءات المزرعة</t>
        </is>
      </c>
      <c r="L110" s="16" t="n"/>
    </row>
    <row r="111">
      <c r="A111" s="30" t="n">
        <v>110</v>
      </c>
      <c r="B111" s="97" t="n">
        <v>45926</v>
      </c>
      <c r="C111" s="30" t="inlineStr">
        <is>
          <t>شركة سائح لى للبلاستيك المحدوده</t>
        </is>
      </c>
      <c r="D111" s="30" t="inlineStr">
        <is>
          <t>RIYADH NURSERY</t>
        </is>
      </c>
      <c r="E111" s="30" t="inlineStr">
        <is>
          <t>تحويل بنكى</t>
        </is>
      </c>
      <c r="F111" s="32" t="n">
        <v>3931.2</v>
      </c>
      <c r="G111" s="30" t="n">
        <v>15</v>
      </c>
      <c r="H111" s="32" t="n">
        <v>4520.88</v>
      </c>
      <c r="I111" s="30" t="inlineStr">
        <is>
          <t>نعم</t>
        </is>
      </c>
      <c r="J111" s="30" t="inlineStr">
        <is>
          <t>مزرعة تبوك (نسما) – تحويل بنكي</t>
        </is>
      </c>
      <c r="K111" s="30" t="inlineStr">
        <is>
          <t>مستلزمات إنتاج (مراكن/فلين/مفارش)</t>
        </is>
      </c>
      <c r="L111" s="30" t="inlineStr">
        <is>
          <t>مدفوع عن طريق مزرعة تبوك – مديونية على مزرعة الرياض</t>
        </is>
      </c>
    </row>
    <row r="112">
      <c r="A112" s="16" t="n">
        <v>111</v>
      </c>
      <c r="B112" s="95" t="n">
        <v>45927</v>
      </c>
      <c r="C112" s="16" t="inlineStr">
        <is>
          <t>الوقود</t>
        </is>
      </c>
      <c r="D112" s="16" t="inlineStr">
        <is>
          <t>RIYADH NURSERY</t>
        </is>
      </c>
      <c r="E112" s="16" t="n"/>
      <c r="F112" s="17" t="n">
        <v>173.91</v>
      </c>
      <c r="G112" s="16" t="n">
        <v>15</v>
      </c>
      <c r="H112" s="17" t="n">
        <v>200</v>
      </c>
      <c r="I112" s="16" t="inlineStr">
        <is>
          <t>نعم</t>
        </is>
      </c>
      <c r="J112" s="16" t="inlineStr">
        <is>
          <t>مزرعة الرياض (عهدة/صندوق)</t>
        </is>
      </c>
      <c r="K112" s="16" t="inlineStr">
        <is>
          <t>وقود</t>
        </is>
      </c>
      <c r="L112" s="16" t="n"/>
    </row>
    <row r="113">
      <c r="A113" s="16" t="n">
        <v>112</v>
      </c>
      <c r="B113" s="95" t="n">
        <v>45929</v>
      </c>
      <c r="C113" s="16" t="inlineStr">
        <is>
          <t>الوقود</t>
        </is>
      </c>
      <c r="D113" s="16" t="inlineStr">
        <is>
          <t>RIYADH NURSERY</t>
        </is>
      </c>
      <c r="E113" s="16" t="n"/>
      <c r="F113" s="17" t="n">
        <v>130.43</v>
      </c>
      <c r="G113" s="16" t="n">
        <v>15</v>
      </c>
      <c r="H113" s="17" t="n">
        <v>150</v>
      </c>
      <c r="I113" s="16" t="inlineStr">
        <is>
          <t>نعم</t>
        </is>
      </c>
      <c r="J113" s="16" t="inlineStr">
        <is>
          <t>مزرعة الرياض (عهدة/صندوق)</t>
        </is>
      </c>
      <c r="K113" s="16" t="inlineStr">
        <is>
          <t>وقود</t>
        </is>
      </c>
      <c r="L113" s="16" t="n"/>
    </row>
    <row r="114">
      <c r="A114" s="18" t="n">
        <v>113</v>
      </c>
      <c r="B114" s="98" t="n">
        <v>45930</v>
      </c>
      <c r="C114" s="18" t="inlineStr">
        <is>
          <t>تجديد الباقه</t>
        </is>
      </c>
      <c r="D114" s="18" t="inlineStr">
        <is>
          <t>RIYADH NURSERY</t>
        </is>
      </c>
      <c r="E114" s="18" t="n"/>
      <c r="F114" s="19" t="n">
        <v>30</v>
      </c>
      <c r="G114" s="18" t="n">
        <v>15</v>
      </c>
      <c r="H114" s="19" t="n">
        <v>34.5</v>
      </c>
      <c r="I114" s="18" t="inlineStr">
        <is>
          <t>نعم</t>
        </is>
      </c>
      <c r="J114" s="18" t="inlineStr">
        <is>
          <t>مزرعة الرياض (عهدة/صندوق)</t>
        </is>
      </c>
      <c r="K114" s="18" t="inlineStr">
        <is>
          <t>خدمات (كهرباء/مياه/اتصالات)</t>
        </is>
      </c>
      <c r="L114" s="18" t="inlineStr">
        <is>
          <t>⚠ نفس المورد ونفس التاريخ ونفس القيمة مكرر – يلزم التأكد</t>
        </is>
      </c>
    </row>
    <row r="115">
      <c r="A115" s="18" t="n">
        <v>114</v>
      </c>
      <c r="B115" s="98" t="n">
        <v>45930</v>
      </c>
      <c r="C115" s="18" t="inlineStr">
        <is>
          <t>تجديد الباقه</t>
        </is>
      </c>
      <c r="D115" s="18" t="inlineStr">
        <is>
          <t>RIYADH NURSERY</t>
        </is>
      </c>
      <c r="E115" s="18" t="n"/>
      <c r="F115" s="19" t="n">
        <v>30</v>
      </c>
      <c r="G115" s="18" t="n">
        <v>15</v>
      </c>
      <c r="H115" s="19" t="n">
        <v>34.5</v>
      </c>
      <c r="I115" s="18" t="inlineStr">
        <is>
          <t>نعم</t>
        </is>
      </c>
      <c r="J115" s="18" t="inlineStr">
        <is>
          <t>مزرعة الرياض (عهدة/صندوق)</t>
        </is>
      </c>
      <c r="K115" s="18" t="inlineStr">
        <is>
          <t>خدمات (كهرباء/مياه/اتصالات)</t>
        </is>
      </c>
      <c r="L115" s="18" t="inlineStr">
        <is>
          <t>⚠ نفس المورد ونفس التاريخ ونفس القيمة مكرر – يلزم التأكد</t>
        </is>
      </c>
    </row>
    <row r="116">
      <c r="A116" s="16" t="n">
        <v>115</v>
      </c>
      <c r="B116" s="95" t="n">
        <v>45930</v>
      </c>
      <c r="C116" s="16" t="inlineStr">
        <is>
          <t>تجديد الباقه</t>
        </is>
      </c>
      <c r="D116" s="16" t="inlineStr">
        <is>
          <t>RIYADH NURSERY</t>
        </is>
      </c>
      <c r="E116" s="16" t="n"/>
      <c r="F116" s="17" t="n">
        <v>100</v>
      </c>
      <c r="G116" s="16" t="n">
        <v>15</v>
      </c>
      <c r="H116" s="17" t="n">
        <v>115</v>
      </c>
      <c r="I116" s="16" t="inlineStr">
        <is>
          <t>نعم</t>
        </is>
      </c>
      <c r="J116" s="16" t="inlineStr">
        <is>
          <t>مزرعة الرياض (عهدة/صندوق)</t>
        </is>
      </c>
      <c r="K116" s="16" t="inlineStr">
        <is>
          <t>خدمات (كهرباء/مياه/اتصالات)</t>
        </is>
      </c>
      <c r="L116" s="16" t="n"/>
    </row>
    <row r="117">
      <c r="A117" s="16" t="n">
        <v>116</v>
      </c>
      <c r="B117" s="95" t="n">
        <v>45930</v>
      </c>
      <c r="C117" s="16" t="inlineStr">
        <is>
          <t>مؤسسة هيلاء عبيد الدوسرى</t>
        </is>
      </c>
      <c r="D117" s="16" t="inlineStr">
        <is>
          <t>RIYADH NURSERY</t>
        </is>
      </c>
      <c r="E117" s="16" t="n"/>
      <c r="F117" s="17" t="n">
        <v>417.39</v>
      </c>
      <c r="G117" s="16" t="n">
        <v>15</v>
      </c>
      <c r="H117" s="17" t="n">
        <v>480</v>
      </c>
      <c r="I117" s="16" t="inlineStr">
        <is>
          <t>نعم</t>
        </is>
      </c>
      <c r="J117" s="16" t="inlineStr">
        <is>
          <t>مزرعة الرياض (عهدة/صندوق)</t>
        </is>
      </c>
      <c r="K117" s="16" t="inlineStr">
        <is>
          <t>مصروفات إدارية وأخرى</t>
        </is>
      </c>
      <c r="L117" s="16" t="n"/>
    </row>
    <row r="118">
      <c r="A118" s="16" t="n">
        <v>117</v>
      </c>
      <c r="B118" s="95" t="n">
        <v>45930</v>
      </c>
      <c r="C118" s="16" t="inlineStr">
        <is>
          <t>ينابع المئويه لتحلية المياه</t>
        </is>
      </c>
      <c r="D118" s="16" t="inlineStr">
        <is>
          <t>RIYADH NURSERY</t>
        </is>
      </c>
      <c r="E118" s="16" t="n"/>
      <c r="F118" s="17" t="n">
        <v>52.17</v>
      </c>
      <c r="G118" s="16" t="n">
        <v>15</v>
      </c>
      <c r="H118" s="17" t="n">
        <v>60</v>
      </c>
      <c r="I118" s="16" t="inlineStr">
        <is>
          <t>نعم</t>
        </is>
      </c>
      <c r="J118" s="16" t="inlineStr">
        <is>
          <t>مزرعة الرياض (عهدة/صندوق)</t>
        </is>
      </c>
      <c r="K118" s="16" t="inlineStr">
        <is>
          <t>خدمات (كهرباء/مياه/اتصالات)</t>
        </is>
      </c>
      <c r="L118" s="16" t="n"/>
    </row>
    <row r="119">
      <c r="A119" s="16" t="n">
        <v>118</v>
      </c>
      <c r="B119" s="95" t="n">
        <v>45930</v>
      </c>
      <c r="C119" s="16" t="inlineStr">
        <is>
          <t>تجديد الباقه</t>
        </is>
      </c>
      <c r="D119" s="16" t="inlineStr">
        <is>
          <t>RIYADH NURSERY</t>
        </is>
      </c>
      <c r="E119" s="16" t="inlineStr">
        <is>
          <t>تجديد باقة مهندس محمد</t>
        </is>
      </c>
      <c r="F119" s="17" t="n">
        <v>113.04</v>
      </c>
      <c r="G119" s="16" t="n">
        <v>15</v>
      </c>
      <c r="H119" s="17" t="n">
        <v>130</v>
      </c>
      <c r="I119" s="16" t="inlineStr">
        <is>
          <t>نعم</t>
        </is>
      </c>
      <c r="J119" s="16" t="inlineStr">
        <is>
          <t>مزرعة الرياض (عهدة/صندوق)</t>
        </is>
      </c>
      <c r="K119" s="16" t="inlineStr">
        <is>
          <t>خدمات (كهرباء/مياه/اتصالات)</t>
        </is>
      </c>
      <c r="L119" s="16" t="n"/>
    </row>
    <row r="120">
      <c r="A120" s="30" t="n">
        <v>119</v>
      </c>
      <c r="B120" s="97" t="n">
        <v>45930</v>
      </c>
      <c r="C120" s="30" t="inlineStr">
        <is>
          <t>شركة الياسين الزراعية</t>
        </is>
      </c>
      <c r="D120" s="30" t="inlineStr">
        <is>
          <t>RIYADH NURSERY</t>
        </is>
      </c>
      <c r="E120" s="30" t="inlineStr">
        <is>
          <t>تحويل بنكى</t>
        </is>
      </c>
      <c r="F120" s="32" t="n">
        <v>50490</v>
      </c>
      <c r="G120" s="30" t="n">
        <v>15</v>
      </c>
      <c r="H120" s="32" t="n">
        <v>58063.5</v>
      </c>
      <c r="I120" s="30" t="inlineStr">
        <is>
          <t>نعم</t>
        </is>
      </c>
      <c r="J120" s="30" t="inlineStr">
        <is>
          <t>مزرعة تبوك (نسما) – تحويل بنكي</t>
        </is>
      </c>
      <c r="K120" s="30" t="inlineStr">
        <is>
          <t>مشتريات نباتات وبذور</t>
        </is>
      </c>
      <c r="L120" s="30" t="inlineStr">
        <is>
          <t>مدفوع عن طريق مزرعة تبوك – مديونية على مزرعة الرياض</t>
        </is>
      </c>
    </row>
    <row r="121">
      <c r="A121" s="16" t="n">
        <v>120</v>
      </c>
      <c r="B121" s="95" t="n">
        <v>45931</v>
      </c>
      <c r="C121" s="16" t="inlineStr">
        <is>
          <t>تموينات الدوسيرى</t>
        </is>
      </c>
      <c r="D121" s="16" t="inlineStr">
        <is>
          <t>RIYADH NURSERY</t>
        </is>
      </c>
      <c r="E121" s="16" t="inlineStr">
        <is>
          <t>شراء قفل</t>
        </is>
      </c>
      <c r="F121" s="17" t="n">
        <v>8.699999999999999</v>
      </c>
      <c r="G121" s="16" t="n">
        <v>15</v>
      </c>
      <c r="H121" s="17" t="n">
        <v>10</v>
      </c>
      <c r="I121" s="16" t="inlineStr">
        <is>
          <t>نعم</t>
        </is>
      </c>
      <c r="J121" s="16" t="inlineStr">
        <is>
          <t>مزرعة الرياض (عهدة/صندوق)</t>
        </is>
      </c>
      <c r="K121" s="16" t="inlineStr">
        <is>
          <t>مصروفات إدارية وأخرى</t>
        </is>
      </c>
      <c r="L121" s="16" t="n"/>
    </row>
    <row r="122">
      <c r="A122" s="16" t="n">
        <v>121</v>
      </c>
      <c r="B122" s="95" t="n">
        <v>45931</v>
      </c>
      <c r="C122" s="16" t="inlineStr">
        <is>
          <t>مؤسسة هيلاء عبيد الدوسرى</t>
        </is>
      </c>
      <c r="D122" s="16" t="inlineStr">
        <is>
          <t>RIYADH NURSERY</t>
        </is>
      </c>
      <c r="E122" s="16" t="n"/>
      <c r="F122" s="17" t="n">
        <v>217.39</v>
      </c>
      <c r="G122" s="16" t="n">
        <v>15</v>
      </c>
      <c r="H122" s="17" t="n">
        <v>250</v>
      </c>
      <c r="I122" s="16" t="inlineStr">
        <is>
          <t>نعم</t>
        </is>
      </c>
      <c r="J122" s="16" t="inlineStr">
        <is>
          <t>مزرعة الرياض (عهدة/صندوق)</t>
        </is>
      </c>
      <c r="K122" s="16" t="inlineStr">
        <is>
          <t>مصروفات إدارية وأخرى</t>
        </is>
      </c>
      <c r="L122" s="16" t="n"/>
    </row>
    <row r="123">
      <c r="A123" s="16" t="n">
        <v>122</v>
      </c>
      <c r="B123" s="95" t="n">
        <v>45931</v>
      </c>
      <c r="C123" s="16" t="inlineStr">
        <is>
          <t>مؤسسة على عيد المطيرى لزينة السيارات</t>
        </is>
      </c>
      <c r="D123" s="16" t="inlineStr">
        <is>
          <t>RIYADH NURSERY</t>
        </is>
      </c>
      <c r="E123" s="16" t="n"/>
      <c r="F123" s="17" t="n">
        <v>30.43</v>
      </c>
      <c r="G123" s="16" t="n">
        <v>15</v>
      </c>
      <c r="H123" s="17" t="n">
        <v>35</v>
      </c>
      <c r="I123" s="16" t="inlineStr">
        <is>
          <t>نعم</t>
        </is>
      </c>
      <c r="J123" s="16" t="inlineStr">
        <is>
          <t>مزرعة الرياض (عهدة/صندوق)</t>
        </is>
      </c>
      <c r="K123" s="16" t="inlineStr">
        <is>
          <t>صيانة سيارات ومعدات</t>
        </is>
      </c>
      <c r="L123" s="16" t="n"/>
    </row>
    <row r="124">
      <c r="A124" s="16" t="n">
        <v>123</v>
      </c>
      <c r="B124" s="95" t="n">
        <v>45931</v>
      </c>
      <c r="C124" s="16" t="inlineStr">
        <is>
          <t>الوقود</t>
        </is>
      </c>
      <c r="D124" s="16" t="inlineStr">
        <is>
          <t>RIYADH NURSERY</t>
        </is>
      </c>
      <c r="E124" s="16" t="n"/>
      <c r="F124" s="17" t="n">
        <v>217.39</v>
      </c>
      <c r="G124" s="16" t="n">
        <v>15</v>
      </c>
      <c r="H124" s="17" t="n">
        <v>250</v>
      </c>
      <c r="I124" s="16" t="inlineStr">
        <is>
          <t>نعم</t>
        </is>
      </c>
      <c r="J124" s="16" t="inlineStr">
        <is>
          <t>مزرعة الرياض (عهدة/صندوق)</t>
        </is>
      </c>
      <c r="K124" s="16" t="inlineStr">
        <is>
          <t>وقود</t>
        </is>
      </c>
      <c r="L124" s="16" t="n"/>
    </row>
    <row r="125">
      <c r="A125" s="16" t="n">
        <v>124</v>
      </c>
      <c r="B125" s="95" t="n">
        <v>45932</v>
      </c>
      <c r="C125" s="16" t="inlineStr">
        <is>
          <t>ورشة زهرة الجنادل</t>
        </is>
      </c>
      <c r="D125" s="16" t="inlineStr">
        <is>
          <t>RIYADH NURSERY</t>
        </is>
      </c>
      <c r="E125" s="16" t="n"/>
      <c r="F125" s="17" t="n">
        <v>147.83</v>
      </c>
      <c r="G125" s="16" t="n">
        <v>15</v>
      </c>
      <c r="H125" s="17" t="n">
        <v>170</v>
      </c>
      <c r="I125" s="16" t="inlineStr">
        <is>
          <t>نعم</t>
        </is>
      </c>
      <c r="J125" s="16" t="inlineStr">
        <is>
          <t>مزرعة الرياض (عهدة/صندوق)</t>
        </is>
      </c>
      <c r="K125" s="16" t="inlineStr">
        <is>
          <t>صيانة سيارات ومعدات</t>
        </is>
      </c>
      <c r="L125" s="16" t="n"/>
    </row>
    <row r="126">
      <c r="A126" s="16" t="n">
        <v>125</v>
      </c>
      <c r="B126" s="95" t="n">
        <v>45932</v>
      </c>
      <c r="C126" s="16" t="inlineStr">
        <is>
          <t>شركة امواج التميز للتجارة</t>
        </is>
      </c>
      <c r="D126" s="16" t="inlineStr">
        <is>
          <t>RIYADH NURSERY</t>
        </is>
      </c>
      <c r="E126" s="16" t="n"/>
      <c r="F126" s="17" t="n">
        <v>290</v>
      </c>
      <c r="G126" s="16" t="n">
        <v>15</v>
      </c>
      <c r="H126" s="17" t="n">
        <v>333.5</v>
      </c>
      <c r="I126" s="16" t="inlineStr">
        <is>
          <t>نعم</t>
        </is>
      </c>
      <c r="J126" s="16" t="inlineStr">
        <is>
          <t>مزرعة الرياض (عهدة/صندوق)</t>
        </is>
      </c>
      <c r="K126" s="16" t="inlineStr">
        <is>
          <t>مواد زراعية (بيتموس/بيرلايت/أسمدة/مبيدات)</t>
        </is>
      </c>
      <c r="L126" s="16" t="n"/>
    </row>
    <row r="127">
      <c r="A127" s="16" t="n">
        <v>126</v>
      </c>
      <c r="B127" s="95" t="n">
        <v>45932</v>
      </c>
      <c r="C127" s="16" t="inlineStr">
        <is>
          <t>مؤسسة تلال الربيع للمفارش</t>
        </is>
      </c>
      <c r="D127" s="16" t="inlineStr">
        <is>
          <t>RIYADH NURSERY</t>
        </is>
      </c>
      <c r="E127" s="16" t="n"/>
      <c r="F127" s="17" t="n">
        <v>409.57</v>
      </c>
      <c r="G127" s="16" t="n">
        <v>15</v>
      </c>
      <c r="H127" s="17" t="n">
        <v>471</v>
      </c>
      <c r="I127" s="16" t="inlineStr">
        <is>
          <t>نعم</t>
        </is>
      </c>
      <c r="J127" s="16" t="inlineStr">
        <is>
          <t>مزرعة الرياض (عهدة/صندوق)</t>
        </is>
      </c>
      <c r="K127" s="16" t="inlineStr">
        <is>
          <t>مصروفات إدارية وأخرى</t>
        </is>
      </c>
      <c r="L127" s="16" t="n"/>
    </row>
    <row r="128">
      <c r="A128" s="16" t="n">
        <v>127</v>
      </c>
      <c r="B128" s="95" t="n">
        <v>45932</v>
      </c>
      <c r="C128" s="16" t="inlineStr">
        <is>
          <t>شركة سائح لى للبلاستيك المحدوده</t>
        </is>
      </c>
      <c r="D128" s="16" t="inlineStr">
        <is>
          <t>RIYADH NURSERY  PO-929</t>
        </is>
      </c>
      <c r="E128" s="16" t="n"/>
      <c r="F128" s="17" t="n">
        <v>1965.6</v>
      </c>
      <c r="G128" s="16" t="n">
        <v>15</v>
      </c>
      <c r="H128" s="17" t="n">
        <v>2260.44</v>
      </c>
      <c r="I128" s="16" t="inlineStr">
        <is>
          <t>نعم</t>
        </is>
      </c>
      <c r="J128" s="16" t="inlineStr">
        <is>
          <t>مزرعة الرياض (عهدة/صندوق)</t>
        </is>
      </c>
      <c r="K128" s="16" t="inlineStr">
        <is>
          <t>مستلزمات إنتاج (مراكن/فلين/مفارش)</t>
        </is>
      </c>
      <c r="L128" s="16" t="n"/>
    </row>
    <row r="129">
      <c r="A129" s="16" t="n">
        <v>128</v>
      </c>
      <c r="B129" s="95" t="n">
        <v>45935</v>
      </c>
      <c r="C129" s="16" t="inlineStr">
        <is>
          <t>اللوازم المكتبية</t>
        </is>
      </c>
      <c r="D129" s="16" t="inlineStr">
        <is>
          <t>RIYADH NURSERY</t>
        </is>
      </c>
      <c r="E129" s="16" t="inlineStr">
        <is>
          <t>شراء ادوات للطبخ</t>
        </is>
      </c>
      <c r="F129" s="17" t="n">
        <v>224.35</v>
      </c>
      <c r="G129" s="16" t="n">
        <v>15</v>
      </c>
      <c r="H129" s="17" t="n">
        <v>258</v>
      </c>
      <c r="I129" s="16" t="inlineStr">
        <is>
          <t>نعم</t>
        </is>
      </c>
      <c r="J129" s="16" t="inlineStr">
        <is>
          <t>مزرعة الرياض (عهدة/صندوق)</t>
        </is>
      </c>
      <c r="K129" s="16" t="inlineStr">
        <is>
          <t>مصروفات إدارية وأخرى</t>
        </is>
      </c>
      <c r="L129" s="16" t="n"/>
    </row>
    <row r="130">
      <c r="A130" s="16" t="n">
        <v>129</v>
      </c>
      <c r="B130" s="95" t="n">
        <v>45935</v>
      </c>
      <c r="C130" s="16" t="inlineStr">
        <is>
          <t>شركة سائح لى للبلاستيك المحدوده</t>
        </is>
      </c>
      <c r="D130" s="16" t="inlineStr">
        <is>
          <t>RIYADH NURSERY</t>
        </is>
      </c>
      <c r="E130" s="16" t="inlineStr">
        <is>
          <t>شراء صناديق فلين</t>
        </is>
      </c>
      <c r="F130" s="17" t="n">
        <v>1780.8</v>
      </c>
      <c r="G130" s="16" t="n">
        <v>15</v>
      </c>
      <c r="H130" s="17" t="n">
        <v>2047.92</v>
      </c>
      <c r="I130" s="16" t="inlineStr">
        <is>
          <t>نعم</t>
        </is>
      </c>
      <c r="J130" s="16" t="inlineStr">
        <is>
          <t>مزرعة الرياض (عهدة/صندوق)</t>
        </is>
      </c>
      <c r="K130" s="16" t="inlineStr">
        <is>
          <t>مستلزمات إنتاج (مراكن/فلين/مفارش)</t>
        </is>
      </c>
      <c r="L130" s="16" t="n"/>
    </row>
    <row r="131">
      <c r="A131" s="18" t="n">
        <v>130</v>
      </c>
      <c r="B131" s="98" t="n">
        <v>45935</v>
      </c>
      <c r="C131" s="18" t="inlineStr">
        <is>
          <t>شركة سائح لى للبلاستيك المحدوده</t>
        </is>
      </c>
      <c r="D131" s="18" t="inlineStr">
        <is>
          <t>RIYADH NURSERY</t>
        </is>
      </c>
      <c r="E131" s="18" t="n"/>
      <c r="F131" s="19" t="n">
        <v>1965.6</v>
      </c>
      <c r="G131" s="18" t="n">
        <v>15</v>
      </c>
      <c r="H131" s="19" t="n">
        <v>2260.44</v>
      </c>
      <c r="I131" s="18" t="inlineStr">
        <is>
          <t>نعم</t>
        </is>
      </c>
      <c r="J131" s="18" t="inlineStr">
        <is>
          <t>مزرعة الرياض (عهدة/صندوق)</t>
        </is>
      </c>
      <c r="K131" s="18" t="inlineStr">
        <is>
          <t>مستلزمات إنتاج (مراكن/فلين/مفارش)</t>
        </is>
      </c>
      <c r="L131" s="18" t="inlineStr">
        <is>
          <t>⚠ نفس المورد ونفس التاريخ ونفس القيمة مكرر – يلزم التأكد</t>
        </is>
      </c>
    </row>
    <row r="132">
      <c r="A132" s="18" t="n">
        <v>131</v>
      </c>
      <c r="B132" s="98" t="n">
        <v>45935</v>
      </c>
      <c r="C132" s="18" t="inlineStr">
        <is>
          <t>شركة سائح لى للبلاستيك المحدوده</t>
        </is>
      </c>
      <c r="D132" s="18" t="inlineStr">
        <is>
          <t>RIYADH NURSERY</t>
        </is>
      </c>
      <c r="E132" s="18" t="n"/>
      <c r="F132" s="19" t="n">
        <v>1965.6</v>
      </c>
      <c r="G132" s="18" t="n">
        <v>15</v>
      </c>
      <c r="H132" s="19" t="n">
        <v>2260.44</v>
      </c>
      <c r="I132" s="18" t="inlineStr">
        <is>
          <t>نعم</t>
        </is>
      </c>
      <c r="J132" s="18" t="inlineStr">
        <is>
          <t>مزرعة الرياض (عهدة/صندوق)</t>
        </is>
      </c>
      <c r="K132" s="18" t="inlineStr">
        <is>
          <t>مستلزمات إنتاج (مراكن/فلين/مفارش)</t>
        </is>
      </c>
      <c r="L132" s="18" t="inlineStr">
        <is>
          <t>⚠ نفس المورد ونفس التاريخ ونفس القيمة مكرر – يلزم التأكد</t>
        </is>
      </c>
    </row>
    <row r="133">
      <c r="A133" s="18" t="n">
        <v>132</v>
      </c>
      <c r="B133" s="98" t="n">
        <v>45935</v>
      </c>
      <c r="C133" s="18" t="inlineStr">
        <is>
          <t>شركة سائح لى للبلاستيك المحدوده</t>
        </is>
      </c>
      <c r="D133" s="18" t="inlineStr">
        <is>
          <t>RIYADH NURSERY</t>
        </is>
      </c>
      <c r="E133" s="18" t="n"/>
      <c r="F133" s="19" t="n">
        <v>1965.6</v>
      </c>
      <c r="G133" s="18" t="n">
        <v>15</v>
      </c>
      <c r="H133" s="19" t="n">
        <v>2260.44</v>
      </c>
      <c r="I133" s="18" t="inlineStr">
        <is>
          <t>نعم</t>
        </is>
      </c>
      <c r="J133" s="18" t="inlineStr">
        <is>
          <t>مزرعة الرياض (عهدة/صندوق)</t>
        </is>
      </c>
      <c r="K133" s="18" t="inlineStr">
        <is>
          <t>مستلزمات إنتاج (مراكن/فلين/مفارش)</t>
        </is>
      </c>
      <c r="L133" s="18" t="inlineStr">
        <is>
          <t>⚠ نفس المورد ونفس التاريخ ونفس القيمة مكرر – يلزم التأكد</t>
        </is>
      </c>
    </row>
    <row r="134">
      <c r="A134" s="16" t="n">
        <v>133</v>
      </c>
      <c r="B134" s="95" t="n">
        <v>45936</v>
      </c>
      <c r="C134" s="16" t="inlineStr">
        <is>
          <t>مؤسسة تلال الربيع للمفارش</t>
        </is>
      </c>
      <c r="D134" s="16" t="inlineStr">
        <is>
          <t>RIYADH NURSERY</t>
        </is>
      </c>
      <c r="E134" s="16" t="n"/>
      <c r="F134" s="17" t="n">
        <v>105</v>
      </c>
      <c r="G134" s="16" t="n">
        <v>15</v>
      </c>
      <c r="H134" s="17" t="n">
        <v>120.75</v>
      </c>
      <c r="I134" s="16" t="inlineStr">
        <is>
          <t>نعم</t>
        </is>
      </c>
      <c r="J134" s="16" t="inlineStr">
        <is>
          <t>مزرعة الرياض (عهدة/صندوق)</t>
        </is>
      </c>
      <c r="K134" s="16" t="inlineStr">
        <is>
          <t>مصروفات إدارية وأخرى</t>
        </is>
      </c>
      <c r="L134" s="16" t="n"/>
    </row>
    <row r="135">
      <c r="A135" s="16" t="n">
        <v>134</v>
      </c>
      <c r="B135" s="95" t="n">
        <v>45936</v>
      </c>
      <c r="C135" s="16" t="inlineStr">
        <is>
          <t>ورشة زهرة الجنادل</t>
        </is>
      </c>
      <c r="D135" s="16" t="inlineStr">
        <is>
          <t>RIYADH NURSERY</t>
        </is>
      </c>
      <c r="E135" s="16" t="n"/>
      <c r="F135" s="17" t="n">
        <v>147.83</v>
      </c>
      <c r="G135" s="16" t="n">
        <v>15</v>
      </c>
      <c r="H135" s="17" t="n">
        <v>170</v>
      </c>
      <c r="I135" s="16" t="inlineStr">
        <is>
          <t>نعم</t>
        </is>
      </c>
      <c r="J135" s="16" t="inlineStr">
        <is>
          <t>مزرعة الرياض (عهدة/صندوق)</t>
        </is>
      </c>
      <c r="K135" s="16" t="inlineStr">
        <is>
          <t>صيانة سيارات ومعدات</t>
        </is>
      </c>
      <c r="L135" s="16" t="n"/>
    </row>
    <row r="136">
      <c r="A136" s="16" t="n">
        <v>135</v>
      </c>
      <c r="B136" s="95" t="n">
        <v>45936</v>
      </c>
      <c r="C136" s="16" t="inlineStr">
        <is>
          <t>شركة سائح لى للبلاستيك المحدوده</t>
        </is>
      </c>
      <c r="D136" s="16" t="inlineStr">
        <is>
          <t>RIYADH NURSERY</t>
        </is>
      </c>
      <c r="E136" s="16" t="n"/>
      <c r="F136" s="17" t="n">
        <v>1965.6</v>
      </c>
      <c r="G136" s="16" t="n">
        <v>15</v>
      </c>
      <c r="H136" s="17" t="n">
        <v>2260.44</v>
      </c>
      <c r="I136" s="16" t="inlineStr">
        <is>
          <t>نعم</t>
        </is>
      </c>
      <c r="J136" s="16" t="inlineStr">
        <is>
          <t>مزرعة الرياض (عهدة/صندوق)</t>
        </is>
      </c>
      <c r="K136" s="16" t="inlineStr">
        <is>
          <t>مستلزمات إنتاج (مراكن/فلين/مفارش)</t>
        </is>
      </c>
      <c r="L136" s="16" t="n"/>
    </row>
    <row r="137">
      <c r="A137" s="16" t="n">
        <v>136</v>
      </c>
      <c r="B137" s="95" t="n">
        <v>45936</v>
      </c>
      <c r="C137" s="16" t="inlineStr">
        <is>
          <t>الوقود</t>
        </is>
      </c>
      <c r="D137" s="16" t="inlineStr">
        <is>
          <t>RIYADH NURSERY</t>
        </is>
      </c>
      <c r="E137" s="16" t="n"/>
      <c r="F137" s="17" t="n">
        <v>217.39</v>
      </c>
      <c r="G137" s="16" t="n">
        <v>15</v>
      </c>
      <c r="H137" s="17" t="n">
        <v>250</v>
      </c>
      <c r="I137" s="16" t="inlineStr">
        <is>
          <t>نعم</t>
        </is>
      </c>
      <c r="J137" s="16" t="inlineStr">
        <is>
          <t>مزرعة الرياض (عهدة/صندوق)</t>
        </is>
      </c>
      <c r="K137" s="16" t="inlineStr">
        <is>
          <t>وقود</t>
        </is>
      </c>
      <c r="L137" s="16" t="n"/>
    </row>
    <row r="138">
      <c r="A138" s="16" t="n">
        <v>137</v>
      </c>
      <c r="B138" s="95" t="n">
        <v>45936</v>
      </c>
      <c r="C138" s="16" t="inlineStr">
        <is>
          <t>الوقود</t>
        </is>
      </c>
      <c r="D138" s="16" t="inlineStr">
        <is>
          <t>RIYADH NURSERY</t>
        </is>
      </c>
      <c r="E138" s="16" t="n"/>
      <c r="F138" s="17" t="n">
        <v>173.91</v>
      </c>
      <c r="G138" s="16" t="n">
        <v>15</v>
      </c>
      <c r="H138" s="17" t="n">
        <v>200</v>
      </c>
      <c r="I138" s="16" t="inlineStr">
        <is>
          <t>نعم</t>
        </is>
      </c>
      <c r="J138" s="16" t="inlineStr">
        <is>
          <t>مزرعة الرياض (عهدة/صندوق)</t>
        </is>
      </c>
      <c r="K138" s="16" t="inlineStr">
        <is>
          <t>وقود</t>
        </is>
      </c>
      <c r="L138" s="16" t="n"/>
    </row>
    <row r="139">
      <c r="A139" s="16" t="n">
        <v>138</v>
      </c>
      <c r="B139" s="95" t="n">
        <v>45938</v>
      </c>
      <c r="C139" s="16" t="inlineStr">
        <is>
          <t>صيانة</t>
        </is>
      </c>
      <c r="D139" s="16" t="inlineStr">
        <is>
          <t>RIYADH NURSERY</t>
        </is>
      </c>
      <c r="E139" s="16" t="n"/>
      <c r="F139" s="17" t="n">
        <v>26.09</v>
      </c>
      <c r="G139" s="16" t="n">
        <v>15</v>
      </c>
      <c r="H139" s="17" t="n">
        <v>30</v>
      </c>
      <c r="I139" s="16" t="inlineStr">
        <is>
          <t>نعم</t>
        </is>
      </c>
      <c r="J139" s="16" t="inlineStr">
        <is>
          <t>مزرعة الرياض (عهدة/صندوق)</t>
        </is>
      </c>
      <c r="K139" s="16" t="inlineStr">
        <is>
          <t>صيانة وإنشاءات المزرعة</t>
        </is>
      </c>
      <c r="L139" s="16" t="n"/>
    </row>
    <row r="140">
      <c r="A140" s="16" t="n">
        <v>139</v>
      </c>
      <c r="B140" s="95" t="n">
        <v>45938</v>
      </c>
      <c r="C140" s="16" t="inlineStr">
        <is>
          <t>إصلاحات</t>
        </is>
      </c>
      <c r="D140" s="16" t="inlineStr">
        <is>
          <t>RIYADH NURSERY</t>
        </is>
      </c>
      <c r="E140" s="16" t="inlineStr">
        <is>
          <t>300 ريال ايجار لودر يطلع</t>
        </is>
      </c>
      <c r="F140" s="17" t="n">
        <v>260.87</v>
      </c>
      <c r="G140" s="16" t="n">
        <v>15</v>
      </c>
      <c r="H140" s="17" t="n">
        <v>300</v>
      </c>
      <c r="I140" s="16" t="inlineStr">
        <is>
          <t>نعم</t>
        </is>
      </c>
      <c r="J140" s="16" t="inlineStr">
        <is>
          <t>مزرعة الرياض (عهدة/صندوق)</t>
        </is>
      </c>
      <c r="K140" s="16" t="inlineStr">
        <is>
          <t>مصروفات إدارية وأخرى</t>
        </is>
      </c>
      <c r="L140" s="16" t="n"/>
    </row>
    <row r="141">
      <c r="A141" s="16" t="n">
        <v>140</v>
      </c>
      <c r="B141" s="95" t="n">
        <v>45939</v>
      </c>
      <c r="C141" s="16" t="inlineStr">
        <is>
          <t>شركة امجاد الخليج</t>
        </is>
      </c>
      <c r="D141" s="16" t="inlineStr">
        <is>
          <t>RIYADH NURSERY</t>
        </is>
      </c>
      <c r="E141" s="16" t="inlineStr">
        <is>
          <t>51000 مركن 12 تم تعديل سع</t>
        </is>
      </c>
      <c r="F141" s="17" t="n">
        <v>8160</v>
      </c>
      <c r="G141" s="16" t="n">
        <v>0</v>
      </c>
      <c r="H141" s="17" t="n">
        <v>8160</v>
      </c>
      <c r="I141" s="16" t="inlineStr">
        <is>
          <t>نعم</t>
        </is>
      </c>
      <c r="J141" s="16" t="inlineStr">
        <is>
          <t>مزرعة الرياض (عهدة/صندوق)</t>
        </is>
      </c>
      <c r="K141" s="16" t="inlineStr">
        <is>
          <t>مصروفات إدارية وأخرى</t>
        </is>
      </c>
      <c r="L141" s="16" t="n"/>
    </row>
    <row r="142">
      <c r="A142" s="16" t="n">
        <v>141</v>
      </c>
      <c r="B142" s="95" t="n">
        <v>45939</v>
      </c>
      <c r="C142" s="16" t="inlineStr">
        <is>
          <t>الوقود</t>
        </is>
      </c>
      <c r="D142" s="16" t="inlineStr">
        <is>
          <t>RIYADH NURSERY</t>
        </is>
      </c>
      <c r="E142" s="16" t="n"/>
      <c r="F142" s="17" t="n">
        <v>30.43</v>
      </c>
      <c r="G142" s="16" t="n">
        <v>15</v>
      </c>
      <c r="H142" s="17" t="n">
        <v>35</v>
      </c>
      <c r="I142" s="16" t="inlineStr">
        <is>
          <t>نعم</t>
        </is>
      </c>
      <c r="J142" s="16" t="inlineStr">
        <is>
          <t>مزرعة الرياض (عهدة/صندوق)</t>
        </is>
      </c>
      <c r="K142" s="16" t="inlineStr">
        <is>
          <t>وقود</t>
        </is>
      </c>
      <c r="L142" s="16" t="n"/>
    </row>
    <row r="143">
      <c r="A143" s="16" t="n">
        <v>142</v>
      </c>
      <c r="B143" s="95" t="n">
        <v>45939</v>
      </c>
      <c r="C143" s="16" t="inlineStr">
        <is>
          <t>شركة محمد مبارك المسعودى للتجاره</t>
        </is>
      </c>
      <c r="D143" s="16" t="inlineStr">
        <is>
          <t>RIYADH NURSERY</t>
        </is>
      </c>
      <c r="E143" s="16" t="inlineStr">
        <is>
          <t>شراء ثلاجه وفريزر</t>
        </is>
      </c>
      <c r="F143" s="17" t="n">
        <v>1478.26</v>
      </c>
      <c r="G143" s="16" t="n">
        <v>15</v>
      </c>
      <c r="H143" s="17" t="n">
        <v>1700</v>
      </c>
      <c r="I143" s="16" t="inlineStr">
        <is>
          <t>نعم</t>
        </is>
      </c>
      <c r="J143" s="16" t="inlineStr">
        <is>
          <t>مزرعة الرياض (عهدة/صندوق)</t>
        </is>
      </c>
      <c r="K143" s="16" t="inlineStr">
        <is>
          <t>مصروفات إدارية وأخرى</t>
        </is>
      </c>
      <c r="L143" s="16" t="n"/>
    </row>
    <row r="144">
      <c r="A144" s="16" t="n">
        <v>143</v>
      </c>
      <c r="B144" s="95" t="n">
        <v>45940</v>
      </c>
      <c r="C144" s="16" t="inlineStr">
        <is>
          <t>البرمجيات</t>
        </is>
      </c>
      <c r="D144" s="16" t="inlineStr">
        <is>
          <t>RIYADH NURSERY</t>
        </is>
      </c>
      <c r="E144" s="16" t="n"/>
      <c r="F144" s="17" t="n">
        <v>891.3</v>
      </c>
      <c r="G144" s="16" t="n">
        <v>15</v>
      </c>
      <c r="H144" s="17" t="n">
        <v>1025</v>
      </c>
      <c r="I144" s="16" t="inlineStr">
        <is>
          <t>نعم</t>
        </is>
      </c>
      <c r="J144" s="16" t="inlineStr">
        <is>
          <t>مزرعة الرياض (عهدة/صندوق)</t>
        </is>
      </c>
      <c r="K144" s="16" t="inlineStr">
        <is>
          <t>مصروفات إدارية وأخرى</t>
        </is>
      </c>
      <c r="L144" s="16" t="n"/>
    </row>
    <row r="145">
      <c r="A145" s="16" t="n">
        <v>144</v>
      </c>
      <c r="B145" s="95" t="n">
        <v>45940</v>
      </c>
      <c r="C145" s="16" t="inlineStr">
        <is>
          <t>شركة زهور المدينة التجارية</t>
        </is>
      </c>
      <c r="D145" s="16" t="inlineStr">
        <is>
          <t>RIYADH NURSERY</t>
        </is>
      </c>
      <c r="E145" s="16" t="n"/>
      <c r="F145" s="17" t="n">
        <v>686.96</v>
      </c>
      <c r="G145" s="16" t="n">
        <v>15</v>
      </c>
      <c r="H145" s="17" t="n">
        <v>790</v>
      </c>
      <c r="I145" s="16" t="inlineStr">
        <is>
          <t>نعم</t>
        </is>
      </c>
      <c r="J145" s="16" t="inlineStr">
        <is>
          <t>مزرعة الرياض (عهدة/صندوق)</t>
        </is>
      </c>
      <c r="K145" s="16" t="inlineStr">
        <is>
          <t>مصروفات إدارية وأخرى</t>
        </is>
      </c>
      <c r="L145" s="16" t="n"/>
    </row>
    <row r="146">
      <c r="A146" s="16" t="n">
        <v>145</v>
      </c>
      <c r="B146" s="95" t="n">
        <v>45940</v>
      </c>
      <c r="C146" s="16" t="inlineStr">
        <is>
          <t>ينابع المئويه لتحلية المياه</t>
        </is>
      </c>
      <c r="D146" s="16" t="inlineStr">
        <is>
          <t>RIYADH NURSERY</t>
        </is>
      </c>
      <c r="E146" s="16" t="n"/>
      <c r="F146" s="17" t="n">
        <v>52.17</v>
      </c>
      <c r="G146" s="16" t="n">
        <v>15</v>
      </c>
      <c r="H146" s="17" t="n">
        <v>60</v>
      </c>
      <c r="I146" s="16" t="inlineStr">
        <is>
          <t>نعم</t>
        </is>
      </c>
      <c r="J146" s="16" t="inlineStr">
        <is>
          <t>مزرعة الرياض (عهدة/صندوق)</t>
        </is>
      </c>
      <c r="K146" s="16" t="inlineStr">
        <is>
          <t>خدمات (كهرباء/مياه/اتصالات)</t>
        </is>
      </c>
      <c r="L146" s="16" t="n"/>
    </row>
    <row r="147">
      <c r="A147" s="16" t="n">
        <v>146</v>
      </c>
      <c r="B147" s="95" t="n">
        <v>45940</v>
      </c>
      <c r="C147" s="16" t="inlineStr">
        <is>
          <t>الوقود</t>
        </is>
      </c>
      <c r="D147" s="16" t="inlineStr">
        <is>
          <t>RIYADH NURSERY</t>
        </is>
      </c>
      <c r="E147" s="16" t="n"/>
      <c r="F147" s="17" t="n">
        <v>30.45</v>
      </c>
      <c r="G147" s="16" t="n">
        <v>15</v>
      </c>
      <c r="H147" s="17" t="n">
        <v>35.02</v>
      </c>
      <c r="I147" s="16" t="inlineStr">
        <is>
          <t>نعم</t>
        </is>
      </c>
      <c r="J147" s="16" t="inlineStr">
        <is>
          <t>مزرعة الرياض (عهدة/صندوق)</t>
        </is>
      </c>
      <c r="K147" s="16" t="inlineStr">
        <is>
          <t>وقود</t>
        </is>
      </c>
      <c r="L147" s="16" t="n"/>
    </row>
    <row r="148">
      <c r="A148" s="16" t="n">
        <v>147</v>
      </c>
      <c r="B148" s="95" t="n">
        <v>45940</v>
      </c>
      <c r="C148" s="16" t="inlineStr">
        <is>
          <t>الوقود</t>
        </is>
      </c>
      <c r="D148" s="16" t="inlineStr">
        <is>
          <t>RIYADH NURSERY</t>
        </is>
      </c>
      <c r="E148" s="16" t="n"/>
      <c r="F148" s="17" t="n">
        <v>204.35</v>
      </c>
      <c r="G148" s="16" t="n">
        <v>15</v>
      </c>
      <c r="H148" s="17" t="n">
        <v>235</v>
      </c>
      <c r="I148" s="16" t="inlineStr">
        <is>
          <t>نعم</t>
        </is>
      </c>
      <c r="J148" s="16" t="inlineStr">
        <is>
          <t>مزرعة الرياض (عهدة/صندوق)</t>
        </is>
      </c>
      <c r="K148" s="16" t="inlineStr">
        <is>
          <t>وقود</t>
        </is>
      </c>
      <c r="L148" s="16" t="n"/>
    </row>
    <row r="149">
      <c r="A149" s="16" t="n">
        <v>148</v>
      </c>
      <c r="B149" s="95" t="n">
        <v>45941</v>
      </c>
      <c r="C149" s="16" t="inlineStr">
        <is>
          <t>مصنع شركة سانح لى للبلاستيك</t>
        </is>
      </c>
      <c r="D149" s="16" t="inlineStr">
        <is>
          <t>RIYADH NURSERY-PO955</t>
        </is>
      </c>
      <c r="E149" s="16" t="n"/>
      <c r="F149" s="17" t="n">
        <v>1965.6</v>
      </c>
      <c r="G149" s="16" t="n">
        <v>15</v>
      </c>
      <c r="H149" s="17" t="n">
        <v>2260.44</v>
      </c>
      <c r="I149" s="16" t="inlineStr">
        <is>
          <t>نعم</t>
        </is>
      </c>
      <c r="J149" s="16" t="inlineStr">
        <is>
          <t>مزرعة الرياض (عهدة/صندوق)</t>
        </is>
      </c>
      <c r="K149" s="16" t="inlineStr">
        <is>
          <t>مستلزمات إنتاج (مراكن/فلين/مفارش)</t>
        </is>
      </c>
      <c r="L149" s="16" t="n"/>
    </row>
    <row r="150">
      <c r="A150" s="16" t="n">
        <v>149</v>
      </c>
      <c r="B150" s="95" t="n">
        <v>45942</v>
      </c>
      <c r="C150" s="16" t="inlineStr">
        <is>
          <t>رواتب</t>
        </is>
      </c>
      <c r="D150" s="16" t="inlineStr">
        <is>
          <t>RIYADH NURSERY</t>
        </is>
      </c>
      <c r="E150" s="16" t="n"/>
      <c r="F150" s="17" t="n">
        <v>19565.22</v>
      </c>
      <c r="G150" s="16" t="n">
        <v>15</v>
      </c>
      <c r="H150" s="17" t="n">
        <v>22500</v>
      </c>
      <c r="I150" s="16" t="inlineStr">
        <is>
          <t>نعم</t>
        </is>
      </c>
      <c r="J150" s="16" t="inlineStr">
        <is>
          <t>مزرعة الرياض (عهدة/صندوق)</t>
        </is>
      </c>
      <c r="K150" s="16" t="inlineStr">
        <is>
          <t>رواتب وعمولات</t>
        </is>
      </c>
      <c r="L150" s="16" t="n"/>
    </row>
    <row r="151">
      <c r="A151" s="16" t="n">
        <v>150</v>
      </c>
      <c r="B151" s="95" t="n">
        <v>45942</v>
      </c>
      <c r="C151" s="16" t="inlineStr">
        <is>
          <t>رواتب</t>
        </is>
      </c>
      <c r="D151" s="16" t="inlineStr">
        <is>
          <t>RIYADH NURSERY</t>
        </is>
      </c>
      <c r="E151" s="16" t="n"/>
      <c r="F151" s="17" t="n">
        <v>20388.7</v>
      </c>
      <c r="G151" s="16" t="n">
        <v>15</v>
      </c>
      <c r="H151" s="17" t="n">
        <v>23447</v>
      </c>
      <c r="I151" s="16" t="inlineStr">
        <is>
          <t>نعم</t>
        </is>
      </c>
      <c r="J151" s="16" t="inlineStr">
        <is>
          <t>مزرعة الرياض (عهدة/صندوق)</t>
        </is>
      </c>
      <c r="K151" s="16" t="inlineStr">
        <is>
          <t>رواتب وعمولات</t>
        </is>
      </c>
      <c r="L151" s="16" t="n"/>
    </row>
    <row r="152">
      <c r="A152" s="16" t="n">
        <v>151</v>
      </c>
      <c r="B152" s="95" t="n">
        <v>45942</v>
      </c>
      <c r="C152" s="16" t="inlineStr">
        <is>
          <t>مصنع شركة سانح لى للبلاستيك</t>
        </is>
      </c>
      <c r="D152" s="16" t="inlineStr">
        <is>
          <t>RIYADH NURSERY-PO958</t>
        </is>
      </c>
      <c r="E152" s="16" t="n"/>
      <c r="F152" s="17" t="n">
        <v>1965.6</v>
      </c>
      <c r="G152" s="16" t="n">
        <v>15</v>
      </c>
      <c r="H152" s="17" t="n">
        <v>2260.44</v>
      </c>
      <c r="I152" s="16" t="inlineStr">
        <is>
          <t>نعم</t>
        </is>
      </c>
      <c r="J152" s="16" t="inlineStr">
        <is>
          <t>مزرعة الرياض (عهدة/صندوق)</t>
        </is>
      </c>
      <c r="K152" s="16" t="inlineStr">
        <is>
          <t>مستلزمات إنتاج (مراكن/فلين/مفارش)</t>
        </is>
      </c>
      <c r="L152" s="16" t="n"/>
    </row>
    <row r="153">
      <c r="A153" s="16" t="n">
        <v>152</v>
      </c>
      <c r="B153" s="95" t="n">
        <v>45942</v>
      </c>
      <c r="C153" s="16" t="inlineStr">
        <is>
          <t>HETA NURSERYS</t>
        </is>
      </c>
      <c r="D153" s="16" t="inlineStr">
        <is>
          <t>RIYADH NURSERY - PO959</t>
        </is>
      </c>
      <c r="E153" s="16" t="n"/>
      <c r="F153" s="17" t="n">
        <v>4065.22</v>
      </c>
      <c r="G153" s="16" t="n">
        <v>15</v>
      </c>
      <c r="H153" s="17" t="n">
        <v>4675</v>
      </c>
      <c r="I153" s="16" t="inlineStr">
        <is>
          <t>نعم</t>
        </is>
      </c>
      <c r="J153" s="16" t="inlineStr">
        <is>
          <t>مزرعة الرياض (عهدة/صندوق)</t>
        </is>
      </c>
      <c r="K153" s="16" t="inlineStr">
        <is>
          <t>مشتريات نباتات وبذور</t>
        </is>
      </c>
      <c r="L153" s="16" t="n"/>
    </row>
    <row r="154">
      <c r="A154" s="16" t="n">
        <v>153</v>
      </c>
      <c r="B154" s="95" t="n">
        <v>45942</v>
      </c>
      <c r="C154" s="16" t="inlineStr">
        <is>
          <t>HETA NURSERYS</t>
        </is>
      </c>
      <c r="D154" s="16" t="inlineStr">
        <is>
          <t>RIYADH NURSERY-PO956</t>
        </is>
      </c>
      <c r="E154" s="16" t="n"/>
      <c r="F154" s="17" t="n">
        <v>11920.65</v>
      </c>
      <c r="G154" s="16" t="n">
        <v>15</v>
      </c>
      <c r="H154" s="17" t="n">
        <v>13708.75</v>
      </c>
      <c r="I154" s="16" t="inlineStr">
        <is>
          <t>نعم</t>
        </is>
      </c>
      <c r="J154" s="16" t="inlineStr">
        <is>
          <t>مزرعة الرياض (عهدة/صندوق)</t>
        </is>
      </c>
      <c r="K154" s="16" t="inlineStr">
        <is>
          <t>مشتريات نباتات وبذور</t>
        </is>
      </c>
      <c r="L154" s="16" t="n"/>
    </row>
    <row r="155">
      <c r="A155" s="16" t="n">
        <v>154</v>
      </c>
      <c r="B155" s="95" t="n">
        <v>45942</v>
      </c>
      <c r="C155" s="16" t="inlineStr">
        <is>
          <t>موسسة الدلتا الخضراء للتجاره</t>
        </is>
      </c>
      <c r="D155" s="16" t="inlineStr">
        <is>
          <t>RIYADH NURSERY</t>
        </is>
      </c>
      <c r="E155" s="16" t="n"/>
      <c r="F155" s="17" t="n">
        <v>515</v>
      </c>
      <c r="G155" s="16" t="n">
        <v>15</v>
      </c>
      <c r="H155" s="17" t="n">
        <v>592.25</v>
      </c>
      <c r="I155" s="16" t="inlineStr">
        <is>
          <t>نعم</t>
        </is>
      </c>
      <c r="J155" s="16" t="inlineStr">
        <is>
          <t>مزرعة الرياض (عهدة/صندوق)</t>
        </is>
      </c>
      <c r="K155" s="16" t="inlineStr">
        <is>
          <t>مشتريات نباتات وبذور</t>
        </is>
      </c>
      <c r="L155" s="16" t="n"/>
    </row>
    <row r="156">
      <c r="A156" s="16" t="n">
        <v>155</v>
      </c>
      <c r="B156" s="95" t="n">
        <v>45943</v>
      </c>
      <c r="C156" s="16" t="inlineStr">
        <is>
          <t>هاتف الموبايل</t>
        </is>
      </c>
      <c r="D156" s="16" t="inlineStr">
        <is>
          <t>RIYADH NURSERY</t>
        </is>
      </c>
      <c r="E156" s="16" t="inlineStr">
        <is>
          <t>شحن جوال عصمت</t>
        </is>
      </c>
      <c r="F156" s="17" t="n">
        <v>100</v>
      </c>
      <c r="G156" s="16" t="n">
        <v>15</v>
      </c>
      <c r="H156" s="17" t="n">
        <v>115</v>
      </c>
      <c r="I156" s="16" t="inlineStr">
        <is>
          <t>نعم</t>
        </is>
      </c>
      <c r="J156" s="16" t="inlineStr">
        <is>
          <t>مزرعة الرياض (عهدة/صندوق)</t>
        </is>
      </c>
      <c r="K156" s="16" t="inlineStr">
        <is>
          <t>خدمات (كهرباء/مياه/اتصالات)</t>
        </is>
      </c>
      <c r="L156" s="16" t="n"/>
    </row>
    <row r="157">
      <c r="A157" s="16" t="n">
        <v>156</v>
      </c>
      <c r="B157" s="95" t="n">
        <v>45943</v>
      </c>
      <c r="C157" s="16" t="inlineStr">
        <is>
          <t>مؤسسة تركي بن محمد العتيبي للشحن</t>
        </is>
      </c>
      <c r="D157" s="16" t="inlineStr">
        <is>
          <t>RIYADH NURSERY</t>
        </is>
      </c>
      <c r="E157" s="16" t="n"/>
      <c r="F157" s="17" t="n">
        <v>69.56999999999999</v>
      </c>
      <c r="G157" s="16" t="n">
        <v>15</v>
      </c>
      <c r="H157" s="17" t="n">
        <v>80.01000000000001</v>
      </c>
      <c r="I157" s="16" t="inlineStr">
        <is>
          <t>نعم</t>
        </is>
      </c>
      <c r="J157" s="16" t="inlineStr">
        <is>
          <t>مزرعة الرياض (عهدة/صندوق)</t>
        </is>
      </c>
      <c r="K157" s="16" t="inlineStr">
        <is>
          <t>مصروفات إدارية وأخرى</t>
        </is>
      </c>
      <c r="L157" s="16" t="n"/>
    </row>
    <row r="158">
      <c r="A158" s="16" t="n">
        <v>157</v>
      </c>
      <c r="B158" s="95" t="n">
        <v>45943</v>
      </c>
      <c r="C158" s="16" t="inlineStr">
        <is>
          <t>اللوازم المكتبية</t>
        </is>
      </c>
      <c r="D158" s="16" t="inlineStr">
        <is>
          <t>RIYADH NURSERY</t>
        </is>
      </c>
      <c r="E158" s="16" t="n"/>
      <c r="F158" s="17" t="n">
        <v>43.26</v>
      </c>
      <c r="G158" s="16" t="n">
        <v>15</v>
      </c>
      <c r="H158" s="17" t="n">
        <v>49.75</v>
      </c>
      <c r="I158" s="16" t="inlineStr">
        <is>
          <t>نعم</t>
        </is>
      </c>
      <c r="J158" s="16" t="inlineStr">
        <is>
          <t>مزرعة الرياض (عهدة/صندوق)</t>
        </is>
      </c>
      <c r="K158" s="16" t="inlineStr">
        <is>
          <t>مصروفات إدارية وأخرى</t>
        </is>
      </c>
      <c r="L158" s="16" t="n"/>
    </row>
    <row r="159">
      <c r="A159" s="16" t="n">
        <v>158</v>
      </c>
      <c r="B159" s="95" t="n">
        <v>45944</v>
      </c>
      <c r="C159" s="16" t="inlineStr">
        <is>
          <t>مؤسسة المحترف الامثل للتجارة - سباكة</t>
        </is>
      </c>
      <c r="D159" s="16" t="inlineStr">
        <is>
          <t>RIYADH NURSERY</t>
        </is>
      </c>
      <c r="E159" s="16" t="n"/>
      <c r="F159" s="17" t="n">
        <v>234</v>
      </c>
      <c r="G159" s="16" t="n">
        <v>15</v>
      </c>
      <c r="H159" s="17" t="n">
        <v>269.1</v>
      </c>
      <c r="I159" s="16" t="inlineStr">
        <is>
          <t>نعم</t>
        </is>
      </c>
      <c r="J159" s="16" t="inlineStr">
        <is>
          <t>مزرعة الرياض (عهدة/صندوق)</t>
        </is>
      </c>
      <c r="K159" s="16" t="inlineStr">
        <is>
          <t>صيانة وإنشاءات المزرعة</t>
        </is>
      </c>
      <c r="L159" s="16" t="n"/>
    </row>
    <row r="160">
      <c r="A160" s="16" t="n">
        <v>159</v>
      </c>
      <c r="B160" s="95" t="n">
        <v>45944</v>
      </c>
      <c r="C160" s="16" t="inlineStr">
        <is>
          <t>مؤسسة قاعدة الركن التجارية - معدات زراعبة</t>
        </is>
      </c>
      <c r="D160" s="16" t="inlineStr">
        <is>
          <t>RIYADH NURSERY</t>
        </is>
      </c>
      <c r="E160" s="16" t="n"/>
      <c r="F160" s="17" t="n">
        <v>104.35</v>
      </c>
      <c r="G160" s="16" t="n">
        <v>15</v>
      </c>
      <c r="H160" s="17" t="n">
        <v>120</v>
      </c>
      <c r="I160" s="16" t="inlineStr">
        <is>
          <t>نعم</t>
        </is>
      </c>
      <c r="J160" s="16" t="inlineStr">
        <is>
          <t>مزرعة الرياض (عهدة/صندوق)</t>
        </is>
      </c>
      <c r="K160" s="16" t="inlineStr">
        <is>
          <t>مصروفات إدارية وأخرى</t>
        </is>
      </c>
      <c r="L160" s="16" t="n"/>
    </row>
    <row r="161">
      <c r="A161" s="16" t="n">
        <v>160</v>
      </c>
      <c r="B161" s="95" t="n">
        <v>45945</v>
      </c>
      <c r="C161" s="16" t="inlineStr">
        <is>
          <t>HETA NURSERYS</t>
        </is>
      </c>
      <c r="D161" s="16" t="inlineStr">
        <is>
          <t>RIYADH NURSERY - PO1003</t>
        </is>
      </c>
      <c r="E161" s="16" t="n"/>
      <c r="F161" s="17" t="n">
        <v>3826.09</v>
      </c>
      <c r="G161" s="16" t="n">
        <v>15</v>
      </c>
      <c r="H161" s="17" t="n">
        <v>4400</v>
      </c>
      <c r="I161" s="16" t="inlineStr">
        <is>
          <t>نعم</t>
        </is>
      </c>
      <c r="J161" s="16" t="inlineStr">
        <is>
          <t>مزرعة الرياض (عهدة/صندوق)</t>
        </is>
      </c>
      <c r="K161" s="16" t="inlineStr">
        <is>
          <t>مشتريات نباتات وبذور</t>
        </is>
      </c>
      <c r="L161" s="16" t="n"/>
    </row>
    <row r="162">
      <c r="A162" s="16" t="n">
        <v>161</v>
      </c>
      <c r="B162" s="95" t="n">
        <v>45945</v>
      </c>
      <c r="C162" s="16" t="inlineStr">
        <is>
          <t>مؤسسة رغدان للزراعه</t>
        </is>
      </c>
      <c r="D162" s="16" t="inlineStr">
        <is>
          <t>RIYADH NURSERY</t>
        </is>
      </c>
      <c r="E162" s="16" t="n"/>
      <c r="F162" s="17" t="n">
        <v>225.22</v>
      </c>
      <c r="G162" s="16" t="n">
        <v>15</v>
      </c>
      <c r="H162" s="17" t="n">
        <v>259</v>
      </c>
      <c r="I162" s="16" t="inlineStr">
        <is>
          <t>نعم</t>
        </is>
      </c>
      <c r="J162" s="16" t="inlineStr">
        <is>
          <t>مزرعة الرياض (عهدة/صندوق)</t>
        </is>
      </c>
      <c r="K162" s="16" t="inlineStr">
        <is>
          <t>مشتريات نباتات وبذور</t>
        </is>
      </c>
      <c r="L162" s="16" t="n"/>
    </row>
    <row r="163">
      <c r="A163" s="16" t="n">
        <v>162</v>
      </c>
      <c r="B163" s="95" t="n">
        <v>45945</v>
      </c>
      <c r="C163" s="16" t="inlineStr">
        <is>
          <t>رواتب</t>
        </is>
      </c>
      <c r="D163" s="16" t="inlineStr">
        <is>
          <t>RIYADH NURSERY</t>
        </is>
      </c>
      <c r="E163" s="16" t="n"/>
      <c r="F163" s="17" t="n">
        <v>695.65</v>
      </c>
      <c r="G163" s="16" t="n">
        <v>15</v>
      </c>
      <c r="H163" s="17" t="n">
        <v>800</v>
      </c>
      <c r="I163" s="16" t="inlineStr">
        <is>
          <t>نعم</t>
        </is>
      </c>
      <c r="J163" s="16" t="inlineStr">
        <is>
          <t>مزرعة الرياض (عهدة/صندوق)</t>
        </is>
      </c>
      <c r="K163" s="16" t="inlineStr">
        <is>
          <t>رواتب وعمولات</t>
        </is>
      </c>
      <c r="L163" s="16" t="n"/>
    </row>
    <row r="164">
      <c r="A164" s="16" t="n">
        <v>163</v>
      </c>
      <c r="B164" s="95" t="n">
        <v>45946</v>
      </c>
      <c r="C164" s="16" t="inlineStr">
        <is>
          <t>مؤسسة المحترف الامثل للتجارة - سباكة</t>
        </is>
      </c>
      <c r="D164" s="16" t="inlineStr">
        <is>
          <t>RIYADH NURSERY</t>
        </is>
      </c>
      <c r="E164" s="16" t="n"/>
      <c r="F164" s="17" t="n">
        <v>86</v>
      </c>
      <c r="G164" s="16" t="n">
        <v>15</v>
      </c>
      <c r="H164" s="17" t="n">
        <v>98.90000000000001</v>
      </c>
      <c r="I164" s="16" t="inlineStr">
        <is>
          <t>نعم</t>
        </is>
      </c>
      <c r="J164" s="16" t="inlineStr">
        <is>
          <t>مزرعة الرياض (عهدة/صندوق)</t>
        </is>
      </c>
      <c r="K164" s="16" t="inlineStr">
        <is>
          <t>صيانة وإنشاءات المزرعة</t>
        </is>
      </c>
      <c r="L164" s="16" t="n"/>
    </row>
    <row r="165">
      <c r="A165" s="16" t="n">
        <v>164</v>
      </c>
      <c r="B165" s="95" t="n">
        <v>45946</v>
      </c>
      <c r="C165" s="16" t="inlineStr">
        <is>
          <t>مؤسسة رواد سلام للتجارة</t>
        </is>
      </c>
      <c r="D165" s="16" t="inlineStr">
        <is>
          <t>RIYADH NURSERY</t>
        </is>
      </c>
      <c r="E165" s="16" t="n"/>
      <c r="F165" s="17" t="n">
        <v>478.26</v>
      </c>
      <c r="G165" s="16" t="n">
        <v>15</v>
      </c>
      <c r="H165" s="17" t="n">
        <v>550</v>
      </c>
      <c r="I165" s="16" t="inlineStr">
        <is>
          <t>نعم</t>
        </is>
      </c>
      <c r="J165" s="16" t="inlineStr">
        <is>
          <t>مزرعة الرياض (عهدة/صندوق)</t>
        </is>
      </c>
      <c r="K165" s="16" t="inlineStr">
        <is>
          <t>مواد زراعية (بيتموس/بيرلايت/أسمدة/مبيدات)</t>
        </is>
      </c>
      <c r="L165" s="16" t="n"/>
    </row>
    <row r="166">
      <c r="A166" s="16" t="n">
        <v>165</v>
      </c>
      <c r="B166" s="95" t="n">
        <v>45948</v>
      </c>
      <c r="C166" s="16" t="inlineStr">
        <is>
          <t>HETA NURSERYS</t>
        </is>
      </c>
      <c r="D166" s="16" t="inlineStr">
        <is>
          <t>RIYADH NURSERY - PO1020</t>
        </is>
      </c>
      <c r="E166" s="16" t="n"/>
      <c r="F166" s="17" t="n">
        <v>2869.57</v>
      </c>
      <c r="G166" s="16" t="n">
        <v>15</v>
      </c>
      <c r="H166" s="17" t="n">
        <v>3300</v>
      </c>
      <c r="I166" s="16" t="inlineStr">
        <is>
          <t>نعم</t>
        </is>
      </c>
      <c r="J166" s="16" t="inlineStr">
        <is>
          <t>مزرعة الرياض (عهدة/صندوق)</t>
        </is>
      </c>
      <c r="K166" s="16" t="inlineStr">
        <is>
          <t>مشتريات نباتات وبذور</t>
        </is>
      </c>
      <c r="L166" s="16" t="n"/>
    </row>
    <row r="167">
      <c r="A167" s="16" t="n">
        <v>166</v>
      </c>
      <c r="B167" s="95" t="n">
        <v>45948</v>
      </c>
      <c r="C167" s="16" t="inlineStr">
        <is>
          <t>سامي نقل - نولون</t>
        </is>
      </c>
      <c r="D167" s="16" t="inlineStr">
        <is>
          <t>RIYADH NURSERY</t>
        </is>
      </c>
      <c r="E167" s="16" t="n"/>
      <c r="F167" s="17" t="n">
        <v>304.35</v>
      </c>
      <c r="G167" s="16" t="n">
        <v>15</v>
      </c>
      <c r="H167" s="17" t="n">
        <v>350</v>
      </c>
      <c r="I167" s="16" t="inlineStr">
        <is>
          <t>نعم</t>
        </is>
      </c>
      <c r="J167" s="16" t="inlineStr">
        <is>
          <t>مزرعة الرياض (عهدة/صندوق)</t>
        </is>
      </c>
      <c r="K167" s="16" t="inlineStr">
        <is>
          <t>مصروفات إدارية وأخرى</t>
        </is>
      </c>
      <c r="L167" s="16" t="n"/>
    </row>
    <row r="168">
      <c r="A168" s="16" t="n">
        <v>167</v>
      </c>
      <c r="B168" s="95" t="n">
        <v>45948</v>
      </c>
      <c r="C168" s="16" t="inlineStr">
        <is>
          <t>مبسط العجفة لمواد البناء</t>
        </is>
      </c>
      <c r="D168" s="16" t="inlineStr">
        <is>
          <t>RIYADH NURSERY</t>
        </is>
      </c>
      <c r="E168" s="16" t="n"/>
      <c r="F168" s="17" t="n">
        <v>1869.57</v>
      </c>
      <c r="G168" s="16" t="n">
        <v>15</v>
      </c>
      <c r="H168" s="17" t="n">
        <v>2150</v>
      </c>
      <c r="I168" s="16" t="inlineStr">
        <is>
          <t>نعم</t>
        </is>
      </c>
      <c r="J168" s="16" t="inlineStr">
        <is>
          <t>مزرعة الرياض (عهدة/صندوق)</t>
        </is>
      </c>
      <c r="K168" s="16" t="inlineStr">
        <is>
          <t>صيانة وإنشاءات المزرعة</t>
        </is>
      </c>
      <c r="L168" s="16" t="n"/>
    </row>
    <row r="169">
      <c r="A169" s="16" t="n">
        <v>168</v>
      </c>
      <c r="B169" s="95" t="n">
        <v>45949</v>
      </c>
      <c r="C169" s="16" t="inlineStr">
        <is>
          <t>مصنع شركة سانح لى للبلاستيك</t>
        </is>
      </c>
      <c r="D169" s="16" t="inlineStr">
        <is>
          <t>RIYADH NURSERY - PO1023</t>
        </is>
      </c>
      <c r="E169" s="16" t="inlineStr">
        <is>
          <t>PO 1023</t>
        </is>
      </c>
      <c r="F169" s="17" t="n">
        <v>1965.6</v>
      </c>
      <c r="G169" s="16" t="n">
        <v>15</v>
      </c>
      <c r="H169" s="17" t="n">
        <v>2260.44</v>
      </c>
      <c r="I169" s="16" t="inlineStr">
        <is>
          <t>نعم</t>
        </is>
      </c>
      <c r="J169" s="16" t="inlineStr">
        <is>
          <t>مزرعة الرياض (عهدة/صندوق)</t>
        </is>
      </c>
      <c r="K169" s="16" t="inlineStr">
        <is>
          <t>مستلزمات إنتاج (مراكن/فلين/مفارش)</t>
        </is>
      </c>
      <c r="L169" s="16" t="n"/>
    </row>
    <row r="170">
      <c r="A170" s="16" t="n">
        <v>169</v>
      </c>
      <c r="B170" s="95" t="n">
        <v>45950</v>
      </c>
      <c r="C170" s="16" t="inlineStr">
        <is>
          <t>ينابع المئويه لتحلية المياه</t>
        </is>
      </c>
      <c r="D170" s="16" t="inlineStr">
        <is>
          <t>RIYADH NURSERY</t>
        </is>
      </c>
      <c r="E170" s="16" t="n"/>
      <c r="F170" s="17" t="n">
        <v>52.17</v>
      </c>
      <c r="G170" s="16" t="n">
        <v>15</v>
      </c>
      <c r="H170" s="17" t="n">
        <v>60</v>
      </c>
      <c r="I170" s="16" t="inlineStr">
        <is>
          <t>نعم</t>
        </is>
      </c>
      <c r="J170" s="16" t="inlineStr">
        <is>
          <t>مزرعة الرياض (عهدة/صندوق)</t>
        </is>
      </c>
      <c r="K170" s="16" t="inlineStr">
        <is>
          <t>خدمات (كهرباء/مياه/اتصالات)</t>
        </is>
      </c>
      <c r="L170" s="16" t="n"/>
    </row>
    <row r="171">
      <c r="A171" s="16" t="n">
        <v>170</v>
      </c>
      <c r="B171" s="95" t="n">
        <v>45950</v>
      </c>
      <c r="C171" s="16" t="inlineStr">
        <is>
          <t>مبسط العجفة لمواد البناء</t>
        </is>
      </c>
      <c r="D171" s="16" t="inlineStr">
        <is>
          <t>RIYADH NURSERY</t>
        </is>
      </c>
      <c r="E171" s="16" t="n"/>
      <c r="F171" s="17" t="n">
        <v>330.43</v>
      </c>
      <c r="G171" s="16" t="n">
        <v>15</v>
      </c>
      <c r="H171" s="17" t="n">
        <v>380</v>
      </c>
      <c r="I171" s="16" t="inlineStr">
        <is>
          <t>نعم</t>
        </is>
      </c>
      <c r="J171" s="16" t="inlineStr">
        <is>
          <t>مزرعة الرياض (عهدة/صندوق)</t>
        </is>
      </c>
      <c r="K171" s="16" t="inlineStr">
        <is>
          <t>صيانة وإنشاءات المزرعة</t>
        </is>
      </c>
      <c r="L171" s="16" t="n"/>
    </row>
    <row r="172">
      <c r="A172" s="16" t="n">
        <v>171</v>
      </c>
      <c r="B172" s="95" t="n">
        <v>45950</v>
      </c>
      <c r="C172" s="16" t="inlineStr">
        <is>
          <t>مصنع شركة سانح لى للبلاستيك</t>
        </is>
      </c>
      <c r="D172" s="16" t="inlineStr">
        <is>
          <t>RIYADH NURSERY - PO1034</t>
        </is>
      </c>
      <c r="E172" s="16" t="inlineStr">
        <is>
          <t>PO 1034</t>
        </is>
      </c>
      <c r="F172" s="17" t="n">
        <v>1965.6</v>
      </c>
      <c r="G172" s="16" t="n">
        <v>15</v>
      </c>
      <c r="H172" s="17" t="n">
        <v>2260.44</v>
      </c>
      <c r="I172" s="16" t="inlineStr">
        <is>
          <t>نعم</t>
        </is>
      </c>
      <c r="J172" s="16" t="inlineStr">
        <is>
          <t>مزرعة الرياض (عهدة/صندوق)</t>
        </is>
      </c>
      <c r="K172" s="16" t="inlineStr">
        <is>
          <t>مستلزمات إنتاج (مراكن/فلين/مفارش)</t>
        </is>
      </c>
      <c r="L172" s="16" t="n"/>
    </row>
    <row r="173">
      <c r="A173" s="16" t="n">
        <v>172</v>
      </c>
      <c r="B173" s="95" t="n">
        <v>45951</v>
      </c>
      <c r="C173" s="16" t="inlineStr">
        <is>
          <t>مؤسسة تلال الربيع للمفارش</t>
        </is>
      </c>
      <c r="D173" s="16" t="inlineStr">
        <is>
          <t>RIYADH NURSERY</t>
        </is>
      </c>
      <c r="E173" s="16" t="n"/>
      <c r="F173" s="17" t="n">
        <v>1382.39</v>
      </c>
      <c r="G173" s="16" t="n">
        <v>15</v>
      </c>
      <c r="H173" s="17" t="n">
        <v>1589.75</v>
      </c>
      <c r="I173" s="16" t="inlineStr">
        <is>
          <t>نعم</t>
        </is>
      </c>
      <c r="J173" s="16" t="inlineStr">
        <is>
          <t>مزرعة الرياض (عهدة/صندوق)</t>
        </is>
      </c>
      <c r="K173" s="16" t="inlineStr">
        <is>
          <t>مصروفات إدارية وأخرى</t>
        </is>
      </c>
      <c r="L173" s="16" t="n"/>
    </row>
    <row r="174">
      <c r="A174" s="16" t="n">
        <v>173</v>
      </c>
      <c r="B174" s="95" t="n">
        <v>45951</v>
      </c>
      <c r="C174" s="16" t="inlineStr">
        <is>
          <t>مؤسسة المحترف الامثل للتجارة - سباكة</t>
        </is>
      </c>
      <c r="D174" s="16" t="inlineStr">
        <is>
          <t>RIYADH NURSERY</t>
        </is>
      </c>
      <c r="E174" s="16" t="inlineStr">
        <is>
          <t>شحن جوال عصمت</t>
        </is>
      </c>
      <c r="F174" s="17" t="n">
        <v>310</v>
      </c>
      <c r="G174" s="16" t="n">
        <v>15</v>
      </c>
      <c r="H174" s="17" t="n">
        <v>356.5</v>
      </c>
      <c r="I174" s="16" t="inlineStr">
        <is>
          <t>نعم</t>
        </is>
      </c>
      <c r="J174" s="16" t="inlineStr">
        <is>
          <t>مزرعة الرياض (عهدة/صندوق)</t>
        </is>
      </c>
      <c r="K174" s="16" t="inlineStr">
        <is>
          <t>صيانة وإنشاءات المزرعة</t>
        </is>
      </c>
      <c r="L174" s="16" t="n"/>
    </row>
    <row r="175">
      <c r="A175" s="16" t="n">
        <v>174</v>
      </c>
      <c r="B175" s="95" t="n">
        <v>45953</v>
      </c>
      <c r="C175" s="16" t="inlineStr">
        <is>
          <t>مؤسسة النمور للخدمات التسويقية</t>
        </is>
      </c>
      <c r="D175" s="16" t="inlineStr">
        <is>
          <t>RIYADH NURSERY</t>
        </is>
      </c>
      <c r="E175" s="16" t="n"/>
      <c r="F175" s="17" t="n">
        <v>173.91</v>
      </c>
      <c r="G175" s="16" t="n">
        <v>15</v>
      </c>
      <c r="H175" s="17" t="n">
        <v>200</v>
      </c>
      <c r="I175" s="16" t="inlineStr">
        <is>
          <t>نعم</t>
        </is>
      </c>
      <c r="J175" s="16" t="inlineStr">
        <is>
          <t>مزرعة الرياض (عهدة/صندوق)</t>
        </is>
      </c>
      <c r="K175" s="16" t="inlineStr">
        <is>
          <t>مصروفات إدارية وأخرى</t>
        </is>
      </c>
      <c r="L175" s="16" t="n"/>
    </row>
    <row r="176">
      <c r="A176" s="16" t="n">
        <v>175</v>
      </c>
      <c r="B176" s="95" t="n">
        <v>45953</v>
      </c>
      <c r="C176" s="16" t="inlineStr">
        <is>
          <t>موسسة بيت الوسيط لتجاره</t>
        </is>
      </c>
      <c r="D176" s="16" t="inlineStr">
        <is>
          <t>RIYADH NURSERY</t>
        </is>
      </c>
      <c r="E176" s="16" t="n"/>
      <c r="F176" s="17" t="n">
        <v>260.87</v>
      </c>
      <c r="G176" s="16" t="n">
        <v>15</v>
      </c>
      <c r="H176" s="17" t="n">
        <v>300</v>
      </c>
      <c r="I176" s="16" t="inlineStr">
        <is>
          <t>نعم</t>
        </is>
      </c>
      <c r="J176" s="16" t="inlineStr">
        <is>
          <t>مزرعة الرياض (عهدة/صندوق)</t>
        </is>
      </c>
      <c r="K176" s="16" t="inlineStr">
        <is>
          <t>مواد زراعية (بيتموس/بيرلايت/أسمدة/مبيدات)</t>
        </is>
      </c>
      <c r="L176" s="16" t="n"/>
    </row>
    <row r="177">
      <c r="A177" s="16" t="n">
        <v>176</v>
      </c>
      <c r="B177" s="95" t="n">
        <v>45953</v>
      </c>
      <c r="C177" s="16" t="inlineStr">
        <is>
          <t>شركة التكامل</t>
        </is>
      </c>
      <c r="D177" s="16" t="inlineStr">
        <is>
          <t>RIYADH NURSERY</t>
        </is>
      </c>
      <c r="E177" s="16" t="n"/>
      <c r="F177" s="17" t="n">
        <v>730.3200000000001</v>
      </c>
      <c r="G177" s="16" t="n">
        <v>15</v>
      </c>
      <c r="H177" s="17" t="n">
        <v>839.87</v>
      </c>
      <c r="I177" s="16" t="inlineStr">
        <is>
          <t>نعم</t>
        </is>
      </c>
      <c r="J177" s="16" t="inlineStr">
        <is>
          <t>مزرعة الرياض (عهدة/صندوق)</t>
        </is>
      </c>
      <c r="K177" s="16" t="inlineStr">
        <is>
          <t>مشتريات نباتات وبذور</t>
        </is>
      </c>
      <c r="L177" s="16" t="n"/>
    </row>
    <row r="178">
      <c r="A178" s="16" t="n">
        <v>177</v>
      </c>
      <c r="B178" s="95" t="n">
        <v>45953</v>
      </c>
      <c r="C178" s="16" t="inlineStr">
        <is>
          <t>مؤسسة هيلاء عبيد الدوسرى</t>
        </is>
      </c>
      <c r="D178" s="16" t="inlineStr">
        <is>
          <t>RIYADH NURSERY</t>
        </is>
      </c>
      <c r="E178" s="16" t="n"/>
      <c r="F178" s="17" t="n">
        <v>204.35</v>
      </c>
      <c r="G178" s="16" t="n">
        <v>15</v>
      </c>
      <c r="H178" s="17" t="n">
        <v>235</v>
      </c>
      <c r="I178" s="16" t="inlineStr">
        <is>
          <t>نعم</t>
        </is>
      </c>
      <c r="J178" s="16" t="inlineStr">
        <is>
          <t>مزرعة الرياض (عهدة/صندوق)</t>
        </is>
      </c>
      <c r="K178" s="16" t="inlineStr">
        <is>
          <t>مصروفات إدارية وأخرى</t>
        </is>
      </c>
      <c r="L178" s="16" t="n"/>
    </row>
    <row r="179">
      <c r="A179" s="18" t="n">
        <v>178</v>
      </c>
      <c r="B179" s="98" t="n">
        <v>45953</v>
      </c>
      <c r="C179" s="18" t="inlineStr">
        <is>
          <t>شركة المدارات السعودية للتجارة والاستيراد</t>
        </is>
      </c>
      <c r="D179" s="18" t="inlineStr">
        <is>
          <t>RIYADH NURSERY - PO1040</t>
        </is>
      </c>
      <c r="E179" s="18" t="inlineStr">
        <is>
          <t>تم التحويل البنكى من نسما</t>
        </is>
      </c>
      <c r="F179" s="19" t="n">
        <v>44000</v>
      </c>
      <c r="G179" s="18" t="n">
        <v>15</v>
      </c>
      <c r="H179" s="19" t="n">
        <v>50600</v>
      </c>
      <c r="I179" s="18" t="inlineStr">
        <is>
          <t>نعم</t>
        </is>
      </c>
      <c r="J179" s="18" t="inlineStr">
        <is>
          <t>مزرعة تبوك (نسما) – تحويل بنكي</t>
        </is>
      </c>
      <c r="K179" s="18" t="inlineStr">
        <is>
          <t>مواد زراعية (بيتموس/بيرلايت/أسمدة/مبيدات)</t>
        </is>
      </c>
      <c r="L179" s="18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180">
      <c r="A180" s="18" t="n">
        <v>179</v>
      </c>
      <c r="B180" s="98" t="n">
        <v>45953</v>
      </c>
      <c r="C180" s="18" t="inlineStr">
        <is>
          <t>شركة المدارات السعودية للتجارة والاستيراد</t>
        </is>
      </c>
      <c r="D180" s="18" t="inlineStr">
        <is>
          <t>RIYADH NURSERY - PO1043</t>
        </is>
      </c>
      <c r="E180" s="18" t="inlineStr">
        <is>
          <t>اذن صرف نقدية 8</t>
        </is>
      </c>
      <c r="F180" s="19" t="n">
        <v>44000</v>
      </c>
      <c r="G180" s="18" t="n">
        <v>15</v>
      </c>
      <c r="H180" s="19" t="n">
        <v>50600</v>
      </c>
      <c r="I180" s="18" t="inlineStr">
        <is>
          <t>نعم</t>
        </is>
      </c>
      <c r="J180" s="18" t="inlineStr">
        <is>
          <t>مزرعة الرياض (عهدة/صندوق)</t>
        </is>
      </c>
      <c r="K180" s="18" t="inlineStr">
        <is>
          <t>مواد زراعية (بيتموس/بيرلايت/أسمدة/مبيدات)</t>
        </is>
      </c>
      <c r="L180" s="18" t="inlineStr">
        <is>
          <t>⚠ نفس المورد ونفس التاريخ ونفس القيمة مكرر – يلزم التأكد</t>
        </is>
      </c>
    </row>
    <row r="181">
      <c r="A181" s="16" t="n">
        <v>180</v>
      </c>
      <c r="B181" s="95" t="n">
        <v>45953</v>
      </c>
      <c r="C181" s="16" t="inlineStr">
        <is>
          <t>شركة المدارات السعودية للتجارة والاستيراد</t>
        </is>
      </c>
      <c r="D181" s="16" t="inlineStr">
        <is>
          <t>RIYADH NURSERY - PO1042</t>
        </is>
      </c>
      <c r="E181" s="16" t="inlineStr">
        <is>
          <t>اذن صرف نقدية 8</t>
        </is>
      </c>
      <c r="F181" s="17" t="n">
        <v>20000</v>
      </c>
      <c r="G181" s="16" t="n">
        <v>15</v>
      </c>
      <c r="H181" s="17" t="n">
        <v>23000</v>
      </c>
      <c r="I181" s="16" t="inlineStr">
        <is>
          <t>نعم</t>
        </is>
      </c>
      <c r="J181" s="16" t="inlineStr">
        <is>
          <t>مزرعة الرياض (عهدة/صندوق)</t>
        </is>
      </c>
      <c r="K181" s="16" t="inlineStr">
        <is>
          <t>مواد زراعية (بيتموس/بيرلايت/أسمدة/مبيدات)</t>
        </is>
      </c>
      <c r="L181" s="16" t="n"/>
    </row>
    <row r="182">
      <c r="A182" s="16" t="n">
        <v>181</v>
      </c>
      <c r="B182" s="95" t="n">
        <v>45955</v>
      </c>
      <c r="C182" s="16" t="inlineStr">
        <is>
          <t>مؤسسة هيلاء عبيد الدوسرى</t>
        </is>
      </c>
      <c r="D182" s="16" t="inlineStr">
        <is>
          <t>RIYADH NURSERY</t>
        </is>
      </c>
      <c r="E182" s="16" t="n"/>
      <c r="F182" s="17" t="n">
        <v>204.35</v>
      </c>
      <c r="G182" s="16" t="n">
        <v>15</v>
      </c>
      <c r="H182" s="17" t="n">
        <v>235</v>
      </c>
      <c r="I182" s="16" t="inlineStr">
        <is>
          <t>نعم</t>
        </is>
      </c>
      <c r="J182" s="16" t="inlineStr">
        <is>
          <t>مزرعة الرياض (عهدة/صندوق)</t>
        </is>
      </c>
      <c r="K182" s="16" t="inlineStr">
        <is>
          <t>مصروفات إدارية وأخرى</t>
        </is>
      </c>
      <c r="L182" s="16" t="n"/>
    </row>
    <row r="183">
      <c r="A183" s="16" t="n">
        <v>182</v>
      </c>
      <c r="B183" s="95" t="n">
        <v>45955</v>
      </c>
      <c r="C183" s="16" t="inlineStr">
        <is>
          <t>مؤسسة بساتين الرياض</t>
        </is>
      </c>
      <c r="D183" s="16" t="inlineStr">
        <is>
          <t>RIYADH NURSERY - PO1046</t>
        </is>
      </c>
      <c r="E183" s="16" t="inlineStr">
        <is>
          <t>PO 1046</t>
        </is>
      </c>
      <c r="F183" s="17" t="n">
        <v>12017.39</v>
      </c>
      <c r="G183" s="16" t="n">
        <v>15</v>
      </c>
      <c r="H183" s="17" t="n">
        <v>13820</v>
      </c>
      <c r="I183" s="16" t="inlineStr">
        <is>
          <t>نعم</t>
        </is>
      </c>
      <c r="J183" s="16" t="inlineStr">
        <is>
          <t>مزرعة الرياض (عهدة/صندوق)</t>
        </is>
      </c>
      <c r="K183" s="16" t="inlineStr">
        <is>
          <t>مشتريات نباتات وبذور</t>
        </is>
      </c>
      <c r="L183" s="16" t="n"/>
    </row>
    <row r="184">
      <c r="A184" s="16" t="n">
        <v>183</v>
      </c>
      <c r="B184" s="95" t="n">
        <v>45955</v>
      </c>
      <c r="C184" s="16" t="inlineStr">
        <is>
          <t>شركة التاج المميزة التجارية</t>
        </is>
      </c>
      <c r="D184" s="16" t="inlineStr">
        <is>
          <t>RIYADH NURSERY - PO1057+PO1061</t>
        </is>
      </c>
      <c r="E184" s="16" t="inlineStr">
        <is>
          <t>PO1061+PO1057</t>
        </is>
      </c>
      <c r="F184" s="17" t="n">
        <v>10750</v>
      </c>
      <c r="G184" s="16" t="n">
        <v>15</v>
      </c>
      <c r="H184" s="17" t="n">
        <v>12362.5</v>
      </c>
      <c r="I184" s="16" t="inlineStr">
        <is>
          <t>نعم</t>
        </is>
      </c>
      <c r="J184" s="16" t="inlineStr">
        <is>
          <t>مزرعة الرياض (عهدة/صندوق)</t>
        </is>
      </c>
      <c r="K184" s="16" t="inlineStr">
        <is>
          <t>مواد زراعية (بيتموس/بيرلايت/أسمدة/مبيدات)</t>
        </is>
      </c>
      <c r="L184" s="16" t="n"/>
    </row>
    <row r="185">
      <c r="A185" s="18" t="n">
        <v>184</v>
      </c>
      <c r="B185" s="98" t="n">
        <v>45955</v>
      </c>
      <c r="C185" s="18" t="inlineStr">
        <is>
          <t>مصنع شركة سانح لى للبلاستيك</t>
        </is>
      </c>
      <c r="D185" s="18" t="inlineStr">
        <is>
          <t>RIYADH NURSERY - PO1049</t>
        </is>
      </c>
      <c r="E185" s="18" t="inlineStr">
        <is>
          <t>PO 1049</t>
        </is>
      </c>
      <c r="F185" s="19" t="n">
        <v>1965.6</v>
      </c>
      <c r="G185" s="18" t="n">
        <v>15</v>
      </c>
      <c r="H185" s="19" t="n">
        <v>2260.44</v>
      </c>
      <c r="I185" s="18" t="inlineStr">
        <is>
          <t>نعم</t>
        </is>
      </c>
      <c r="J185" s="18" t="inlineStr">
        <is>
          <t>مزرعة الرياض (عهدة/صندوق)</t>
        </is>
      </c>
      <c r="K185" s="18" t="inlineStr">
        <is>
          <t>مستلزمات إنتاج (مراكن/فلين/مفارش)</t>
        </is>
      </c>
      <c r="L185" s="18" t="inlineStr">
        <is>
          <t>⚠ نفس المورد ونفس التاريخ ونفس القيمة مكرر – يلزم التأكد</t>
        </is>
      </c>
    </row>
    <row r="186">
      <c r="A186" s="18" t="n">
        <v>185</v>
      </c>
      <c r="B186" s="98" t="n">
        <v>45955</v>
      </c>
      <c r="C186" s="18" t="inlineStr">
        <is>
          <t>مصنع شركة سانح لى للبلاستيك</t>
        </is>
      </c>
      <c r="D186" s="18" t="inlineStr">
        <is>
          <t>RIYADH NURSERY - PO1048</t>
        </is>
      </c>
      <c r="E186" s="18" t="inlineStr">
        <is>
          <t>PO 1048</t>
        </is>
      </c>
      <c r="F186" s="19" t="n">
        <v>1965.6</v>
      </c>
      <c r="G186" s="18" t="n">
        <v>15</v>
      </c>
      <c r="H186" s="19" t="n">
        <v>2260.44</v>
      </c>
      <c r="I186" s="18" t="inlineStr">
        <is>
          <t>نعم</t>
        </is>
      </c>
      <c r="J186" s="18" t="inlineStr">
        <is>
          <t>مزرعة الرياض (عهدة/صندوق)</t>
        </is>
      </c>
      <c r="K186" s="18" t="inlineStr">
        <is>
          <t>مستلزمات إنتاج (مراكن/فلين/مفارش)</t>
        </is>
      </c>
      <c r="L186" s="18" t="inlineStr">
        <is>
          <t>⚠ نفس المورد ونفس التاريخ ونفس القيمة مكرر – يلزم التأكد</t>
        </is>
      </c>
    </row>
    <row r="187">
      <c r="A187" s="16" t="n">
        <v>186</v>
      </c>
      <c r="B187" s="95" t="n">
        <v>45956</v>
      </c>
      <c r="C187" s="16" t="inlineStr">
        <is>
          <t>مؤسسة الجودة النوعية للتجارة</t>
        </is>
      </c>
      <c r="D187" s="16" t="inlineStr">
        <is>
          <t>RIYADH NURSERY</t>
        </is>
      </c>
      <c r="E187" s="16" t="n"/>
      <c r="F187" s="17" t="n">
        <v>240</v>
      </c>
      <c r="G187" s="16" t="n">
        <v>15</v>
      </c>
      <c r="H187" s="17" t="n">
        <v>276</v>
      </c>
      <c r="I187" s="16" t="inlineStr">
        <is>
          <t>نعم</t>
        </is>
      </c>
      <c r="J187" s="16" t="inlineStr">
        <is>
          <t>مزرعة الرياض (عهدة/صندوق)</t>
        </is>
      </c>
      <c r="K187" s="16" t="inlineStr">
        <is>
          <t>مشتريات نباتات وبذور</t>
        </is>
      </c>
      <c r="L187" s="16" t="n"/>
    </row>
    <row r="188">
      <c r="A188" s="16" t="n">
        <v>187</v>
      </c>
      <c r="B188" s="95" t="n">
        <v>45956</v>
      </c>
      <c r="C188" s="16" t="inlineStr">
        <is>
          <t>الوقود</t>
        </is>
      </c>
      <c r="D188" s="16" t="inlineStr">
        <is>
          <t>RIYADH NURSERY</t>
        </is>
      </c>
      <c r="E188" s="16" t="inlineStr">
        <is>
          <t>باقي فواتير الديزل</t>
        </is>
      </c>
      <c r="F188" s="17" t="n">
        <v>878.63</v>
      </c>
      <c r="G188" s="16" t="n">
        <v>15</v>
      </c>
      <c r="H188" s="17" t="n">
        <v>1010.42</v>
      </c>
      <c r="I188" s="16" t="inlineStr">
        <is>
          <t>نعم</t>
        </is>
      </c>
      <c r="J188" s="16" t="inlineStr">
        <is>
          <t>مزرعة الرياض (عهدة/صندوق)</t>
        </is>
      </c>
      <c r="K188" s="16" t="inlineStr">
        <is>
          <t>وقود</t>
        </is>
      </c>
      <c r="L188" s="16" t="n"/>
    </row>
    <row r="189">
      <c r="A189" s="16" t="n">
        <v>188</v>
      </c>
      <c r="B189" s="95" t="n">
        <v>45956</v>
      </c>
      <c r="C189" s="16" t="inlineStr">
        <is>
          <t>الوقود</t>
        </is>
      </c>
      <c r="D189" s="16" t="inlineStr">
        <is>
          <t>RIYADH NURSERY</t>
        </is>
      </c>
      <c r="E189" s="16" t="inlineStr">
        <is>
          <t>فواتير ديزل من يوم 2-10 ح</t>
        </is>
      </c>
      <c r="F189" s="17" t="n">
        <v>773.91</v>
      </c>
      <c r="G189" s="16" t="n">
        <v>15</v>
      </c>
      <c r="H189" s="17" t="n">
        <v>890</v>
      </c>
      <c r="I189" s="16" t="inlineStr">
        <is>
          <t>نعم</t>
        </is>
      </c>
      <c r="J189" s="16" t="inlineStr">
        <is>
          <t>مزرعة الرياض (عهدة/صندوق)</t>
        </is>
      </c>
      <c r="K189" s="16" t="inlineStr">
        <is>
          <t>وقود</t>
        </is>
      </c>
      <c r="L189" s="16" t="n"/>
    </row>
    <row r="190">
      <c r="A190" s="16" t="n">
        <v>189</v>
      </c>
      <c r="B190" s="95" t="n">
        <v>45957</v>
      </c>
      <c r="C190" s="16" t="inlineStr">
        <is>
          <t>مصنع شركة سانح لى للبلاستيك</t>
        </is>
      </c>
      <c r="D190" s="16" t="inlineStr">
        <is>
          <t>RIYADH NURSERY</t>
        </is>
      </c>
      <c r="E190" s="16" t="inlineStr">
        <is>
          <t>PO 1066</t>
        </is>
      </c>
      <c r="F190" s="17" t="n">
        <v>1965.6</v>
      </c>
      <c r="G190" s="16" t="n">
        <v>15</v>
      </c>
      <c r="H190" s="17" t="n">
        <v>2260.44</v>
      </c>
      <c r="I190" s="16" t="inlineStr">
        <is>
          <t>نعم</t>
        </is>
      </c>
      <c r="J190" s="16" t="inlineStr">
        <is>
          <t>مزرعة الرياض (عهدة/صندوق)</t>
        </is>
      </c>
      <c r="K190" s="16" t="inlineStr">
        <is>
          <t>مستلزمات إنتاج (مراكن/فلين/مفارش)</t>
        </is>
      </c>
      <c r="L190" s="16" t="n"/>
    </row>
    <row r="191">
      <c r="A191" s="16" t="n">
        <v>190</v>
      </c>
      <c r="B191" s="95" t="n">
        <v>45957</v>
      </c>
      <c r="C191" s="16" t="inlineStr">
        <is>
          <t>هاتف الموبايل</t>
        </is>
      </c>
      <c r="D191" s="16" t="inlineStr">
        <is>
          <t>RIYADH NURSERY</t>
        </is>
      </c>
      <c r="E191" s="16" t="inlineStr">
        <is>
          <t>شحن جوال م - محمد</t>
        </is>
      </c>
      <c r="F191" s="17" t="n">
        <v>100</v>
      </c>
      <c r="G191" s="16" t="n">
        <v>15</v>
      </c>
      <c r="H191" s="17" t="n">
        <v>115</v>
      </c>
      <c r="I191" s="16" t="inlineStr">
        <is>
          <t>نعم</t>
        </is>
      </c>
      <c r="J191" s="16" t="inlineStr">
        <is>
          <t>مزرعة الرياض (عهدة/صندوق)</t>
        </is>
      </c>
      <c r="K191" s="16" t="inlineStr">
        <is>
          <t>خدمات (كهرباء/مياه/اتصالات)</t>
        </is>
      </c>
      <c r="L191" s="16" t="n"/>
    </row>
    <row r="192">
      <c r="A192" s="16" t="n">
        <v>191</v>
      </c>
      <c r="B192" s="95" t="n">
        <v>45958</v>
      </c>
      <c r="C192" s="16" t="inlineStr">
        <is>
          <t>مؤسسة المرافق والجودة للمقاولات العامة</t>
        </is>
      </c>
      <c r="D192" s="16" t="inlineStr">
        <is>
          <t>RIYADH NURSERY</t>
        </is>
      </c>
      <c r="E192" s="16" t="n"/>
      <c r="F192" s="17" t="n">
        <v>43</v>
      </c>
      <c r="G192" s="16" t="n">
        <v>15</v>
      </c>
      <c r="H192" s="17" t="n">
        <v>49.45</v>
      </c>
      <c r="I192" s="16" t="inlineStr">
        <is>
          <t>نعم</t>
        </is>
      </c>
      <c r="J192" s="16" t="inlineStr">
        <is>
          <t>مزرعة الرياض (عهدة/صندوق)</t>
        </is>
      </c>
      <c r="K192" s="16" t="inlineStr">
        <is>
          <t>صيانة وإنشاءات المزرعة</t>
        </is>
      </c>
      <c r="L192" s="16" t="n"/>
    </row>
    <row r="193">
      <c r="A193" s="16" t="n">
        <v>192</v>
      </c>
      <c r="B193" s="95" t="n">
        <v>45958</v>
      </c>
      <c r="C193" s="16" t="inlineStr">
        <is>
          <t>الوقود</t>
        </is>
      </c>
      <c r="D193" s="16" t="inlineStr">
        <is>
          <t>RIYADH NURSERY</t>
        </is>
      </c>
      <c r="E193" s="16" t="n"/>
      <c r="F193" s="17" t="n">
        <v>246.97</v>
      </c>
      <c r="G193" s="16" t="n">
        <v>15</v>
      </c>
      <c r="H193" s="17" t="n">
        <v>284.01</v>
      </c>
      <c r="I193" s="16" t="inlineStr">
        <is>
          <t>نعم</t>
        </is>
      </c>
      <c r="J193" s="16" t="inlineStr">
        <is>
          <t>مزرعة الرياض (عهدة/صندوق)</t>
        </is>
      </c>
      <c r="K193" s="16" t="inlineStr">
        <is>
          <t>وقود</t>
        </is>
      </c>
      <c r="L193" s="16" t="n"/>
    </row>
    <row r="194">
      <c r="A194" s="16" t="n">
        <v>193</v>
      </c>
      <c r="B194" s="95" t="n">
        <v>45958</v>
      </c>
      <c r="C194" s="16" t="inlineStr">
        <is>
          <t>الشركة السعوديه للكهرباء</t>
        </is>
      </c>
      <c r="D194" s="16" t="inlineStr">
        <is>
          <t>RIYADH NURSERY</t>
        </is>
      </c>
      <c r="E194" s="16" t="n"/>
      <c r="F194" s="17" t="n">
        <v>4499.47</v>
      </c>
      <c r="G194" s="16" t="n">
        <v>15</v>
      </c>
      <c r="H194" s="17" t="n">
        <v>5174.39</v>
      </c>
      <c r="I194" s="16" t="inlineStr">
        <is>
          <t>نعم</t>
        </is>
      </c>
      <c r="J194" s="16" t="inlineStr">
        <is>
          <t>مزرعة الرياض (عهدة/صندوق)</t>
        </is>
      </c>
      <c r="K194" s="16" t="inlineStr">
        <is>
          <t>خدمات (كهرباء/مياه/اتصالات)</t>
        </is>
      </c>
      <c r="L194" s="16" t="n"/>
    </row>
    <row r="195">
      <c r="A195" s="16" t="n">
        <v>194</v>
      </c>
      <c r="B195" s="95" t="n">
        <v>45959</v>
      </c>
      <c r="C195" s="16" t="inlineStr">
        <is>
          <t>مؤسسة اصداء الصحة للسباكة والكهرباء</t>
        </is>
      </c>
      <c r="D195" s="16" t="inlineStr">
        <is>
          <t>RIYADH NURSERY</t>
        </is>
      </c>
      <c r="E195" s="16" t="n"/>
      <c r="F195" s="17" t="n">
        <v>71.3</v>
      </c>
      <c r="G195" s="16" t="n">
        <v>15</v>
      </c>
      <c r="H195" s="17" t="n">
        <v>82</v>
      </c>
      <c r="I195" s="16" t="inlineStr">
        <is>
          <t>نعم</t>
        </is>
      </c>
      <c r="J195" s="16" t="inlineStr">
        <is>
          <t>مزرعة الرياض (عهدة/صندوق)</t>
        </is>
      </c>
      <c r="K195" s="16" t="inlineStr">
        <is>
          <t>خدمات (كهرباء/مياه/اتصالات)</t>
        </is>
      </c>
      <c r="L195" s="16" t="n"/>
    </row>
    <row r="196">
      <c r="A196" s="16" t="n">
        <v>195</v>
      </c>
      <c r="B196" s="95" t="n">
        <v>45959</v>
      </c>
      <c r="C196" s="16" t="inlineStr">
        <is>
          <t>اللوازم المكتبية</t>
        </is>
      </c>
      <c r="D196" s="16" t="inlineStr">
        <is>
          <t>RIYADH NURSERY</t>
        </is>
      </c>
      <c r="E196" s="16" t="n"/>
      <c r="F196" s="17" t="n">
        <v>75.22</v>
      </c>
      <c r="G196" s="16" t="n">
        <v>15</v>
      </c>
      <c r="H196" s="17" t="n">
        <v>86.5</v>
      </c>
      <c r="I196" s="16" t="inlineStr">
        <is>
          <t>نعم</t>
        </is>
      </c>
      <c r="J196" s="16" t="inlineStr">
        <is>
          <t>مزرعة الرياض (عهدة/صندوق)</t>
        </is>
      </c>
      <c r="K196" s="16" t="inlineStr">
        <is>
          <t>مصروفات إدارية وأخرى</t>
        </is>
      </c>
      <c r="L196" s="16" t="n"/>
    </row>
    <row r="197">
      <c r="A197" s="16" t="n">
        <v>196</v>
      </c>
      <c r="B197" s="95" t="n">
        <v>45960</v>
      </c>
      <c r="C197" s="16" t="inlineStr">
        <is>
          <t>مؤسسة المحترف الامثل للتجارة - سباكة</t>
        </is>
      </c>
      <c r="D197" s="16" t="inlineStr">
        <is>
          <t>RIYADH NURSERY</t>
        </is>
      </c>
      <c r="E197" s="16" t="n"/>
      <c r="F197" s="17" t="n">
        <v>97</v>
      </c>
      <c r="G197" s="16" t="n">
        <v>15</v>
      </c>
      <c r="H197" s="17" t="n">
        <v>111.55</v>
      </c>
      <c r="I197" s="16" t="inlineStr">
        <is>
          <t>نعم</t>
        </is>
      </c>
      <c r="J197" s="16" t="inlineStr">
        <is>
          <t>مزرعة الرياض (عهدة/صندوق)</t>
        </is>
      </c>
      <c r="K197" s="16" t="inlineStr">
        <is>
          <t>صيانة وإنشاءات المزرعة</t>
        </is>
      </c>
      <c r="L197" s="16" t="n"/>
    </row>
    <row r="198">
      <c r="A198" s="16" t="n">
        <v>197</v>
      </c>
      <c r="B198" s="95" t="n">
        <v>45960</v>
      </c>
      <c r="C198" s="16" t="inlineStr">
        <is>
          <t>هاتف الموبايل</t>
        </is>
      </c>
      <c r="D198" s="16" t="inlineStr">
        <is>
          <t>RIYADH NURSERY</t>
        </is>
      </c>
      <c r="E198" s="16" t="n"/>
      <c r="F198" s="17" t="n">
        <v>77.39</v>
      </c>
      <c r="G198" s="16" t="n">
        <v>15</v>
      </c>
      <c r="H198" s="17" t="n">
        <v>89</v>
      </c>
      <c r="I198" s="16" t="inlineStr">
        <is>
          <t>نعم</t>
        </is>
      </c>
      <c r="J198" s="16" t="inlineStr">
        <is>
          <t>مزرعة الرياض (عهدة/صندوق)</t>
        </is>
      </c>
      <c r="K198" s="16" t="inlineStr">
        <is>
          <t>خدمات (كهرباء/مياه/اتصالات)</t>
        </is>
      </c>
      <c r="L198" s="16" t="n"/>
    </row>
    <row r="199">
      <c r="A199" s="16" t="n">
        <v>198</v>
      </c>
      <c r="B199" s="95" t="n">
        <v>45960</v>
      </c>
      <c r="C199" s="16" t="inlineStr">
        <is>
          <t>مصنع شركة سانح لى للبلاستيك</t>
        </is>
      </c>
      <c r="D199" s="16" t="inlineStr">
        <is>
          <t>RIYADH NURSERY - PO1080</t>
        </is>
      </c>
      <c r="E199" s="16" t="n"/>
      <c r="F199" s="17" t="n">
        <v>1965.6</v>
      </c>
      <c r="G199" s="16" t="n">
        <v>15</v>
      </c>
      <c r="H199" s="17" t="n">
        <v>2260.44</v>
      </c>
      <c r="I199" s="16" t="inlineStr">
        <is>
          <t>نعم</t>
        </is>
      </c>
      <c r="J199" s="16" t="inlineStr">
        <is>
          <t>مزرعة الرياض (عهدة/صندوق)</t>
        </is>
      </c>
      <c r="K199" s="16" t="inlineStr">
        <is>
          <t>مستلزمات إنتاج (مراكن/فلين/مفارش)</t>
        </is>
      </c>
      <c r="L199" s="16" t="n"/>
    </row>
    <row r="200">
      <c r="A200" s="16" t="n">
        <v>199</v>
      </c>
      <c r="B200" s="95" t="n">
        <v>45961</v>
      </c>
      <c r="C200" s="16" t="inlineStr">
        <is>
          <t>مؤسسة بساتين الرياض</t>
        </is>
      </c>
      <c r="D200" s="16" t="inlineStr">
        <is>
          <t>RIYADH NURSERY</t>
        </is>
      </c>
      <c r="E200" s="16" t="n"/>
      <c r="F200" s="17" t="n">
        <v>495.65</v>
      </c>
      <c r="G200" s="16" t="n">
        <v>15</v>
      </c>
      <c r="H200" s="17" t="n">
        <v>570</v>
      </c>
      <c r="I200" s="16" t="inlineStr">
        <is>
          <t>نعم</t>
        </is>
      </c>
      <c r="J200" s="16" t="inlineStr">
        <is>
          <t>مزرعة الرياض (عهدة/صندوق)</t>
        </is>
      </c>
      <c r="K200" s="16" t="inlineStr">
        <is>
          <t>مشتريات نباتات وبذور</t>
        </is>
      </c>
      <c r="L200" s="16" t="n"/>
    </row>
    <row r="201">
      <c r="A201" s="16" t="n">
        <v>200</v>
      </c>
      <c r="B201" s="95" t="n">
        <v>45961</v>
      </c>
      <c r="C201" s="16" t="inlineStr">
        <is>
          <t>HETA NURSERYS</t>
        </is>
      </c>
      <c r="D201" s="16" t="inlineStr">
        <is>
          <t>RIYADH NURSERY</t>
        </is>
      </c>
      <c r="E201" s="16" t="n"/>
      <c r="F201" s="17" t="n">
        <v>6130.43</v>
      </c>
      <c r="G201" s="16" t="n">
        <v>15</v>
      </c>
      <c r="H201" s="17" t="n">
        <v>7050</v>
      </c>
      <c r="I201" s="16" t="inlineStr">
        <is>
          <t>نعم</t>
        </is>
      </c>
      <c r="J201" s="16" t="inlineStr">
        <is>
          <t>مزرعة الرياض (عهدة/صندوق)</t>
        </is>
      </c>
      <c r="K201" s="16" t="inlineStr">
        <is>
          <t>مشتريات نباتات وبذور</t>
        </is>
      </c>
      <c r="L201" s="16" t="n"/>
    </row>
    <row r="202">
      <c r="A202" s="16" t="n">
        <v>201</v>
      </c>
      <c r="B202" s="95" t="n">
        <v>45962</v>
      </c>
      <c r="C202" s="16" t="inlineStr">
        <is>
          <t>ينابع المئويه لتحلية المياه</t>
        </is>
      </c>
      <c r="D202" s="16" t="inlineStr">
        <is>
          <t>RIYADH NURSERY</t>
        </is>
      </c>
      <c r="E202" s="16" t="n"/>
      <c r="F202" s="17" t="n">
        <v>52.17</v>
      </c>
      <c r="G202" s="16" t="n">
        <v>15</v>
      </c>
      <c r="H202" s="17" t="n">
        <v>60</v>
      </c>
      <c r="I202" s="16" t="inlineStr">
        <is>
          <t>نعم</t>
        </is>
      </c>
      <c r="J202" s="16" t="inlineStr">
        <is>
          <t>مزرعة الرياض (عهدة/صندوق)</t>
        </is>
      </c>
      <c r="K202" s="16" t="inlineStr">
        <is>
          <t>خدمات (كهرباء/مياه/اتصالات)</t>
        </is>
      </c>
      <c r="L202" s="16" t="n"/>
    </row>
    <row r="203">
      <c r="A203" s="16" t="n">
        <v>202</v>
      </c>
      <c r="B203" s="95" t="n">
        <v>45963</v>
      </c>
      <c r="C203" s="16" t="inlineStr">
        <is>
          <t>HETA NURSERYS</t>
        </is>
      </c>
      <c r="D203" s="16" t="inlineStr">
        <is>
          <t>RIYADH NURSERY - PO1090</t>
        </is>
      </c>
      <c r="E203" s="16" t="n"/>
      <c r="F203" s="17" t="n">
        <v>6105.01</v>
      </c>
      <c r="G203" s="16" t="n">
        <v>15</v>
      </c>
      <c r="H203" s="17" t="n">
        <v>7020.76</v>
      </c>
      <c r="I203" s="16" t="inlineStr">
        <is>
          <t>نعم</t>
        </is>
      </c>
      <c r="J203" s="16" t="inlineStr">
        <is>
          <t>مزرعة الرياض (عهدة/صندوق)</t>
        </is>
      </c>
      <c r="K203" s="16" t="inlineStr">
        <is>
          <t>مشتريات نباتات وبذور</t>
        </is>
      </c>
      <c r="L203" s="16" t="n"/>
    </row>
    <row r="204">
      <c r="A204" s="16" t="n">
        <v>203</v>
      </c>
      <c r="B204" s="95" t="n">
        <v>45964</v>
      </c>
      <c r="C204" s="16" t="inlineStr">
        <is>
          <t>HETA NURSERYS</t>
        </is>
      </c>
      <c r="D204" s="16" t="inlineStr">
        <is>
          <t>RIYADH NURSERY - PO1094</t>
        </is>
      </c>
      <c r="E204" s="16" t="inlineStr">
        <is>
          <t>PO 1094</t>
        </is>
      </c>
      <c r="F204" s="17" t="n">
        <v>5826.09</v>
      </c>
      <c r="G204" s="16" t="n">
        <v>15</v>
      </c>
      <c r="H204" s="17" t="n">
        <v>6700</v>
      </c>
      <c r="I204" s="16" t="inlineStr">
        <is>
          <t>نعم</t>
        </is>
      </c>
      <c r="J204" s="16" t="inlineStr">
        <is>
          <t>مزرعة الرياض (عهدة/صندوق)</t>
        </is>
      </c>
      <c r="K204" s="16" t="inlineStr">
        <is>
          <t>مشتريات نباتات وبذور</t>
        </is>
      </c>
      <c r="L204" s="16" t="n"/>
    </row>
    <row r="205">
      <c r="A205" s="18" t="n">
        <v>204</v>
      </c>
      <c r="B205" s="98" t="n">
        <v>45965</v>
      </c>
      <c r="C205" s="18" t="inlineStr">
        <is>
          <t>مصنع شركة سانح لى للبلاستيك</t>
        </is>
      </c>
      <c r="D205" s="18" t="inlineStr">
        <is>
          <t>RIYADH NURSERY - PO1096</t>
        </is>
      </c>
      <c r="E205" s="18" t="inlineStr">
        <is>
          <t>سداد اذن صرف رقم 10</t>
        </is>
      </c>
      <c r="F205" s="19" t="n">
        <v>1965.6</v>
      </c>
      <c r="G205" s="18" t="n">
        <v>15</v>
      </c>
      <c r="H205" s="19" t="n">
        <v>2260.44</v>
      </c>
      <c r="I205" s="18" t="inlineStr">
        <is>
          <t>نعم</t>
        </is>
      </c>
      <c r="J205" s="18" t="inlineStr">
        <is>
          <t>مزرعة الرياض (عهدة/صندوق)</t>
        </is>
      </c>
      <c r="K205" s="18" t="inlineStr">
        <is>
          <t>مستلزمات إنتاج (مراكن/فلين/مفارش)</t>
        </is>
      </c>
      <c r="L205" s="18" t="inlineStr">
        <is>
          <t>⚠ نفس المورد ونفس التاريخ ونفس القيمة مكرر – يلزم التأكد</t>
        </is>
      </c>
    </row>
    <row r="206">
      <c r="A206" s="18" t="n">
        <v>205</v>
      </c>
      <c r="B206" s="98" t="n">
        <v>45965</v>
      </c>
      <c r="C206" s="18" t="inlineStr">
        <is>
          <t>مصنع شركة سانح لى للبلاستيك</t>
        </is>
      </c>
      <c r="D206" s="18" t="inlineStr">
        <is>
          <t>RIYADH NURSERY - PO1097</t>
        </is>
      </c>
      <c r="E206" s="18" t="inlineStr">
        <is>
          <t>سداد اذن صرف رقم 10</t>
        </is>
      </c>
      <c r="F206" s="19" t="n">
        <v>1965.6</v>
      </c>
      <c r="G206" s="18" t="n">
        <v>15</v>
      </c>
      <c r="H206" s="19" t="n">
        <v>2260.44</v>
      </c>
      <c r="I206" s="18" t="inlineStr">
        <is>
          <t>نعم</t>
        </is>
      </c>
      <c r="J206" s="18" t="inlineStr">
        <is>
          <t>مزرعة الرياض (عهدة/صندوق)</t>
        </is>
      </c>
      <c r="K206" s="18" t="inlineStr">
        <is>
          <t>مستلزمات إنتاج (مراكن/فلين/مفارش)</t>
        </is>
      </c>
      <c r="L206" s="18" t="inlineStr">
        <is>
          <t>⚠ نفس المورد ونفس التاريخ ونفس القيمة مكرر – يلزم التأكد</t>
        </is>
      </c>
    </row>
    <row r="207">
      <c r="A207" s="16" t="n">
        <v>206</v>
      </c>
      <c r="B207" s="95" t="n">
        <v>45965</v>
      </c>
      <c r="C207" s="16" t="inlineStr">
        <is>
          <t>الوقود</t>
        </is>
      </c>
      <c r="D207" s="16" t="inlineStr">
        <is>
          <t>RIYADH NURSERY</t>
        </is>
      </c>
      <c r="E207" s="16" t="n"/>
      <c r="F207" s="17" t="n">
        <v>60.87</v>
      </c>
      <c r="G207" s="16" t="n">
        <v>15</v>
      </c>
      <c r="H207" s="17" t="n">
        <v>70</v>
      </c>
      <c r="I207" s="16" t="inlineStr">
        <is>
          <t>نعم</t>
        </is>
      </c>
      <c r="J207" s="16" t="inlineStr">
        <is>
          <t>مزرعة الرياض (عهدة/صندوق)</t>
        </is>
      </c>
      <c r="K207" s="16" t="inlineStr">
        <is>
          <t>وقود</t>
        </is>
      </c>
      <c r="L207" s="16" t="n"/>
    </row>
    <row r="208">
      <c r="A208" s="16" t="n">
        <v>207</v>
      </c>
      <c r="B208" s="95" t="n">
        <v>45967</v>
      </c>
      <c r="C208" s="16" t="inlineStr">
        <is>
          <t>شركة ايراد المتحدة التجارية</t>
        </is>
      </c>
      <c r="D208" s="16" t="inlineStr">
        <is>
          <t>RIYADH NURSERY - PO1111</t>
        </is>
      </c>
      <c r="E208" s="16" t="inlineStr">
        <is>
          <t>اذن صرف رقم 11</t>
        </is>
      </c>
      <c r="F208" s="17" t="n">
        <v>3874</v>
      </c>
      <c r="G208" s="16" t="n">
        <v>15</v>
      </c>
      <c r="H208" s="17" t="n">
        <v>4455.1</v>
      </c>
      <c r="I208" s="16" t="inlineStr">
        <is>
          <t>نعم</t>
        </is>
      </c>
      <c r="J208" s="16" t="inlineStr">
        <is>
          <t>مزرعة الرياض (عهدة/صندوق)</t>
        </is>
      </c>
      <c r="K208" s="16" t="inlineStr">
        <is>
          <t>مواد زراعية (بيتموس/بيرلايت/أسمدة/مبيدات)</t>
        </is>
      </c>
      <c r="L208" s="16" t="n"/>
    </row>
    <row r="209">
      <c r="A209" s="16" t="n">
        <v>208</v>
      </c>
      <c r="B209" s="95" t="n">
        <v>45969</v>
      </c>
      <c r="C209" s="16" t="inlineStr">
        <is>
          <t>اللوازم المكتبية</t>
        </is>
      </c>
      <c r="D209" s="16" t="inlineStr">
        <is>
          <t>RIYADH NURSERY</t>
        </is>
      </c>
      <c r="E209" s="16" t="n"/>
      <c r="F209" s="17" t="n">
        <v>38.22</v>
      </c>
      <c r="G209" s="16" t="n">
        <v>15</v>
      </c>
      <c r="H209" s="17" t="n">
        <v>43.95</v>
      </c>
      <c r="I209" s="16" t="inlineStr">
        <is>
          <t>نعم</t>
        </is>
      </c>
      <c r="J209" s="16" t="inlineStr">
        <is>
          <t>مزرعة الرياض (عهدة/صندوق)</t>
        </is>
      </c>
      <c r="K209" s="16" t="inlineStr">
        <is>
          <t>مصروفات إدارية وأخرى</t>
        </is>
      </c>
      <c r="L209" s="16" t="n"/>
    </row>
    <row r="210">
      <c r="A210" s="16" t="n">
        <v>209</v>
      </c>
      <c r="B210" s="95" t="n">
        <v>45969</v>
      </c>
      <c r="C210" s="16" t="inlineStr">
        <is>
          <t>هاتف الموبايل</t>
        </is>
      </c>
      <c r="D210" s="16" t="inlineStr">
        <is>
          <t>RIYADH NURSERY</t>
        </is>
      </c>
      <c r="E210" s="16" t="n"/>
      <c r="F210" s="17" t="n">
        <v>100</v>
      </c>
      <c r="G210" s="16" t="n">
        <v>15</v>
      </c>
      <c r="H210" s="17" t="n">
        <v>115</v>
      </c>
      <c r="I210" s="16" t="inlineStr">
        <is>
          <t>نعم</t>
        </is>
      </c>
      <c r="J210" s="16" t="inlineStr">
        <is>
          <t>مزرعة الرياض (عهدة/صندوق)</t>
        </is>
      </c>
      <c r="K210" s="16" t="inlineStr">
        <is>
          <t>خدمات (كهرباء/مياه/اتصالات)</t>
        </is>
      </c>
      <c r="L210" s="16" t="n"/>
    </row>
    <row r="211">
      <c r="A211" s="16" t="n">
        <v>210</v>
      </c>
      <c r="B211" s="95" t="n">
        <v>45969</v>
      </c>
      <c r="C211" s="16" t="inlineStr">
        <is>
          <t>شركة موفق للمقاولات المحدودة</t>
        </is>
      </c>
      <c r="D211" s="16" t="inlineStr">
        <is>
          <t>RIYADH NURSERY</t>
        </is>
      </c>
      <c r="E211" s="16" t="n"/>
      <c r="F211" s="17" t="n">
        <v>246</v>
      </c>
      <c r="G211" s="16" t="n">
        <v>15</v>
      </c>
      <c r="H211" s="17" t="n">
        <v>282.9</v>
      </c>
      <c r="I211" s="16" t="inlineStr">
        <is>
          <t>نعم</t>
        </is>
      </c>
      <c r="J211" s="16" t="inlineStr">
        <is>
          <t>مزرعة الرياض (عهدة/صندوق)</t>
        </is>
      </c>
      <c r="K211" s="16" t="inlineStr">
        <is>
          <t>صيانة وإنشاءات المزرعة</t>
        </is>
      </c>
      <c r="L211" s="16" t="n"/>
    </row>
    <row r="212">
      <c r="A212" s="16" t="n">
        <v>211</v>
      </c>
      <c r="B212" s="95" t="n">
        <v>45969</v>
      </c>
      <c r="C212" s="16" t="inlineStr">
        <is>
          <t>مؤسسة المحترف الامثل للتجارة - سباكة</t>
        </is>
      </c>
      <c r="D212" s="16" t="inlineStr">
        <is>
          <t>RIYADH NURSERY</t>
        </is>
      </c>
      <c r="E212" s="16" t="n"/>
      <c r="F212" s="17" t="n">
        <v>528</v>
      </c>
      <c r="G212" s="16" t="n">
        <v>15</v>
      </c>
      <c r="H212" s="17" t="n">
        <v>607.2</v>
      </c>
      <c r="I212" s="16" t="inlineStr">
        <is>
          <t>نعم</t>
        </is>
      </c>
      <c r="J212" s="16" t="inlineStr">
        <is>
          <t>مزرعة الرياض (عهدة/صندوق)</t>
        </is>
      </c>
      <c r="K212" s="16" t="inlineStr">
        <is>
          <t>صيانة وإنشاءات المزرعة</t>
        </is>
      </c>
      <c r="L212" s="16" t="n"/>
    </row>
    <row r="213">
      <c r="A213" s="16" t="n">
        <v>212</v>
      </c>
      <c r="B213" s="95" t="n">
        <v>45969</v>
      </c>
      <c r="C213" s="16" t="inlineStr">
        <is>
          <t>مصنع شركة سانح لى للبلاستيك</t>
        </is>
      </c>
      <c r="D213" s="16" t="inlineStr">
        <is>
          <t>RIYADH NURSERY - PO1110</t>
        </is>
      </c>
      <c r="E213" s="16" t="inlineStr">
        <is>
          <t>اذن صرف رقم 13</t>
        </is>
      </c>
      <c r="F213" s="17" t="n">
        <v>1965.6</v>
      </c>
      <c r="G213" s="16" t="n">
        <v>15</v>
      </c>
      <c r="H213" s="17" t="n">
        <v>2260.44</v>
      </c>
      <c r="I213" s="16" t="inlineStr">
        <is>
          <t>نعم</t>
        </is>
      </c>
      <c r="J213" s="16" t="inlineStr">
        <is>
          <t>مزرعة الرياض (عهدة/صندوق)</t>
        </is>
      </c>
      <c r="K213" s="16" t="inlineStr">
        <is>
          <t>مستلزمات إنتاج (مراكن/فلين/مفارش)</t>
        </is>
      </c>
      <c r="L213" s="16" t="n"/>
    </row>
    <row r="214">
      <c r="A214" s="16" t="n">
        <v>213</v>
      </c>
      <c r="B214" s="95" t="n">
        <v>45970</v>
      </c>
      <c r="C214" s="16" t="inlineStr">
        <is>
          <t>الشركة المصرية الالمانية للانتاج الزراعي</t>
        </is>
      </c>
      <c r="D214" s="16" t="inlineStr">
        <is>
          <t>RIYADH NURSERY - PO1119</t>
        </is>
      </c>
      <c r="E214" s="16" t="inlineStr">
        <is>
          <t>مرفق وصل السداد</t>
        </is>
      </c>
      <c r="F214" s="17" t="n">
        <v>35112</v>
      </c>
      <c r="G214" s="16" t="n">
        <v>15</v>
      </c>
      <c r="H214" s="17" t="n">
        <v>40378.8</v>
      </c>
      <c r="I214" s="16" t="inlineStr">
        <is>
          <t>نعم</t>
        </is>
      </c>
      <c r="J214" s="16" t="inlineStr">
        <is>
          <t>مزرعة الرياض (عهدة/صندوق)</t>
        </is>
      </c>
      <c r="K214" s="16" t="inlineStr">
        <is>
          <t>مشتريات نباتات وبذور</t>
        </is>
      </c>
      <c r="L214" s="16" t="n"/>
    </row>
    <row r="215">
      <c r="A215" s="16" t="n">
        <v>214</v>
      </c>
      <c r="B215" s="95" t="n">
        <v>45970</v>
      </c>
      <c r="C215" s="16" t="inlineStr">
        <is>
          <t>الشركة المصرية الالمانية للانتاج الزراعي</t>
        </is>
      </c>
      <c r="D215" s="16" t="inlineStr">
        <is>
          <t>RIYADH NURSERY - PO1120</t>
        </is>
      </c>
      <c r="E215" s="16" t="inlineStr">
        <is>
          <t>اذن صرف رقم 53</t>
        </is>
      </c>
      <c r="F215" s="17" t="n">
        <v>37442</v>
      </c>
      <c r="G215" s="16" t="n">
        <v>0</v>
      </c>
      <c r="H215" s="17" t="n">
        <v>37442</v>
      </c>
      <c r="I215" s="16" t="inlineStr">
        <is>
          <t>نعم</t>
        </is>
      </c>
      <c r="J215" s="16" t="inlineStr">
        <is>
          <t>مزرعة الرياض (عهدة/صندوق)</t>
        </is>
      </c>
      <c r="K215" s="16" t="inlineStr">
        <is>
          <t>مشتريات نباتات وبذور</t>
        </is>
      </c>
      <c r="L215" s="16" t="n"/>
    </row>
    <row r="216">
      <c r="A216" s="16" t="n">
        <v>215</v>
      </c>
      <c r="B216" s="95" t="n">
        <v>45970</v>
      </c>
      <c r="C216" s="16" t="inlineStr">
        <is>
          <t>HETA NURSERYS</t>
        </is>
      </c>
      <c r="D216" s="16" t="inlineStr">
        <is>
          <t>RIYADH NURSERY - PO1118</t>
        </is>
      </c>
      <c r="E216" s="16" t="inlineStr">
        <is>
          <t>سداد بيد م - عادل</t>
        </is>
      </c>
      <c r="F216" s="17" t="n">
        <v>20586.96</v>
      </c>
      <c r="G216" s="16" t="n">
        <v>15</v>
      </c>
      <c r="H216" s="17" t="n">
        <v>23675</v>
      </c>
      <c r="I216" s="16" t="inlineStr">
        <is>
          <t>نعم</t>
        </is>
      </c>
      <c r="J216" s="16" t="inlineStr">
        <is>
          <t>مزرعة الرياض (عهدة/صندوق)</t>
        </is>
      </c>
      <c r="K216" s="16" t="inlineStr">
        <is>
          <t>مشتريات نباتات وبذور</t>
        </is>
      </c>
      <c r="L216" s="16" t="n"/>
    </row>
    <row r="217">
      <c r="A217" s="16" t="n">
        <v>216</v>
      </c>
      <c r="B217" s="95" t="n">
        <v>45970</v>
      </c>
      <c r="C217" s="16" t="inlineStr">
        <is>
          <t>HETA NURSERYS</t>
        </is>
      </c>
      <c r="D217" s="16" t="inlineStr">
        <is>
          <t>RIYADH NURSERY - PO1117</t>
        </is>
      </c>
      <c r="E217" s="16" t="inlineStr">
        <is>
          <t>سداد بيد م - عادل</t>
        </is>
      </c>
      <c r="F217" s="17" t="n">
        <v>9704.35</v>
      </c>
      <c r="G217" s="16" t="n">
        <v>15</v>
      </c>
      <c r="H217" s="17" t="n">
        <v>11160</v>
      </c>
      <c r="I217" s="16" t="inlineStr">
        <is>
          <t>نعم</t>
        </is>
      </c>
      <c r="J217" s="16" t="inlineStr">
        <is>
          <t>مزرعة الرياض (عهدة/صندوق)</t>
        </is>
      </c>
      <c r="K217" s="16" t="inlineStr">
        <is>
          <t>مشتريات نباتات وبذور</t>
        </is>
      </c>
      <c r="L217" s="16" t="n"/>
    </row>
    <row r="218">
      <c r="A218" s="16" t="n">
        <v>217</v>
      </c>
      <c r="B218" s="95" t="n">
        <v>45970</v>
      </c>
      <c r="C218" s="16" t="inlineStr">
        <is>
          <t>مصنع شركة سانح لى للبلاستيك</t>
        </is>
      </c>
      <c r="D218" s="16" t="inlineStr">
        <is>
          <t>RIYADH NURSERY - PO1114</t>
        </is>
      </c>
      <c r="E218" s="16" t="inlineStr">
        <is>
          <t>اذن صرف رقم 13</t>
        </is>
      </c>
      <c r="F218" s="17" t="n">
        <v>1965.6</v>
      </c>
      <c r="G218" s="16" t="n">
        <v>15</v>
      </c>
      <c r="H218" s="17" t="n">
        <v>2260.44</v>
      </c>
      <c r="I218" s="16" t="inlineStr">
        <is>
          <t>نعم</t>
        </is>
      </c>
      <c r="J218" s="16" t="inlineStr">
        <is>
          <t>مزرعة الرياض (عهدة/صندوق)</t>
        </is>
      </c>
      <c r="K218" s="16" t="inlineStr">
        <is>
          <t>مستلزمات إنتاج (مراكن/فلين/مفارش)</t>
        </is>
      </c>
      <c r="L218" s="16" t="n"/>
    </row>
    <row r="219">
      <c r="A219" s="16" t="n">
        <v>218</v>
      </c>
      <c r="B219" s="95" t="n">
        <v>45972</v>
      </c>
      <c r="C219" s="16" t="inlineStr">
        <is>
          <t>مصنع شركة سانح لى للبلاستيك</t>
        </is>
      </c>
      <c r="D219" s="16" t="inlineStr">
        <is>
          <t>RIYADH NURSERY - PO1124</t>
        </is>
      </c>
      <c r="E219" s="16" t="inlineStr">
        <is>
          <t>اذن صرف رقم 15</t>
        </is>
      </c>
      <c r="F219" s="17" t="n">
        <v>1965.6</v>
      </c>
      <c r="G219" s="16" t="n">
        <v>15</v>
      </c>
      <c r="H219" s="17" t="n">
        <v>2260.44</v>
      </c>
      <c r="I219" s="16" t="inlineStr">
        <is>
          <t>نعم</t>
        </is>
      </c>
      <c r="J219" s="16" t="inlineStr">
        <is>
          <t>مزرعة الرياض (عهدة/صندوق)</t>
        </is>
      </c>
      <c r="K219" s="16" t="inlineStr">
        <is>
          <t>مستلزمات إنتاج (مراكن/فلين/مفارش)</t>
        </is>
      </c>
      <c r="L219" s="16" t="n"/>
    </row>
    <row r="220">
      <c r="A220" s="16" t="n">
        <v>219</v>
      </c>
      <c r="B220" s="95" t="n">
        <v>45973</v>
      </c>
      <c r="C220" s="16" t="inlineStr">
        <is>
          <t>مصنع شركة سانح لى للبلاستيك</t>
        </is>
      </c>
      <c r="D220" s="16" t="inlineStr">
        <is>
          <t>RIYADH NURSERY - PO1042</t>
        </is>
      </c>
      <c r="E220" s="16" t="inlineStr">
        <is>
          <t>اذن صرف رقم 15</t>
        </is>
      </c>
      <c r="F220" s="17" t="n">
        <v>2486.4</v>
      </c>
      <c r="G220" s="16" t="n">
        <v>15</v>
      </c>
      <c r="H220" s="17" t="n">
        <v>2859.36</v>
      </c>
      <c r="I220" s="16" t="inlineStr">
        <is>
          <t>نعم</t>
        </is>
      </c>
      <c r="J220" s="16" t="inlineStr">
        <is>
          <t>مزرعة الرياض (عهدة/صندوق)</t>
        </is>
      </c>
      <c r="K220" s="16" t="inlineStr">
        <is>
          <t>مستلزمات إنتاج (مراكن/فلين/مفارش)</t>
        </is>
      </c>
      <c r="L220" s="16" t="n"/>
    </row>
    <row r="221">
      <c r="A221" s="16" t="n">
        <v>220</v>
      </c>
      <c r="B221" s="95" t="n">
        <v>45973</v>
      </c>
      <c r="C221" s="16" t="inlineStr">
        <is>
          <t>محطة المجمع لخدمات السيارات</t>
        </is>
      </c>
      <c r="D221" s="16" t="inlineStr">
        <is>
          <t>RIYADH NURSERY</t>
        </is>
      </c>
      <c r="E221" s="16" t="n"/>
      <c r="F221" s="17" t="n">
        <v>104.35</v>
      </c>
      <c r="G221" s="16" t="n">
        <v>15</v>
      </c>
      <c r="H221" s="17" t="n">
        <v>120</v>
      </c>
      <c r="I221" s="16" t="inlineStr">
        <is>
          <t>نعم</t>
        </is>
      </c>
      <c r="J221" s="16" t="inlineStr">
        <is>
          <t>مزرعة الرياض (عهدة/صندوق)</t>
        </is>
      </c>
      <c r="K221" s="16" t="inlineStr">
        <is>
          <t>صيانة سيارات ومعدات</t>
        </is>
      </c>
      <c r="L221" s="16" t="n"/>
    </row>
    <row r="222">
      <c r="A222" s="16" t="n">
        <v>221</v>
      </c>
      <c r="B222" s="95" t="n">
        <v>45973</v>
      </c>
      <c r="C222" s="16" t="inlineStr">
        <is>
          <t>شركة اليمنى للسيارات</t>
        </is>
      </c>
      <c r="D222" s="16" t="inlineStr">
        <is>
          <t>RIYADH NURSERY</t>
        </is>
      </c>
      <c r="E222" s="16" t="n"/>
      <c r="F222" s="17" t="n">
        <v>25.07</v>
      </c>
      <c r="G222" s="16" t="n">
        <v>15</v>
      </c>
      <c r="H222" s="17" t="n">
        <v>28.83</v>
      </c>
      <c r="I222" s="16" t="inlineStr">
        <is>
          <t>نعم</t>
        </is>
      </c>
      <c r="J222" s="16" t="inlineStr">
        <is>
          <t>مزرعة الرياض (عهدة/صندوق)</t>
        </is>
      </c>
      <c r="K222" s="16" t="inlineStr">
        <is>
          <t>صيانة سيارات ومعدات</t>
        </is>
      </c>
      <c r="L222" s="16" t="n"/>
    </row>
    <row r="223">
      <c r="A223" s="16" t="n">
        <v>222</v>
      </c>
      <c r="B223" s="95" t="n">
        <v>45973</v>
      </c>
      <c r="C223" s="16" t="inlineStr">
        <is>
          <t>شركة اليمنى للسيارات</t>
        </is>
      </c>
      <c r="D223" s="16" t="inlineStr">
        <is>
          <t>RIYADH NURSERY</t>
        </is>
      </c>
      <c r="E223" s="16" t="n"/>
      <c r="F223" s="17" t="n">
        <v>308.6</v>
      </c>
      <c r="G223" s="16" t="n">
        <v>15</v>
      </c>
      <c r="H223" s="17" t="n">
        <v>354.89</v>
      </c>
      <c r="I223" s="16" t="inlineStr">
        <is>
          <t>نعم</t>
        </is>
      </c>
      <c r="J223" s="16" t="inlineStr">
        <is>
          <t>مزرعة الرياض (عهدة/صندوق)</t>
        </is>
      </c>
      <c r="K223" s="16" t="inlineStr">
        <is>
          <t>صيانة سيارات ومعدات</t>
        </is>
      </c>
      <c r="L223" s="16" t="n"/>
    </row>
    <row r="224">
      <c r="A224" s="16" t="n">
        <v>223</v>
      </c>
      <c r="B224" s="95" t="n">
        <v>45974</v>
      </c>
      <c r="C224" s="16" t="inlineStr">
        <is>
          <t>رواتب</t>
        </is>
      </c>
      <c r="D224" s="16" t="inlineStr">
        <is>
          <t>RIYADH NURSERY</t>
        </is>
      </c>
      <c r="E224" s="16" t="inlineStr">
        <is>
          <t>اذن صرف رقم 14</t>
        </is>
      </c>
      <c r="F224" s="17" t="n">
        <v>32939.13</v>
      </c>
      <c r="G224" s="16" t="n">
        <v>15</v>
      </c>
      <c r="H224" s="17" t="n">
        <v>37880</v>
      </c>
      <c r="I224" s="16" t="inlineStr">
        <is>
          <t>نعم</t>
        </is>
      </c>
      <c r="J224" s="16" t="inlineStr">
        <is>
          <t>مزرعة الرياض (عهدة/صندوق)</t>
        </is>
      </c>
      <c r="K224" s="16" t="inlineStr">
        <is>
          <t>رواتب وعمولات</t>
        </is>
      </c>
      <c r="L224" s="16" t="n"/>
    </row>
    <row r="225">
      <c r="A225" s="16" t="n">
        <v>224</v>
      </c>
      <c r="B225" s="95" t="n">
        <v>45977</v>
      </c>
      <c r="C225" s="16" t="inlineStr">
        <is>
          <t>العمولة</t>
        </is>
      </c>
      <c r="D225" s="16" t="inlineStr">
        <is>
          <t>RIYADH NURSERY</t>
        </is>
      </c>
      <c r="E225" s="16" t="inlineStr">
        <is>
          <t>اذن صرف رقم 16</t>
        </is>
      </c>
      <c r="F225" s="17" t="n">
        <v>1160.87</v>
      </c>
      <c r="G225" s="16" t="n">
        <v>15</v>
      </c>
      <c r="H225" s="17" t="n">
        <v>1335</v>
      </c>
      <c r="I225" s="16" t="inlineStr">
        <is>
          <t>نعم</t>
        </is>
      </c>
      <c r="J225" s="16" t="inlineStr">
        <is>
          <t>مزرعة الرياض (عهدة/صندوق)</t>
        </is>
      </c>
      <c r="K225" s="16" t="inlineStr">
        <is>
          <t>رواتب وعمولات</t>
        </is>
      </c>
      <c r="L225" s="16" t="n"/>
    </row>
    <row r="226">
      <c r="A226" s="16" t="n">
        <v>225</v>
      </c>
      <c r="B226" s="95" t="n">
        <v>45978</v>
      </c>
      <c r="C226" s="16" t="inlineStr">
        <is>
          <t>شركة التاج المميزة التجارية</t>
        </is>
      </c>
      <c r="D226" s="16" t="inlineStr">
        <is>
          <t>RIYADH NURSERY - PO1178</t>
        </is>
      </c>
      <c r="E226" s="16" t="inlineStr">
        <is>
          <t>سداد بيد م - عادل</t>
        </is>
      </c>
      <c r="F226" s="17" t="n">
        <v>13000</v>
      </c>
      <c r="G226" s="16" t="n">
        <v>0</v>
      </c>
      <c r="H226" s="17" t="n">
        <v>13000</v>
      </c>
      <c r="I226" s="16" t="inlineStr">
        <is>
          <t>نعم</t>
        </is>
      </c>
      <c r="J226" s="16" t="inlineStr">
        <is>
          <t>مزرعة الرياض (عهدة/صندوق)</t>
        </is>
      </c>
      <c r="K226" s="16" t="inlineStr">
        <is>
          <t>مواد زراعية (بيتموس/بيرلايت/أسمدة/مبيدات)</t>
        </is>
      </c>
      <c r="L226" s="16" t="n"/>
    </row>
    <row r="227">
      <c r="A227" s="16" t="n">
        <v>226</v>
      </c>
      <c r="B227" s="95" t="n">
        <v>45978</v>
      </c>
      <c r="C227" s="16" t="inlineStr">
        <is>
          <t>ينابع المئويه لتحلية المياه</t>
        </is>
      </c>
      <c r="D227" s="16" t="inlineStr">
        <is>
          <t>RIYADH NURSERY</t>
        </is>
      </c>
      <c r="E227" s="16" t="n"/>
      <c r="F227" s="17" t="n">
        <v>52.17</v>
      </c>
      <c r="G227" s="16" t="n">
        <v>15</v>
      </c>
      <c r="H227" s="17" t="n">
        <v>60</v>
      </c>
      <c r="I227" s="16" t="inlineStr">
        <is>
          <t>نعم</t>
        </is>
      </c>
      <c r="J227" s="16" t="inlineStr">
        <is>
          <t>مزرعة الرياض (عهدة/صندوق)</t>
        </is>
      </c>
      <c r="K227" s="16" t="inlineStr">
        <is>
          <t>خدمات (كهرباء/مياه/اتصالات)</t>
        </is>
      </c>
      <c r="L227" s="16" t="n"/>
    </row>
    <row r="228">
      <c r="A228" s="16" t="n">
        <v>227</v>
      </c>
      <c r="B228" s="95" t="n">
        <v>45978</v>
      </c>
      <c r="C228" s="16" t="inlineStr">
        <is>
          <t>مصنع شركة سانح لى للبلاستيك</t>
        </is>
      </c>
      <c r="D228" s="16" t="inlineStr">
        <is>
          <t>RIYADH NURSERY - PO1177</t>
        </is>
      </c>
      <c r="E228" s="16" t="inlineStr">
        <is>
          <t>17اذن صرف رقم</t>
        </is>
      </c>
      <c r="F228" s="17" t="n">
        <v>1965.6</v>
      </c>
      <c r="G228" s="16" t="n">
        <v>15</v>
      </c>
      <c r="H228" s="17" t="n">
        <v>2260.44</v>
      </c>
      <c r="I228" s="16" t="inlineStr">
        <is>
          <t>نعم</t>
        </is>
      </c>
      <c r="J228" s="16" t="inlineStr">
        <is>
          <t>مزرعة الرياض (عهدة/صندوق)</t>
        </is>
      </c>
      <c r="K228" s="16" t="inlineStr">
        <is>
          <t>مستلزمات إنتاج (مراكن/فلين/مفارش)</t>
        </is>
      </c>
      <c r="L228" s="16" t="n"/>
    </row>
    <row r="229">
      <c r="A229" s="16" t="n">
        <v>228</v>
      </c>
      <c r="B229" s="95" t="n">
        <v>45980</v>
      </c>
      <c r="C229" s="16" t="inlineStr">
        <is>
          <t>GULF PERITE COMPANY</t>
        </is>
      </c>
      <c r="D229" s="16" t="inlineStr">
        <is>
          <t>RIYADH NURSERY</t>
        </is>
      </c>
      <c r="E229" s="16" t="inlineStr">
        <is>
          <t>مرفق طلب التوريد</t>
        </is>
      </c>
      <c r="F229" s="17" t="n">
        <v>17446.96</v>
      </c>
      <c r="G229" s="16" t="n">
        <v>15</v>
      </c>
      <c r="H229" s="17" t="n">
        <v>20064</v>
      </c>
      <c r="I229" s="16" t="inlineStr">
        <is>
          <t>نعم</t>
        </is>
      </c>
      <c r="J229" s="16" t="inlineStr">
        <is>
          <t>مزرعة الرياض (عهدة/صندوق)</t>
        </is>
      </c>
      <c r="K229" s="16" t="inlineStr">
        <is>
          <t>مواد زراعية (بيتموس/بيرلايت/أسمدة/مبيدات)</t>
        </is>
      </c>
      <c r="L229" s="16" t="n"/>
    </row>
    <row r="230">
      <c r="A230" s="16" t="n">
        <v>229</v>
      </c>
      <c r="B230" s="95" t="n">
        <v>45981</v>
      </c>
      <c r="C230" s="16" t="inlineStr">
        <is>
          <t>مصنع شركة سانح لى للبلاستيك</t>
        </is>
      </c>
      <c r="D230" s="16" t="inlineStr">
        <is>
          <t>RIYADH NURSERY - PO1197</t>
        </is>
      </c>
      <c r="E230" s="16" t="inlineStr">
        <is>
          <t>18سداد باذن صرف رقم</t>
        </is>
      </c>
      <c r="F230" s="17" t="n">
        <v>1965.6</v>
      </c>
      <c r="G230" s="16" t="n">
        <v>15</v>
      </c>
      <c r="H230" s="17" t="n">
        <v>2260.44</v>
      </c>
      <c r="I230" s="16" t="inlineStr">
        <is>
          <t>نعم</t>
        </is>
      </c>
      <c r="J230" s="16" t="inlineStr">
        <is>
          <t>مزرعة الرياض (عهدة/صندوق)</t>
        </is>
      </c>
      <c r="K230" s="16" t="inlineStr">
        <is>
          <t>مستلزمات إنتاج (مراكن/فلين/مفارش)</t>
        </is>
      </c>
      <c r="L230" s="16" t="n"/>
    </row>
    <row r="231">
      <c r="A231" s="16" t="n">
        <v>230</v>
      </c>
      <c r="B231" s="95" t="n">
        <v>45981</v>
      </c>
      <c r="C231" s="16" t="inlineStr">
        <is>
          <t>اللوازم المكتبية</t>
        </is>
      </c>
      <c r="D231" s="16" t="inlineStr">
        <is>
          <t>RIYADH NURSERY</t>
        </is>
      </c>
      <c r="E231" s="16" t="inlineStr">
        <is>
          <t>19باذن صرف رقم</t>
        </is>
      </c>
      <c r="F231" s="17" t="n">
        <v>173.91</v>
      </c>
      <c r="G231" s="16" t="n">
        <v>15</v>
      </c>
      <c r="H231" s="17" t="n">
        <v>200</v>
      </c>
      <c r="I231" s="16" t="inlineStr">
        <is>
          <t>نعم</t>
        </is>
      </c>
      <c r="J231" s="16" t="inlineStr">
        <is>
          <t>مزرعة الرياض (عهدة/صندوق)</t>
        </is>
      </c>
      <c r="K231" s="16" t="inlineStr">
        <is>
          <t>مصروفات إدارية وأخرى</t>
        </is>
      </c>
      <c r="L231" s="16" t="n"/>
    </row>
    <row r="232">
      <c r="A232" s="16" t="n">
        <v>231</v>
      </c>
      <c r="B232" s="95" t="n">
        <v>45981</v>
      </c>
      <c r="C232" s="16" t="inlineStr">
        <is>
          <t>مؤسسة المحترف الامثل للتجارة - سباكة</t>
        </is>
      </c>
      <c r="D232" s="16" t="inlineStr">
        <is>
          <t>RIYADH NURSERY</t>
        </is>
      </c>
      <c r="E232" s="16" t="n"/>
      <c r="F232" s="17" t="n">
        <v>45</v>
      </c>
      <c r="G232" s="16" t="n">
        <v>15</v>
      </c>
      <c r="H232" s="17" t="n">
        <v>51.75</v>
      </c>
      <c r="I232" s="16" t="inlineStr">
        <is>
          <t>نعم</t>
        </is>
      </c>
      <c r="J232" s="16" t="inlineStr">
        <is>
          <t>مزرعة الرياض (عهدة/صندوق)</t>
        </is>
      </c>
      <c r="K232" s="16" t="inlineStr">
        <is>
          <t>صيانة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" t="inlineStr">
        <is>
          <t>هاتف الموبايل</t>
        </is>
      </c>
      <c r="D233" s="16" t="inlineStr">
        <is>
          <t>RIYADH NURSERY</t>
        </is>
      </c>
      <c r="E233" s="16" t="inlineStr">
        <is>
          <t>اذن صرف رقم 21</t>
        </is>
      </c>
      <c r="F233" s="17" t="n">
        <v>100</v>
      </c>
      <c r="G233" s="16" t="n">
        <v>15</v>
      </c>
      <c r="H233" s="17" t="n">
        <v>115</v>
      </c>
      <c r="I233" s="16" t="inlineStr">
        <is>
          <t>نعم</t>
        </is>
      </c>
      <c r="J233" s="16" t="inlineStr">
        <is>
          <t>مزرعة الرياض (عهدة/صندوق)</t>
        </is>
      </c>
      <c r="K233" s="16" t="inlineStr">
        <is>
          <t>خدمات (كهرباء/مياه/اتصالات)</t>
        </is>
      </c>
      <c r="L233" s="16" t="n"/>
    </row>
    <row r="234">
      <c r="A234" s="16" t="n">
        <v>233</v>
      </c>
      <c r="B234" s="95" t="n">
        <v>45983</v>
      </c>
      <c r="C234" s="16" t="inlineStr">
        <is>
          <t>مصنع شركة سانح لى للبلاستيك</t>
        </is>
      </c>
      <c r="D234" s="16" t="inlineStr">
        <is>
          <t>RIYADH NURSERY - PO1216</t>
        </is>
      </c>
      <c r="E234" s="16" t="inlineStr">
        <is>
          <t>اذن صرف رقم 20</t>
        </is>
      </c>
      <c r="F234" s="17" t="n">
        <v>1965.6</v>
      </c>
      <c r="G234" s="16" t="n">
        <v>15</v>
      </c>
      <c r="H234" s="17" t="n">
        <v>2260.44</v>
      </c>
      <c r="I234" s="16" t="inlineStr">
        <is>
          <t>نعم</t>
        </is>
      </c>
      <c r="J234" s="16" t="inlineStr">
        <is>
          <t>مزرعة الرياض (عهدة/صندوق)</t>
        </is>
      </c>
      <c r="K234" s="16" t="inlineStr">
        <is>
          <t>مستلزمات إنتاج (مراكن/فلين/مفارش)</t>
        </is>
      </c>
      <c r="L234" s="16" t="n"/>
    </row>
    <row r="235">
      <c r="A235" s="16" t="n">
        <v>234</v>
      </c>
      <c r="B235" s="95" t="n">
        <v>45984</v>
      </c>
      <c r="C235" s="16" t="inlineStr">
        <is>
          <t>مصنع شركة سانح لى للبلاستيك</t>
        </is>
      </c>
      <c r="D235" s="16" t="inlineStr">
        <is>
          <t>RIYADH NURSERY - PO1217</t>
        </is>
      </c>
      <c r="E235" s="16" t="inlineStr">
        <is>
          <t>اذن صرف رقم 22</t>
        </is>
      </c>
      <c r="F235" s="17" t="n">
        <v>1965.6</v>
      </c>
      <c r="G235" s="16" t="n">
        <v>15</v>
      </c>
      <c r="H235" s="17" t="n">
        <v>2260.44</v>
      </c>
      <c r="I235" s="16" t="inlineStr">
        <is>
          <t>نعم</t>
        </is>
      </c>
      <c r="J235" s="16" t="inlineStr">
        <is>
          <t>مزرعة الرياض (عهدة/صندوق)</t>
        </is>
      </c>
      <c r="K235" s="16" t="inlineStr">
        <is>
          <t>مستلزمات إنتاج (مراكن/فلين/مفارش)</t>
        </is>
      </c>
      <c r="L235" s="16" t="n"/>
    </row>
    <row r="236">
      <c r="A236" s="16" t="n">
        <v>235</v>
      </c>
      <c r="B236" s="95" t="n">
        <v>45984</v>
      </c>
      <c r="C236" s="16" t="inlineStr">
        <is>
          <t>عائشة لادوات السباكة والكهرباء</t>
        </is>
      </c>
      <c r="D236" s="16" t="inlineStr">
        <is>
          <t>RIYADH NURSERY</t>
        </is>
      </c>
      <c r="E236" s="16" t="n"/>
      <c r="F236" s="17" t="n">
        <v>100</v>
      </c>
      <c r="G236" s="16" t="n">
        <v>0</v>
      </c>
      <c r="H236" s="17" t="n">
        <v>100</v>
      </c>
      <c r="I236" s="16" t="inlineStr">
        <is>
          <t>نعم</t>
        </is>
      </c>
      <c r="J236" s="16" t="inlineStr">
        <is>
          <t>مزرعة الرياض (عهدة/صندوق)</t>
        </is>
      </c>
      <c r="K236" s="16" t="inlineStr">
        <is>
          <t>خدمات (كهرباء/مياه/اتصالات)</t>
        </is>
      </c>
      <c r="L236" s="16" t="n"/>
    </row>
    <row r="237">
      <c r="A237" s="16" t="n">
        <v>236</v>
      </c>
      <c r="B237" s="95" t="n">
        <v>45984</v>
      </c>
      <c r="C237" s="16" t="inlineStr">
        <is>
          <t>مؤسسة محمد عبدالله لبيع الاجهزة المستعملة</t>
        </is>
      </c>
      <c r="D237" s="16" t="inlineStr">
        <is>
          <t>RIYADH NURSERY</t>
        </is>
      </c>
      <c r="E237" s="16" t="n"/>
      <c r="F237" s="17" t="n">
        <v>700</v>
      </c>
      <c r="G237" s="16" t="n">
        <v>0</v>
      </c>
      <c r="H237" s="17" t="n">
        <v>700</v>
      </c>
      <c r="I237" s="16" t="inlineStr">
        <is>
          <t>نعم</t>
        </is>
      </c>
      <c r="J237" s="16" t="inlineStr">
        <is>
          <t>مزرعة الرياض (عهدة/صندوق)</t>
        </is>
      </c>
      <c r="K237" s="16" t="inlineStr">
        <is>
          <t>مصروفات إدارية وأخرى</t>
        </is>
      </c>
      <c r="L237" s="16" t="n"/>
    </row>
    <row r="238">
      <c r="A238" s="16" t="n">
        <v>237</v>
      </c>
      <c r="B238" s="95" t="n">
        <v>45984</v>
      </c>
      <c r="C238" s="16" t="inlineStr">
        <is>
          <t>GULF PERITE COMPANY</t>
        </is>
      </c>
      <c r="D238" s="16" t="inlineStr">
        <is>
          <t>RIYADH NURSERY - PO1189</t>
        </is>
      </c>
      <c r="E238" s="16" t="inlineStr">
        <is>
          <t>سداد من فرع تبوك</t>
        </is>
      </c>
      <c r="F238" s="17" t="n">
        <v>20064</v>
      </c>
      <c r="G238" s="16" t="n">
        <v>0</v>
      </c>
      <c r="H238" s="17" t="n">
        <v>20064</v>
      </c>
      <c r="I238" s="16" t="inlineStr">
        <is>
          <t>نعم</t>
        </is>
      </c>
      <c r="J238" s="16" t="inlineStr">
        <is>
          <t>مزرعة الرياض (عهدة/صندوق)</t>
        </is>
      </c>
      <c r="K238" s="16" t="inlineStr">
        <is>
          <t>مواد زراعية (بيتموس/بيرلايت/أسمدة/مبيدات)</t>
        </is>
      </c>
      <c r="L238" s="16" t="n"/>
    </row>
    <row r="239">
      <c r="A239" s="16" t="n">
        <v>238</v>
      </c>
      <c r="B239" s="95" t="n">
        <v>45985</v>
      </c>
      <c r="C239" s="16" t="inlineStr">
        <is>
          <t>شركة التاج المميزة التجارية</t>
        </is>
      </c>
      <c r="D239" s="16" t="inlineStr">
        <is>
          <t>RIYADH NURSERY - PO1213</t>
        </is>
      </c>
      <c r="E239" s="16" t="inlineStr">
        <is>
          <t>23سداد باذن صرف رقم</t>
        </is>
      </c>
      <c r="F239" s="17" t="n">
        <v>7500</v>
      </c>
      <c r="G239" s="16" t="n">
        <v>0</v>
      </c>
      <c r="H239" s="17" t="n">
        <v>7500</v>
      </c>
      <c r="I239" s="16" t="inlineStr">
        <is>
          <t>نعم</t>
        </is>
      </c>
      <c r="J239" s="16" t="inlineStr">
        <is>
          <t>مزرعة الرياض (عهدة/صندوق)</t>
        </is>
      </c>
      <c r="K239" s="16" t="inlineStr">
        <is>
          <t>مواد زراعية (بيتموس/بيرلايت/أسمدة/مبيدات)</t>
        </is>
      </c>
      <c r="L239" s="16" t="n"/>
    </row>
    <row r="240">
      <c r="A240" s="16" t="n">
        <v>239</v>
      </c>
      <c r="B240" s="95" t="n">
        <v>45985</v>
      </c>
      <c r="C240" s="16" t="inlineStr">
        <is>
          <t>مؤسسة بساتين الرياض</t>
        </is>
      </c>
      <c r="D240" s="16" t="inlineStr">
        <is>
          <t>RIYADH NURSERY - PO1221</t>
        </is>
      </c>
      <c r="E240" s="16" t="inlineStr">
        <is>
          <t>اذن صرف رقم 24</t>
        </is>
      </c>
      <c r="F240" s="17" t="n">
        <v>1040</v>
      </c>
      <c r="G240" s="16" t="n">
        <v>0</v>
      </c>
      <c r="H240" s="17" t="n">
        <v>1040</v>
      </c>
      <c r="I240" s="16" t="inlineStr">
        <is>
          <t>نعم</t>
        </is>
      </c>
      <c r="J240" s="16" t="inlineStr">
        <is>
          <t>مزرعة الرياض (عهدة/صندوق)</t>
        </is>
      </c>
      <c r="K240" s="16" t="inlineStr">
        <is>
          <t>مشتريات نباتات وبذور</t>
        </is>
      </c>
      <c r="L240" s="16" t="n"/>
    </row>
    <row r="241">
      <c r="A241" s="16" t="n">
        <v>240</v>
      </c>
      <c r="B241" s="95" t="n">
        <v>45987</v>
      </c>
      <c r="C241" s="16" t="inlineStr">
        <is>
          <t>الوقود</t>
        </is>
      </c>
      <c r="D241" s="16" t="inlineStr">
        <is>
          <t>RIYADH NURSERY</t>
        </is>
      </c>
      <c r="E241" s="16" t="inlineStr">
        <is>
          <t>25باذن صرف رقم</t>
        </is>
      </c>
      <c r="F241" s="17" t="n">
        <v>152.17</v>
      </c>
      <c r="G241" s="16" t="n">
        <v>15</v>
      </c>
      <c r="H241" s="17" t="n">
        <v>175</v>
      </c>
      <c r="I241" s="16" t="inlineStr">
        <is>
          <t>نعم</t>
        </is>
      </c>
      <c r="J241" s="16" t="inlineStr">
        <is>
          <t>مزرعة الرياض (عهدة/صندوق)</t>
        </is>
      </c>
      <c r="K241" s="16" t="inlineStr">
        <is>
          <t>وقود</t>
        </is>
      </c>
      <c r="L241" s="16" t="n"/>
    </row>
    <row r="242">
      <c r="A242" s="16" t="n">
        <v>241</v>
      </c>
      <c r="B242" s="95" t="n">
        <v>45987</v>
      </c>
      <c r="C242" s="16" t="inlineStr">
        <is>
          <t>هايبر ماركت لولو</t>
        </is>
      </c>
      <c r="D242" s="16" t="inlineStr">
        <is>
          <t>RIYADH NURSERY</t>
        </is>
      </c>
      <c r="E242" s="16" t="inlineStr">
        <is>
          <t>26باذن صرف رقم</t>
        </is>
      </c>
      <c r="F242" s="17" t="n">
        <v>197.39</v>
      </c>
      <c r="G242" s="16" t="n">
        <v>15</v>
      </c>
      <c r="H242" s="17" t="n">
        <v>227</v>
      </c>
      <c r="I242" s="16" t="inlineStr">
        <is>
          <t>نعم</t>
        </is>
      </c>
      <c r="J242" s="16" t="inlineStr">
        <is>
          <t>مزرعة الرياض (عهدة/صندوق)</t>
        </is>
      </c>
      <c r="K242" s="16" t="inlineStr">
        <is>
          <t>مصروفات إدارية وأخرى</t>
        </is>
      </c>
      <c r="L242" s="16" t="n"/>
    </row>
    <row r="243">
      <c r="A243" s="16" t="n">
        <v>242</v>
      </c>
      <c r="B243" s="95" t="n">
        <v>45989</v>
      </c>
      <c r="C243" s="16" t="inlineStr">
        <is>
          <t>مؤسسة هيلاء عبيد الدوسرى</t>
        </is>
      </c>
      <c r="D243" s="16" t="inlineStr">
        <is>
          <t>RIYADH NURSERY</t>
        </is>
      </c>
      <c r="E243" s="16" t="inlineStr">
        <is>
          <t>مرفق فاتورة</t>
        </is>
      </c>
      <c r="F243" s="17" t="n">
        <v>247.83</v>
      </c>
      <c r="G243" s="16" t="n">
        <v>15</v>
      </c>
      <c r="H243" s="17" t="n">
        <v>285</v>
      </c>
      <c r="I243" s="16" t="inlineStr">
        <is>
          <t>نعم</t>
        </is>
      </c>
      <c r="J243" s="16" t="inlineStr">
        <is>
          <t>مزرعة الرياض (عهدة/صندوق)</t>
        </is>
      </c>
      <c r="K243" s="16" t="inlineStr">
        <is>
          <t>مصروفات إدارية وأخرى</t>
        </is>
      </c>
      <c r="L243" s="16" t="n"/>
    </row>
    <row r="244">
      <c r="A244" s="16" t="n">
        <v>243</v>
      </c>
      <c r="B244" s="95" t="n">
        <v>45989</v>
      </c>
      <c r="C244" s="16" t="inlineStr">
        <is>
          <t>مؤسسة هيلاء عبيد الدوسرى</t>
        </is>
      </c>
      <c r="D244" s="16" t="inlineStr">
        <is>
          <t>RIYADH NURSERY</t>
        </is>
      </c>
      <c r="E244" s="16" t="inlineStr">
        <is>
          <t>مرفق فاتورة</t>
        </is>
      </c>
      <c r="F244" s="17" t="n">
        <v>265.22</v>
      </c>
      <c r="G244" s="16" t="n">
        <v>15</v>
      </c>
      <c r="H244" s="17" t="n">
        <v>305</v>
      </c>
      <c r="I244" s="16" t="inlineStr">
        <is>
          <t>نعم</t>
        </is>
      </c>
      <c r="J244" s="16" t="inlineStr">
        <is>
          <t>مزرعة الرياض (عهدة/صندوق)</t>
        </is>
      </c>
      <c r="K244" s="16" t="inlineStr">
        <is>
          <t>مصروفات إدارية وأخرى</t>
        </is>
      </c>
      <c r="L244" s="16" t="n"/>
    </row>
    <row r="245">
      <c r="A245" s="16" t="n">
        <v>244</v>
      </c>
      <c r="B245" s="95" t="n">
        <v>45989</v>
      </c>
      <c r="C245" s="16" t="inlineStr">
        <is>
          <t>صيانة</t>
        </is>
      </c>
      <c r="D245" s="16" t="inlineStr">
        <is>
          <t>RIYADH NURSERY</t>
        </is>
      </c>
      <c r="E245" s="16" t="inlineStr">
        <is>
          <t>اذن صرف رقم 27</t>
        </is>
      </c>
      <c r="F245" s="17" t="n">
        <v>250</v>
      </c>
      <c r="G245" s="16" t="n">
        <v>0</v>
      </c>
      <c r="H245" s="17" t="n">
        <v>250</v>
      </c>
      <c r="I245" s="16" t="inlineStr">
        <is>
          <t>نعم</t>
        </is>
      </c>
      <c r="J245" s="16" t="inlineStr">
        <is>
          <t>مزرعة الرياض (عهدة/صندوق)</t>
        </is>
      </c>
      <c r="K245" s="16" t="inlineStr">
        <is>
          <t>صيانة وإنشاءات المزرعة</t>
        </is>
      </c>
      <c r="L245" s="16" t="n"/>
    </row>
    <row r="246">
      <c r="A246" s="16" t="n">
        <v>245</v>
      </c>
      <c r="B246" s="95" t="n">
        <v>45989</v>
      </c>
      <c r="C246" s="16" t="inlineStr">
        <is>
          <t>الوقود</t>
        </is>
      </c>
      <c r="D246" s="16" t="inlineStr">
        <is>
          <t>RIYADH NURSERY</t>
        </is>
      </c>
      <c r="E246" s="16" t="inlineStr">
        <is>
          <t>مرفق فاتورة</t>
        </is>
      </c>
      <c r="F246" s="17" t="n">
        <v>147.83</v>
      </c>
      <c r="G246" s="16" t="n">
        <v>15</v>
      </c>
      <c r="H246" s="17" t="n">
        <v>170</v>
      </c>
      <c r="I246" s="16" t="inlineStr">
        <is>
          <t>نعم</t>
        </is>
      </c>
      <c r="J246" s="16" t="inlineStr">
        <is>
          <t>مزرعة الرياض (عهدة/صندوق)</t>
        </is>
      </c>
      <c r="K246" s="16" t="inlineStr">
        <is>
          <t>وقود</t>
        </is>
      </c>
      <c r="L246" s="16" t="n"/>
    </row>
    <row r="247">
      <c r="A247" s="16" t="n">
        <v>246</v>
      </c>
      <c r="B247" s="95" t="n">
        <v>45990</v>
      </c>
      <c r="C247" s="16" t="inlineStr">
        <is>
          <t>مؤسسة رواد سلام للتجارة</t>
        </is>
      </c>
      <c r="D247" s="16" t="inlineStr">
        <is>
          <t>RIYADH NURSERY</t>
        </is>
      </c>
      <c r="E247" s="16" t="n"/>
      <c r="F247" s="17" t="n">
        <v>678.48</v>
      </c>
      <c r="G247" s="16" t="n">
        <v>15</v>
      </c>
      <c r="H247" s="17" t="n">
        <v>780.25</v>
      </c>
      <c r="I247" s="16" t="inlineStr">
        <is>
          <t>نعم</t>
        </is>
      </c>
      <c r="J247" s="16" t="inlineStr">
        <is>
          <t>مزرعة الرياض (عهدة/صندوق)</t>
        </is>
      </c>
      <c r="K247" s="16" t="inlineStr">
        <is>
          <t>مواد زراعية (بيتموس/بيرلايت/أسمدة/مبيدات)</t>
        </is>
      </c>
      <c r="L247" s="16" t="n"/>
    </row>
    <row r="248">
      <c r="A248" s="16" t="n">
        <v>247</v>
      </c>
      <c r="B248" s="95" t="n">
        <v>45990</v>
      </c>
      <c r="C248" s="16" t="inlineStr">
        <is>
          <t>شركة مصنع الديكور والبولستيرين السعودي</t>
        </is>
      </c>
      <c r="D248" s="16" t="inlineStr">
        <is>
          <t>RIYADH NURSERY - PO1230</t>
        </is>
      </c>
      <c r="E248" s="16" t="inlineStr">
        <is>
          <t>28سداد باذن صرف رقم</t>
        </is>
      </c>
      <c r="F248" s="17" t="n">
        <v>2100</v>
      </c>
      <c r="G248" s="16" t="n">
        <v>15</v>
      </c>
      <c r="H248" s="17" t="n">
        <v>2415</v>
      </c>
      <c r="I248" s="16" t="inlineStr">
        <is>
          <t>نعم</t>
        </is>
      </c>
      <c r="J248" s="16" t="inlineStr">
        <is>
          <t>مزرعة الرياض (عهدة/صندوق)</t>
        </is>
      </c>
      <c r="K248" s="16" t="inlineStr">
        <is>
          <t>مستلزمات إنتاج (مراكن/فلين/مفارش)</t>
        </is>
      </c>
      <c r="L248" s="16" t="n"/>
    </row>
    <row r="249">
      <c r="A249" s="16" t="n">
        <v>248</v>
      </c>
      <c r="B249" s="95" t="n">
        <v>45991</v>
      </c>
      <c r="C249" s="16" t="inlineStr">
        <is>
          <t>الشركة السعوديه للكهرباء</t>
        </is>
      </c>
      <c r="D249" s="16" t="inlineStr">
        <is>
          <t>RIYADH NURSERY</t>
        </is>
      </c>
      <c r="E249" s="16" t="inlineStr">
        <is>
          <t>اذن صرف رقم 29</t>
        </is>
      </c>
      <c r="F249" s="17" t="n">
        <v>4416.26</v>
      </c>
      <c r="G249" s="16" t="n">
        <v>15</v>
      </c>
      <c r="H249" s="17" t="n">
        <v>5078.7</v>
      </c>
      <c r="I249" s="16" t="inlineStr">
        <is>
          <t>نعم</t>
        </is>
      </c>
      <c r="J249" s="16" t="inlineStr">
        <is>
          <t>مزرعة الرياض (عهدة/صندوق)</t>
        </is>
      </c>
      <c r="K249" s="16" t="inlineStr">
        <is>
          <t>خدمات (كهرباء/مياه/اتصالات)</t>
        </is>
      </c>
      <c r="L249" s="16" t="n"/>
    </row>
    <row r="250">
      <c r="A250" s="16" t="n">
        <v>249</v>
      </c>
      <c r="B250" s="95" t="n">
        <v>45992</v>
      </c>
      <c r="C250" s="16" t="inlineStr">
        <is>
          <t>صيانة</t>
        </is>
      </c>
      <c r="D250" s="16" t="inlineStr">
        <is>
          <t>RIYADH NURSERY</t>
        </is>
      </c>
      <c r="E250" s="16" t="n"/>
      <c r="F250" s="17" t="n">
        <v>15</v>
      </c>
      <c r="G250" s="16" t="n">
        <v>0</v>
      </c>
      <c r="H250" s="17" t="n">
        <v>15</v>
      </c>
      <c r="I250" s="16" t="inlineStr">
        <is>
          <t>نعم</t>
        </is>
      </c>
      <c r="J250" s="16" t="inlineStr">
        <is>
          <t>مزرعة الرياض (عهدة/صندوق)</t>
        </is>
      </c>
      <c r="K250" s="16" t="inlineStr">
        <is>
          <t>صيانة وإنشاءات المزرعة</t>
        </is>
      </c>
      <c r="L250" s="16" t="n"/>
    </row>
    <row r="251">
      <c r="A251" s="16" t="n">
        <v>250</v>
      </c>
      <c r="B251" s="95" t="n">
        <v>45992</v>
      </c>
      <c r="C251" s="16" t="inlineStr">
        <is>
          <t>شركة الرشيم الزراعية</t>
        </is>
      </c>
      <c r="D251" s="16" t="inlineStr">
        <is>
          <t>RIYADH NURSERY - PO1236</t>
        </is>
      </c>
      <c r="E251" s="16" t="n"/>
      <c r="F251" s="17" t="n">
        <v>1086.96</v>
      </c>
      <c r="G251" s="16" t="n">
        <v>15</v>
      </c>
      <c r="H251" s="17" t="n">
        <v>1250</v>
      </c>
      <c r="I251" s="16" t="inlineStr">
        <is>
          <t>نعم</t>
        </is>
      </c>
      <c r="J251" s="16" t="inlineStr">
        <is>
          <t>مزرعة الرياض (عهدة/صندوق)</t>
        </is>
      </c>
      <c r="K251" s="16" t="inlineStr">
        <is>
          <t>مشتريات نباتات وبذور</t>
        </is>
      </c>
      <c r="L251" s="16" t="n"/>
    </row>
    <row r="252">
      <c r="A252" s="16" t="n">
        <v>251</v>
      </c>
      <c r="B252" s="95" t="n">
        <v>45993</v>
      </c>
      <c r="C252" s="16" t="inlineStr">
        <is>
          <t>شركة مصنع الديكور والبولستيرين السعودي</t>
        </is>
      </c>
      <c r="D252" s="16" t="inlineStr">
        <is>
          <t>RIYADH NURSERY - PO1233</t>
        </is>
      </c>
      <c r="E252" s="16" t="inlineStr">
        <is>
          <t>اذن صرف رقم 30</t>
        </is>
      </c>
      <c r="F252" s="17" t="n">
        <v>2100</v>
      </c>
      <c r="G252" s="16" t="n">
        <v>15</v>
      </c>
      <c r="H252" s="17" t="n">
        <v>2415</v>
      </c>
      <c r="I252" s="16" t="inlineStr">
        <is>
          <t>نعم</t>
        </is>
      </c>
      <c r="J252" s="16" t="inlineStr">
        <is>
          <t>مزرعة الرياض (عهدة/صندوق)</t>
        </is>
      </c>
      <c r="K252" s="16" t="inlineStr">
        <is>
          <t>مستلزمات إنتاج (مراكن/فلين/مفارش)</t>
        </is>
      </c>
      <c r="L252" s="16" t="n"/>
    </row>
    <row r="253">
      <c r="A253" s="16" t="n">
        <v>252</v>
      </c>
      <c r="B253" s="95" t="n">
        <v>45993</v>
      </c>
      <c r="C253" s="16" t="inlineStr">
        <is>
          <t>هاتف الموبايل</t>
        </is>
      </c>
      <c r="D253" s="16" t="inlineStr">
        <is>
          <t>RIYADH NURSERY</t>
        </is>
      </c>
      <c r="E253" s="16" t="inlineStr">
        <is>
          <t>اذن صرف رقم 31</t>
        </is>
      </c>
      <c r="F253" s="17" t="n">
        <v>80</v>
      </c>
      <c r="G253" s="16" t="n">
        <v>0</v>
      </c>
      <c r="H253" s="17" t="n">
        <v>80</v>
      </c>
      <c r="I253" s="16" t="inlineStr">
        <is>
          <t>نعم</t>
        </is>
      </c>
      <c r="J253" s="16" t="inlineStr">
        <is>
          <t>مزرعة الرياض (عهدة/صندوق)</t>
        </is>
      </c>
      <c r="K253" s="16" t="inlineStr">
        <is>
          <t>خدمات (كهرباء/مياه/اتصالات)</t>
        </is>
      </c>
      <c r="L253" s="16" t="n"/>
    </row>
    <row r="254">
      <c r="A254" s="16" t="n">
        <v>253</v>
      </c>
      <c r="B254" s="95" t="n">
        <v>45994</v>
      </c>
      <c r="C254" s="16" t="inlineStr">
        <is>
          <t>ينابع المئويه لتحلية المياه</t>
        </is>
      </c>
      <c r="D254" s="16" t="inlineStr">
        <is>
          <t>RIYADH NURSERY</t>
        </is>
      </c>
      <c r="E254" s="16" t="inlineStr">
        <is>
          <t>اذن صرف رقم 32</t>
        </is>
      </c>
      <c r="F254" s="17" t="n">
        <v>60</v>
      </c>
      <c r="G254" s="16" t="n">
        <v>0</v>
      </c>
      <c r="H254" s="17" t="n">
        <v>60</v>
      </c>
      <c r="I254" s="16" t="inlineStr">
        <is>
          <t>نعم</t>
        </is>
      </c>
      <c r="J254" s="16" t="inlineStr">
        <is>
          <t>مزرعة الرياض (عهدة/صندوق)</t>
        </is>
      </c>
      <c r="K254" s="16" t="inlineStr">
        <is>
          <t>خدمات (كهرباء/مياه/اتصالات)</t>
        </is>
      </c>
      <c r="L254" s="16" t="n"/>
    </row>
    <row r="255">
      <c r="A255" s="16" t="n">
        <v>254</v>
      </c>
      <c r="B255" s="95" t="n">
        <v>45995</v>
      </c>
      <c r="C255" s="16" t="inlineStr">
        <is>
          <t>رواتب</t>
        </is>
      </c>
      <c r="D255" s="16" t="inlineStr">
        <is>
          <t>RIYADH NURSERY</t>
        </is>
      </c>
      <c r="E255" s="16" t="inlineStr">
        <is>
          <t>اذن صرف رقم 33</t>
        </is>
      </c>
      <c r="F255" s="17" t="n">
        <v>38365</v>
      </c>
      <c r="G255" s="16" t="n">
        <v>0</v>
      </c>
      <c r="H255" s="17" t="n">
        <v>38365</v>
      </c>
      <c r="I255" s="16" t="inlineStr">
        <is>
          <t>نعم</t>
        </is>
      </c>
      <c r="J255" s="16" t="inlineStr">
        <is>
          <t>مزرعة الرياض (عهدة/صندوق)</t>
        </is>
      </c>
      <c r="K255" s="16" t="inlineStr">
        <is>
          <t>رواتب وعمولات</t>
        </is>
      </c>
      <c r="L255" s="16" t="n"/>
    </row>
    <row r="256">
      <c r="A256" s="16" t="n">
        <v>255</v>
      </c>
      <c r="B256" s="95" t="n">
        <v>45995</v>
      </c>
      <c r="C256" s="16" t="inlineStr">
        <is>
          <t>الوقود</t>
        </is>
      </c>
      <c r="D256" s="16" t="inlineStr">
        <is>
          <t>RIYADH NURSERY</t>
        </is>
      </c>
      <c r="E256" s="16" t="inlineStr">
        <is>
          <t>اذن صرف رقم 35</t>
        </is>
      </c>
      <c r="F256" s="17" t="n">
        <v>86.95999999999999</v>
      </c>
      <c r="G256" s="16" t="n">
        <v>15</v>
      </c>
      <c r="H256" s="17" t="n">
        <v>100</v>
      </c>
      <c r="I256" s="16" t="inlineStr">
        <is>
          <t>نعم</t>
        </is>
      </c>
      <c r="J256" s="16" t="inlineStr">
        <is>
          <t>مزرعة الرياض (عهدة/صندوق)</t>
        </is>
      </c>
      <c r="K256" s="16" t="inlineStr">
        <is>
          <t>وقود</t>
        </is>
      </c>
      <c r="L256" s="16" t="n"/>
    </row>
    <row r="257">
      <c r="A257" s="16" t="n">
        <v>256</v>
      </c>
      <c r="B257" s="95" t="n">
        <v>45995</v>
      </c>
      <c r="C257" s="16" t="inlineStr">
        <is>
          <t>هاتف الموبايل</t>
        </is>
      </c>
      <c r="D257" s="16" t="inlineStr">
        <is>
          <t>RIYADH NURSERY</t>
        </is>
      </c>
      <c r="E257" s="16" t="inlineStr">
        <is>
          <t>اذن صرف رقم 34</t>
        </is>
      </c>
      <c r="F257" s="17" t="n">
        <v>115</v>
      </c>
      <c r="G257" s="16" t="n">
        <v>0</v>
      </c>
      <c r="H257" s="17" t="n">
        <v>115</v>
      </c>
      <c r="I257" s="16" t="inlineStr">
        <is>
          <t>نعم</t>
        </is>
      </c>
      <c r="J257" s="16" t="inlineStr">
        <is>
          <t>مزرعة الرياض (عهدة/صندوق)</t>
        </is>
      </c>
      <c r="K257" s="16" t="inlineStr">
        <is>
          <t>خدمات (كهرباء/مياه/اتصالات)</t>
        </is>
      </c>
      <c r="L257" s="16" t="n"/>
    </row>
    <row r="258">
      <c r="A258" s="16" t="n">
        <v>257</v>
      </c>
      <c r="B258" s="95" t="n">
        <v>45997</v>
      </c>
      <c r="C258" s="16" t="inlineStr">
        <is>
          <t>HETA NURSERYS</t>
        </is>
      </c>
      <c r="D258" s="16" t="inlineStr">
        <is>
          <t>RIYADH NURSERY - PO1247</t>
        </is>
      </c>
      <c r="E258" s="16" t="inlineStr">
        <is>
          <t>اذن صرف رقم 36</t>
        </is>
      </c>
      <c r="F258" s="17" t="n">
        <v>6600</v>
      </c>
      <c r="G258" s="16" t="n">
        <v>0</v>
      </c>
      <c r="H258" s="17" t="n">
        <v>6600</v>
      </c>
      <c r="I258" s="16" t="inlineStr">
        <is>
          <t>نعم</t>
        </is>
      </c>
      <c r="J258" s="16" t="inlineStr">
        <is>
          <t>مزرعة الرياض (عهدة/صندوق)</t>
        </is>
      </c>
      <c r="K258" s="16" t="inlineStr">
        <is>
          <t>مشتريات نباتات وبذور</t>
        </is>
      </c>
      <c r="L258" s="16" t="n"/>
    </row>
    <row r="259">
      <c r="A259" s="16" t="n">
        <v>258</v>
      </c>
      <c r="B259" s="95" t="n">
        <v>45999</v>
      </c>
      <c r="C259" s="16" t="inlineStr">
        <is>
          <t>موسسسة افاق الاليه لادوات الكهربيه</t>
        </is>
      </c>
      <c r="D259" s="16" t="inlineStr">
        <is>
          <t>RIYADH NURSERY</t>
        </is>
      </c>
      <c r="E259" s="16" t="n"/>
      <c r="F259" s="17" t="n">
        <v>274.78</v>
      </c>
      <c r="G259" s="16" t="n">
        <v>15</v>
      </c>
      <c r="H259" s="17" t="n">
        <v>316</v>
      </c>
      <c r="I259" s="16" t="inlineStr">
        <is>
          <t>نعم</t>
        </is>
      </c>
      <c r="J259" s="16" t="inlineStr">
        <is>
          <t>مزرعة الرياض (عهدة/صندوق)</t>
        </is>
      </c>
      <c r="K259" s="16" t="inlineStr">
        <is>
          <t>صيانة وإنشاءات المزرعة</t>
        </is>
      </c>
      <c r="L259" s="16" t="n"/>
    </row>
    <row r="260">
      <c r="A260" s="16" t="n">
        <v>259</v>
      </c>
      <c r="B260" s="95" t="n">
        <v>46000</v>
      </c>
      <c r="C260" s="16" t="inlineStr">
        <is>
          <t>مبسط العجفة لمواد البناء</t>
        </is>
      </c>
      <c r="D260" s="16" t="inlineStr">
        <is>
          <t>RIYADH NURSERY</t>
        </is>
      </c>
      <c r="E260" s="16" t="n"/>
      <c r="F260" s="17" t="n">
        <v>410</v>
      </c>
      <c r="G260" s="16" t="n">
        <v>0</v>
      </c>
      <c r="H260" s="17" t="n">
        <v>410</v>
      </c>
      <c r="I260" s="16" t="inlineStr">
        <is>
          <t>نعم</t>
        </is>
      </c>
      <c r="J260" s="16" t="inlineStr">
        <is>
          <t>مزرعة الرياض (عهدة/صندوق)</t>
        </is>
      </c>
      <c r="K260" s="16" t="inlineStr">
        <is>
          <t>صيانة وإنشاءات المزرعة</t>
        </is>
      </c>
      <c r="L260" s="16" t="n"/>
    </row>
    <row r="261">
      <c r="A261" s="16" t="n">
        <v>260</v>
      </c>
      <c r="B261" s="95" t="n">
        <v>46000</v>
      </c>
      <c r="C261" s="16" t="inlineStr">
        <is>
          <t>مركز الخرج سابقا للاواني المنزلية</t>
        </is>
      </c>
      <c r="D261" s="16" t="inlineStr">
        <is>
          <t>RIYADH NURSERY</t>
        </is>
      </c>
      <c r="E261" s="16" t="n"/>
      <c r="F261" s="17" t="n">
        <v>60</v>
      </c>
      <c r="G261" s="16" t="n">
        <v>0</v>
      </c>
      <c r="H261" s="17" t="n">
        <v>60</v>
      </c>
      <c r="I261" s="16" t="inlineStr">
        <is>
          <t>نعم</t>
        </is>
      </c>
      <c r="J261" s="16" t="inlineStr">
        <is>
          <t>مزرعة الرياض (عهدة/صندوق)</t>
        </is>
      </c>
      <c r="K261" s="16" t="inlineStr">
        <is>
          <t>مصروفات إدارية وأخرى</t>
        </is>
      </c>
      <c r="L261" s="16" t="n"/>
    </row>
    <row r="262">
      <c r="A262" s="16" t="n">
        <v>261</v>
      </c>
      <c r="B262" s="95" t="n">
        <v>46001</v>
      </c>
      <c r="C262" s="16" t="inlineStr">
        <is>
          <t>شركة مصنع الديكور والبولستيرين السعودي</t>
        </is>
      </c>
      <c r="D262" s="16" t="inlineStr">
        <is>
          <t>RIYADH NURSERY - PO1274</t>
        </is>
      </c>
      <c r="E262" s="16" t="inlineStr">
        <is>
          <t>اذن صرف رقم 37</t>
        </is>
      </c>
      <c r="F262" s="17" t="n">
        <v>2100</v>
      </c>
      <c r="G262" s="16" t="n">
        <v>15</v>
      </c>
      <c r="H262" s="17" t="n">
        <v>2415</v>
      </c>
      <c r="I262" s="16" t="inlineStr">
        <is>
          <t>نعم</t>
        </is>
      </c>
      <c r="J262" s="16" t="inlineStr">
        <is>
          <t>مزرعة الرياض (عهدة/صندوق)</t>
        </is>
      </c>
      <c r="K262" s="16" t="inlineStr">
        <is>
          <t>مستلزمات إنتاج (مراكن/فلين/مفارش)</t>
        </is>
      </c>
      <c r="L262" s="16" t="n"/>
    </row>
    <row r="263">
      <c r="A263" s="16" t="n">
        <v>262</v>
      </c>
      <c r="B263" s="95" t="n">
        <v>46002</v>
      </c>
      <c r="C263" s="16" t="inlineStr">
        <is>
          <t>مؤسسة المحترف الامثل للتجارة - سباكة</t>
        </is>
      </c>
      <c r="D263" s="16" t="inlineStr">
        <is>
          <t>RIYADH NURSERY</t>
        </is>
      </c>
      <c r="E263" s="16" t="n"/>
      <c r="F263" s="17" t="n">
        <v>85</v>
      </c>
      <c r="G263" s="16" t="n">
        <v>15</v>
      </c>
      <c r="H263" s="17" t="n">
        <v>97.75</v>
      </c>
      <c r="I263" s="16" t="inlineStr">
        <is>
          <t>نعم</t>
        </is>
      </c>
      <c r="J263" s="16" t="inlineStr">
        <is>
          <t>مزرعة الرياض (عهدة/صندوق)</t>
        </is>
      </c>
      <c r="K263" s="16" t="inlineStr">
        <is>
          <t>صيانة وإنشاءات المزرعة</t>
        </is>
      </c>
      <c r="L263" s="16" t="n"/>
    </row>
    <row r="264">
      <c r="A264" s="16" t="n">
        <v>263</v>
      </c>
      <c r="B264" s="95" t="n">
        <v>46002</v>
      </c>
      <c r="C264" s="16" t="inlineStr">
        <is>
          <t>شركة جوهرة الطيف للتجلرة</t>
        </is>
      </c>
      <c r="D264" s="16" t="inlineStr">
        <is>
          <t>RIYADH NURSERY</t>
        </is>
      </c>
      <c r="E264" s="16" t="n"/>
      <c r="F264" s="17" t="n">
        <v>17.39</v>
      </c>
      <c r="G264" s="16" t="n">
        <v>15</v>
      </c>
      <c r="H264" s="17" t="n">
        <v>20</v>
      </c>
      <c r="I264" s="16" t="inlineStr">
        <is>
          <t>نعم</t>
        </is>
      </c>
      <c r="J264" s="16" t="inlineStr">
        <is>
          <t>مزرعة الرياض (عهدة/صندوق)</t>
        </is>
      </c>
      <c r="K264" s="16" t="inlineStr">
        <is>
          <t>صيانة وإنشاءات المزرعة</t>
        </is>
      </c>
      <c r="L264" s="16" t="n"/>
    </row>
    <row r="265">
      <c r="A265" s="16" t="n">
        <v>264</v>
      </c>
      <c r="B265" s="95" t="n">
        <v>46002</v>
      </c>
      <c r="C265" s="16" t="inlineStr">
        <is>
          <t>شركة مصنع الديكور والبولستيرين السعودي</t>
        </is>
      </c>
      <c r="D265" s="16" t="inlineStr">
        <is>
          <t>RIYADH NURSERY - PO1277</t>
        </is>
      </c>
      <c r="E265" s="16" t="inlineStr">
        <is>
          <t>اذن صرف رقم 38</t>
        </is>
      </c>
      <c r="F265" s="17" t="n">
        <v>2100</v>
      </c>
      <c r="G265" s="16" t="n">
        <v>15</v>
      </c>
      <c r="H265" s="17" t="n">
        <v>2415</v>
      </c>
      <c r="I265" s="16" t="inlineStr">
        <is>
          <t>نعم</t>
        </is>
      </c>
      <c r="J265" s="16" t="inlineStr">
        <is>
          <t>مزرعة الرياض (عهدة/صندوق)</t>
        </is>
      </c>
      <c r="K265" s="16" t="inlineStr">
        <is>
          <t>مستلزمات إنتاج (مراكن/فلين/مفارش)</t>
        </is>
      </c>
      <c r="L265" s="16" t="n"/>
    </row>
    <row r="266">
      <c r="A266" s="16" t="n">
        <v>265</v>
      </c>
      <c r="B266" s="95" t="n">
        <v>46004</v>
      </c>
      <c r="C266" s="16" t="inlineStr">
        <is>
          <t>مؤسسة هيلاء عبيد الدوسرى</t>
        </is>
      </c>
      <c r="D266" s="16" t="inlineStr">
        <is>
          <t>RIYADH NURSERY</t>
        </is>
      </c>
      <c r="E266" s="16" t="n"/>
      <c r="F266" s="17" t="n">
        <v>308.7</v>
      </c>
      <c r="G266" s="16" t="n">
        <v>15</v>
      </c>
      <c r="H266" s="17" t="n">
        <v>355</v>
      </c>
      <c r="I266" s="16" t="inlineStr">
        <is>
          <t>نعم</t>
        </is>
      </c>
      <c r="J266" s="16" t="inlineStr">
        <is>
          <t>مزرعة الرياض (عهدة/صندوق)</t>
        </is>
      </c>
      <c r="K266" s="16" t="inlineStr">
        <is>
          <t>مصروفات إدارية وأخرى</t>
        </is>
      </c>
      <c r="L266" s="16" t="n"/>
    </row>
    <row r="267">
      <c r="A267" s="16" t="n">
        <v>266</v>
      </c>
      <c r="B267" s="95" t="n">
        <v>46004</v>
      </c>
      <c r="C267" s="16" t="inlineStr">
        <is>
          <t>الوقود</t>
        </is>
      </c>
      <c r="D267" s="16" t="inlineStr">
        <is>
          <t>RIYADH NURSERY</t>
        </is>
      </c>
      <c r="E267" s="16" t="n"/>
      <c r="F267" s="17" t="n">
        <v>121.61</v>
      </c>
      <c r="G267" s="16" t="n">
        <v>15</v>
      </c>
      <c r="H267" s="17" t="n">
        <v>139.85</v>
      </c>
      <c r="I267" s="16" t="inlineStr">
        <is>
          <t>نعم</t>
        </is>
      </c>
      <c r="J267" s="16" t="inlineStr">
        <is>
          <t>مزرعة الرياض (عهدة/صندوق)</t>
        </is>
      </c>
      <c r="K267" s="16" t="inlineStr">
        <is>
          <t>وقود</t>
        </is>
      </c>
      <c r="L267" s="16" t="n"/>
    </row>
    <row r="268">
      <c r="A268" s="16" t="n">
        <v>267</v>
      </c>
      <c r="B268" s="95" t="n">
        <v>46006</v>
      </c>
      <c r="C268" s="16" t="inlineStr">
        <is>
          <t>موسسة بيت الوسيط لتجاره</t>
        </is>
      </c>
      <c r="D268" s="16" t="inlineStr">
        <is>
          <t>RIYADH NURSERY</t>
        </is>
      </c>
      <c r="E268" s="16" t="n"/>
      <c r="F268" s="17" t="n">
        <v>452.17</v>
      </c>
      <c r="G268" s="16" t="n">
        <v>15</v>
      </c>
      <c r="H268" s="17" t="n">
        <v>520</v>
      </c>
      <c r="I268" s="16" t="inlineStr">
        <is>
          <t>نعم</t>
        </is>
      </c>
      <c r="J268" s="16" t="inlineStr">
        <is>
          <t>مزرعة الرياض (عهدة/صندوق)</t>
        </is>
      </c>
      <c r="K268" s="16" t="inlineStr">
        <is>
          <t>مواد زراعية (بيتموس/بيرلايت/أسمدة/مبيدات)</t>
        </is>
      </c>
      <c r="L268" s="16" t="n"/>
    </row>
    <row r="269">
      <c r="A269" s="16" t="n">
        <v>268</v>
      </c>
      <c r="B269" s="95" t="n">
        <v>46006</v>
      </c>
      <c r="C269" s="16" t="inlineStr">
        <is>
          <t>مؤسسة تلال الربيع للمفارش</t>
        </is>
      </c>
      <c r="D269" s="16" t="inlineStr">
        <is>
          <t>RIYADH NURSERY</t>
        </is>
      </c>
      <c r="E269" s="16" t="n"/>
      <c r="F269" s="17" t="n">
        <v>75</v>
      </c>
      <c r="G269" s="16" t="n">
        <v>15</v>
      </c>
      <c r="H269" s="17" t="n">
        <v>86.25</v>
      </c>
      <c r="I269" s="16" t="inlineStr">
        <is>
          <t>نعم</t>
        </is>
      </c>
      <c r="J269" s="16" t="inlineStr">
        <is>
          <t>مزرعة الرياض (عهدة/صندوق)</t>
        </is>
      </c>
      <c r="K269" s="16" t="inlineStr">
        <is>
          <t>مصروفات إدارية وأخرى</t>
        </is>
      </c>
      <c r="L269" s="16" t="n"/>
    </row>
    <row r="270">
      <c r="A270" s="16" t="n">
        <v>269</v>
      </c>
      <c r="B270" s="95" t="n">
        <v>46007</v>
      </c>
      <c r="C270" s="16" t="inlineStr">
        <is>
          <t>شركة التاج المميزة التجارية</t>
        </is>
      </c>
      <c r="D270" s="16" t="inlineStr">
        <is>
          <t>RIYADH NURSERY - PO1287</t>
        </is>
      </c>
      <c r="E270" s="16" t="inlineStr">
        <is>
          <t>اذن صرف رقم 39</t>
        </is>
      </c>
      <c r="F270" s="17" t="n">
        <v>14500</v>
      </c>
      <c r="G270" s="16" t="n">
        <v>0</v>
      </c>
      <c r="H270" s="17" t="n">
        <v>14500</v>
      </c>
      <c r="I270" s="16" t="inlineStr">
        <is>
          <t>نعم</t>
        </is>
      </c>
      <c r="J270" s="16" t="inlineStr">
        <is>
          <t>مزرعة الرياض (عهدة/صندوق)</t>
        </is>
      </c>
      <c r="K270" s="16" t="inlineStr">
        <is>
          <t>مواد زراعية (بيتموس/بيرلايت/أسمدة/مبيدات)</t>
        </is>
      </c>
      <c r="L270" s="16" t="n"/>
    </row>
    <row r="271">
      <c r="A271" s="16" t="n">
        <v>270</v>
      </c>
      <c r="B271" s="95" t="n">
        <v>46007</v>
      </c>
      <c r="C271" s="16" t="inlineStr">
        <is>
          <t>شركة ايراد المتحدة التجارية</t>
        </is>
      </c>
      <c r="D271" s="16" t="inlineStr">
        <is>
          <t>RIYADH NURSERY - PO1286</t>
        </is>
      </c>
      <c r="E271" s="16" t="n"/>
      <c r="F271" s="17" t="n">
        <v>3152.43</v>
      </c>
      <c r="G271" s="16" t="n">
        <v>15</v>
      </c>
      <c r="H271" s="17" t="n">
        <v>3625.29</v>
      </c>
      <c r="I271" s="16" t="inlineStr">
        <is>
          <t>نعم</t>
        </is>
      </c>
      <c r="J271" s="16" t="inlineStr">
        <is>
          <t>مزرعة الرياض (عهدة/صندوق)</t>
        </is>
      </c>
      <c r="K271" s="16" t="inlineStr">
        <is>
          <t>مواد زراعية (بيتموس/بيرلايت/أسمدة/مبيدات)</t>
        </is>
      </c>
      <c r="L271" s="16" t="n"/>
    </row>
    <row r="272">
      <c r="A272" s="16" t="n">
        <v>271</v>
      </c>
      <c r="B272" s="95" t="n">
        <v>46007</v>
      </c>
      <c r="C272" s="16" t="inlineStr">
        <is>
          <t>شركة مصنع الديكور والبولستيرين السعودي</t>
        </is>
      </c>
      <c r="D272" s="16" t="inlineStr">
        <is>
          <t>RIYADH NURSERY - PO1285</t>
        </is>
      </c>
      <c r="E272" s="16" t="inlineStr">
        <is>
          <t>اذن صرف رقم 40</t>
        </is>
      </c>
      <c r="F272" s="17" t="n">
        <v>7140</v>
      </c>
      <c r="G272" s="16" t="n">
        <v>15</v>
      </c>
      <c r="H272" s="17" t="n">
        <v>8211</v>
      </c>
      <c r="I272" s="16" t="inlineStr">
        <is>
          <t>نعم</t>
        </is>
      </c>
      <c r="J272" s="16" t="inlineStr">
        <is>
          <t>مزرعة الرياض (عهدة/صندوق)</t>
        </is>
      </c>
      <c r="K272" s="16" t="inlineStr">
        <is>
          <t>مستلزمات إنتاج (مراكن/فلين/مفارش)</t>
        </is>
      </c>
      <c r="L272" s="16" t="n"/>
    </row>
    <row r="273">
      <c r="A273" s="16" t="n">
        <v>272</v>
      </c>
      <c r="B273" s="95" t="n">
        <v>46008</v>
      </c>
      <c r="C273" s="16" t="inlineStr">
        <is>
          <t>ورشة الرحالة لصيانة البردات</t>
        </is>
      </c>
      <c r="D273" s="16" t="inlineStr">
        <is>
          <t>RIYADH NURSERY</t>
        </is>
      </c>
      <c r="E273" s="16" t="inlineStr">
        <is>
          <t>اذن صرف رقم 47</t>
        </is>
      </c>
      <c r="F273" s="17" t="n">
        <v>400</v>
      </c>
      <c r="G273" s="16" t="n">
        <v>0</v>
      </c>
      <c r="H273" s="17" t="n">
        <v>400</v>
      </c>
      <c r="I273" s="16" t="inlineStr">
        <is>
          <t>نعم</t>
        </is>
      </c>
      <c r="J273" s="16" t="inlineStr">
        <is>
          <t>مزرعة الرياض (عهدة/صندوق)</t>
        </is>
      </c>
      <c r="K273" s="16" t="inlineStr">
        <is>
          <t>صيانة سيارات ومعدات</t>
        </is>
      </c>
      <c r="L273" s="16" t="n"/>
    </row>
    <row r="274">
      <c r="A274" s="16" t="n">
        <v>273</v>
      </c>
      <c r="B274" s="95" t="n">
        <v>46008</v>
      </c>
      <c r="C274" s="16" t="inlineStr">
        <is>
          <t>ورشة الرحالة لصيانة البردات</t>
        </is>
      </c>
      <c r="D274" s="16" t="inlineStr">
        <is>
          <t>RIYADH NURSERY</t>
        </is>
      </c>
      <c r="E274" s="16" t="inlineStr">
        <is>
          <t>اذن صرف رقم 46</t>
        </is>
      </c>
      <c r="F274" s="17" t="n">
        <v>450</v>
      </c>
      <c r="G274" s="16" t="n">
        <v>0</v>
      </c>
      <c r="H274" s="17" t="n">
        <v>450</v>
      </c>
      <c r="I274" s="16" t="inlineStr">
        <is>
          <t>نعم</t>
        </is>
      </c>
      <c r="J274" s="16" t="inlineStr">
        <is>
          <t>مزرعة الرياض (عهدة/صندوق)</t>
        </is>
      </c>
      <c r="K274" s="16" t="inlineStr">
        <is>
          <t>صيانة سيارات ومعدات</t>
        </is>
      </c>
      <c r="L274" s="16" t="n"/>
    </row>
    <row r="275">
      <c r="A275" s="16" t="n">
        <v>274</v>
      </c>
      <c r="B275" s="95" t="n">
        <v>46008</v>
      </c>
      <c r="C275" s="16" t="inlineStr">
        <is>
          <t>ورشة الرحالة لصيانة البردات</t>
        </is>
      </c>
      <c r="D275" s="16" t="inlineStr">
        <is>
          <t>RIYADH NURSERY</t>
        </is>
      </c>
      <c r="E275" s="16" t="inlineStr">
        <is>
          <t>اذن صرف رقم 45</t>
        </is>
      </c>
      <c r="F275" s="17" t="n">
        <v>13000</v>
      </c>
      <c r="G275" s="16" t="n">
        <v>0</v>
      </c>
      <c r="H275" s="17" t="n">
        <v>13000</v>
      </c>
      <c r="I275" s="16" t="inlineStr">
        <is>
          <t>نعم</t>
        </is>
      </c>
      <c r="J275" s="16" t="inlineStr">
        <is>
          <t>مزرعة الرياض (عهدة/صندوق)</t>
        </is>
      </c>
      <c r="K275" s="16" t="inlineStr">
        <is>
          <t>صيانة سيارات ومعدات</t>
        </is>
      </c>
      <c r="L275" s="16" t="n"/>
    </row>
    <row r="276">
      <c r="A276" s="16" t="n">
        <v>275</v>
      </c>
      <c r="B276" s="95" t="n">
        <v>46008</v>
      </c>
      <c r="C276" s="16" t="inlineStr">
        <is>
          <t>ورشة الرحالة لصيانة البردات</t>
        </is>
      </c>
      <c r="D276" s="16" t="inlineStr">
        <is>
          <t>RIYADH NURSERY</t>
        </is>
      </c>
      <c r="E276" s="16" t="inlineStr">
        <is>
          <t>اذن صرف رقم 44</t>
        </is>
      </c>
      <c r="F276" s="17" t="n">
        <v>5000</v>
      </c>
      <c r="G276" s="16" t="n">
        <v>0</v>
      </c>
      <c r="H276" s="17" t="n">
        <v>5000</v>
      </c>
      <c r="I276" s="16" t="inlineStr">
        <is>
          <t>نعم</t>
        </is>
      </c>
      <c r="J276" s="16" t="inlineStr">
        <is>
          <t>مزرعة الرياض (عهدة/صندوق)</t>
        </is>
      </c>
      <c r="K276" s="16" t="inlineStr">
        <is>
          <t>صيانة سيارات ومعدات</t>
        </is>
      </c>
      <c r="L276" s="16" t="n"/>
    </row>
    <row r="277">
      <c r="A277" s="16" t="n">
        <v>276</v>
      </c>
      <c r="B277" s="95" t="n">
        <v>46008</v>
      </c>
      <c r="C277" s="16" t="inlineStr">
        <is>
          <t>العمولة</t>
        </is>
      </c>
      <c r="D277" s="16" t="inlineStr">
        <is>
          <t>RIYADH NURSERY</t>
        </is>
      </c>
      <c r="E277" s="16" t="inlineStr">
        <is>
          <t>اذن صرف رقم 43</t>
        </is>
      </c>
      <c r="F277" s="17" t="n">
        <v>300</v>
      </c>
      <c r="G277" s="16" t="n">
        <v>0</v>
      </c>
      <c r="H277" s="17" t="n">
        <v>300</v>
      </c>
      <c r="I277" s="16" t="inlineStr">
        <is>
          <t>نعم</t>
        </is>
      </c>
      <c r="J277" s="16" t="inlineStr">
        <is>
          <t>مزرعة الرياض (عهدة/صندوق)</t>
        </is>
      </c>
      <c r="K277" s="16" t="inlineStr">
        <is>
          <t>رواتب وعمولات</t>
        </is>
      </c>
      <c r="L277" s="16" t="n"/>
    </row>
    <row r="278">
      <c r="A278" s="16" t="n">
        <v>277</v>
      </c>
      <c r="B278" s="95" t="n">
        <v>46008</v>
      </c>
      <c r="C278" s="16" t="inlineStr">
        <is>
          <t>العمولة</t>
        </is>
      </c>
      <c r="D278" s="16" t="inlineStr">
        <is>
          <t>RIYADH NURSERY</t>
        </is>
      </c>
      <c r="E278" s="16" t="inlineStr">
        <is>
          <t>اذن صرف رقم 42</t>
        </is>
      </c>
      <c r="F278" s="17" t="n">
        <v>1400</v>
      </c>
      <c r="G278" s="16" t="n">
        <v>0</v>
      </c>
      <c r="H278" s="17" t="n">
        <v>1400</v>
      </c>
      <c r="I278" s="16" t="inlineStr">
        <is>
          <t>نعم</t>
        </is>
      </c>
      <c r="J278" s="16" t="inlineStr">
        <is>
          <t>مزرعة الرياض (عهدة/صندوق)</t>
        </is>
      </c>
      <c r="K278" s="16" t="inlineStr">
        <is>
          <t>رواتب وعمولات</t>
        </is>
      </c>
      <c r="L278" s="16" t="n"/>
    </row>
    <row r="279">
      <c r="A279" s="16" t="n">
        <v>278</v>
      </c>
      <c r="B279" s="95" t="n">
        <v>46008</v>
      </c>
      <c r="C279" s="16" t="inlineStr">
        <is>
          <t>هاتف الموبايل</t>
        </is>
      </c>
      <c r="D279" s="16" t="inlineStr">
        <is>
          <t>RIYADH NURSERY</t>
        </is>
      </c>
      <c r="E279" s="16" t="inlineStr">
        <is>
          <t>اذن صرف رقم 41</t>
        </is>
      </c>
      <c r="F279" s="17" t="n">
        <v>100</v>
      </c>
      <c r="G279" s="16" t="n">
        <v>15</v>
      </c>
      <c r="H279" s="17" t="n">
        <v>115</v>
      </c>
      <c r="I279" s="16" t="inlineStr">
        <is>
          <t>نعم</t>
        </is>
      </c>
      <c r="J279" s="16" t="inlineStr">
        <is>
          <t>مزرعة الرياض (عهدة/صندوق)</t>
        </is>
      </c>
      <c r="K279" s="16" t="inlineStr">
        <is>
          <t>خدمات (كهرباء/مياه/اتصالات)</t>
        </is>
      </c>
      <c r="L279" s="16" t="n"/>
    </row>
    <row r="280">
      <c r="A280" s="16" t="n">
        <v>279</v>
      </c>
      <c r="B280" s="95" t="n">
        <v>46011</v>
      </c>
      <c r="C280" s="16" t="inlineStr">
        <is>
          <t>مؤسسة المحترف الامثل للتجارة - سباكة</t>
        </is>
      </c>
      <c r="D280" s="16" t="inlineStr">
        <is>
          <t>RIYADH NURSERY</t>
        </is>
      </c>
      <c r="E280" s="16" t="n"/>
      <c r="F280" s="17" t="n">
        <v>265</v>
      </c>
      <c r="G280" s="16" t="n">
        <v>15</v>
      </c>
      <c r="H280" s="17" t="n">
        <v>304.75</v>
      </c>
      <c r="I280" s="16" t="inlineStr">
        <is>
          <t>نعم</t>
        </is>
      </c>
      <c r="J280" s="16" t="inlineStr">
        <is>
          <t>مزرعة الرياض (عهدة/صندوق)</t>
        </is>
      </c>
      <c r="K280" s="16" t="inlineStr">
        <is>
          <t>صيانة وإنشاءات المزرعة</t>
        </is>
      </c>
      <c r="L280" s="16" t="n"/>
    </row>
    <row r="281">
      <c r="A281" s="16" t="n">
        <v>280</v>
      </c>
      <c r="B281" s="95" t="n">
        <v>46011</v>
      </c>
      <c r="C281" s="16" t="inlineStr">
        <is>
          <t>ينابع المئويه لتحلية المياه</t>
        </is>
      </c>
      <c r="D281" s="16" t="inlineStr">
        <is>
          <t>RIYADH NURSERY</t>
        </is>
      </c>
      <c r="E281" s="16" t="n"/>
      <c r="F281" s="17" t="n">
        <v>60</v>
      </c>
      <c r="G281" s="16" t="n">
        <v>0</v>
      </c>
      <c r="H281" s="17" t="n">
        <v>60</v>
      </c>
      <c r="I281" s="16" t="inlineStr">
        <is>
          <t>نعم</t>
        </is>
      </c>
      <c r="J281" s="16" t="inlineStr">
        <is>
          <t>مزرعة الرياض (عهدة/صندوق)</t>
        </is>
      </c>
      <c r="K281" s="16" t="inlineStr">
        <is>
          <t>خدمات (كهرباء/مياه/اتصالات)</t>
        </is>
      </c>
      <c r="L281" s="16" t="n"/>
    </row>
    <row r="282">
      <c r="A282" s="16" t="n">
        <v>281</v>
      </c>
      <c r="B282" s="95" t="n">
        <v>46011</v>
      </c>
      <c r="C282" s="16" t="inlineStr">
        <is>
          <t>شركة حمد  المنيع وشركاه لاجهزة الكهربائية - المنيع</t>
        </is>
      </c>
      <c r="D282" s="16" t="inlineStr">
        <is>
          <t>RIYADH NURSERY</t>
        </is>
      </c>
      <c r="E282" s="16" t="n"/>
      <c r="F282" s="17" t="n">
        <v>216.41</v>
      </c>
      <c r="G282" s="16" t="n">
        <v>15</v>
      </c>
      <c r="H282" s="17" t="n">
        <v>248.87</v>
      </c>
      <c r="I282" s="16" t="inlineStr">
        <is>
          <t>نعم</t>
        </is>
      </c>
      <c r="J282" s="16" t="inlineStr">
        <is>
          <t>مزرعة الرياض (عهدة/صندوق)</t>
        </is>
      </c>
      <c r="K282" s="16" t="inlineStr">
        <is>
          <t>صيانة وإنشاءات المزرعة</t>
        </is>
      </c>
      <c r="L282" s="16" t="n"/>
    </row>
    <row r="283">
      <c r="A283" s="16" t="n">
        <v>282</v>
      </c>
      <c r="B283" s="95" t="n">
        <v>46012</v>
      </c>
      <c r="C283" s="16" t="inlineStr">
        <is>
          <t>مؤسسة المحترف الامثل للتجارة - سباكة</t>
        </is>
      </c>
      <c r="D283" s="16" t="inlineStr">
        <is>
          <t>RIYADH NURSERY</t>
        </is>
      </c>
      <c r="E283" s="16" t="n"/>
      <c r="F283" s="17" t="n">
        <v>110</v>
      </c>
      <c r="G283" s="16" t="n">
        <v>15</v>
      </c>
      <c r="H283" s="17" t="n">
        <v>126.5</v>
      </c>
      <c r="I283" s="16" t="inlineStr">
        <is>
          <t>نعم</t>
        </is>
      </c>
      <c r="J283" s="16" t="inlineStr">
        <is>
          <t>مزرعة الرياض (عهدة/صندوق)</t>
        </is>
      </c>
      <c r="K283" s="16" t="inlineStr">
        <is>
          <t>صيانة وإنشاءات المزرعة</t>
        </is>
      </c>
      <c r="L283" s="16" t="n"/>
    </row>
    <row r="284">
      <c r="A284" s="16" t="n">
        <v>283</v>
      </c>
      <c r="B284" s="95" t="n">
        <v>46014</v>
      </c>
      <c r="C284" s="16" t="inlineStr">
        <is>
          <t>مؤسسة روابي المعرفة التجارية</t>
        </is>
      </c>
      <c r="D284" s="16" t="inlineStr">
        <is>
          <t>RIYADH NURSERY</t>
        </is>
      </c>
      <c r="E284" s="16" t="n"/>
      <c r="F284" s="17" t="n">
        <v>173.04</v>
      </c>
      <c r="G284" s="16" t="n">
        <v>15</v>
      </c>
      <c r="H284" s="17" t="n">
        <v>199</v>
      </c>
      <c r="I284" s="16" t="inlineStr">
        <is>
          <t>نعم</t>
        </is>
      </c>
      <c r="J284" s="16" t="inlineStr">
        <is>
          <t>مزرعة الرياض (عهدة/صندوق)</t>
        </is>
      </c>
      <c r="K284" s="16" t="inlineStr">
        <is>
          <t>مصروفات إدارية وأخرى</t>
        </is>
      </c>
      <c r="L284" s="16" t="n"/>
    </row>
    <row r="285">
      <c r="A285" s="16" t="n">
        <v>284</v>
      </c>
      <c r="B285" s="95" t="n">
        <v>46014</v>
      </c>
      <c r="C285" s="16" t="inlineStr">
        <is>
          <t>شركة ضي العليا لتقنية المعلومات</t>
        </is>
      </c>
      <c r="D285" s="16" t="inlineStr">
        <is>
          <t>RIYADH NURSERY</t>
        </is>
      </c>
      <c r="E285" s="16" t="n"/>
      <c r="F285" s="17" t="n">
        <v>173.04</v>
      </c>
      <c r="G285" s="16" t="n">
        <v>15</v>
      </c>
      <c r="H285" s="17" t="n">
        <v>199</v>
      </c>
      <c r="I285" s="16" t="inlineStr">
        <is>
          <t>نعم</t>
        </is>
      </c>
      <c r="J285" s="16" t="inlineStr">
        <is>
          <t>مزرعة الرياض (عهدة/صندوق)</t>
        </is>
      </c>
      <c r="K285" s="16" t="inlineStr">
        <is>
          <t>خدمات (كهرباء/مياه/اتصالات)</t>
        </is>
      </c>
      <c r="L285" s="16" t="n"/>
    </row>
    <row r="286">
      <c r="A286" s="16" t="n">
        <v>285</v>
      </c>
      <c r="B286" s="95" t="n">
        <v>46017</v>
      </c>
      <c r="C286" s="16" t="inlineStr">
        <is>
          <t>موسسسة افاق الاليه لادوات الكهربيه</t>
        </is>
      </c>
      <c r="D286" s="16" t="inlineStr">
        <is>
          <t>RIYADH NURSERY</t>
        </is>
      </c>
      <c r="E286" s="16" t="inlineStr">
        <is>
          <t>اذن صرف 49</t>
        </is>
      </c>
      <c r="F286" s="17" t="n">
        <v>693</v>
      </c>
      <c r="G286" s="16" t="n">
        <v>0</v>
      </c>
      <c r="H286" s="17" t="n">
        <v>693</v>
      </c>
      <c r="I286" s="16" t="inlineStr">
        <is>
          <t>نعم</t>
        </is>
      </c>
      <c r="J286" s="16" t="inlineStr">
        <is>
          <t>مزرعة الرياض (عهدة/صندوق)</t>
        </is>
      </c>
      <c r="K286" s="16" t="inlineStr">
        <is>
          <t>صيانة وإنشاءات المزرعة</t>
        </is>
      </c>
      <c r="L286" s="16" t="n"/>
    </row>
    <row r="287">
      <c r="A287" s="16" t="n">
        <v>286</v>
      </c>
      <c r="B287" s="95" t="n">
        <v>46017</v>
      </c>
      <c r="C287" s="16" t="inlineStr">
        <is>
          <t>مؤسسة المحترف الامثل للتجارة - سباكة</t>
        </is>
      </c>
      <c r="D287" s="16" t="inlineStr">
        <is>
          <t>RIYADH NURSERY</t>
        </is>
      </c>
      <c r="E287" s="16" t="inlineStr">
        <is>
          <t>اذن صرف 48</t>
        </is>
      </c>
      <c r="F287" s="17" t="n">
        <v>225</v>
      </c>
      <c r="G287" s="16" t="n">
        <v>15</v>
      </c>
      <c r="H287" s="17" t="n">
        <v>258.75</v>
      </c>
      <c r="I287" s="16" t="inlineStr">
        <is>
          <t>نعم</t>
        </is>
      </c>
      <c r="J287" s="16" t="inlineStr">
        <is>
          <t>مزرعة الرياض (عهدة/صندوق)</t>
        </is>
      </c>
      <c r="K287" s="16" t="inlineStr">
        <is>
          <t>صيانة وإنشاءات المزرعة</t>
        </is>
      </c>
      <c r="L287" s="16" t="n"/>
    </row>
    <row r="288">
      <c r="A288" s="16" t="n">
        <v>287</v>
      </c>
      <c r="B288" s="95" t="n">
        <v>46018</v>
      </c>
      <c r="C288" s="16" t="inlineStr">
        <is>
          <t>مغلسة تركي مبلش رشيد الحربي</t>
        </is>
      </c>
      <c r="D288" s="16" t="inlineStr">
        <is>
          <t>RIYADH NURSERY</t>
        </is>
      </c>
      <c r="E288" s="16" t="inlineStr">
        <is>
          <t>اذن صرف رقم 50</t>
        </is>
      </c>
      <c r="F288" s="17" t="n">
        <v>60</v>
      </c>
      <c r="G288" s="16" t="n">
        <v>0</v>
      </c>
      <c r="H288" s="17" t="n">
        <v>60</v>
      </c>
      <c r="I288" s="16" t="inlineStr">
        <is>
          <t>نعم</t>
        </is>
      </c>
      <c r="J288" s="16" t="inlineStr">
        <is>
          <t>مزرعة الرياض (عهدة/صندوق)</t>
        </is>
      </c>
      <c r="K288" s="16" t="inlineStr">
        <is>
          <t>صيانة سيارات ومعدات</t>
        </is>
      </c>
      <c r="L288" s="16" t="n"/>
    </row>
    <row r="289">
      <c r="A289" s="16" t="n">
        <v>288</v>
      </c>
      <c r="B289" s="95" t="n">
        <v>46019</v>
      </c>
      <c r="C289" s="16" t="inlineStr">
        <is>
          <t>موسسسة افاق الاليه لادوات الكهربيه</t>
        </is>
      </c>
      <c r="D289" s="16" t="inlineStr">
        <is>
          <t>RIYADH NURSERY</t>
        </is>
      </c>
      <c r="E289" s="16" t="inlineStr">
        <is>
          <t>اذن صرف رقم 51</t>
        </is>
      </c>
      <c r="F289" s="17" t="n">
        <v>684</v>
      </c>
      <c r="G289" s="16" t="n">
        <v>0</v>
      </c>
      <c r="H289" s="17" t="n">
        <v>684</v>
      </c>
      <c r="I289" s="16" t="inlineStr">
        <is>
          <t>نعم</t>
        </is>
      </c>
      <c r="J289" s="16" t="inlineStr">
        <is>
          <t>مزرعة الرياض (عهدة/صندوق)</t>
        </is>
      </c>
      <c r="K289" s="16" t="inlineStr">
        <is>
          <t>صيانة وإنشاءات المزرعة</t>
        </is>
      </c>
      <c r="L289" s="16" t="n"/>
    </row>
    <row r="290">
      <c r="A290" s="16" t="n">
        <v>289</v>
      </c>
      <c r="B290" s="95" t="n">
        <v>46020</v>
      </c>
      <c r="C290" s="16" t="inlineStr">
        <is>
          <t>الشركة المصرية الالمانية للانتاج الزراعي</t>
        </is>
      </c>
      <c r="D290" s="16" t="inlineStr">
        <is>
          <t>RIYADH NURSERY - PO1278</t>
        </is>
      </c>
      <c r="E290" s="16" t="inlineStr">
        <is>
          <t>اذن صرف رقم 54</t>
        </is>
      </c>
      <c r="F290" s="17" t="n">
        <v>44662</v>
      </c>
      <c r="G290" s="16" t="n">
        <v>0</v>
      </c>
      <c r="H290" s="17" t="n">
        <v>44662</v>
      </c>
      <c r="I290" s="16" t="inlineStr">
        <is>
          <t>نعم</t>
        </is>
      </c>
      <c r="J290" s="16" t="inlineStr">
        <is>
          <t>مزرعة الرياض (عهدة/صندوق)</t>
        </is>
      </c>
      <c r="K290" s="16" t="inlineStr">
        <is>
          <t>مشتريات نباتات وبذور</t>
        </is>
      </c>
      <c r="L290" s="16" t="n"/>
    </row>
    <row r="291">
      <c r="A291" s="16" t="n">
        <v>290</v>
      </c>
      <c r="B291" s="95" t="n">
        <v>46020</v>
      </c>
      <c r="C291" s="16" t="inlineStr">
        <is>
          <t>الشركة السعوديه للكهرباء</t>
        </is>
      </c>
      <c r="D291" s="16" t="inlineStr">
        <is>
          <t>RIYADH NURSERY - PO1323</t>
        </is>
      </c>
      <c r="E291" s="16" t="inlineStr">
        <is>
          <t>اذن صرف رقم 52</t>
        </is>
      </c>
      <c r="F291" s="17" t="n">
        <v>3248.64</v>
      </c>
      <c r="G291" s="16" t="n">
        <v>15</v>
      </c>
      <c r="H291" s="17" t="n">
        <v>3735.94</v>
      </c>
      <c r="I291" s="16" t="inlineStr">
        <is>
          <t>نعم</t>
        </is>
      </c>
      <c r="J291" s="16" t="inlineStr">
        <is>
          <t>مزرعة الرياض (عهدة/صندوق)</t>
        </is>
      </c>
      <c r="K291" s="16" t="inlineStr">
        <is>
          <t>خدمات (كهرباء/مياه/اتصالات)</t>
        </is>
      </c>
      <c r="L291" s="16" t="n"/>
    </row>
    <row r="292">
      <c r="A292" s="16" t="n">
        <v>291</v>
      </c>
      <c r="B292" s="95" t="n">
        <v>46021</v>
      </c>
      <c r="C292" s="16" t="inlineStr">
        <is>
          <t>موسسسة افاق الاليه لادوات الكهربيه</t>
        </is>
      </c>
      <c r="D292" s="16" t="inlineStr">
        <is>
          <t>RIYADH NURSERY</t>
        </is>
      </c>
      <c r="E292" s="16" t="inlineStr">
        <is>
          <t>اذن صرف رقم 58</t>
        </is>
      </c>
      <c r="F292" s="17" t="n">
        <v>488</v>
      </c>
      <c r="G292" s="16" t="n">
        <v>0</v>
      </c>
      <c r="H292" s="17" t="n">
        <v>488</v>
      </c>
      <c r="I292" s="16" t="inlineStr">
        <is>
          <t>نعم</t>
        </is>
      </c>
      <c r="J292" s="16" t="inlineStr">
        <is>
          <t>مزرعة الرياض (عهدة/صندوق)</t>
        </is>
      </c>
      <c r="K292" s="16" t="inlineStr">
        <is>
          <t>صيانة وإنشاءات المزرعة</t>
        </is>
      </c>
      <c r="L292" s="16" t="n"/>
    </row>
    <row r="293">
      <c r="A293" s="16" t="n">
        <v>292</v>
      </c>
      <c r="B293" s="95" t="n">
        <v>46021</v>
      </c>
      <c r="C293" s="16" t="inlineStr">
        <is>
          <t>موسسسة افاق الاليه لادوات الكهربيه</t>
        </is>
      </c>
      <c r="D293" s="16" t="inlineStr">
        <is>
          <t>RIYADH NURSERY</t>
        </is>
      </c>
      <c r="E293" s="16" t="inlineStr">
        <is>
          <t>اذن صرف رقم 57</t>
        </is>
      </c>
      <c r="F293" s="17" t="n">
        <v>647</v>
      </c>
      <c r="G293" s="16" t="n">
        <v>0</v>
      </c>
      <c r="H293" s="17" t="n">
        <v>647</v>
      </c>
      <c r="I293" s="16" t="inlineStr">
        <is>
          <t>نعم</t>
        </is>
      </c>
      <c r="J293" s="16" t="inlineStr">
        <is>
          <t>مزرعة الرياض (عهدة/صندوق)</t>
        </is>
      </c>
      <c r="K293" s="16" t="inlineStr">
        <is>
          <t>صيانة وإنشاءات المزرعة</t>
        </is>
      </c>
      <c r="L293" s="16" t="n"/>
    </row>
    <row r="294">
      <c r="A294" s="16" t="n">
        <v>293</v>
      </c>
      <c r="B294" s="95" t="n">
        <v>46021</v>
      </c>
      <c r="C294" s="16" t="inlineStr">
        <is>
          <t>هاتف الموبايل</t>
        </is>
      </c>
      <c r="D294" s="16" t="inlineStr">
        <is>
          <t>RIYADH NURSERY</t>
        </is>
      </c>
      <c r="E294" s="16" t="inlineStr">
        <is>
          <t>اذن صرف رقم 56</t>
        </is>
      </c>
      <c r="F294" s="17" t="n">
        <v>104.35</v>
      </c>
      <c r="G294" s="16" t="n">
        <v>15</v>
      </c>
      <c r="H294" s="17" t="n">
        <v>120</v>
      </c>
      <c r="I294" s="16" t="inlineStr">
        <is>
          <t>نعم</t>
        </is>
      </c>
      <c r="J294" s="16" t="inlineStr">
        <is>
          <t>مزرعة الرياض (عهدة/صندوق)</t>
        </is>
      </c>
      <c r="K294" s="16" t="inlineStr">
        <is>
          <t>خدمات (كهرباء/مياه/اتصالات)</t>
        </is>
      </c>
      <c r="L294" s="16" t="n"/>
    </row>
    <row r="295">
      <c r="A295" s="16" t="n">
        <v>294</v>
      </c>
      <c r="B295" s="95" t="n">
        <v>46021</v>
      </c>
      <c r="C295" s="16" t="inlineStr">
        <is>
          <t>مصنعيات</t>
        </is>
      </c>
      <c r="D295" s="16" t="inlineStr">
        <is>
          <t>RIYADH NURSERY</t>
        </is>
      </c>
      <c r="E295" s="16" t="inlineStr">
        <is>
          <t>اذن صرف 61</t>
        </is>
      </c>
      <c r="F295" s="17" t="n">
        <v>1000</v>
      </c>
      <c r="G295" s="16" t="n">
        <v>0</v>
      </c>
      <c r="H295" s="17" t="n">
        <v>1000</v>
      </c>
      <c r="I295" s="16" t="inlineStr">
        <is>
          <t>نعم</t>
        </is>
      </c>
      <c r="J295" s="16" t="inlineStr">
        <is>
          <t>مزرعة الرياض (عهدة/صندوق)</t>
        </is>
      </c>
      <c r="K295" s="16" t="inlineStr">
        <is>
          <t>صيانة وإنشاءات المزرعة</t>
        </is>
      </c>
      <c r="L295" s="16" t="n"/>
    </row>
    <row r="296">
      <c r="A296" s="16" t="n">
        <v>295</v>
      </c>
      <c r="B296" s="95" t="n">
        <v>46021</v>
      </c>
      <c r="C296" s="16" t="inlineStr">
        <is>
          <t>مؤسسة هيلاء عبيد الدوسرى</t>
        </is>
      </c>
      <c r="D296" s="16" t="inlineStr">
        <is>
          <t>RIYADH NURSERY</t>
        </is>
      </c>
      <c r="E296" s="16" t="inlineStr">
        <is>
          <t>اذن صرف رقم 60</t>
        </is>
      </c>
      <c r="F296" s="17" t="n">
        <v>204.35</v>
      </c>
      <c r="G296" s="16" t="n">
        <v>15</v>
      </c>
      <c r="H296" s="17" t="n">
        <v>235</v>
      </c>
      <c r="I296" s="16" t="inlineStr">
        <is>
          <t>نعم</t>
        </is>
      </c>
      <c r="J296" s="16" t="inlineStr">
        <is>
          <t>مزرعة الرياض (عهدة/صندوق)</t>
        </is>
      </c>
      <c r="K296" s="16" t="inlineStr">
        <is>
          <t>مصروفات إدارية وأخرى</t>
        </is>
      </c>
      <c r="L296" s="16" t="n"/>
    </row>
    <row r="297">
      <c r="A297" s="16" t="n">
        <v>296</v>
      </c>
      <c r="B297" s="95" t="n">
        <v>46021</v>
      </c>
      <c r="C297" s="16" t="inlineStr">
        <is>
          <t>الوقود</t>
        </is>
      </c>
      <c r="D297" s="16" t="inlineStr">
        <is>
          <t>RIYADH NURSERY</t>
        </is>
      </c>
      <c r="E297" s="16" t="inlineStr">
        <is>
          <t>اذن صرف رقم 59</t>
        </is>
      </c>
      <c r="F297" s="17" t="n">
        <v>60.87</v>
      </c>
      <c r="G297" s="16" t="n">
        <v>15</v>
      </c>
      <c r="H297" s="17" t="n">
        <v>70</v>
      </c>
      <c r="I297" s="16" t="inlineStr">
        <is>
          <t>نعم</t>
        </is>
      </c>
      <c r="J297" s="16" t="inlineStr">
        <is>
          <t>مزرعة الرياض (عهدة/صندوق)</t>
        </is>
      </c>
      <c r="K297" s="16" t="inlineStr">
        <is>
          <t>وقود</t>
        </is>
      </c>
      <c r="L297" s="16" t="n"/>
    </row>
    <row r="298">
      <c r="A298" s="16" t="n">
        <v>297</v>
      </c>
      <c r="B298" s="95" t="n">
        <v>46021</v>
      </c>
      <c r="C298" s="16" t="inlineStr">
        <is>
          <t>فواز الخالدي - التخليص الجمركي</t>
        </is>
      </c>
      <c r="D298" s="16" t="inlineStr">
        <is>
          <t>RIYADH NURSERY - PO1329</t>
        </is>
      </c>
      <c r="E298" s="16" t="inlineStr">
        <is>
          <t>اذن صرف رقم 55</t>
        </is>
      </c>
      <c r="F298" s="17" t="n">
        <v>5189</v>
      </c>
      <c r="G298" s="16" t="n">
        <v>0</v>
      </c>
      <c r="H298" s="17" t="n">
        <v>5189</v>
      </c>
      <c r="I298" s="16" t="inlineStr">
        <is>
          <t>نعم</t>
        </is>
      </c>
      <c r="J298" s="16" t="inlineStr">
        <is>
          <t>مزرعة الرياض (عهدة/صندوق)</t>
        </is>
      </c>
      <c r="K298" s="16" t="inlineStr">
        <is>
          <t>تخليص جمركي</t>
        </is>
      </c>
      <c r="L298" s="16" t="n"/>
    </row>
    <row r="299">
      <c r="A299" s="16" t="n">
        <v>298</v>
      </c>
      <c r="B299" s="95" t="n">
        <v>46021</v>
      </c>
      <c r="C299" s="16" t="inlineStr">
        <is>
          <t>فواز الخالدي - التخليص الجمركي</t>
        </is>
      </c>
      <c r="D299" s="16" t="inlineStr">
        <is>
          <t>RIYADH NURSERY - PO1328</t>
        </is>
      </c>
      <c r="E299" s="16" t="inlineStr">
        <is>
          <t>اذن صرف رقم 54</t>
        </is>
      </c>
      <c r="F299" s="17" t="n">
        <v>2247.5</v>
      </c>
      <c r="G299" s="16" t="n">
        <v>0</v>
      </c>
      <c r="H299" s="17" t="n">
        <v>2247.5</v>
      </c>
      <c r="I299" s="16" t="inlineStr">
        <is>
          <t>نعم</t>
        </is>
      </c>
      <c r="J299" s="16" t="inlineStr">
        <is>
          <t>مزرعة الرياض (عهدة/صندوق)</t>
        </is>
      </c>
      <c r="K299" s="16" t="inlineStr">
        <is>
          <t>تخليص جمركي</t>
        </is>
      </c>
      <c r="L299" s="16" t="n"/>
    </row>
    <row r="300">
      <c r="A300" s="16" t="n">
        <v>299</v>
      </c>
      <c r="B300" s="95" t="n">
        <v>46021</v>
      </c>
      <c r="C300" s="16" t="inlineStr">
        <is>
          <t>فواز الخالدي - التخليص الجمركي</t>
        </is>
      </c>
      <c r="D300" s="16" t="inlineStr">
        <is>
          <t>RIYADH NURSERY - PO1326</t>
        </is>
      </c>
      <c r="E300" s="16" t="inlineStr">
        <is>
          <t>اذن صرف رقم 53</t>
        </is>
      </c>
      <c r="F300" s="17" t="n">
        <v>2592.5</v>
      </c>
      <c r="G300" s="16" t="n">
        <v>0</v>
      </c>
      <c r="H300" s="17" t="n">
        <v>2592.5</v>
      </c>
      <c r="I300" s="16" t="inlineStr">
        <is>
          <t>نعم</t>
        </is>
      </c>
      <c r="J300" s="16" t="inlineStr">
        <is>
          <t>مزرعة الرياض (عهدة/صندوق)</t>
        </is>
      </c>
      <c r="K300" s="16" t="inlineStr">
        <is>
          <t>تخليص جمركي</t>
        </is>
      </c>
      <c r="L300" s="16" t="n"/>
    </row>
    <row r="301">
      <c r="A301" s="9" t="n"/>
      <c r="B301" s="9" t="n"/>
      <c r="C301" s="9" t="inlineStr">
        <is>
          <t>الإجمالي</t>
        </is>
      </c>
      <c r="D301" s="9" t="n"/>
      <c r="E301" s="9" t="n"/>
      <c r="F301" s="10">
        <f>SUM(F2:F300)</f>
        <v/>
      </c>
      <c r="G301" s="9" t="n"/>
      <c r="H301" s="10">
        <f>SUM(H2:H300)</f>
        <v/>
      </c>
      <c r="I301" s="9" t="n"/>
      <c r="J301" s="9" t="n"/>
      <c r="K301" s="9" t="n"/>
      <c r="L301" s="9" t="n"/>
    </row>
  </sheetData>
  <autoFilter ref="A1:L307"/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E48"/>
  <sheetViews>
    <sheetView rightToLeft="1" zoomScale="10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4" t="inlineStr">
        <is>
          <t>ملخص مصروفات مزرعة الرياض 2025 (1-7-2025 إلى 31-12-2025)</t>
        </is>
      </c>
    </row>
    <row r="2"/>
    <row r="3">
      <c r="A3" s="22" t="inlineStr">
        <is>
          <t>التصنيف</t>
        </is>
      </c>
      <c r="B3" s="22" t="inlineStr">
        <is>
          <t>الإجمالي</t>
        </is>
      </c>
      <c r="C3" s="22" t="inlineStr">
        <is>
          <t>عدد الحركات</t>
        </is>
      </c>
      <c r="D3" s="22" t="inlineStr">
        <is>
          <t>منها مدفوع عن طريق تبوك</t>
        </is>
      </c>
      <c r="E3" s="22" t="inlineStr">
        <is>
          <t>منها غير مدفوع</t>
        </is>
      </c>
    </row>
    <row r="4">
      <c r="A4" s="16" t="inlineStr">
        <is>
          <t>مشتريات نباتات وبذور</t>
        </is>
      </c>
      <c r="B4" s="17">
        <f>SUMIFS('مصروفات 2025 - تفصيل'!H2:H300,'مصروفات 2025 - تفصيل'!K2:K300,A4)</f>
        <v/>
      </c>
      <c r="C4" s="16">
        <f>COUNTIFS('مصروفات 2025 - تفصيل'!K2:K300,A4)</f>
        <v/>
      </c>
      <c r="D4" s="17">
        <f>SUMIFS('مصروفات 2025 - تفصيل'!H2:H300,'مصروفات 2025 - تفصيل'!K2:K300,A4,'مصروفات 2025 - تفصيل'!J2:J300,"مزرعة تبوك*")</f>
        <v/>
      </c>
      <c r="E4" s="17">
        <f>SUMIFS('مصروفات 2025 - تفصيل'!H2:H300,'مصروفات 2025 - تفصيل'!K2:K300,A4,'مصروفات 2025 - تفصيل'!I2:I300,"لا")</f>
        <v/>
      </c>
    </row>
    <row r="5">
      <c r="A5" s="16" t="inlineStr">
        <is>
          <t>مواد زراعية (بيتموس/بيرلايت/أسمدة/مبيدات)</t>
        </is>
      </c>
      <c r="B5" s="17">
        <f>SUMIFS('مصروفات 2025 - تفصيل'!H2:H300,'مصروفات 2025 - تفصيل'!K2:K300,A5)</f>
        <v/>
      </c>
      <c r="C5" s="16">
        <f>COUNTIFS('مصروفات 2025 - تفصيل'!K2:K300,A5)</f>
        <v/>
      </c>
      <c r="D5" s="17">
        <f>SUMIFS('مصروفات 2025 - تفصيل'!H2:H300,'مصروفات 2025 - تفصيل'!K2:K300,A5,'مصروفات 2025 - تفصيل'!J2:J300,"مزرعة تبوك*")</f>
        <v/>
      </c>
      <c r="E5" s="17">
        <f>SUMIFS('مصروفات 2025 - تفصيل'!H2:H300,'مصروفات 2025 - تفصيل'!K2:K300,A5,'مصروفات 2025 - تفصيل'!I2:I300,"لا")</f>
        <v/>
      </c>
    </row>
    <row r="6">
      <c r="A6" s="16" t="inlineStr">
        <is>
          <t>رواتب وعمولات</t>
        </is>
      </c>
      <c r="B6" s="17">
        <f>SUMIFS('مصروفات 2025 - تفصيل'!H2:H300,'مصروفات 2025 - تفصيل'!K2:K300,A6)</f>
        <v/>
      </c>
      <c r="C6" s="16">
        <f>COUNTIFS('مصروفات 2025 - تفصيل'!K2:K300,A6)</f>
        <v/>
      </c>
      <c r="D6" s="17">
        <f>SUMIFS('مصروفات 2025 - تفصيل'!H2:H300,'مصروفات 2025 - تفصيل'!K2:K300,A6,'مصروفات 2025 - تفصيل'!J2:J300,"مزرعة تبوك*")</f>
        <v/>
      </c>
      <c r="E6" s="17">
        <f>SUMIFS('مصروفات 2025 - تفصيل'!H2:H300,'مصروفات 2025 - تفصيل'!K2:K300,A6,'مصروفات 2025 - تفصيل'!I2:I300,"لا")</f>
        <v/>
      </c>
    </row>
    <row r="7">
      <c r="A7" s="16" t="inlineStr">
        <is>
          <t>مستلزمات إنتاج (مراكن/فلين/مفارش)</t>
        </is>
      </c>
      <c r="B7" s="17">
        <f>SUMIFS('مصروفات 2025 - تفصيل'!H2:H300,'مصروفات 2025 - تفصيل'!K2:K300,A7)</f>
        <v/>
      </c>
      <c r="C7" s="16">
        <f>COUNTIFS('مصروفات 2025 - تفصيل'!K2:K300,A7)</f>
        <v/>
      </c>
      <c r="D7" s="17">
        <f>SUMIFS('مصروفات 2025 - تفصيل'!H2:H300,'مصروفات 2025 - تفصيل'!K2:K300,A7,'مصروفات 2025 - تفصيل'!J2:J300,"مزرعة تبوك*")</f>
        <v/>
      </c>
      <c r="E7" s="17">
        <f>SUMIFS('مصروفات 2025 - تفصيل'!H2:H300,'مصروفات 2025 - تفصيل'!K2:K300,A7,'مصروفات 2025 - تفصيل'!I2:I300,"لا")</f>
        <v/>
      </c>
    </row>
    <row r="8">
      <c r="A8" s="16" t="inlineStr">
        <is>
          <t>خدمات (كهرباء/مياه/اتصالات)</t>
        </is>
      </c>
      <c r="B8" s="17">
        <f>SUMIFS('مصروفات 2025 - تفصيل'!H2:H300,'مصروفات 2025 - تفصيل'!K2:K300,A8)</f>
        <v/>
      </c>
      <c r="C8" s="16">
        <f>COUNTIFS('مصروفات 2025 - تفصيل'!K2:K300,A8)</f>
        <v/>
      </c>
      <c r="D8" s="17">
        <f>SUMIFS('مصروفات 2025 - تفصيل'!H2:H300,'مصروفات 2025 - تفصيل'!K2:K300,A8,'مصروفات 2025 - تفصيل'!J2:J300,"مزرعة تبوك*")</f>
        <v/>
      </c>
      <c r="E8" s="17">
        <f>SUMIFS('مصروفات 2025 - تفصيل'!H2:H300,'مصروفات 2025 - تفصيل'!K2:K300,A8,'مصروفات 2025 - تفصيل'!I2:I300,"لا")</f>
        <v/>
      </c>
    </row>
    <row r="9">
      <c r="A9" s="16" t="inlineStr">
        <is>
          <t>مصروفات إدارية وأخرى</t>
        </is>
      </c>
      <c r="B9" s="17">
        <f>SUMIFS('مصروفات 2025 - تفصيل'!H2:H300,'مصروفات 2025 - تفصيل'!K2:K300,A9)</f>
        <v/>
      </c>
      <c r="C9" s="16">
        <f>COUNTIFS('مصروفات 2025 - تفصيل'!K2:K300,A9)</f>
        <v/>
      </c>
      <c r="D9" s="17">
        <f>SUMIFS('مصروفات 2025 - تفصيل'!H2:H300,'مصروفات 2025 - تفصيل'!K2:K300,A9,'مصروفات 2025 - تفصيل'!J2:J300,"مزرعة تبوك*")</f>
        <v/>
      </c>
      <c r="E9" s="17">
        <f>SUMIFS('مصروفات 2025 - تفصيل'!H2:H300,'مصروفات 2025 - تفصيل'!K2:K300,A9,'مصروفات 2025 - تفصيل'!I2:I300,"لا")</f>
        <v/>
      </c>
    </row>
    <row r="10">
      <c r="A10" s="16" t="inlineStr">
        <is>
          <t>صيانة سيارات ومعدات</t>
        </is>
      </c>
      <c r="B10" s="17">
        <f>SUMIFS('مصروفات 2025 - تفصيل'!H2:H300,'مصروفات 2025 - تفصيل'!K2:K300,A10)</f>
        <v/>
      </c>
      <c r="C10" s="16">
        <f>COUNTIFS('مصروفات 2025 - تفصيل'!K2:K300,A10)</f>
        <v/>
      </c>
      <c r="D10" s="17">
        <f>SUMIFS('مصروفات 2025 - تفصيل'!H2:H300,'مصروفات 2025 - تفصيل'!K2:K300,A10,'مصروفات 2025 - تفصيل'!J2:J300,"مزرعة تبوك*")</f>
        <v/>
      </c>
      <c r="E10" s="17">
        <f>SUMIFS('مصروفات 2025 - تفصيل'!H2:H300,'مصروفات 2025 - تفصيل'!K2:K300,A10,'مصروفات 2025 - تفصيل'!I2:I300,"لا")</f>
        <v/>
      </c>
    </row>
    <row r="11">
      <c r="A11" s="16" t="inlineStr">
        <is>
          <t>صيانة وإنشاءات المزرعة</t>
        </is>
      </c>
      <c r="B11" s="17">
        <f>SUMIFS('مصروفات 2025 - تفصيل'!H2:H300,'مصروفات 2025 - تفصيل'!K2:K300,A11)</f>
        <v/>
      </c>
      <c r="C11" s="16">
        <f>COUNTIFS('مصروفات 2025 - تفصيل'!K2:K300,A11)</f>
        <v/>
      </c>
      <c r="D11" s="17">
        <f>SUMIFS('مصروفات 2025 - تفصيل'!H2:H300,'مصروفات 2025 - تفصيل'!K2:K300,A11,'مصروفات 2025 - تفصيل'!J2:J300,"مزرعة تبوك*")</f>
        <v/>
      </c>
      <c r="E11" s="17">
        <f>SUMIFS('مصروفات 2025 - تفصيل'!H2:H300,'مصروفات 2025 - تفصيل'!K2:K300,A11,'مصروفات 2025 - تفصيل'!I2:I300,"لا")</f>
        <v/>
      </c>
    </row>
    <row r="12">
      <c r="A12" s="16" t="inlineStr">
        <is>
          <t>وقود</t>
        </is>
      </c>
      <c r="B12" s="17">
        <f>SUMIFS('مصروفات 2025 - تفصيل'!H2:H300,'مصروفات 2025 - تفصيل'!K2:K300,A12)</f>
        <v/>
      </c>
      <c r="C12" s="16">
        <f>COUNTIFS('مصروفات 2025 - تفصيل'!K2:K300,A12)</f>
        <v/>
      </c>
      <c r="D12" s="17">
        <f>SUMIFS('مصروفات 2025 - تفصيل'!H2:H300,'مصروفات 2025 - تفصيل'!K2:K300,A12,'مصروفات 2025 - تفصيل'!J2:J300,"مزرعة تبوك*")</f>
        <v/>
      </c>
      <c r="E12" s="17">
        <f>SUMIFS('مصروفات 2025 - تفصيل'!H2:H300,'مصروفات 2025 - تفصيل'!K2:K300,A12,'مصروفات 2025 - تفصيل'!I2:I300,"لا")</f>
        <v/>
      </c>
    </row>
    <row r="13">
      <c r="A13" s="16" t="inlineStr">
        <is>
          <t>تخليص جمركي</t>
        </is>
      </c>
      <c r="B13" s="17">
        <f>SUMIFS('مصروفات 2025 - تفصيل'!H2:H300,'مصروفات 2025 - تفصيل'!K2:K300,A13)</f>
        <v/>
      </c>
      <c r="C13" s="16">
        <f>COUNTIFS('مصروفات 2025 - تفصيل'!K2:K300,A13)</f>
        <v/>
      </c>
      <c r="D13" s="17">
        <f>SUMIFS('مصروفات 2025 - تفصيل'!H2:H300,'مصروفات 2025 - تفصيل'!K2:K300,A13,'مصروفات 2025 - تفصيل'!J2:J300,"مزرعة تبوك*")</f>
        <v/>
      </c>
      <c r="E13" s="17">
        <f>SUMIFS('مصروفات 2025 - تفصيل'!H2:H300,'مصروفات 2025 - تفصيل'!K2:K300,A13,'مصروفات 2025 - تفصيل'!I2:I300,"لا")</f>
        <v/>
      </c>
    </row>
    <row r="14">
      <c r="A14" s="9" t="inlineStr">
        <is>
          <t>الإجمالي</t>
        </is>
      </c>
      <c r="B14" s="10">
        <f>SUM(B4:B13)</f>
        <v/>
      </c>
      <c r="C14" s="9">
        <f>SUM(C4:C13)</f>
        <v/>
      </c>
      <c r="D14" s="10">
        <f>SUM(D4:D13)</f>
        <v/>
      </c>
      <c r="E14" s="10">
        <f>SUM(E4:E13)</f>
        <v/>
      </c>
    </row>
    <row r="15"/>
    <row r="16">
      <c r="A16" s="59" t="inlineStr">
        <is>
          <t>حسب الشهر</t>
        </is>
      </c>
    </row>
    <row r="17">
      <c r="A17" s="22" t="inlineStr">
        <is>
          <t>الشهر</t>
        </is>
      </c>
      <c r="B17" s="22" t="inlineStr">
        <is>
          <t>الإجمالي</t>
        </is>
      </c>
      <c r="C17" s="22" t="inlineStr">
        <is>
          <t>عدد الحركات</t>
        </is>
      </c>
      <c r="D17" s="22" t="n"/>
      <c r="E17" s="22" t="n"/>
    </row>
    <row r="18">
      <c r="A18" s="16" t="inlineStr">
        <is>
          <t>06-2025</t>
        </is>
      </c>
      <c r="B18" s="17">
        <f>SUMIFS('مصروفات 2025 - تفصيل'!H2:H300,'مصروفات 2025 - تفصيل'!B2:B300,"&gt;="&amp;DATE(2025,6,1),'مصروفات 2025 - تفصيل'!B2:B300,"&lt;"&amp;DATE(2025,7,1))</f>
        <v/>
      </c>
      <c r="C18" s="16">
        <f>COUNTIFS('مصروفات 2025 - تفصيل'!B2:B300,"&gt;="&amp;DATE(2025,6,1),'مصروفات 2025 - تفصيل'!B2:B300,"&lt;"&amp;DATE(2025,7,1))</f>
        <v/>
      </c>
      <c r="D18" s="16" t="n"/>
      <c r="E18" s="16" t="n"/>
    </row>
    <row r="19">
      <c r="A19" s="16" t="inlineStr">
        <is>
          <t>07-2025</t>
        </is>
      </c>
      <c r="B19" s="17">
        <f>SUMIFS('مصروفات 2025 - تفصيل'!H2:H300,'مصروفات 2025 - تفصيل'!B2:B300,"&gt;="&amp;DATE(2025,7,1),'مصروفات 2025 - تفصيل'!B2:B300,"&lt;"&amp;DATE(2025,8,1))</f>
        <v/>
      </c>
      <c r="C19" s="16">
        <f>COUNTIFS('مصروفات 2025 - تفصيل'!B2:B300,"&gt;="&amp;DATE(2025,7,1),'مصروفات 2025 - تفصيل'!B2:B300,"&lt;"&amp;DATE(2025,8,1))</f>
        <v/>
      </c>
      <c r="D19" s="16" t="n"/>
      <c r="E19" s="16" t="n"/>
    </row>
    <row r="20">
      <c r="A20" s="16" t="inlineStr">
        <is>
          <t>08-2025</t>
        </is>
      </c>
      <c r="B20" s="17">
        <f>SUMIFS('مصروفات 2025 - تفصيل'!H2:H300,'مصروفات 2025 - تفصيل'!B2:B300,"&gt;="&amp;DATE(2025,8,1),'مصروفات 2025 - تفصيل'!B2:B300,"&lt;"&amp;DATE(2025,9,1))</f>
        <v/>
      </c>
      <c r="C20" s="16">
        <f>COUNTIFS('مصروفات 2025 - تفصيل'!B2:B300,"&gt;="&amp;DATE(2025,8,1),'مصروفات 2025 - تفصيل'!B2:B300,"&lt;"&amp;DATE(2025,9,1))</f>
        <v/>
      </c>
      <c r="D20" s="16" t="n"/>
      <c r="E20" s="16" t="n"/>
    </row>
    <row r="21">
      <c r="A21" s="16" t="inlineStr">
        <is>
          <t>09-2025</t>
        </is>
      </c>
      <c r="B21" s="17">
        <f>SUMIFS('مصروفات 2025 - تفصيل'!H2:H300,'مصروفات 2025 - تفصيل'!B2:B300,"&gt;="&amp;DATE(2025,9,1),'مصروفات 2025 - تفصيل'!B2:B300,"&lt;"&amp;DATE(2025,10,1))</f>
        <v/>
      </c>
      <c r="C21" s="16">
        <f>COUNTIFS('مصروفات 2025 - تفصيل'!B2:B300,"&gt;="&amp;DATE(2025,9,1),'مصروفات 2025 - تفصيل'!B2:B300,"&lt;"&amp;DATE(2025,10,1))</f>
        <v/>
      </c>
      <c r="D21" s="16" t="n"/>
      <c r="E21" s="16" t="n"/>
    </row>
    <row r="22">
      <c r="A22" s="16" t="inlineStr">
        <is>
          <t>10-2025</t>
        </is>
      </c>
      <c r="B22" s="17">
        <f>SUMIFS('مصروفات 2025 - تفصيل'!H2:H300,'مصروفات 2025 - تفصيل'!B2:B300,"&gt;="&amp;DATE(2025,10,1),'مصروفات 2025 - تفصيل'!B2:B300,"&lt;"&amp;DATE(2025,11,1))</f>
        <v/>
      </c>
      <c r="C22" s="16">
        <f>COUNTIFS('مصروفات 2025 - تفصيل'!B2:B300,"&gt;="&amp;DATE(2025,10,1),'مصروفات 2025 - تفصيل'!B2:B300,"&lt;"&amp;DATE(2025,11,1))</f>
        <v/>
      </c>
      <c r="D22" s="16" t="n"/>
      <c r="E22" s="16" t="n"/>
    </row>
    <row r="23">
      <c r="A23" s="16" t="inlineStr">
        <is>
          <t>11-2025</t>
        </is>
      </c>
      <c r="B23" s="17">
        <f>SUMIFS('مصروفات 2025 - تفصيل'!H2:H300,'مصروفات 2025 - تفصيل'!B2:B300,"&gt;="&amp;DATE(2025,11,1),'مصروفات 2025 - تفصيل'!B2:B300,"&lt;"&amp;DATE(2025,12,1))</f>
        <v/>
      </c>
      <c r="C23" s="16">
        <f>COUNTIFS('مصروفات 2025 - تفصيل'!B2:B300,"&gt;="&amp;DATE(2025,11,1),'مصروفات 2025 - تفصيل'!B2:B300,"&lt;"&amp;DATE(2025,12,1))</f>
        <v/>
      </c>
      <c r="D23" s="16" t="n"/>
      <c r="E23" s="16" t="n"/>
    </row>
    <row r="24">
      <c r="A24" s="16" t="inlineStr">
        <is>
          <t>12-2025</t>
        </is>
      </c>
      <c r="B24" s="17">
        <f>SUMIFS('مصروفات 2025 - تفصيل'!H2:H300,'مصروفات 2025 - تفصيل'!B2:B300,"&gt;="&amp;DATE(2025,12,1),'مصروفات 2025 - تفصيل'!B2:B300,"&lt;"&amp;DATE(2026,1,1))</f>
        <v/>
      </c>
      <c r="C24" s="16">
        <f>COUNTIFS('مصروفات 2025 - تفصيل'!B2:B300,"&gt;="&amp;DATE(2025,12,1),'مصروفات 2025 - تفصيل'!B2:B300,"&lt;"&amp;DATE(2026,1,1))</f>
        <v/>
      </c>
      <c r="D24" s="16" t="n"/>
      <c r="E24" s="16" t="n"/>
    </row>
    <row r="25">
      <c r="A25" s="9" t="inlineStr">
        <is>
          <t>الإجمالي</t>
        </is>
      </c>
      <c r="B25" s="10">
        <f>SUM(B18:B24)</f>
        <v/>
      </c>
      <c r="C25" s="9">
        <f>SUM(C18:C24)</f>
        <v/>
      </c>
      <c r="D25" s="9" t="n"/>
      <c r="E25" s="9" t="n"/>
    </row>
    <row r="26"/>
    <row r="27">
      <c r="A27" s="59" t="inlineStr">
        <is>
          <t>مبالغ دفعتها مزرعة تبوك عن مزرعة الرياض في 2025 (مديونية على مزرعة الرياض)</t>
        </is>
      </c>
    </row>
    <row r="28">
      <c r="A28" s="22" t="inlineStr">
        <is>
          <t>المورد</t>
        </is>
      </c>
      <c r="B28" s="22" t="inlineStr">
        <is>
          <t>التاريخ</t>
        </is>
      </c>
      <c r="C28" s="22" t="inlineStr">
        <is>
          <t>أمر الشراء</t>
        </is>
      </c>
      <c r="D28" s="22" t="inlineStr">
        <is>
          <t>المبلغ</t>
        </is>
      </c>
      <c r="E28" s="22" t="n"/>
    </row>
    <row r="29">
      <c r="A29" s="16" t="inlineStr">
        <is>
          <t>شركة المدارات السعودية للتجارة والاستيراد</t>
        </is>
      </c>
      <c r="B29" s="95" t="n">
        <v>45880</v>
      </c>
      <c r="C29" s="16" t="inlineStr">
        <is>
          <t>RIYADH NURSERY-PO599</t>
        </is>
      </c>
      <c r="D29" s="17" t="n">
        <v>4600</v>
      </c>
      <c r="E29" s="16" t="n"/>
    </row>
    <row r="30">
      <c r="A30" s="16" t="inlineStr">
        <is>
          <t>Arabian Vermiculite Industries (AVI)</t>
        </is>
      </c>
      <c r="B30" s="95" t="n">
        <v>45887</v>
      </c>
      <c r="C30" s="16" t="inlineStr">
        <is>
          <t>RIYADH NURSERY</t>
        </is>
      </c>
      <c r="D30" s="17" t="n">
        <v>17043</v>
      </c>
      <c r="E30" s="16" t="n"/>
    </row>
    <row r="31">
      <c r="A31" s="16" t="inlineStr">
        <is>
          <t>شركة التاج المميزة التجارية</t>
        </is>
      </c>
      <c r="B31" s="95" t="n">
        <v>45887</v>
      </c>
      <c r="C31" s="16" t="inlineStr">
        <is>
          <t>RIYADH NURSERY-PO#627</t>
        </is>
      </c>
      <c r="D31" s="17" t="n">
        <v>27025</v>
      </c>
      <c r="E31" s="16" t="n"/>
    </row>
    <row r="32">
      <c r="A32" s="16" t="inlineStr">
        <is>
          <t>شركة التكامل</t>
        </is>
      </c>
      <c r="B32" s="95" t="n">
        <v>45901</v>
      </c>
      <c r="C32" s="16" t="inlineStr">
        <is>
          <t>RIYADH NURSERYpo-747</t>
        </is>
      </c>
      <c r="D32" s="17" t="n">
        <v>22356</v>
      </c>
      <c r="E32" s="16" t="n"/>
    </row>
    <row r="33">
      <c r="A33" s="16" t="inlineStr">
        <is>
          <t>شركة سائح لى للبلاستيك المحدوده</t>
        </is>
      </c>
      <c r="B33" s="95" t="n">
        <v>45913</v>
      </c>
      <c r="C33" s="16" t="inlineStr">
        <is>
          <t>RIYADH NURSERY-PO749</t>
        </is>
      </c>
      <c r="D33" s="17" t="n">
        <v>2260.44</v>
      </c>
      <c r="E33" s="16" t="n"/>
    </row>
    <row r="34">
      <c r="A34" s="16" t="inlineStr">
        <is>
          <t>شركة سائح لى للبلاستيك المحدوده</t>
        </is>
      </c>
      <c r="B34" s="95" t="n">
        <v>45913</v>
      </c>
      <c r="C34" s="16" t="inlineStr">
        <is>
          <t>RIYADH NURSERY-PO-736</t>
        </is>
      </c>
      <c r="D34" s="17" t="n">
        <v>2260.44</v>
      </c>
      <c r="E34" s="16" t="n"/>
    </row>
    <row r="35">
      <c r="A35" s="16" t="inlineStr">
        <is>
          <t>شركة التاج المميزة التجارية</t>
        </is>
      </c>
      <c r="B35" s="95" t="n">
        <v>45920</v>
      </c>
      <c r="C35" s="16" t="inlineStr">
        <is>
          <t>RIYADH NURSERY PO-743</t>
        </is>
      </c>
      <c r="D35" s="17" t="n">
        <v>28750</v>
      </c>
      <c r="E35" s="16" t="n"/>
    </row>
    <row r="36">
      <c r="A36" s="16" t="inlineStr">
        <is>
          <t>شركة المدارات السعودية للتجارة والاستيراد</t>
        </is>
      </c>
      <c r="B36" s="95" t="n">
        <v>45921</v>
      </c>
      <c r="C36" s="16" t="inlineStr">
        <is>
          <t>RIYADH NURSERY-PO785</t>
        </is>
      </c>
      <c r="D36" s="17" t="n">
        <v>9200</v>
      </c>
      <c r="E36" s="16" t="n"/>
    </row>
    <row r="37">
      <c r="A37" s="16" t="inlineStr">
        <is>
          <t>شركة سائح لى للبلاستيك المحدوده</t>
        </is>
      </c>
      <c r="B37" s="95" t="n">
        <v>45926</v>
      </c>
      <c r="C37" s="16" t="inlineStr">
        <is>
          <t>RIYADH NURSERY</t>
        </is>
      </c>
      <c r="D37" s="17" t="n">
        <v>4520.88</v>
      </c>
      <c r="E37" s="16" t="n"/>
    </row>
    <row r="38">
      <c r="A38" s="16" t="inlineStr">
        <is>
          <t>شركة الياسين الزراعية</t>
        </is>
      </c>
      <c r="B38" s="95" t="n">
        <v>45930</v>
      </c>
      <c r="C38" s="16" t="inlineStr">
        <is>
          <t>RIYADH NURSERY</t>
        </is>
      </c>
      <c r="D38" s="17" t="n">
        <v>58063.5</v>
      </c>
      <c r="E38" s="16" t="n"/>
    </row>
    <row r="39">
      <c r="A39" s="16" t="inlineStr">
        <is>
          <t>شركة المدارات السعودية للتجارة والاستيراد</t>
        </is>
      </c>
      <c r="B39" s="95" t="n">
        <v>45953</v>
      </c>
      <c r="C39" s="16" t="inlineStr">
        <is>
          <t>RIYADH NURSERY - PO1040</t>
        </is>
      </c>
      <c r="D39" s="17" t="n">
        <v>50600</v>
      </c>
      <c r="E39" s="16" t="n"/>
    </row>
    <row r="40">
      <c r="A40" s="9" t="inlineStr">
        <is>
          <t>الإجمالي</t>
        </is>
      </c>
      <c r="B40" s="9" t="n"/>
      <c r="C40" s="9" t="n"/>
      <c r="D40" s="10">
        <f>SUM(D29:D39)</f>
        <v/>
      </c>
      <c r="E40" s="9" t="n"/>
    </row>
    <row r="41" ht="45" customHeight="1">
      <c r="A41" s="65" t="n"/>
    </row>
    <row r="42" ht="45" customHeight="1">
      <c r="A42" s="66" t="inlineStr">
        <is>
          <t>ملاحظات المراجعة:</t>
        </is>
      </c>
    </row>
    <row r="43" ht="45" customHeight="1">
      <c r="A43" s="65" t="inlineStr">
        <is>
          <t>1) ملفا 2025 متطابقان. كل الحركات صحيحة ضريبياً. تم حذف كل مشتريات الجزيرة الحديثة (عقد عرعر – 7 حركات بقيمة 198,102.50) لأنها خاصة بعقد بساتين الرياض ومسددة بالكامل.</t>
        </is>
      </c>
    </row>
    <row r="44" ht="45" customHeight="1">
      <c r="A44" s="65" t="inlineStr">
        <is>
          <t>2) مبالغ دفعتها تبوك: فلتر الملف الثاني (المرجع = تحويل بنكي) يُظهر 11 حركة بقيمة 226,679.26. ⚠ الرقم المكتوب يدوياً بالملف 269,099.26 أكبر بـ 42,420 بدون أي حركات تفسره – يلزم مستند.</t>
        </is>
      </c>
    </row>
    <row r="45" ht="45" customHeight="1">
      <c r="A45" s="65" t="inlineStr">
        <is>
          <t>3) ⚠ مشتريات 2025 غير مدفوعة تم سدادها في 2026 بأوامر شراء جديدة: PO711+PO748 (بساتين) = PO-288 (86,255.75)، PO838+PO876 (بساتين) = PO-287-REV1 (61,490.50)، PO877+PO878 (مشتل الجودة) = PO-296 (49,550)، غرس نجد = PO-295 (14,515). الإجمالي 211,811.25 – وهذا يفسر أن تواريخ هذه الأوامر يناير 2026 وأرقامها من تسلسل لاحق. يجب عدم احتسابها مرتين (مرة كمصروف 2025 ومرة كمشتريات 2026).</t>
        </is>
      </c>
    </row>
    <row r="46" ht="45" customHeight="1">
      <c r="A46" s="65" t="inlineStr">
        <is>
          <t>4) لا توجد مديونية للجزيرة الحديثة – كل مسحوباتها مسددة (حسب صاحب الحساب) ومحذوفة من الحسابات.</t>
        </is>
      </c>
    </row>
    <row r="47" ht="45" customHeight="1">
      <c r="A47" s="65" t="inlineStr">
        <is>
          <t>5) ⚠ حركات مكررة (نفس المورد والتاريخ والقيمة) تحتاج تأكيد – ملونة بالأصفر في التفصيل، أبرزها المدارات 50,600 مرتين في 23-10-2025 (PO1040 دفعته تبوك و PO1043 نقداً).</t>
        </is>
      </c>
    </row>
    <row r="48" ht="45" customHeight="1">
      <c r="A48" s="65" t="inlineStr">
        <is>
          <t>6) فاتورة كهرباء شهر 6 (6,003.31) تاريخها قبل 1-7-2025 – بالرمادي.</t>
        </is>
      </c>
    </row>
    <row r="49" ht="45" customHeight="1"/>
  </sheetData>
  <mergeCells count="9">
    <mergeCell ref="A48:E48"/>
    <mergeCell ref="A43:E43"/>
    <mergeCell ref="A42:E42"/>
    <mergeCell ref="A41:E41"/>
    <mergeCell ref="A47:E47"/>
    <mergeCell ref="A45:E45"/>
    <mergeCell ref="A1:E1"/>
    <mergeCell ref="A46:E46"/>
    <mergeCell ref="A44:E44"/>
  </mergeCells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22"/>
  <sheetViews>
    <sheetView rightToLeft="1" zoomScale="10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3" customWidth="1" min="3" max="3"/>
    <col width="17" customWidth="1" min="4" max="4"/>
    <col width="15" customWidth="1" min="5" max="5"/>
    <col width="17" customWidth="1" min="6" max="6"/>
    <col width="14" customWidth="1" min="7" max="7"/>
    <col width="17" customWidth="1" min="8" max="8"/>
    <col width="10" customWidth="1" min="9" max="9"/>
    <col width="18" customWidth="1" min="10" max="10"/>
    <col width="12" customWidth="1" min="11" max="11"/>
  </cols>
  <sheetData>
    <row r="1">
      <c r="A1" s="1" t="inlineStr">
        <is>
          <t>ملخص حركات المواد – مزرعة الرياض</t>
        </is>
      </c>
    </row>
    <row r="2">
      <c r="A2" t="inlineStr">
        <is>
          <t>الفترة الكاملة: من 30-7-2025 إلى 31-7-2026 – سجل الحركات (النظام القديم) + النظام الجديد (يونيو–يوليو 2026) بعد المراجعة مع السندات وملف التفصيل.</t>
        </is>
      </c>
    </row>
    <row r="3"/>
    <row r="4" ht="48" customHeight="1">
      <c r="A4" s="22" t="inlineStr">
        <is>
          <t>الرمز</t>
        </is>
      </c>
      <c r="B4" s="22" t="inlineStr">
        <is>
          <t>نوع الحركة</t>
        </is>
      </c>
      <c r="C4" s="22" t="inlineStr">
        <is>
          <t>عدد – النظام القديم (حتى 22-2)</t>
        </is>
      </c>
      <c r="D4" s="22" t="inlineStr">
        <is>
          <t>قيمة النظام القديم</t>
        </is>
      </c>
      <c r="E4" s="22" t="inlineStr">
        <is>
          <t>عدد – سجل صرف المخزن (24-2 إلى 2-6)</t>
        </is>
      </c>
      <c r="F4" s="22" t="inlineStr">
        <is>
          <t>قيمة سجل الصرف</t>
        </is>
      </c>
      <c r="G4" s="22" t="inlineStr">
        <is>
          <t>عدد – النظام الجديد (13-6 إلى 31-7)</t>
        </is>
      </c>
      <c r="H4" s="22" t="inlineStr">
        <is>
          <t>قيمة النظام الجديد</t>
        </is>
      </c>
      <c r="I4" s="22" t="inlineStr">
        <is>
          <t>إجمالي العدد</t>
        </is>
      </c>
      <c r="J4" s="22" t="inlineStr">
        <is>
          <t>الإجمالي للفترة</t>
        </is>
      </c>
      <c r="K4" s="22" t="inlineStr">
        <is>
          <t>عقود بتفصيل بنود</t>
        </is>
      </c>
    </row>
    <row r="5">
      <c r="A5" s="16" t="inlineStr">
        <is>
          <t>TNR</t>
        </is>
      </c>
      <c r="B5" s="16" t="inlineStr">
        <is>
          <t>ترحيل من تبوك إلى الرياض</t>
        </is>
      </c>
      <c r="C5" s="16">
        <f>COUNTIFS('مواد - سجل العقود'!B2:B339,"TNR",'مواد - سجل العقود'!I2:I339,"النظام القديم",'مواد - سجل العقود'!J2:J339,"نعم")</f>
        <v/>
      </c>
      <c r="D5" s="17">
        <f>SUMIFS('مواد - سجل العقود'!H2:H339,'مواد - سجل العقود'!B2:B339,"TNR",'مواد - سجل العقود'!I2:I339,"النظام القديم",'مواد - سجل العقود'!J2:J339,"نعم")</f>
        <v/>
      </c>
      <c r="E5" s="16">
        <f>COUNTIFS('مواد - سجل العقود'!B2:B339,"TNR",'مواد - سجل العقود'!I2:I339,"سجل صرف المخزن",'مواد - سجل العقود'!J2:J339,"نعم")</f>
        <v/>
      </c>
      <c r="F5" s="17">
        <f>SUMIFS('مواد - سجل العقود'!H2:H339,'مواد - سجل العقود'!B2:B339,"TNR",'مواد - سجل العقود'!I2:I339,"سجل صرف المخزن",'مواد - سجل العقود'!J2:J339,"نعم")</f>
        <v/>
      </c>
      <c r="G5" s="16">
        <f>COUNTIFS('مواد - سجل العقود'!B2:B339,"TNR",'مواد - سجل العقود'!I2:I339,"النظام الجديد",'مواد - سجل العقود'!J2:J339,"نعم")</f>
        <v/>
      </c>
      <c r="H5" s="17">
        <f>SUMIFS('مواد - سجل العقود'!H2:H339,'مواد - سجل العقود'!B2:B339,"TNR",'مواد - سجل العقود'!I2:I339,"النظام الجديد",'مواد - سجل العقود'!J2:J339,"نعم")</f>
        <v/>
      </c>
      <c r="I5" s="16">
        <f>C5+E5+G5</f>
        <v/>
      </c>
      <c r="J5" s="17">
        <f>D5+F5+H5</f>
        <v/>
      </c>
      <c r="K5" s="16" t="n">
        <v>3</v>
      </c>
    </row>
    <row r="6">
      <c r="A6" s="16" t="inlineStr">
        <is>
          <t>RNT</t>
        </is>
      </c>
      <c r="B6" s="16" t="inlineStr">
        <is>
          <t>ترحيل من الرياض إلى تبوك</t>
        </is>
      </c>
      <c r="C6" s="16">
        <f>COUNTIFS('مواد - سجل العقود'!B2:B339,"RNT",'مواد - سجل العقود'!I2:I339,"النظام القديم",'مواد - سجل العقود'!J2:J339,"نعم")</f>
        <v/>
      </c>
      <c r="D6" s="17">
        <f>SUMIFS('مواد - سجل العقود'!H2:H339,'مواد - سجل العقود'!B2:B339,"RNT",'مواد - سجل العقود'!I2:I339,"النظام القديم",'مواد - سجل العقود'!J2:J339,"نعم")</f>
        <v/>
      </c>
      <c r="E6" s="16">
        <f>COUNTIFS('مواد - سجل العقود'!B2:B339,"RNT",'مواد - سجل العقود'!I2:I339,"سجل صرف المخزن",'مواد - سجل العقود'!J2:J339,"نعم")</f>
        <v/>
      </c>
      <c r="F6" s="17">
        <f>SUMIFS('مواد - سجل العقود'!H2:H339,'مواد - سجل العقود'!B2:B339,"RNT",'مواد - سجل العقود'!I2:I339,"سجل صرف المخزن",'مواد - سجل العقود'!J2:J339,"نعم")</f>
        <v/>
      </c>
      <c r="G6" s="16">
        <f>COUNTIFS('مواد - سجل العقود'!B2:B339,"RNT",'مواد - سجل العقود'!I2:I339,"النظام الجديد",'مواد - سجل العقود'!J2:J339,"نعم")</f>
        <v/>
      </c>
      <c r="H6" s="17">
        <f>SUMIFS('مواد - سجل العقود'!H2:H339,'مواد - سجل العقود'!B2:B339,"RNT",'مواد - سجل العقود'!I2:I339,"النظام الجديد",'مواد - سجل العقود'!J2:J339,"نعم")</f>
        <v/>
      </c>
      <c r="I6" s="16">
        <f>C6+E6+G6</f>
        <v/>
      </c>
      <c r="J6" s="17">
        <f>D6+F6+H6</f>
        <v/>
      </c>
      <c r="K6" s="16" t="n">
        <v>7</v>
      </c>
    </row>
    <row r="7">
      <c r="A7" s="16" t="inlineStr">
        <is>
          <t>RNP</t>
        </is>
      </c>
      <c r="B7" s="16" t="inlineStr">
        <is>
          <t>ترحيل إلى قسم المشاريع تبوك</t>
        </is>
      </c>
      <c r="C7" s="16">
        <f>COUNTIFS('مواد - سجل العقود'!B2:B339,"RNP",'مواد - سجل العقود'!I2:I339,"النظام القديم",'مواد - سجل العقود'!J2:J339,"نعم")</f>
        <v/>
      </c>
      <c r="D7" s="17">
        <f>SUMIFS('مواد - سجل العقود'!H2:H339,'مواد - سجل العقود'!B2:B339,"RNP",'مواد - سجل العقود'!I2:I339,"النظام القديم",'مواد - سجل العقود'!J2:J339,"نعم")</f>
        <v/>
      </c>
      <c r="E7" s="16">
        <f>COUNTIFS('مواد - سجل العقود'!B2:B339,"RNP",'مواد - سجل العقود'!I2:I339,"سجل صرف المخزن",'مواد - سجل العقود'!J2:J339,"نعم")</f>
        <v/>
      </c>
      <c r="F7" s="17">
        <f>SUMIFS('مواد - سجل العقود'!H2:H339,'مواد - سجل العقود'!B2:B339,"RNP",'مواد - سجل العقود'!I2:I339,"سجل صرف المخزن",'مواد - سجل العقود'!J2:J339,"نعم")</f>
        <v/>
      </c>
      <c r="G7" s="16">
        <f>COUNTIFS('مواد - سجل العقود'!B2:B339,"RNP",'مواد - سجل العقود'!I2:I339,"النظام الجديد",'مواد - سجل العقود'!J2:J339,"نعم")</f>
        <v/>
      </c>
      <c r="H7" s="17">
        <f>SUMIFS('مواد - سجل العقود'!H2:H339,'مواد - سجل العقود'!B2:B339,"RNP",'مواد - سجل العقود'!I2:I339,"النظام الجديد",'مواد - سجل العقود'!J2:J339,"نعم")</f>
        <v/>
      </c>
      <c r="I7" s="16">
        <f>C7+E7+G7</f>
        <v/>
      </c>
      <c r="J7" s="17">
        <f>D7+F7+H7</f>
        <v/>
      </c>
      <c r="K7" s="16" t="n">
        <v>34</v>
      </c>
    </row>
    <row r="8">
      <c r="A8" s="16" t="inlineStr">
        <is>
          <t>RNO</t>
        </is>
      </c>
      <c r="B8" s="16" t="inlineStr">
        <is>
          <t>صرف مواد للإنتاج – مزرعة الرياض</t>
        </is>
      </c>
      <c r="C8" s="16">
        <f>COUNTIFS('مواد - سجل العقود'!B2:B339,"RNO",'مواد - سجل العقود'!I2:I339,"النظام القديم",'مواد - سجل العقود'!J2:J339,"نعم")</f>
        <v/>
      </c>
      <c r="D8" s="17">
        <f>SUMIFS('مواد - سجل العقود'!H2:H339,'مواد - سجل العقود'!B2:B339,"RNO",'مواد - سجل العقود'!I2:I339,"النظام القديم",'مواد - سجل العقود'!J2:J339,"نعم")</f>
        <v/>
      </c>
      <c r="E8" s="16">
        <f>COUNTIFS('مواد - سجل العقود'!B2:B339,"RNO",'مواد - سجل العقود'!I2:I339,"سجل صرف المخزن",'مواد - سجل العقود'!J2:J339,"نعم")</f>
        <v/>
      </c>
      <c r="F8" s="17">
        <f>SUMIFS('مواد - سجل العقود'!H2:H339,'مواد - سجل العقود'!B2:B339,"RNO",'مواد - سجل العقود'!I2:I339,"سجل صرف المخزن",'مواد - سجل العقود'!J2:J339,"نعم")</f>
        <v/>
      </c>
      <c r="G8" s="16">
        <f>COUNTIFS('مواد - سجل العقود'!B2:B339,"RNO",'مواد - سجل العقود'!I2:I339,"النظام الجديد",'مواد - سجل العقود'!J2:J339,"نعم")</f>
        <v/>
      </c>
      <c r="H8" s="17">
        <f>SUMIFS('مواد - سجل العقود'!H2:H339,'مواد - سجل العقود'!B2:B339,"RNO",'مواد - سجل العقود'!I2:I339,"النظام الجديد",'مواد - سجل العقود'!J2:J339,"نعم")</f>
        <v/>
      </c>
      <c r="I8" s="16">
        <f>C8+E8+G8</f>
        <v/>
      </c>
      <c r="J8" s="17">
        <f>D8+F8+H8</f>
        <v/>
      </c>
      <c r="K8" s="16" t="n">
        <v>97</v>
      </c>
    </row>
    <row r="9">
      <c r="A9" s="16" t="inlineStr">
        <is>
          <t>RNL</t>
        </is>
      </c>
      <c r="B9" s="16" t="inlineStr">
        <is>
          <t>كميات هالكة ومفقودة</t>
        </is>
      </c>
      <c r="C9" s="16">
        <f>COUNTIFS('مواد - سجل العقود'!B2:B339,"RNL",'مواد - سجل العقود'!I2:I339,"النظام القديم",'مواد - سجل العقود'!J2:J339,"نعم")</f>
        <v/>
      </c>
      <c r="D9" s="17">
        <f>SUMIFS('مواد - سجل العقود'!H2:H339,'مواد - سجل العقود'!B2:B339,"RNL",'مواد - سجل العقود'!I2:I339,"النظام القديم",'مواد - سجل العقود'!J2:J339,"نعم")</f>
        <v/>
      </c>
      <c r="E9" s="16">
        <f>COUNTIFS('مواد - سجل العقود'!B2:B339,"RNL",'مواد - سجل العقود'!I2:I339,"سجل صرف المخزن",'مواد - سجل العقود'!J2:J339,"نعم")</f>
        <v/>
      </c>
      <c r="F9" s="17">
        <f>SUMIFS('مواد - سجل العقود'!H2:H339,'مواد - سجل العقود'!B2:B339,"RNL",'مواد - سجل العقود'!I2:I339,"سجل صرف المخزن",'مواد - سجل العقود'!J2:J339,"نعم")</f>
        <v/>
      </c>
      <c r="G9" s="16">
        <f>COUNTIFS('مواد - سجل العقود'!B2:B339,"RNL",'مواد - سجل العقود'!I2:I339,"النظام الجديد",'مواد - سجل العقود'!J2:J339,"نعم")</f>
        <v/>
      </c>
      <c r="H9" s="17">
        <f>SUMIFS('مواد - سجل العقود'!H2:H339,'مواد - سجل العقود'!B2:B339,"RNL",'مواد - سجل العقود'!I2:I339,"النظام الجديد",'مواد - سجل العقود'!J2:J339,"نعم")</f>
        <v/>
      </c>
      <c r="I9" s="16">
        <f>C9+E9+G9</f>
        <v/>
      </c>
      <c r="J9" s="17">
        <f>D9+F9+H9</f>
        <v/>
      </c>
      <c r="K9" s="16" t="n">
        <v>32</v>
      </c>
    </row>
    <row r="10">
      <c r="A10" s="9" t="n"/>
      <c r="B10" s="9" t="inlineStr">
        <is>
          <t>الإجمالي</t>
        </is>
      </c>
      <c r="C10" s="9">
        <f>SUM(C5:C9)</f>
        <v/>
      </c>
      <c r="D10" s="10">
        <f>SUM(D5:D9)</f>
        <v/>
      </c>
      <c r="E10" s="9">
        <f>SUM(E5:E9)</f>
        <v/>
      </c>
      <c r="F10" s="10">
        <f>SUM(F5:F9)</f>
        <v/>
      </c>
      <c r="G10" s="9">
        <f>SUM(G5:G9)</f>
        <v/>
      </c>
      <c r="H10" s="10">
        <f>SUM(H5:H9)</f>
        <v/>
      </c>
      <c r="I10" s="9">
        <f>SUM(I5:I9)</f>
        <v/>
      </c>
      <c r="J10" s="10">
        <f>SUM(J5:J9)</f>
        <v/>
      </c>
      <c r="K10" s="9">
        <f>SUM(K5:K9)</f>
        <v/>
      </c>
    </row>
    <row r="11" ht="36" customHeight="1">
      <c r="A11" s="65" t="n"/>
    </row>
    <row r="12" ht="36" customHeight="1">
      <c r="A12" s="66" t="inlineStr">
        <is>
          <t>ملاحظات المراجعة:</t>
        </is>
      </c>
    </row>
    <row r="13" ht="36" customHeight="1">
      <c r="A13" s="65" t="inlineStr">
        <is>
          <t>1) ملف "سجل صرف المخزن" (RN-RAW-OUT من #134 إلى #320، 84 سنداً، 286 بنداً) يغطي الفترة من 24-2-2026 إلى 2-6-2026 التي كانت ناقصة. كل بنوده مطابقة حسابياً (الكمية × السعر = الإجمالي).</t>
        </is>
      </c>
    </row>
    <row r="14" ht="36" customHeight="1">
      <c r="A14" s="65" t="inlineStr">
        <is>
          <t>2) ⚠ السند RN-RAW-OUT#134 هو نفس العقد RNO-3906 المسجل بالنظام القديم (22-2-2026) – لم يُحسب مرتين.</t>
        </is>
      </c>
    </row>
    <row r="15" ht="36" customHeight="1">
      <c r="A15" s="65" t="inlineStr">
        <is>
          <t>3) ⚠ السند RN-RAW-OUT#186-REV1 (26-3-2026): صرف أشجار بوانسيانا ونيم ولبخ 1-2 متر للإنتاج بقيمة 78,463.50 بغرض "تبديل من مركن 20 إلى 40" – هذه عملية تحويل وليست استهلاكاً، ويلزم التأكد من إعادة إدخالها للمخزون.</t>
        </is>
      </c>
    </row>
    <row r="16" ht="36" customHeight="1">
      <c r="A16" s="65" t="inlineStr">
        <is>
          <t>4) ⚠ مرجع الطلب 58991 (قسم NS) في سندين: #299 (19-5، 14,300 – البيان: إرسال 15,500 مع عماد و10,500 مع عصمت) و #301 (21-5، 21,725 – السيف). تسليم بضاعة للمناديب يلزم مطابقته مع مبيعاتهم.</t>
        </is>
      </c>
    </row>
    <row r="17" ht="36" customHeight="1">
      <c r="A17" s="65" t="inlineStr">
        <is>
          <t>5) ⚠ الأساس الضريبي مختلف بين المصادر: قيم النظام القديم شاملة ضريبة 15%، بينما سجل صرف المخزن والنظام الجديد بدون ضريبة (مثال: RNO-3906 = 9,948.50 بدون ضريبة و11,440.78 شاملة). القيم مدرجة كما هي بكل مصدر.</t>
        </is>
      </c>
    </row>
    <row r="18" ht="36" customHeight="1">
      <c r="A18" s="65" t="inlineStr">
        <is>
          <t>6) لا تزال هناك فترة بدون حركات من 3-6-2026 إلى 12-6-2026 (بين آخر سند بسجل الصرف وأول سند بالنظام الجديد)، ولا يوجد بسجل الصرف أي ترحيل من تبوك للرياض (TNR) في الفترة من فبراير إلى يونيو.</t>
        </is>
      </c>
    </row>
    <row r="19" ht="36" customHeight="1">
      <c r="A19" s="65" t="inlineStr">
        <is>
          <t>7) ترحيلات المشاريع RNP: الأرشيف كان فيه سندان فقط بينما ملف التفصيل فيه 18 سنداً – أُضيف 17 سنداً ناقصاً (75,138.00). مرجع الطلب NS-REQ-008 مستخدم في سندين (ISV-0011 و ISV-0016).</t>
        </is>
      </c>
    </row>
    <row r="20" ht="36" customHeight="1">
      <c r="A20" s="65" t="inlineStr">
        <is>
          <t>8) سندات التحويل TRF: قيم الأرشيف تختلف عن السندات الأصلية وتم اعتماد السند: TRF-0107 (32,149.00 / 28,146.25)، TRF-0122 (7,080.00 / 7,038.00)، TRF-0120 (7,375.00 / 7,331.25)، TRF-0188 (937.50 / 934.38).</t>
        </is>
      </c>
    </row>
    <row r="21" ht="36" customHeight="1">
      <c r="A21" s="65" t="inlineStr">
        <is>
          <t>9) صنف سيسبانيا OD373: خرج 250 لتبوك (11-7)، ورجع 250 (14-7 9:35)، ثم خرج 240 (14-7 9:52) مع مرتجع 10 مكسورة – يلزم التأكد أن التحويل الأول لم يُلغَ.</t>
        </is>
      </c>
    </row>
    <row r="22" ht="36" customHeight="1">
      <c r="A22" s="65" t="inlineStr">
        <is>
          <t>10) العقد RNO-3832: مجموع البنود 5,274.48 وإجمالي العقد 5,550.48 – فرق 276.00. رقم العقد RNP-1787 مكرر لحركتين. حركات قبل 30-7-2025 غير محسوبة (بالرمادي). السند ISV-0061 مرتجع جزئي بدون كمية.</t>
        </is>
      </c>
    </row>
  </sheetData>
  <mergeCells count="14">
    <mergeCell ref="A22:K22"/>
    <mergeCell ref="A12:K12"/>
    <mergeCell ref="A18:K18"/>
    <mergeCell ref="A20:K20"/>
    <mergeCell ref="A21:K21"/>
    <mergeCell ref="A15:K15"/>
    <mergeCell ref="A2:K2"/>
    <mergeCell ref="A11:K11"/>
    <mergeCell ref="A16:K16"/>
    <mergeCell ref="A19:K19"/>
    <mergeCell ref="A13:K13"/>
    <mergeCell ref="A14:K14"/>
    <mergeCell ref="A1:K1"/>
    <mergeCell ref="A17:K17"/>
  </mergeCells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339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9" customWidth="1" min="7" max="7"/>
    <col width="16" customWidth="1" min="8" max="8"/>
    <col width="16" customWidth="1" min="9" max="9"/>
    <col width="11" customWidth="1" min="10" max="10"/>
    <col width="100" customWidth="1" min="11" max="11"/>
  </cols>
  <sheetData>
    <row r="1">
      <c r="A1" s="22" t="inlineStr">
        <is>
          <t>م</t>
        </is>
      </c>
      <c r="B1" s="22" t="inlineStr">
        <is>
          <t>نوع الحركة</t>
        </is>
      </c>
      <c r="C1" s="22" t="inlineStr">
        <is>
          <t>البيان</t>
        </is>
      </c>
      <c r="D1" s="22" t="inlineStr">
        <is>
          <t>رقم العقد / السند</t>
        </is>
      </c>
      <c r="E1" s="22" t="inlineStr">
        <is>
          <t>التاريخ</t>
        </is>
      </c>
      <c r="F1" s="22" t="inlineStr">
        <is>
          <t>الجهة / المرجع</t>
        </is>
      </c>
      <c r="G1" s="22" t="inlineStr">
        <is>
          <t>عدد البنود</t>
        </is>
      </c>
      <c r="H1" s="22" t="inlineStr">
        <is>
          <t>القيمة</t>
        </is>
      </c>
      <c r="I1" s="22" t="inlineStr">
        <is>
          <t>المصدر</t>
        </is>
      </c>
      <c r="J1" s="22" t="inlineStr">
        <is>
          <t>محسوب بالفترة</t>
        </is>
      </c>
      <c r="K1" s="22" t="inlineStr">
        <is>
          <t>ملاحظة</t>
        </is>
      </c>
    </row>
    <row r="2">
      <c r="A2" s="16" t="n">
        <v>1</v>
      </c>
      <c r="B2" s="16" t="inlineStr">
        <is>
          <t>TNR</t>
        </is>
      </c>
      <c r="C2" s="16" t="inlineStr">
        <is>
          <t>ترحيل من تبوك إلى الرياض</t>
        </is>
      </c>
      <c r="D2" s="16" t="inlineStr">
        <is>
          <t>TNR-1867</t>
        </is>
      </c>
      <c r="E2" s="95" t="n">
        <v>45874</v>
      </c>
      <c r="F2" s="16" t="inlineStr">
        <is>
          <t>TRANSACTIONS BETWEEN RIYADH -TABUK NURSERY</t>
        </is>
      </c>
      <c r="G2" s="16" t="n"/>
      <c r="H2" s="17" t="n">
        <v>12165.28</v>
      </c>
      <c r="I2" s="16" t="inlineStr">
        <is>
          <t>النظام القديم</t>
        </is>
      </c>
      <c r="J2" s="16" t="inlineStr">
        <is>
          <t>نعم</t>
        </is>
      </c>
      <c r="K2" s="16" t="inlineStr">
        <is>
          <t>بدون تفصيل بنود في السجل</t>
        </is>
      </c>
    </row>
    <row r="3">
      <c r="A3" s="16" t="n">
        <v>2</v>
      </c>
      <c r="B3" s="16" t="inlineStr">
        <is>
          <t>TNR</t>
        </is>
      </c>
      <c r="C3" s="16" t="inlineStr">
        <is>
          <t>ترحيل من تبوك إلى الرياض</t>
        </is>
      </c>
      <c r="D3" s="16" t="inlineStr">
        <is>
          <t>TNR-2689</t>
        </is>
      </c>
      <c r="E3" s="95" t="n">
        <v>45959</v>
      </c>
      <c r="F3" s="16" t="inlineStr">
        <is>
          <t>WHOLESALE DEPARTMENT TABUK NURSERY</t>
        </is>
      </c>
      <c r="G3" s="16" t="n"/>
      <c r="H3" s="17" t="n">
        <v>22137.5</v>
      </c>
      <c r="I3" s="16" t="inlineStr">
        <is>
          <t>النظام القديم</t>
        </is>
      </c>
      <c r="J3" s="16" t="inlineStr">
        <is>
          <t>نعم</t>
        </is>
      </c>
      <c r="K3" s="16" t="inlineStr">
        <is>
          <t>بدون تفصيل بنود في السجل</t>
        </is>
      </c>
    </row>
    <row r="4">
      <c r="A4" s="16" t="n">
        <v>3</v>
      </c>
      <c r="B4" s="16" t="inlineStr">
        <is>
          <t>TNR</t>
        </is>
      </c>
      <c r="C4" s="16" t="inlineStr">
        <is>
          <t>ترحيل من تبوك إلى الرياض</t>
        </is>
      </c>
      <c r="D4" s="16" t="inlineStr">
        <is>
          <t>TNR-2792</t>
        </is>
      </c>
      <c r="E4" s="95" t="n">
        <v>45967</v>
      </c>
      <c r="F4" s="16" t="inlineStr">
        <is>
          <t>TRANSACTIONS BETWEEN RIYADH -TABUK NURSERY</t>
        </is>
      </c>
      <c r="G4" s="16" t="n"/>
      <c r="H4" s="17" t="n">
        <v>6828.13</v>
      </c>
      <c r="I4" s="16" t="inlineStr">
        <is>
          <t>النظام القديم</t>
        </is>
      </c>
      <c r="J4" s="16" t="inlineStr">
        <is>
          <t>نعم</t>
        </is>
      </c>
      <c r="K4" s="16" t="inlineStr">
        <is>
          <t>بدون تفصيل بنود في السجل</t>
        </is>
      </c>
    </row>
    <row r="5">
      <c r="A5" s="16" t="n">
        <v>4</v>
      </c>
      <c r="B5" s="16" t="inlineStr">
        <is>
          <t>TNR</t>
        </is>
      </c>
      <c r="C5" s="16" t="inlineStr">
        <is>
          <t>ترحيل من تبوك إلى الرياض</t>
        </is>
      </c>
      <c r="D5" s="16" t="inlineStr">
        <is>
          <t>TNR-2888</t>
        </is>
      </c>
      <c r="E5" s="95" t="n">
        <v>45976</v>
      </c>
      <c r="F5" s="16" t="inlineStr">
        <is>
          <t>WHOLESALE DEPARTMENT TABUK NURSERY</t>
        </is>
      </c>
      <c r="G5" s="16" t="n"/>
      <c r="H5" s="17" t="n">
        <v>23797.81</v>
      </c>
      <c r="I5" s="16" t="inlineStr">
        <is>
          <t>النظام القديم</t>
        </is>
      </c>
      <c r="J5" s="16" t="inlineStr">
        <is>
          <t>نعم</t>
        </is>
      </c>
      <c r="K5" s="16" t="inlineStr">
        <is>
          <t>بدون تفصيل بنود في السجل</t>
        </is>
      </c>
    </row>
    <row r="6">
      <c r="A6" s="16" t="n">
        <v>5</v>
      </c>
      <c r="B6" s="16" t="inlineStr">
        <is>
          <t>TNR</t>
        </is>
      </c>
      <c r="C6" s="16" t="inlineStr">
        <is>
          <t>ترحيل من تبوك إلى الرياض</t>
        </is>
      </c>
      <c r="D6" s="16" t="inlineStr">
        <is>
          <t>TNR-2938</t>
        </is>
      </c>
      <c r="E6" s="95" t="n">
        <v>45980</v>
      </c>
      <c r="F6" s="16" t="inlineStr">
        <is>
          <t>TRANSACTIONS BETWEEN RIYADH -TABUK NURSERY</t>
        </is>
      </c>
      <c r="G6" s="16" t="n"/>
      <c r="H6" s="17" t="n">
        <v>5724.13</v>
      </c>
      <c r="I6" s="16" t="inlineStr">
        <is>
          <t>النظام القديم</t>
        </is>
      </c>
      <c r="J6" s="16" t="inlineStr">
        <is>
          <t>نعم</t>
        </is>
      </c>
      <c r="K6" s="16" t="inlineStr">
        <is>
          <t>بدون تفصيل بنود في السجل</t>
        </is>
      </c>
    </row>
    <row r="7">
      <c r="A7" s="16" t="n">
        <v>6</v>
      </c>
      <c r="B7" s="16" t="inlineStr">
        <is>
          <t>TNR</t>
        </is>
      </c>
      <c r="C7" s="16" t="inlineStr">
        <is>
          <t>ترحيل من تبوك إلى الرياض</t>
        </is>
      </c>
      <c r="D7" s="16" t="inlineStr">
        <is>
          <t>TNR-3201</t>
        </is>
      </c>
      <c r="E7" s="95" t="n">
        <v>46001</v>
      </c>
      <c r="F7" s="16" t="inlineStr">
        <is>
          <t>TRANSACTIONS BETWEEN RIYADH -TABUK NURSERY</t>
        </is>
      </c>
      <c r="G7" s="16" t="n"/>
      <c r="H7" s="17" t="n">
        <v>4232</v>
      </c>
      <c r="I7" s="16" t="inlineStr">
        <is>
          <t>النظام القديم</t>
        </is>
      </c>
      <c r="J7" s="16" t="inlineStr">
        <is>
          <t>نعم</t>
        </is>
      </c>
      <c r="K7" s="16" t="inlineStr">
        <is>
          <t>بدون تفصيل بنود في السجل</t>
        </is>
      </c>
    </row>
    <row r="8">
      <c r="A8" s="16" t="n">
        <v>7</v>
      </c>
      <c r="B8" s="16" t="inlineStr">
        <is>
          <t>TNR</t>
        </is>
      </c>
      <c r="C8" s="16" t="inlineStr">
        <is>
          <t>ترحيل من تبوك إلى الرياض</t>
        </is>
      </c>
      <c r="D8" s="16" t="inlineStr">
        <is>
          <t>TNR-3441</t>
        </is>
      </c>
      <c r="E8" s="95" t="n">
        <v>46023</v>
      </c>
      <c r="F8" s="16" t="inlineStr">
        <is>
          <t>TRANSACTIONS BETWEEN RIYADH - TABUK NURSERY</t>
        </is>
      </c>
      <c r="G8" s="16" t="n">
        <v>4</v>
      </c>
      <c r="H8" s="17" t="n">
        <v>8395</v>
      </c>
      <c r="I8" s="16" t="inlineStr">
        <is>
          <t>النظام القديم</t>
        </is>
      </c>
      <c r="J8" s="16" t="inlineStr">
        <is>
          <t>نعم</t>
        </is>
      </c>
      <c r="K8" s="16" t="n"/>
    </row>
    <row r="9">
      <c r="A9" s="18" t="n">
        <v>8</v>
      </c>
      <c r="B9" s="18" t="inlineStr">
        <is>
          <t>TNR</t>
        </is>
      </c>
      <c r="C9" s="18" t="inlineStr">
        <is>
          <t>ترحيل من تبوك إلى الرياض</t>
        </is>
      </c>
      <c r="D9" s="18" t="inlineStr">
        <is>
          <t>TRF-0120</t>
        </is>
      </c>
      <c r="E9" s="98" t="n">
        <v>46217</v>
      </c>
      <c r="F9" s="18" t="inlineStr">
        <is>
          <t>تبوك ← الرياض</t>
        </is>
      </c>
      <c r="G9" s="18" t="n">
        <v>1</v>
      </c>
      <c r="H9" s="19" t="n">
        <v>7331.25</v>
      </c>
      <c r="I9" s="18" t="inlineStr">
        <is>
          <t>النظام الجديد</t>
        </is>
      </c>
      <c r="J9" s="18" t="inlineStr">
        <is>
          <t>نعم</t>
        </is>
      </c>
      <c r="K9" s="18" t="inlineStr">
        <is>
          <t>قيمة السند (PDF): 7,331.25 = 6,375.00 + ضريبة 15% | ملاحظة السند: تحويل مزرعة الرياض | ⚠ قيمة الأرشيف 7,375.00 تختلف عن السند 7,331.25 (فرق 43.75) – تم اعتماد السند</t>
        </is>
      </c>
    </row>
    <row r="10">
      <c r="A10" s="18" t="n">
        <v>9</v>
      </c>
      <c r="B10" s="18" t="inlineStr">
        <is>
          <t>TNR</t>
        </is>
      </c>
      <c r="C10" s="18" t="inlineStr">
        <is>
          <t>ترحيل من تبوك إلى الرياض</t>
        </is>
      </c>
      <c r="D10" s="18" t="inlineStr">
        <is>
          <t>TRF-0188</t>
        </is>
      </c>
      <c r="E10" s="98" t="n">
        <v>46231</v>
      </c>
      <c r="F10" s="18" t="inlineStr">
        <is>
          <t>تبوك ← الرياض</t>
        </is>
      </c>
      <c r="G10" s="18" t="n">
        <v>1</v>
      </c>
      <c r="H10" s="19" t="n">
        <v>934.38</v>
      </c>
      <c r="I10" s="18" t="inlineStr">
        <is>
          <t>النظام الجديد</t>
        </is>
      </c>
      <c r="J10" s="18" t="inlineStr">
        <is>
          <t>نعم</t>
        </is>
      </c>
      <c r="K10" s="18" t="inlineStr">
        <is>
          <t>قيمة السند (PDF): 934.38 = 812.50 + ضريبة 15% | ملاحظة السند: تحويل إلى مزرعة الرياض | ⚠ قيمة الأرشيف 937.50 تختلف عن السند 934.38 (فرق 3.12) – تم اعتماد السند</t>
        </is>
      </c>
    </row>
    <row r="11">
      <c r="A11" s="79" t="n">
        <v>10</v>
      </c>
      <c r="B11" s="79" t="inlineStr">
        <is>
          <t>RNT</t>
        </is>
      </c>
      <c r="C11" s="79" t="inlineStr">
        <is>
          <t>ترحيل من الرياض إلى تبوك</t>
        </is>
      </c>
      <c r="D11" s="79" t="inlineStr">
        <is>
          <t>RNT-1789</t>
        </is>
      </c>
      <c r="E11" s="114" t="n">
        <v>45863</v>
      </c>
      <c r="F11" s="79" t="inlineStr">
        <is>
          <t>TRANSACTIONS BETWEEN RIYADH -TABUK NURSERY</t>
        </is>
      </c>
      <c r="G11" s="79" t="n"/>
      <c r="H11" s="81" t="n">
        <v>5483.2</v>
      </c>
      <c r="I11" s="79" t="inlineStr">
        <is>
          <t>النظام القديم</t>
        </is>
      </c>
      <c r="J11" s="79" t="inlineStr">
        <is>
          <t>لا</t>
        </is>
      </c>
      <c r="K11" s="79" t="inlineStr">
        <is>
          <t>قبل بداية الفترة 30-7-2025 – غير محسوب | بدون تفصيل بنود في السجل</t>
        </is>
      </c>
    </row>
    <row r="12">
      <c r="A12" s="16" t="n">
        <v>11</v>
      </c>
      <c r="B12" s="16" t="inlineStr">
        <is>
          <t>RNT</t>
        </is>
      </c>
      <c r="C12" s="16" t="inlineStr">
        <is>
          <t>ترحيل من الرياض إلى تبوك</t>
        </is>
      </c>
      <c r="D12" s="16" t="inlineStr">
        <is>
          <t>RNT-2166</t>
        </is>
      </c>
      <c r="E12" s="95" t="n">
        <v>45887</v>
      </c>
      <c r="F12" s="16" t="inlineStr">
        <is>
          <t>TRANSACTIONS BETWEEN RIYADH -TABUK NURSERY</t>
        </is>
      </c>
      <c r="G12" s="16" t="n"/>
      <c r="H12" s="17" t="n">
        <v>7475</v>
      </c>
      <c r="I12" s="16" t="inlineStr">
        <is>
          <t>النظام القديم</t>
        </is>
      </c>
      <c r="J12" s="16" t="inlineStr">
        <is>
          <t>نعم</t>
        </is>
      </c>
      <c r="K12" s="16" t="inlineStr">
        <is>
          <t>بدون تفصيل بنود في السجل</t>
        </is>
      </c>
    </row>
    <row r="13">
      <c r="A13" s="16" t="n">
        <v>12</v>
      </c>
      <c r="B13" s="16" t="inlineStr">
        <is>
          <t>RNT</t>
        </is>
      </c>
      <c r="C13" s="16" t="inlineStr">
        <is>
          <t>ترحيل من الرياض إلى تبوك</t>
        </is>
      </c>
      <c r="D13" s="16" t="inlineStr">
        <is>
          <t>RNT-2141</t>
        </is>
      </c>
      <c r="E13" s="95" t="n">
        <v>45909</v>
      </c>
      <c r="F13" s="16" t="inlineStr">
        <is>
          <t>TRANSACTIONS BETWEEN RIYADH -TABUK NURSERY</t>
        </is>
      </c>
      <c r="G13" s="16" t="n"/>
      <c r="H13" s="17" t="n">
        <v>8855</v>
      </c>
      <c r="I13" s="16" t="inlineStr">
        <is>
          <t>النظام القديم</t>
        </is>
      </c>
      <c r="J13" s="16" t="inlineStr">
        <is>
          <t>نعم</t>
        </is>
      </c>
      <c r="K13" s="16" t="inlineStr">
        <is>
          <t>بدون تفصيل بنود في السجل</t>
        </is>
      </c>
    </row>
    <row r="14">
      <c r="A14" s="16" t="n">
        <v>13</v>
      </c>
      <c r="B14" s="16" t="inlineStr">
        <is>
          <t>RNT</t>
        </is>
      </c>
      <c r="C14" s="16" t="inlineStr">
        <is>
          <t>ترحيل من الرياض إلى تبوك</t>
        </is>
      </c>
      <c r="D14" s="16" t="inlineStr">
        <is>
          <t>RNT-2395</t>
        </is>
      </c>
      <c r="E14" s="95" t="n">
        <v>45938</v>
      </c>
      <c r="F14" s="16" t="inlineStr">
        <is>
          <t>TRANSACTIONS BETWEEN RIYADH -TABUK NURSERY</t>
        </is>
      </c>
      <c r="G14" s="16" t="n"/>
      <c r="H14" s="17" t="n">
        <v>34535.65</v>
      </c>
      <c r="I14" s="16" t="inlineStr">
        <is>
          <t>النظام القديم</t>
        </is>
      </c>
      <c r="J14" s="16" t="inlineStr">
        <is>
          <t>نعم</t>
        </is>
      </c>
      <c r="K14" s="16" t="inlineStr">
        <is>
          <t>بدون تفصيل بنود في السجل</t>
        </is>
      </c>
    </row>
    <row r="15">
      <c r="A15" s="16" t="n">
        <v>14</v>
      </c>
      <c r="B15" s="16" t="inlineStr">
        <is>
          <t>RNT</t>
        </is>
      </c>
      <c r="C15" s="16" t="inlineStr">
        <is>
          <t>ترحيل من الرياض إلى تبوك</t>
        </is>
      </c>
      <c r="D15" s="16" t="inlineStr">
        <is>
          <t>RNT-3077</t>
        </is>
      </c>
      <c r="E15" s="95" t="n">
        <v>45992</v>
      </c>
      <c r="F15" s="16" t="inlineStr">
        <is>
          <t>TRANSACTIONS BETWEEN RIYADH -TABUK NURSERY</t>
        </is>
      </c>
      <c r="G15" s="16" t="n"/>
      <c r="H15" s="17" t="n">
        <v>4305.03</v>
      </c>
      <c r="I15" s="16" t="inlineStr">
        <is>
          <t>النظام القديم</t>
        </is>
      </c>
      <c r="J15" s="16" t="inlineStr">
        <is>
          <t>نعم</t>
        </is>
      </c>
      <c r="K15" s="16" t="inlineStr">
        <is>
          <t>بدون تفصيل بنود في السجل</t>
        </is>
      </c>
    </row>
    <row r="16">
      <c r="A16" s="16" t="n">
        <v>15</v>
      </c>
      <c r="B16" s="16" t="inlineStr">
        <is>
          <t>RNT</t>
        </is>
      </c>
      <c r="C16" s="16" t="inlineStr">
        <is>
          <t>ترحيل من الرياض إلى تبوك</t>
        </is>
      </c>
      <c r="D16" s="16" t="inlineStr">
        <is>
          <t>RNT-3346</t>
        </is>
      </c>
      <c r="E16" s="95" t="n">
        <v>46016</v>
      </c>
      <c r="F16" s="16" t="inlineStr">
        <is>
          <t>TRANSACTIONS BETWEEN RIYADH -TABUK NURSERY</t>
        </is>
      </c>
      <c r="G16" s="16" t="n"/>
      <c r="H16" s="17" t="n">
        <v>1765.25</v>
      </c>
      <c r="I16" s="16" t="inlineStr">
        <is>
          <t>النظام القديم</t>
        </is>
      </c>
      <c r="J16" s="16" t="inlineStr">
        <is>
          <t>نعم</t>
        </is>
      </c>
      <c r="K16" s="16" t="inlineStr">
        <is>
          <t>بدون تفصيل بنود في السجل</t>
        </is>
      </c>
    </row>
    <row r="17">
      <c r="A17" s="16" t="n">
        <v>16</v>
      </c>
      <c r="B17" s="16" t="inlineStr">
        <is>
          <t>RNT</t>
        </is>
      </c>
      <c r="C17" s="16" t="inlineStr">
        <is>
          <t>ترحيل من الرياض إلى تبوك</t>
        </is>
      </c>
      <c r="D17" s="16" t="inlineStr">
        <is>
          <t>RNT-3434</t>
        </is>
      </c>
      <c r="E17" s="95" t="n">
        <v>46026</v>
      </c>
      <c r="F17" s="16" t="inlineStr">
        <is>
          <t>TRANSACTIONS BETWEEN RIYADH - TABUK NURSERY</t>
        </is>
      </c>
      <c r="G17" s="16" t="n">
        <v>1</v>
      </c>
      <c r="H17" s="17" t="n">
        <v>1380</v>
      </c>
      <c r="I17" s="16" t="inlineStr">
        <is>
          <t>النظام القديم</t>
        </is>
      </c>
      <c r="J17" s="16" t="inlineStr">
        <is>
          <t>نعم</t>
        </is>
      </c>
      <c r="K17" s="16" t="n"/>
    </row>
    <row r="18">
      <c r="A18" s="16" t="n">
        <v>17</v>
      </c>
      <c r="B18" s="16" t="inlineStr">
        <is>
          <t>RNT</t>
        </is>
      </c>
      <c r="C18" s="16" t="inlineStr">
        <is>
          <t>ترحيل من الرياض إلى تبوك</t>
        </is>
      </c>
      <c r="D18" s="16" t="inlineStr">
        <is>
          <t>RNT-3604</t>
        </is>
      </c>
      <c r="E18" s="95" t="n">
        <v>46042</v>
      </c>
      <c r="F18" s="16" t="inlineStr">
        <is>
          <t>TRANSACTIONS BETWEEN RIYADH - TABUK NURSERY</t>
        </is>
      </c>
      <c r="G18" s="16" t="n">
        <v>3</v>
      </c>
      <c r="H18" s="17" t="n">
        <v>8504.25</v>
      </c>
      <c r="I18" s="16" t="inlineStr">
        <is>
          <t>النظام القديم</t>
        </is>
      </c>
      <c r="J18" s="16" t="inlineStr">
        <is>
          <t>نعم</t>
        </is>
      </c>
      <c r="K18" s="16" t="n"/>
    </row>
    <row r="19">
      <c r="A19" s="16" t="n">
        <v>18</v>
      </c>
      <c r="B19" s="16" t="inlineStr">
        <is>
          <t>RNT</t>
        </is>
      </c>
      <c r="C19" s="16" t="inlineStr">
        <is>
          <t>ترحيل من الرياض إلى تبوك</t>
        </is>
      </c>
      <c r="D19" s="16" t="inlineStr">
        <is>
          <t>RNT-3805</t>
        </is>
      </c>
      <c r="E19" s="95" t="n">
        <v>46064</v>
      </c>
      <c r="F19" s="16" t="inlineStr">
        <is>
          <t>TRANSACTIONS BETWEEN RIYADH - TABUK NURSERY</t>
        </is>
      </c>
      <c r="G19" s="16" t="n">
        <v>6</v>
      </c>
      <c r="H19" s="17" t="n">
        <v>1681.88</v>
      </c>
      <c r="I19" s="16" t="inlineStr">
        <is>
          <t>النظام القديم</t>
        </is>
      </c>
      <c r="J19" s="16" t="inlineStr">
        <is>
          <t>نعم</t>
        </is>
      </c>
      <c r="K19" s="16" t="n"/>
    </row>
    <row r="20">
      <c r="A20" s="16" t="n">
        <v>19</v>
      </c>
      <c r="B20" s="16" t="inlineStr">
        <is>
          <t>RNT</t>
        </is>
      </c>
      <c r="C20" s="16" t="inlineStr">
        <is>
          <t>ترحيل من الرياض إلى تبوك</t>
        </is>
      </c>
      <c r="D20" s="16" t="inlineStr">
        <is>
          <t>RNT-180</t>
        </is>
      </c>
      <c r="E20" s="95" t="n">
        <v>46104</v>
      </c>
      <c r="F20" s="16" t="inlineStr">
        <is>
          <t>RNT-TRANSACTIONS</t>
        </is>
      </c>
      <c r="G20" s="16" t="n">
        <v>4</v>
      </c>
      <c r="H20" s="17" t="n">
        <v>6955</v>
      </c>
      <c r="I20" s="16" t="inlineStr">
        <is>
          <t>سجل صرف المخزن</t>
        </is>
      </c>
      <c r="J20" s="16" t="inlineStr">
        <is>
          <t>نعم</t>
        </is>
      </c>
      <c r="K20" s="16" t="inlineStr">
        <is>
          <t>سند RN-RAW-OUT#180 – مرجع 180 – بواسطة None | ملاحظة السند: MR.EMAD HAMDY</t>
        </is>
      </c>
    </row>
    <row r="21">
      <c r="A21" s="16" t="n">
        <v>20</v>
      </c>
      <c r="B21" s="16" t="inlineStr">
        <is>
          <t>RNT</t>
        </is>
      </c>
      <c r="C21" s="16" t="inlineStr">
        <is>
          <t>ترحيل من الرياض إلى تبوك</t>
        </is>
      </c>
      <c r="D21" s="16" t="inlineStr">
        <is>
          <t>RNT-211</t>
        </is>
      </c>
      <c r="E21" s="95" t="n">
        <v>46121</v>
      </c>
      <c r="F21" s="16" t="inlineStr">
        <is>
          <t>RNT-TRANSACTIONS</t>
        </is>
      </c>
      <c r="G21" s="16" t="n">
        <v>2</v>
      </c>
      <c r="H21" s="17" t="n">
        <v>2887.5</v>
      </c>
      <c r="I21" s="16" t="inlineStr">
        <is>
          <t>سجل صرف المخزن</t>
        </is>
      </c>
      <c r="J21" s="16" t="inlineStr">
        <is>
          <t>نعم</t>
        </is>
      </c>
      <c r="K21" s="16" t="inlineStr">
        <is>
          <t>سند RN-RAW-OUT#211 – مرجع NS-067532 – بواسطة None | ملاحظة السند: ENG.AHMED GAMAL</t>
        </is>
      </c>
    </row>
    <row r="22">
      <c r="A22" s="18" t="n">
        <v>21</v>
      </c>
      <c r="B22" s="18" t="inlineStr">
        <is>
          <t>RNT</t>
        </is>
      </c>
      <c r="C22" s="18" t="inlineStr">
        <is>
          <t>ترحيل من الرياض إلى تبوك</t>
        </is>
      </c>
      <c r="D22" s="18" t="inlineStr">
        <is>
          <t>TRF-0107</t>
        </is>
      </c>
      <c r="E22" s="98" t="n">
        <v>46214</v>
      </c>
      <c r="F22" s="18" t="inlineStr">
        <is>
          <t>الرياض ← تبوك (Order 205)</t>
        </is>
      </c>
      <c r="G22" s="18" t="n">
        <v>9</v>
      </c>
      <c r="H22" s="19" t="n">
        <v>28146.25</v>
      </c>
      <c r="I22" s="18" t="inlineStr">
        <is>
          <t>النظام الجديد</t>
        </is>
      </c>
      <c r="J22" s="18" t="inlineStr">
        <is>
          <t>نعم</t>
        </is>
      </c>
      <c r="K22" s="18" t="inlineStr">
        <is>
          <t>قيمة السند (PDF): 28,146.25 = 24,475.00 + ضريبة 15% | ملاحظة السند: تحويل الشجيرات من الرياض إلى تبوك | ⚠ قيمة الأرشيف 32,149.00 تختلف عن السند 28,146.25 (فرق 4,002.75) – تم اعتماد السند</t>
        </is>
      </c>
    </row>
    <row r="23">
      <c r="A23" s="18" t="n">
        <v>22</v>
      </c>
      <c r="B23" s="18" t="inlineStr">
        <is>
          <t>RNT</t>
        </is>
      </c>
      <c r="C23" s="18" t="inlineStr">
        <is>
          <t>ترحيل من الرياض إلى تبوك</t>
        </is>
      </c>
      <c r="D23" s="18" t="inlineStr">
        <is>
          <t>TRF-0122</t>
        </is>
      </c>
      <c r="E23" s="98" t="n">
        <v>46217</v>
      </c>
      <c r="F23" s="18" t="inlineStr">
        <is>
          <t>الرياض ← تبوك (Order 2035)</t>
        </is>
      </c>
      <c r="G23" s="18" t="n">
        <v>1</v>
      </c>
      <c r="H23" s="19" t="n">
        <v>7038</v>
      </c>
      <c r="I23" s="18" t="inlineStr">
        <is>
          <t>النظام الجديد</t>
        </is>
      </c>
      <c r="J23" s="18" t="inlineStr">
        <is>
          <t>نعم</t>
        </is>
      </c>
      <c r="K23" s="18" t="inlineStr">
        <is>
          <t>قيمة السند (PDF): 7,038.00 = 6,120.00 + ضريبة 15% | ملاحظة السند: تحويل سيسبانيا لتبوك عدد 250 وعمل مرتجع 10 حبة مكسور | ⚠ قيمة الأرشيف 7,080.00 تختلف عن السند 7,038.00 (فرق 42.00) – تم اعتماد السند</t>
        </is>
      </c>
    </row>
    <row r="24">
      <c r="A24" s="79" t="n">
        <v>23</v>
      </c>
      <c r="B24" s="79" t="inlineStr">
        <is>
          <t>RNP</t>
        </is>
      </c>
      <c r="C24" s="79" t="inlineStr">
        <is>
          <t>ترحيل إلى قسم المشاريع تبوك</t>
        </is>
      </c>
      <c r="D24" s="79" t="inlineStr">
        <is>
          <t>RNP-1787</t>
        </is>
      </c>
      <c r="E24" s="114" t="n">
        <v>45863</v>
      </c>
      <c r="F24" s="79" t="inlineStr">
        <is>
          <t>NESMA ELSHARQ COMPANY-PROJECTS</t>
        </is>
      </c>
      <c r="G24" s="79" t="n"/>
      <c r="H24" s="81" t="n">
        <v>18975</v>
      </c>
      <c r="I24" s="79" t="inlineStr">
        <is>
          <t>النظام القديم</t>
        </is>
      </c>
      <c r="J24" s="79" t="inlineStr">
        <is>
          <t>لا</t>
        </is>
      </c>
      <c r="K24" s="79" t="inlineStr">
        <is>
          <t>رقم العقد مكرر لحركتين مختلفتين | قبل بداية الفترة 30-7-2025 – غير محسوب | بدون تفصيل بنود في السجل</t>
        </is>
      </c>
    </row>
    <row r="25">
      <c r="A25" s="16" t="n">
        <v>24</v>
      </c>
      <c r="B25" s="16" t="inlineStr">
        <is>
          <t>RNP</t>
        </is>
      </c>
      <c r="C25" s="16" t="inlineStr">
        <is>
          <t>ترحيل إلى قسم المشاريع تبوك</t>
        </is>
      </c>
      <c r="D25" s="16" t="inlineStr">
        <is>
          <t>RNP-1787</t>
        </is>
      </c>
      <c r="E25" s="95" t="n">
        <v>45873</v>
      </c>
      <c r="F25" s="16" t="inlineStr">
        <is>
          <t>WHOLESALE DEPARTMENT RIYADH NURSERY</t>
        </is>
      </c>
      <c r="G25" s="16" t="n"/>
      <c r="H25" s="17" t="n">
        <v>20872.5</v>
      </c>
      <c r="I25" s="16" t="inlineStr">
        <is>
          <t>النظام القديم</t>
        </is>
      </c>
      <c r="J25" s="16" t="inlineStr">
        <is>
          <t>نعم</t>
        </is>
      </c>
      <c r="K25" s="16" t="inlineStr">
        <is>
          <t>رقم العقد مكرر لحركتين مختلفتين | بدون تفصيل بنود في السجل</t>
        </is>
      </c>
    </row>
    <row r="26">
      <c r="A26" s="16" t="n">
        <v>25</v>
      </c>
      <c r="B26" s="16" t="inlineStr">
        <is>
          <t>RNP</t>
        </is>
      </c>
      <c r="C26" s="16" t="inlineStr">
        <is>
          <t>ترحيل إلى قسم المشاريع تبوك</t>
        </is>
      </c>
      <c r="D26" s="16" t="inlineStr">
        <is>
          <t>RNP-2113</t>
        </is>
      </c>
      <c r="E26" s="95" t="n">
        <v>45906</v>
      </c>
      <c r="F26" s="16" t="inlineStr">
        <is>
          <t>NESMA ELSHARQ COMPANY-PROJECTS</t>
        </is>
      </c>
      <c r="G26" s="16" t="n"/>
      <c r="H26" s="17" t="n">
        <v>6325</v>
      </c>
      <c r="I26" s="16" t="inlineStr">
        <is>
          <t>النظام القديم</t>
        </is>
      </c>
      <c r="J26" s="16" t="inlineStr">
        <is>
          <t>نعم</t>
        </is>
      </c>
      <c r="K26" s="16" t="inlineStr">
        <is>
          <t>بدون تفصيل بنود في السجل</t>
        </is>
      </c>
    </row>
    <row r="27">
      <c r="A27" s="16" t="n">
        <v>26</v>
      </c>
      <c r="B27" s="16" t="inlineStr">
        <is>
          <t>RNP</t>
        </is>
      </c>
      <c r="C27" s="16" t="inlineStr">
        <is>
          <t>ترحيل إلى قسم المشاريع تبوك</t>
        </is>
      </c>
      <c r="D27" s="16" t="inlineStr">
        <is>
          <t>RNP-2293</t>
        </is>
      </c>
      <c r="E27" s="95" t="n">
        <v>45926</v>
      </c>
      <c r="F27" s="16" t="inlineStr">
        <is>
          <t>NESMA ELSHARQ COMPANY-PROJECTS</t>
        </is>
      </c>
      <c r="G27" s="16" t="n"/>
      <c r="H27" s="17" t="n">
        <v>25300</v>
      </c>
      <c r="I27" s="16" t="inlineStr">
        <is>
          <t>النظام القديم</t>
        </is>
      </c>
      <c r="J27" s="16" t="inlineStr">
        <is>
          <t>نعم</t>
        </is>
      </c>
      <c r="K27" s="16" t="inlineStr">
        <is>
          <t>بدون تفصيل بنود في السجل</t>
        </is>
      </c>
    </row>
    <row r="28">
      <c r="A28" s="16" t="n">
        <v>27</v>
      </c>
      <c r="B28" s="16" t="inlineStr">
        <is>
          <t>RNP</t>
        </is>
      </c>
      <c r="C28" s="16" t="inlineStr">
        <is>
          <t>ترحيل إلى قسم المشاريع تبوك</t>
        </is>
      </c>
      <c r="D28" s="16" t="inlineStr">
        <is>
          <t>RNP-2297</t>
        </is>
      </c>
      <c r="E28" s="95" t="n">
        <v>45926</v>
      </c>
      <c r="F28" s="16" t="inlineStr">
        <is>
          <t>NESMA ELSHARQ COMPANY-PROJECTS</t>
        </is>
      </c>
      <c r="G28" s="16" t="n"/>
      <c r="H28" s="17" t="n">
        <v>5433.75</v>
      </c>
      <c r="I28" s="16" t="inlineStr">
        <is>
          <t>النظام القديم</t>
        </is>
      </c>
      <c r="J28" s="16" t="inlineStr">
        <is>
          <t>نعم</t>
        </is>
      </c>
      <c r="K28" s="16" t="inlineStr">
        <is>
          <t>بدون تفصيل بنود في السجل</t>
        </is>
      </c>
    </row>
    <row r="29">
      <c r="A29" s="16" t="n">
        <v>28</v>
      </c>
      <c r="B29" s="16" t="inlineStr">
        <is>
          <t>RNP</t>
        </is>
      </c>
      <c r="C29" s="16" t="inlineStr">
        <is>
          <t>ترحيل إلى قسم المشاريع تبوك</t>
        </is>
      </c>
      <c r="D29" s="16" t="inlineStr">
        <is>
          <t>RNP-2367</t>
        </is>
      </c>
      <c r="E29" s="95" t="n">
        <v>45935</v>
      </c>
      <c r="F29" s="16" t="inlineStr">
        <is>
          <t>NESMA ELSHARQ COMPANY-PROJECTS</t>
        </is>
      </c>
      <c r="G29" s="16" t="n"/>
      <c r="H29" s="17" t="n">
        <v>13.8</v>
      </c>
      <c r="I29" s="16" t="inlineStr">
        <is>
          <t>النظام القديم</t>
        </is>
      </c>
      <c r="J29" s="16" t="inlineStr">
        <is>
          <t>نعم</t>
        </is>
      </c>
      <c r="K29" s="16" t="inlineStr">
        <is>
          <t>بدون تفصيل بنود في السجل</t>
        </is>
      </c>
    </row>
    <row r="30">
      <c r="A30" s="16" t="n">
        <v>29</v>
      </c>
      <c r="B30" s="16" t="inlineStr">
        <is>
          <t>RNP</t>
        </is>
      </c>
      <c r="C30" s="16" t="inlineStr">
        <is>
          <t>ترحيل إلى قسم المشاريع تبوك</t>
        </is>
      </c>
      <c r="D30" s="16" t="inlineStr">
        <is>
          <t>RNP-2427</t>
        </is>
      </c>
      <c r="E30" s="95" t="n">
        <v>45938</v>
      </c>
      <c r="F30" s="16" t="inlineStr">
        <is>
          <t>NESMA ELSHARQ COMPANY-PROJECTS</t>
        </is>
      </c>
      <c r="G30" s="16" t="n"/>
      <c r="H30" s="17" t="n">
        <v>7078.25</v>
      </c>
      <c r="I30" s="16" t="inlineStr">
        <is>
          <t>النظام القديم</t>
        </is>
      </c>
      <c r="J30" s="16" t="inlineStr">
        <is>
          <t>نعم</t>
        </is>
      </c>
      <c r="K30" s="16" t="inlineStr">
        <is>
          <t>بدون تفصيل بنود في السجل</t>
        </is>
      </c>
    </row>
    <row r="31">
      <c r="A31" s="16" t="n">
        <v>30</v>
      </c>
      <c r="B31" s="16" t="inlineStr">
        <is>
          <t>RNP</t>
        </is>
      </c>
      <c r="C31" s="16" t="inlineStr">
        <is>
          <t>ترحيل إلى قسم المشاريع تبوك</t>
        </is>
      </c>
      <c r="D31" s="16" t="inlineStr">
        <is>
          <t>RNP-2512</t>
        </is>
      </c>
      <c r="E31" s="95" t="n">
        <v>45947</v>
      </c>
      <c r="F31" s="16" t="inlineStr">
        <is>
          <t>NESMA ELSHARQ COMPANY-PROJECTS</t>
        </is>
      </c>
      <c r="G31" s="16" t="n"/>
      <c r="H31" s="17" t="n">
        <v>3565</v>
      </c>
      <c r="I31" s="16" t="inlineStr">
        <is>
          <t>النظام القديم</t>
        </is>
      </c>
      <c r="J31" s="16" t="inlineStr">
        <is>
          <t>نعم</t>
        </is>
      </c>
      <c r="K31" s="16" t="inlineStr">
        <is>
          <t>بدون تفصيل بنود في السجل</t>
        </is>
      </c>
    </row>
    <row r="32">
      <c r="A32" s="16" t="n">
        <v>31</v>
      </c>
      <c r="B32" s="16" t="inlineStr">
        <is>
          <t>RNP</t>
        </is>
      </c>
      <c r="C32" s="16" t="inlineStr">
        <is>
          <t>ترحيل إلى قسم المشاريع تبوك</t>
        </is>
      </c>
      <c r="D32" s="16" t="inlineStr">
        <is>
          <t>RNP-2608</t>
        </is>
      </c>
      <c r="E32" s="95" t="n">
        <v>45954</v>
      </c>
      <c r="F32" s="16" t="inlineStr">
        <is>
          <t>NESMA ELSHARQ COMPANY-PROJECTS</t>
        </is>
      </c>
      <c r="G32" s="16" t="n"/>
      <c r="H32" s="17" t="n">
        <v>12650</v>
      </c>
      <c r="I32" s="16" t="inlineStr">
        <is>
          <t>النظام القديم</t>
        </is>
      </c>
      <c r="J32" s="16" t="inlineStr">
        <is>
          <t>نعم</t>
        </is>
      </c>
      <c r="K32" s="16" t="inlineStr">
        <is>
          <t>بدون تفصيل بنود في السجل</t>
        </is>
      </c>
    </row>
    <row r="33">
      <c r="A33" s="16" t="n">
        <v>32</v>
      </c>
      <c r="B33" s="16" t="inlineStr">
        <is>
          <t>RNP</t>
        </is>
      </c>
      <c r="C33" s="16" t="inlineStr">
        <is>
          <t>ترحيل إلى قسم المشاريع تبوك</t>
        </is>
      </c>
      <c r="D33" s="16" t="inlineStr">
        <is>
          <t>RNP-2704</t>
        </is>
      </c>
      <c r="E33" s="95" t="n">
        <v>45962</v>
      </c>
      <c r="F33" s="16" t="inlineStr">
        <is>
          <t>NESMA ELSHARQ COMPANY-PROJECTS</t>
        </is>
      </c>
      <c r="G33" s="16" t="n"/>
      <c r="H33" s="17" t="n">
        <v>2443.75</v>
      </c>
      <c r="I33" s="16" t="inlineStr">
        <is>
          <t>النظام القديم</t>
        </is>
      </c>
      <c r="J33" s="16" t="inlineStr">
        <is>
          <t>نعم</t>
        </is>
      </c>
      <c r="K33" s="16" t="inlineStr">
        <is>
          <t>بدون تفصيل بنود في السجل</t>
        </is>
      </c>
    </row>
    <row r="34">
      <c r="A34" s="16" t="n">
        <v>33</v>
      </c>
      <c r="B34" s="16" t="inlineStr">
        <is>
          <t>RNP</t>
        </is>
      </c>
      <c r="C34" s="16" t="inlineStr">
        <is>
          <t>ترحيل إلى قسم المشاريع تبوك</t>
        </is>
      </c>
      <c r="D34" s="16" t="inlineStr">
        <is>
          <t>RNP-2748</t>
        </is>
      </c>
      <c r="E34" s="95" t="n">
        <v>45964</v>
      </c>
      <c r="F34" s="16" t="inlineStr">
        <is>
          <t>NESMA ELSHARQ COMPANY-PROJECTS</t>
        </is>
      </c>
      <c r="G34" s="16" t="n"/>
      <c r="H34" s="17" t="n">
        <v>646.88</v>
      </c>
      <c r="I34" s="16" t="inlineStr">
        <is>
          <t>النظام القديم</t>
        </is>
      </c>
      <c r="J34" s="16" t="inlineStr">
        <is>
          <t>نعم</t>
        </is>
      </c>
      <c r="K34" s="16" t="inlineStr">
        <is>
          <t>بدون تفصيل بنود في السجل</t>
        </is>
      </c>
    </row>
    <row r="35">
      <c r="A35" s="16" t="n">
        <v>34</v>
      </c>
      <c r="B35" s="16" t="inlineStr">
        <is>
          <t>RNP</t>
        </is>
      </c>
      <c r="C35" s="16" t="inlineStr">
        <is>
          <t>ترحيل إلى قسم المشاريع تبوك</t>
        </is>
      </c>
      <c r="D35" s="16" t="inlineStr">
        <is>
          <t>RNP-2805</t>
        </is>
      </c>
      <c r="E35" s="95" t="n">
        <v>45969</v>
      </c>
      <c r="F35" s="16" t="inlineStr">
        <is>
          <t>NESMA ELSHARQ COMPANY-PROJECTS</t>
        </is>
      </c>
      <c r="G35" s="16" t="n"/>
      <c r="H35" s="17" t="n">
        <v>31740</v>
      </c>
      <c r="I35" s="16" t="inlineStr">
        <is>
          <t>النظام القديم</t>
        </is>
      </c>
      <c r="J35" s="16" t="inlineStr">
        <is>
          <t>نعم</t>
        </is>
      </c>
      <c r="K35" s="16" t="inlineStr">
        <is>
          <t>بدون تفصيل بنود في السجل</t>
        </is>
      </c>
    </row>
    <row r="36">
      <c r="A36" s="16" t="n">
        <v>35</v>
      </c>
      <c r="B36" s="16" t="inlineStr">
        <is>
          <t>RNP</t>
        </is>
      </c>
      <c r="C36" s="16" t="inlineStr">
        <is>
          <t>ترحيل إلى قسم المشاريع تبوك</t>
        </is>
      </c>
      <c r="D36" s="16" t="inlineStr">
        <is>
          <t>RNP-3160</t>
        </is>
      </c>
      <c r="E36" s="95" t="n">
        <v>45999</v>
      </c>
      <c r="F36" s="16" t="inlineStr">
        <is>
          <t>NESMA ELSHARQ COMPANY-PROJECTS</t>
        </is>
      </c>
      <c r="G36" s="16" t="n"/>
      <c r="H36" s="17" t="n">
        <v>76.48</v>
      </c>
      <c r="I36" s="16" t="inlineStr">
        <is>
          <t>النظام القديم</t>
        </is>
      </c>
      <c r="J36" s="16" t="inlineStr">
        <is>
          <t>نعم</t>
        </is>
      </c>
      <c r="K36" s="16" t="inlineStr">
        <is>
          <t>بدون تفصيل بنود في السجل</t>
        </is>
      </c>
    </row>
    <row r="37">
      <c r="A37" s="16" t="n">
        <v>36</v>
      </c>
      <c r="B37" s="16" t="inlineStr">
        <is>
          <t>RNP</t>
        </is>
      </c>
      <c r="C37" s="16" t="inlineStr">
        <is>
          <t>ترحيل إلى قسم المشاريع تبوك</t>
        </is>
      </c>
      <c r="D37" s="16" t="inlineStr">
        <is>
          <t>RNP-3165</t>
        </is>
      </c>
      <c r="E37" s="95" t="n">
        <v>45999</v>
      </c>
      <c r="F37" s="16" t="inlineStr">
        <is>
          <t>NESMA ELSHARQ COMPANY-PROJECTS</t>
        </is>
      </c>
      <c r="G37" s="16" t="n"/>
      <c r="H37" s="17" t="n">
        <v>110.69</v>
      </c>
      <c r="I37" s="16" t="inlineStr">
        <is>
          <t>النظام القديم</t>
        </is>
      </c>
      <c r="J37" s="16" t="inlineStr">
        <is>
          <t>نعم</t>
        </is>
      </c>
      <c r="K37" s="16" t="inlineStr">
        <is>
          <t>بدون تفصيل بنود في السجل</t>
        </is>
      </c>
    </row>
    <row r="38">
      <c r="A38" s="16" t="n">
        <v>37</v>
      </c>
      <c r="B38" s="16" t="inlineStr">
        <is>
          <t>RNP</t>
        </is>
      </c>
      <c r="C38" s="16" t="inlineStr">
        <is>
          <t>ترحيل إلى قسم المشاريع تبوك</t>
        </is>
      </c>
      <c r="D38" s="16" t="inlineStr">
        <is>
          <t>RNP-3276</t>
        </is>
      </c>
      <c r="E38" s="95" t="n">
        <v>46011</v>
      </c>
      <c r="F38" s="16" t="inlineStr">
        <is>
          <t>NESMA ELSHARQ COMPANY-PROJECTS</t>
        </is>
      </c>
      <c r="G38" s="16" t="n"/>
      <c r="H38" s="17" t="n">
        <v>5180.46</v>
      </c>
      <c r="I38" s="16" t="inlineStr">
        <is>
          <t>النظام القديم</t>
        </is>
      </c>
      <c r="J38" s="16" t="inlineStr">
        <is>
          <t>نعم</t>
        </is>
      </c>
      <c r="K38" s="16" t="inlineStr">
        <is>
          <t>بدون تفصيل بنود في السجل</t>
        </is>
      </c>
    </row>
    <row r="39">
      <c r="A39" s="16" t="n">
        <v>38</v>
      </c>
      <c r="B39" s="16" t="inlineStr">
        <is>
          <t>RNP</t>
        </is>
      </c>
      <c r="C39" s="16" t="inlineStr">
        <is>
          <t>ترحيل إلى قسم المشاريع تبوك</t>
        </is>
      </c>
      <c r="D39" s="16" t="inlineStr">
        <is>
          <t>RNP-3432</t>
        </is>
      </c>
      <c r="E39" s="95" t="n">
        <v>46026</v>
      </c>
      <c r="F39" s="16" t="inlineStr">
        <is>
          <t>NESMA ELSHARQ COMPANY- PROJECTS</t>
        </is>
      </c>
      <c r="G39" s="16" t="n">
        <v>2</v>
      </c>
      <c r="H39" s="17" t="n">
        <v>42435</v>
      </c>
      <c r="I39" s="16" t="inlineStr">
        <is>
          <t>النظام القديم</t>
        </is>
      </c>
      <c r="J39" s="16" t="inlineStr">
        <is>
          <t>نعم</t>
        </is>
      </c>
      <c r="K39" s="16" t="n"/>
    </row>
    <row r="40">
      <c r="A40" s="16" t="n">
        <v>39</v>
      </c>
      <c r="B40" s="16" t="inlineStr">
        <is>
          <t>RNP</t>
        </is>
      </c>
      <c r="C40" s="16" t="inlineStr">
        <is>
          <t>ترحيل إلى قسم المشاريع تبوك</t>
        </is>
      </c>
      <c r="D40" s="16" t="inlineStr">
        <is>
          <t>RNP-3433</t>
        </is>
      </c>
      <c r="E40" s="95" t="n">
        <v>46026</v>
      </c>
      <c r="F40" s="16" t="inlineStr">
        <is>
          <t>NESMA ELSHARQ COMPANY- PROJECTS</t>
        </is>
      </c>
      <c r="G40" s="16" t="n">
        <v>4</v>
      </c>
      <c r="H40" s="17" t="n">
        <v>3760.5</v>
      </c>
      <c r="I40" s="16" t="inlineStr">
        <is>
          <t>النظام القديم</t>
        </is>
      </c>
      <c r="J40" s="16" t="inlineStr">
        <is>
          <t>نعم</t>
        </is>
      </c>
      <c r="K40" s="16" t="n"/>
    </row>
    <row r="41">
      <c r="A41" s="16" t="n">
        <v>40</v>
      </c>
      <c r="B41" s="16" t="inlineStr">
        <is>
          <t>RNP</t>
        </is>
      </c>
      <c r="C41" s="16" t="inlineStr">
        <is>
          <t>ترحيل إلى قسم المشاريع تبوك</t>
        </is>
      </c>
      <c r="D41" s="16" t="inlineStr">
        <is>
          <t>RNP-3491</t>
        </is>
      </c>
      <c r="E41" s="95" t="n">
        <v>46029</v>
      </c>
      <c r="F41" s="16" t="inlineStr">
        <is>
          <t>NESMA ELSHARQ COMPANY- PROJECTS</t>
        </is>
      </c>
      <c r="G41" s="16" t="n">
        <v>3</v>
      </c>
      <c r="H41" s="17" t="n">
        <v>5284.25</v>
      </c>
      <c r="I41" s="16" t="inlineStr">
        <is>
          <t>النظام القديم</t>
        </is>
      </c>
      <c r="J41" s="16" t="inlineStr">
        <is>
          <t>نعم</t>
        </is>
      </c>
      <c r="K41" s="16" t="n"/>
    </row>
    <row r="42">
      <c r="A42" s="16" t="n">
        <v>41</v>
      </c>
      <c r="B42" s="16" t="inlineStr">
        <is>
          <t>RNP</t>
        </is>
      </c>
      <c r="C42" s="16" t="inlineStr">
        <is>
          <t>ترحيل إلى قسم المشاريع تبوك</t>
        </is>
      </c>
      <c r="D42" s="16" t="inlineStr">
        <is>
          <t>RNP-3520</t>
        </is>
      </c>
      <c r="E42" s="95" t="n">
        <v>46033</v>
      </c>
      <c r="F42" s="16" t="inlineStr">
        <is>
          <t>NESMA ELSHARQ COMPANY- PROJECTS</t>
        </is>
      </c>
      <c r="G42" s="16" t="n">
        <v>1</v>
      </c>
      <c r="H42" s="17" t="n">
        <v>3795</v>
      </c>
      <c r="I42" s="16" t="inlineStr">
        <is>
          <t>النظام القديم</t>
        </is>
      </c>
      <c r="J42" s="16" t="inlineStr">
        <is>
          <t>نعم</t>
        </is>
      </c>
      <c r="K42" s="16" t="n"/>
    </row>
    <row r="43">
      <c r="A43" s="16" t="n">
        <v>42</v>
      </c>
      <c r="B43" s="16" t="inlineStr">
        <is>
          <t>RNP</t>
        </is>
      </c>
      <c r="C43" s="16" t="inlineStr">
        <is>
          <t>ترحيل إلى قسم المشاريع تبوك</t>
        </is>
      </c>
      <c r="D43" s="16" t="inlineStr">
        <is>
          <t>RNP-3586</t>
        </is>
      </c>
      <c r="E43" s="95" t="n">
        <v>46039</v>
      </c>
      <c r="F43" s="16" t="inlineStr">
        <is>
          <t>NESMA ELSHARQ COMPANY-PROJECTS</t>
        </is>
      </c>
      <c r="G43" s="16" t="n"/>
      <c r="H43" s="17" t="n">
        <v>97.75</v>
      </c>
      <c r="I43" s="16" t="inlineStr">
        <is>
          <t>النظام القديم</t>
        </is>
      </c>
      <c r="J43" s="16" t="inlineStr">
        <is>
          <t>نعم</t>
        </is>
      </c>
      <c r="K43" s="16" t="inlineStr">
        <is>
          <t>بدون تفصيل بنود في السجل</t>
        </is>
      </c>
    </row>
    <row r="44">
      <c r="A44" s="16" t="n">
        <v>43</v>
      </c>
      <c r="B44" s="16" t="inlineStr">
        <is>
          <t>RNP</t>
        </is>
      </c>
      <c r="C44" s="16" t="inlineStr">
        <is>
          <t>ترحيل إلى قسم المشاريع تبوك</t>
        </is>
      </c>
      <c r="D44" s="16" t="inlineStr">
        <is>
          <t>RNP-3613</t>
        </is>
      </c>
      <c r="E44" s="95" t="n">
        <v>46042</v>
      </c>
      <c r="F44" s="16" t="inlineStr">
        <is>
          <t>NESMA ELSHARQ COMPANY-PROJECTS</t>
        </is>
      </c>
      <c r="G44" s="16" t="n"/>
      <c r="H44" s="17" t="n">
        <v>2708.25</v>
      </c>
      <c r="I44" s="16" t="inlineStr">
        <is>
          <t>النظام القديم</t>
        </is>
      </c>
      <c r="J44" s="16" t="inlineStr">
        <is>
          <t>نعم</t>
        </is>
      </c>
      <c r="K44" s="16" t="inlineStr">
        <is>
          <t>بدون تفصيل بنود في السجل</t>
        </is>
      </c>
    </row>
    <row r="45">
      <c r="A45" s="16" t="n">
        <v>44</v>
      </c>
      <c r="B45" s="16" t="inlineStr">
        <is>
          <t>RNP</t>
        </is>
      </c>
      <c r="C45" s="16" t="inlineStr">
        <is>
          <t>ترحيل إلى قسم المشاريع تبوك</t>
        </is>
      </c>
      <c r="D45" s="16" t="inlineStr">
        <is>
          <t>RNP-3756</t>
        </is>
      </c>
      <c r="E45" s="95" t="n">
        <v>46057</v>
      </c>
      <c r="F45" s="16" t="inlineStr">
        <is>
          <t>NESMA ELSHARQ COMPANY- PROJECTS</t>
        </is>
      </c>
      <c r="G45" s="16" t="n">
        <v>1</v>
      </c>
      <c r="H45" s="17" t="n">
        <v>747.5</v>
      </c>
      <c r="I45" s="16" t="inlineStr">
        <is>
          <t>النظام القديم</t>
        </is>
      </c>
      <c r="J45" s="16" t="inlineStr">
        <is>
          <t>نعم</t>
        </is>
      </c>
      <c r="K45" s="16" t="n"/>
    </row>
    <row r="46">
      <c r="A46" s="16" t="n">
        <v>45</v>
      </c>
      <c r="B46" s="16" t="inlineStr">
        <is>
          <t>RNP</t>
        </is>
      </c>
      <c r="C46" s="16" t="inlineStr">
        <is>
          <t>ترحيل إلى قسم المشاريع تبوك</t>
        </is>
      </c>
      <c r="D46" s="16" t="inlineStr">
        <is>
          <t>RNP-3767</t>
        </is>
      </c>
      <c r="E46" s="95" t="n">
        <v>46059</v>
      </c>
      <c r="F46" s="16" t="inlineStr">
        <is>
          <t>NESMA ELSHARQ COMPANY- PROJECTS</t>
        </is>
      </c>
      <c r="G46" s="16" t="n">
        <v>2</v>
      </c>
      <c r="H46" s="17" t="n">
        <v>7423.25</v>
      </c>
      <c r="I46" s="16" t="inlineStr">
        <is>
          <t>النظام القديم</t>
        </is>
      </c>
      <c r="J46" s="16" t="inlineStr">
        <is>
          <t>نعم</t>
        </is>
      </c>
      <c r="K46" s="16" t="n"/>
    </row>
    <row r="47">
      <c r="A47" s="16" t="n">
        <v>46</v>
      </c>
      <c r="B47" s="16" t="inlineStr">
        <is>
          <t>RNP</t>
        </is>
      </c>
      <c r="C47" s="16" t="inlineStr">
        <is>
          <t>ترحيل إلى قسم المشاريع تبوك</t>
        </is>
      </c>
      <c r="D47" s="16" t="inlineStr">
        <is>
          <t>RNP-3839</t>
        </is>
      </c>
      <c r="E47" s="95" t="n">
        <v>46068</v>
      </c>
      <c r="F47" s="16" t="inlineStr">
        <is>
          <t>NESMA ELSHARQ COMPANY- PROJECTS</t>
        </is>
      </c>
      <c r="G47" s="16" t="n">
        <v>4</v>
      </c>
      <c r="H47" s="17" t="n">
        <v>789.36</v>
      </c>
      <c r="I47" s="16" t="inlineStr">
        <is>
          <t>النظام القديم</t>
        </is>
      </c>
      <c r="J47" s="16" t="inlineStr">
        <is>
          <t>نعم</t>
        </is>
      </c>
      <c r="K47" s="16" t="n"/>
    </row>
    <row r="48">
      <c r="A48" s="16" t="n">
        <v>47</v>
      </c>
      <c r="B48" s="16" t="inlineStr">
        <is>
          <t>RNP</t>
        </is>
      </c>
      <c r="C48" s="16" t="inlineStr">
        <is>
          <t>ترحيل إلى قسم المشاريع تبوك</t>
        </is>
      </c>
      <c r="D48" s="16" t="inlineStr">
        <is>
          <t>RNP-208</t>
        </is>
      </c>
      <c r="E48" s="95" t="n">
        <v>46120</v>
      </c>
      <c r="F48" s="16" t="inlineStr">
        <is>
          <t>NS-DEPARTMENT</t>
        </is>
      </c>
      <c r="G48" s="16" t="n">
        <v>1</v>
      </c>
      <c r="H48" s="17" t="n">
        <v>2200</v>
      </c>
      <c r="I48" s="16" t="inlineStr">
        <is>
          <t>سجل صرف المخزن</t>
        </is>
      </c>
      <c r="J48" s="16" t="inlineStr">
        <is>
          <t>نعم</t>
        </is>
      </c>
      <c r="K48" s="16" t="inlineStr">
        <is>
          <t>سند RN-RAW-OUT#208 – مرجع 238628 – بواسطة طلبية جدة - سراكو | ملاحظة السند: MR.EMAD HAMDY</t>
        </is>
      </c>
    </row>
    <row r="49">
      <c r="A49" s="16" t="n">
        <v>48</v>
      </c>
      <c r="B49" s="16" t="inlineStr">
        <is>
          <t>RNP</t>
        </is>
      </c>
      <c r="C49" s="16" t="inlineStr">
        <is>
          <t>ترحيل إلى قسم المشاريع تبوك</t>
        </is>
      </c>
      <c r="D49" s="16" t="inlineStr">
        <is>
          <t>RNP-213</t>
        </is>
      </c>
      <c r="E49" s="95" t="n">
        <v>46121</v>
      </c>
      <c r="F49" s="16" t="inlineStr">
        <is>
          <t>NS-DEPARTMENT</t>
        </is>
      </c>
      <c r="G49" s="16" t="n">
        <v>2</v>
      </c>
      <c r="H49" s="17" t="n">
        <v>770</v>
      </c>
      <c r="I49" s="16" t="inlineStr">
        <is>
          <t>سجل صرف المخزن</t>
        </is>
      </c>
      <c r="J49" s="16" t="inlineStr">
        <is>
          <t>نعم</t>
        </is>
      </c>
      <c r="K49" s="16" t="inlineStr">
        <is>
          <t>سند RN-RAW-OUT#213 – مرجع NS-240096 – بواسطة شحن - سراكو | ملاحظة السند: ENG.AHMED GAMAL</t>
        </is>
      </c>
    </row>
    <row r="50">
      <c r="A50" s="16" t="n">
        <v>49</v>
      </c>
      <c r="B50" s="16" t="inlineStr">
        <is>
          <t>RNP</t>
        </is>
      </c>
      <c r="C50" s="16" t="inlineStr">
        <is>
          <t>ترحيل إلى قسم المشاريع تبوك</t>
        </is>
      </c>
      <c r="D50" s="16" t="inlineStr">
        <is>
          <t>RNP-216</t>
        </is>
      </c>
      <c r="E50" s="95" t="n">
        <v>46123</v>
      </c>
      <c r="F50" s="16" t="inlineStr">
        <is>
          <t>NS-DEPARTMENT</t>
        </is>
      </c>
      <c r="G50" s="16" t="n">
        <v>2</v>
      </c>
      <c r="H50" s="17" t="n">
        <v>55</v>
      </c>
      <c r="I50" s="16" t="inlineStr">
        <is>
          <t>سجل صرف المخزن</t>
        </is>
      </c>
      <c r="J50" s="16" t="inlineStr">
        <is>
          <t>نعم</t>
        </is>
      </c>
      <c r="K50" s="16" t="inlineStr">
        <is>
          <t>سند RN-RAW-OUT#216 – مرجع NS-4106 – بواسطة طلبية خالد أبو النصر | ملاحظة السند: MR.EMAD HAMDY</t>
        </is>
      </c>
    </row>
    <row r="51">
      <c r="A51" s="16" t="n">
        <v>50</v>
      </c>
      <c r="B51" s="16" t="inlineStr">
        <is>
          <t>RNP</t>
        </is>
      </c>
      <c r="C51" s="16" t="inlineStr">
        <is>
          <t>ترحيل إلى قسم المشاريع تبوك</t>
        </is>
      </c>
      <c r="D51" s="16" t="inlineStr">
        <is>
          <t>RNP-224</t>
        </is>
      </c>
      <c r="E51" s="95" t="n">
        <v>46127</v>
      </c>
      <c r="F51" s="16" t="inlineStr">
        <is>
          <t>NS-DEPARTMENT</t>
        </is>
      </c>
      <c r="G51" s="16" t="n">
        <v>1</v>
      </c>
      <c r="H51" s="17" t="n">
        <v>550</v>
      </c>
      <c r="I51" s="16" t="inlineStr">
        <is>
          <t>سجل صرف المخزن</t>
        </is>
      </c>
      <c r="J51" s="16" t="inlineStr">
        <is>
          <t>نعم</t>
        </is>
      </c>
      <c r="K51" s="16" t="inlineStr">
        <is>
          <t>سند RN-RAW-OUT#224 – مرجع NS-4151 – بواسطة طلبية خالد أبو ناصر | ملاحظة السند: MR.ESMAT KHAN</t>
        </is>
      </c>
    </row>
    <row r="52">
      <c r="A52" s="16" t="n">
        <v>51</v>
      </c>
      <c r="B52" s="16" t="inlineStr">
        <is>
          <t>RNP</t>
        </is>
      </c>
      <c r="C52" s="16" t="inlineStr">
        <is>
          <t>ترحيل إلى قسم المشاريع تبوك</t>
        </is>
      </c>
      <c r="D52" s="16" t="inlineStr">
        <is>
          <t>RNP-243</t>
        </is>
      </c>
      <c r="E52" s="95" t="n">
        <v>46138</v>
      </c>
      <c r="F52" s="16" t="inlineStr">
        <is>
          <t>NS-DEPARTMENT</t>
        </is>
      </c>
      <c r="G52" s="16" t="n">
        <v>2</v>
      </c>
      <c r="H52" s="17" t="n">
        <v>4400</v>
      </c>
      <c r="I52" s="16" t="inlineStr">
        <is>
          <t>سجل صرف المخزن</t>
        </is>
      </c>
      <c r="J52" s="16" t="inlineStr">
        <is>
          <t>نعم</t>
        </is>
      </c>
      <c r="K52" s="16" t="inlineStr">
        <is>
          <t>سند RN-RAW-OUT#243 – مرجع 241410 – بواسطة تحويل لمشروع طرف تبوك - سراكو | ملاحظة السند: MR.EMAD HAMDY</t>
        </is>
      </c>
    </row>
    <row r="53">
      <c r="A53" s="16" t="n">
        <v>52</v>
      </c>
      <c r="B53" s="16" t="inlineStr">
        <is>
          <t>RNP</t>
        </is>
      </c>
      <c r="C53" s="16" t="inlineStr">
        <is>
          <t>ترحيل إلى قسم المشاريع تبوك</t>
        </is>
      </c>
      <c r="D53" s="16" t="inlineStr">
        <is>
          <t>RNP-260</t>
        </is>
      </c>
      <c r="E53" s="95" t="n">
        <v>46144</v>
      </c>
      <c r="F53" s="16" t="inlineStr">
        <is>
          <t>NS-DEPARTMENT</t>
        </is>
      </c>
      <c r="G53" s="16" t="n">
        <v>2</v>
      </c>
      <c r="H53" s="17" t="n">
        <v>440</v>
      </c>
      <c r="I53" s="16" t="inlineStr">
        <is>
          <t>سجل صرف المخزن</t>
        </is>
      </c>
      <c r="J53" s="16" t="inlineStr">
        <is>
          <t>نعم</t>
        </is>
      </c>
      <c r="K53" s="16" t="inlineStr">
        <is>
          <t>سند RN-RAW-OUT#260 – مرجع 242892 – بواسطة None | ملاحظة السند: MR.EMAD HAMDY</t>
        </is>
      </c>
    </row>
    <row r="54">
      <c r="A54" s="16" t="n">
        <v>53</v>
      </c>
      <c r="B54" s="16" t="inlineStr">
        <is>
          <t>RNP</t>
        </is>
      </c>
      <c r="C54" s="16" t="inlineStr">
        <is>
          <t>ترحيل إلى قسم المشاريع تبوك</t>
        </is>
      </c>
      <c r="D54" s="16" t="inlineStr">
        <is>
          <t>RNP-266</t>
        </is>
      </c>
      <c r="E54" s="95" t="n">
        <v>46147</v>
      </c>
      <c r="F54" s="16" t="inlineStr">
        <is>
          <t>NS-DEPARTMENT</t>
        </is>
      </c>
      <c r="G54" s="16" t="n">
        <v>2</v>
      </c>
      <c r="H54" s="17" t="n">
        <v>1496</v>
      </c>
      <c r="I54" s="16" t="inlineStr">
        <is>
          <t>سجل صرف المخزن</t>
        </is>
      </c>
      <c r="J54" s="16" t="inlineStr">
        <is>
          <t>نعم</t>
        </is>
      </c>
      <c r="K54" s="16" t="inlineStr">
        <is>
          <t>سند RN-RAW-OUT#266 – مرجع 243469 – بواسطة None | ملاحظة السند: MR.EMAD HAMDY</t>
        </is>
      </c>
    </row>
    <row r="55">
      <c r="A55" s="18" t="n">
        <v>54</v>
      </c>
      <c r="B55" s="18" t="inlineStr">
        <is>
          <t>RNP</t>
        </is>
      </c>
      <c r="C55" s="18" t="inlineStr">
        <is>
          <t>ترحيل إلى قسم المشاريع تبوك</t>
        </is>
      </c>
      <c r="D55" s="18" t="inlineStr">
        <is>
          <t>RNP-299</t>
        </is>
      </c>
      <c r="E55" s="98" t="n">
        <v>46161</v>
      </c>
      <c r="F55" s="18" t="inlineStr">
        <is>
          <t>NS-DEPARTMENT</t>
        </is>
      </c>
      <c r="G55" s="18" t="n">
        <v>1</v>
      </c>
      <c r="H55" s="19" t="n">
        <v>14300</v>
      </c>
      <c r="I55" s="18" t="inlineStr">
        <is>
          <t>سجل صرف المخزن</t>
        </is>
      </c>
      <c r="J55" s="18" t="inlineStr">
        <is>
          <t>نعم</t>
        </is>
      </c>
      <c r="K55" s="18" t="inlineStr">
        <is>
          <t>سند RN-RAW-OUT#299 – مرجع 58991 – بواسطة ارسال مع عماد 15500 - عصمت 10500 | ملاحظة السند: MR.EMAD HAMDY | ⚠ مرجع الطلب 58991 مستخدم في سندين (#299 و #301) بإجمالي 36,025 | ⚠ البيان يذكر إرسال 15,500 مع عماد و10,500 مع عصمت – تسليم بضاعة لمناديب البيع، يلزم مطابقته مع مبيعاتهم</t>
        </is>
      </c>
    </row>
    <row r="56">
      <c r="A56" s="18" t="n">
        <v>55</v>
      </c>
      <c r="B56" s="18" t="inlineStr">
        <is>
          <t>RNP</t>
        </is>
      </c>
      <c r="C56" s="18" t="inlineStr">
        <is>
          <t>ترحيل إلى قسم المشاريع تبوك</t>
        </is>
      </c>
      <c r="D56" s="18" t="inlineStr">
        <is>
          <t>RNP-301</t>
        </is>
      </c>
      <c r="E56" s="98" t="n">
        <v>46163</v>
      </c>
      <c r="F56" s="18" t="inlineStr">
        <is>
          <t>NS-DEPARTMENT</t>
        </is>
      </c>
      <c r="G56" s="18" t="n">
        <v>2</v>
      </c>
      <c r="H56" s="19" t="n">
        <v>21725</v>
      </c>
      <c r="I56" s="18" t="inlineStr">
        <is>
          <t>سجل صرف المخزن</t>
        </is>
      </c>
      <c r="J56" s="18" t="inlineStr">
        <is>
          <t>نعم</t>
        </is>
      </c>
      <c r="K56" s="18" t="inlineStr">
        <is>
          <t>سند RN-RAW-OUT#301 – مرجع 58991 – بواسطة السيف | ملاحظة السند: ENG.ISLAM SASA | ⚠ مرجع الطلب 58991 مستخدم في سندين (#299 و #301) بإجمالي 36,025</t>
        </is>
      </c>
    </row>
    <row r="57">
      <c r="A57" s="18" t="n">
        <v>56</v>
      </c>
      <c r="B57" s="18" t="inlineStr">
        <is>
          <t>RNP</t>
        </is>
      </c>
      <c r="C57" s="18" t="inlineStr">
        <is>
          <t>ترحيل إلى قسم المشاريع تبوك</t>
        </is>
      </c>
      <c r="D57" s="18" t="inlineStr">
        <is>
          <t>ISV-0004</t>
        </is>
      </c>
      <c r="E57" s="98" t="n">
        <v>46186</v>
      </c>
      <c r="F57" s="18" t="inlineStr">
        <is>
          <t>طلب: NS-REQ-005</t>
        </is>
      </c>
      <c r="G57" s="18" t="n">
        <v>5</v>
      </c>
      <c r="H57" s="19" t="n">
        <v>1100</v>
      </c>
      <c r="I57" s="18" t="inlineStr">
        <is>
          <t>النظام الجديد</t>
        </is>
      </c>
      <c r="J57" s="18" t="inlineStr">
        <is>
          <t>نعم</t>
        </is>
      </c>
      <c r="K57" s="18" t="inlineStr">
        <is>
          <t>مرجع الطلب: NS-REQ-005 | ⚠ غير موجود في ملف الأرشيف السابق (transfer vouchers archive) – تمت إضافته من ملف التفصيل</t>
        </is>
      </c>
    </row>
    <row r="58">
      <c r="A58" s="18" t="n">
        <v>57</v>
      </c>
      <c r="B58" s="18" t="inlineStr">
        <is>
          <t>RNP</t>
        </is>
      </c>
      <c r="C58" s="18" t="inlineStr">
        <is>
          <t>ترحيل إلى قسم المشاريع تبوك</t>
        </is>
      </c>
      <c r="D58" s="18" t="inlineStr">
        <is>
          <t>ISV-0005</t>
        </is>
      </c>
      <c r="E58" s="98" t="n">
        <v>46186</v>
      </c>
      <c r="F58" s="18" t="inlineStr">
        <is>
          <t>طلب: NS-REQ-004</t>
        </is>
      </c>
      <c r="G58" s="18" t="n">
        <v>6</v>
      </c>
      <c r="H58" s="19" t="n">
        <v>2200</v>
      </c>
      <c r="I58" s="18" t="inlineStr">
        <is>
          <t>النظام الجديد</t>
        </is>
      </c>
      <c r="J58" s="18" t="inlineStr">
        <is>
          <t>نعم</t>
        </is>
      </c>
      <c r="K58" s="18" t="inlineStr">
        <is>
          <t>مرجع الطلب: NS-REQ-004 | ⚠ غير موجود في ملف الأرشيف السابق (transfer vouchers archive) – تمت إضافته من ملف التفصيل</t>
        </is>
      </c>
    </row>
    <row r="59">
      <c r="A59" s="18" t="n">
        <v>58</v>
      </c>
      <c r="B59" s="18" t="inlineStr">
        <is>
          <t>RNP</t>
        </is>
      </c>
      <c r="C59" s="18" t="inlineStr">
        <is>
          <t>ترحيل إلى قسم المشاريع تبوك</t>
        </is>
      </c>
      <c r="D59" s="18" t="inlineStr">
        <is>
          <t>ISV-0010</t>
        </is>
      </c>
      <c r="E59" s="98" t="n">
        <v>46187</v>
      </c>
      <c r="F59" s="18" t="inlineStr">
        <is>
          <t>طلب: NS-REQ-007</t>
        </is>
      </c>
      <c r="G59" s="18" t="n">
        <v>10</v>
      </c>
      <c r="H59" s="19" t="n">
        <v>4271</v>
      </c>
      <c r="I59" s="18" t="inlineStr">
        <is>
          <t>النظام الجديد</t>
        </is>
      </c>
      <c r="J59" s="18" t="inlineStr">
        <is>
          <t>نعم</t>
        </is>
      </c>
      <c r="K59" s="18" t="inlineStr">
        <is>
          <t>مرجع الطلب: NS-REQ-007 | ⚠ غير موجود في ملف الأرشيف السابق (transfer vouchers archive) – تمت إضافته من ملف التفصيل</t>
        </is>
      </c>
    </row>
    <row r="60">
      <c r="A60" s="18" t="n">
        <v>59</v>
      </c>
      <c r="B60" s="18" t="inlineStr">
        <is>
          <t>RNP</t>
        </is>
      </c>
      <c r="C60" s="18" t="inlineStr">
        <is>
          <t>ترحيل إلى قسم المشاريع تبوك</t>
        </is>
      </c>
      <c r="D60" s="18" t="inlineStr">
        <is>
          <t>ISV-0011</t>
        </is>
      </c>
      <c r="E60" s="98" t="n">
        <v>46187</v>
      </c>
      <c r="F60" s="18" t="inlineStr">
        <is>
          <t>طلب: NS-REQ-008</t>
        </is>
      </c>
      <c r="G60" s="18" t="n">
        <v>1</v>
      </c>
      <c r="H60" s="19" t="n">
        <v>1100</v>
      </c>
      <c r="I60" s="18" t="inlineStr">
        <is>
          <t>النظام الجديد</t>
        </is>
      </c>
      <c r="J60" s="18" t="inlineStr">
        <is>
          <t>نعم</t>
        </is>
      </c>
      <c r="K60" s="18" t="inlineStr">
        <is>
          <t>مرجع الطلب: NS-REQ-008 | ⚠ غير موجود في ملف الأرشيف السابق (transfer vouchers archive) – تمت إضافته من ملف التفصيل | ⚠ مرجع الطلب NS-REQ-008 مستخدم في سندين (ISV-0011، ISV-0016)</t>
        </is>
      </c>
    </row>
    <row r="61">
      <c r="A61" s="18" t="n">
        <v>60</v>
      </c>
      <c r="B61" s="18" t="inlineStr">
        <is>
          <t>RNP</t>
        </is>
      </c>
      <c r="C61" s="18" t="inlineStr">
        <is>
          <t>ترحيل إلى قسم المشاريع تبوك</t>
        </is>
      </c>
      <c r="D61" s="18" t="inlineStr">
        <is>
          <t>ISV-0016</t>
        </is>
      </c>
      <c r="E61" s="98" t="n">
        <v>46190</v>
      </c>
      <c r="F61" s="18" t="inlineStr">
        <is>
          <t>طلب: NS-REQ-008</t>
        </is>
      </c>
      <c r="G61" s="18" t="n">
        <v>1</v>
      </c>
      <c r="H61" s="19" t="n">
        <v>825</v>
      </c>
      <c r="I61" s="18" t="inlineStr">
        <is>
          <t>النظام الجديد</t>
        </is>
      </c>
      <c r="J61" s="18" t="inlineStr">
        <is>
          <t>نعم</t>
        </is>
      </c>
      <c r="K61" s="18" t="inlineStr">
        <is>
          <t>مرجع الطلب: NS-REQ-008 | ⚠ غير موجود في ملف الأرشيف السابق (transfer vouchers archive) – تمت إضافته من ملف التفصيل | ⚠ مرجع الطلب NS-REQ-008 مستخدم في سندين (ISV-0011، ISV-0016)</t>
        </is>
      </c>
    </row>
    <row r="62">
      <c r="A62" s="25" t="n">
        <v>61</v>
      </c>
      <c r="B62" s="25" t="inlineStr">
        <is>
          <t>RNP</t>
        </is>
      </c>
      <c r="C62" s="25" t="inlineStr">
        <is>
          <t>ترحيل إلى قسم المشاريع تبوك</t>
        </is>
      </c>
      <c r="D62" s="25" t="inlineStr">
        <is>
          <t>ISV-0017</t>
        </is>
      </c>
      <c r="E62" s="96" t="n">
        <v>46190</v>
      </c>
      <c r="F62" s="25" t="inlineStr">
        <is>
          <t>طلب: CD1-REQ-011</t>
        </is>
      </c>
      <c r="G62" s="25" t="n">
        <v>1</v>
      </c>
      <c r="H62" s="27" t="n">
        <v>463</v>
      </c>
      <c r="I62" s="25" t="inlineStr">
        <is>
          <t>النظام الجديد</t>
        </is>
      </c>
      <c r="J62" s="25" t="inlineStr">
        <is>
          <t>نعم</t>
        </is>
      </c>
      <c r="K62" s="25" t="inlineStr">
        <is>
          <t>مرجع الطلب: CD1-REQ-011</t>
        </is>
      </c>
    </row>
    <row r="63">
      <c r="A63" s="18" t="n">
        <v>62</v>
      </c>
      <c r="B63" s="18" t="inlineStr">
        <is>
          <t>RNP</t>
        </is>
      </c>
      <c r="C63" s="18" t="inlineStr">
        <is>
          <t>ترحيل إلى قسم المشاريع تبوك</t>
        </is>
      </c>
      <c r="D63" s="18" t="inlineStr">
        <is>
          <t>ISV-0026</t>
        </is>
      </c>
      <c r="E63" s="98" t="n">
        <v>46195</v>
      </c>
      <c r="F63" s="18" t="inlineStr">
        <is>
          <t>طلب: NS-REQ-019</t>
        </is>
      </c>
      <c r="G63" s="18" t="n">
        <v>1</v>
      </c>
      <c r="H63" s="19" t="n">
        <v>3825</v>
      </c>
      <c r="I63" s="18" t="inlineStr">
        <is>
          <t>النظام الجديد</t>
        </is>
      </c>
      <c r="J63" s="18" t="inlineStr">
        <is>
          <t>نعم</t>
        </is>
      </c>
      <c r="K63" s="18" t="inlineStr">
        <is>
          <t>مرجع الطلب: NS-REQ-019 | ⚠ غير موجود في ملف الأرشيف السابق (transfer vouchers archive) – تمت إضافته من ملف التفصيل</t>
        </is>
      </c>
    </row>
    <row r="64">
      <c r="A64" s="18" t="n">
        <v>63</v>
      </c>
      <c r="B64" s="18" t="inlineStr">
        <is>
          <t>RNP</t>
        </is>
      </c>
      <c r="C64" s="18" t="inlineStr">
        <is>
          <t>ترحيل إلى قسم المشاريع تبوك</t>
        </is>
      </c>
      <c r="D64" s="18" t="inlineStr">
        <is>
          <t>ISV-0038</t>
        </is>
      </c>
      <c r="E64" s="98" t="n">
        <v>46197</v>
      </c>
      <c r="F64" s="18" t="inlineStr">
        <is>
          <t>طلب: NS-REQ-026</t>
        </is>
      </c>
      <c r="G64" s="18" t="n">
        <v>1</v>
      </c>
      <c r="H64" s="19" t="n">
        <v>1312.5</v>
      </c>
      <c r="I64" s="18" t="inlineStr">
        <is>
          <t>النظام الجديد</t>
        </is>
      </c>
      <c r="J64" s="18" t="inlineStr">
        <is>
          <t>نعم</t>
        </is>
      </c>
      <c r="K64" s="18" t="inlineStr">
        <is>
          <t>مرجع الطلب: NS-REQ-026 | ⚠ غير موجود في ملف الأرشيف السابق (transfer vouchers archive) – تمت إضافته من ملف التفصيل</t>
        </is>
      </c>
    </row>
    <row r="65">
      <c r="A65" s="18" t="n">
        <v>64</v>
      </c>
      <c r="B65" s="18" t="inlineStr">
        <is>
          <t>RNP</t>
        </is>
      </c>
      <c r="C65" s="18" t="inlineStr">
        <is>
          <t>ترحيل إلى قسم المشاريع تبوك</t>
        </is>
      </c>
      <c r="D65" s="18" t="inlineStr">
        <is>
          <t>ISV-0048</t>
        </is>
      </c>
      <c r="E65" s="98" t="n">
        <v>46200</v>
      </c>
      <c r="F65" s="18" t="inlineStr">
        <is>
          <t>طلب: NS-REQ-033</t>
        </is>
      </c>
      <c r="G65" s="18" t="n">
        <v>2</v>
      </c>
      <c r="H65" s="19" t="n">
        <v>4400</v>
      </c>
      <c r="I65" s="18" t="inlineStr">
        <is>
          <t>النظام الجديد</t>
        </is>
      </c>
      <c r="J65" s="18" t="inlineStr">
        <is>
          <t>نعم</t>
        </is>
      </c>
      <c r="K65" s="18" t="inlineStr">
        <is>
          <t>مرجع الطلب: NS-REQ-033 | ⚠ غير موجود في ملف الأرشيف السابق (transfer vouchers archive) – تمت إضافته من ملف التفصيل</t>
        </is>
      </c>
    </row>
    <row r="66">
      <c r="A66" s="18" t="n">
        <v>65</v>
      </c>
      <c r="B66" s="18" t="inlineStr">
        <is>
          <t>RNP</t>
        </is>
      </c>
      <c r="C66" s="18" t="inlineStr">
        <is>
          <t>ترحيل إلى قسم المشاريع تبوك</t>
        </is>
      </c>
      <c r="D66" s="18" t="inlineStr">
        <is>
          <t>ISV-0054</t>
        </is>
      </c>
      <c r="E66" s="98" t="n">
        <v>46201</v>
      </c>
      <c r="F66" s="18" t="inlineStr">
        <is>
          <t>طلب: NS-REQ-035</t>
        </is>
      </c>
      <c r="G66" s="18" t="n">
        <v>3</v>
      </c>
      <c r="H66" s="19" t="n">
        <v>19525</v>
      </c>
      <c r="I66" s="18" t="inlineStr">
        <is>
          <t>النظام الجديد</t>
        </is>
      </c>
      <c r="J66" s="18" t="inlineStr">
        <is>
          <t>نعم</t>
        </is>
      </c>
      <c r="K66" s="18" t="inlineStr">
        <is>
          <t>مرجع الطلب: NS-REQ-035 | ⚠ غير موجود في ملف الأرشيف السابق (transfer vouchers archive) – تمت إضافته من ملف التفصيل</t>
        </is>
      </c>
    </row>
    <row r="67">
      <c r="A67" s="18" t="n">
        <v>66</v>
      </c>
      <c r="B67" s="18" t="inlineStr">
        <is>
          <t>RNP</t>
        </is>
      </c>
      <c r="C67" s="18" t="inlineStr">
        <is>
          <t>ترحيل إلى قسم المشاريع تبوك</t>
        </is>
      </c>
      <c r="D67" s="18" t="inlineStr">
        <is>
          <t>ISV-0066</t>
        </is>
      </c>
      <c r="E67" s="98" t="n">
        <v>46203</v>
      </c>
      <c r="F67" s="18" t="inlineStr">
        <is>
          <t>طلب: NS-REQ-042</t>
        </is>
      </c>
      <c r="G67" s="18" t="n">
        <v>2</v>
      </c>
      <c r="H67" s="19" t="n">
        <v>22000</v>
      </c>
      <c r="I67" s="18" t="inlineStr">
        <is>
          <t>النظام الجديد</t>
        </is>
      </c>
      <c r="J67" s="18" t="inlineStr">
        <is>
          <t>نعم</t>
        </is>
      </c>
      <c r="K67" s="18" t="inlineStr">
        <is>
          <t>مرجع الطلب: NS-REQ-042 | ⚠ غير موجود في ملف الأرشيف السابق (transfer vouchers archive) – تمت إضافته من ملف التفصيل</t>
        </is>
      </c>
    </row>
    <row r="68">
      <c r="A68" s="18" t="n">
        <v>67</v>
      </c>
      <c r="B68" s="18" t="inlineStr">
        <is>
          <t>RNP</t>
        </is>
      </c>
      <c r="C68" s="18" t="inlineStr">
        <is>
          <t>ترحيل إلى قسم المشاريع تبوك</t>
        </is>
      </c>
      <c r="D68" s="18" t="inlineStr">
        <is>
          <t>ISV-0073</t>
        </is>
      </c>
      <c r="E68" s="98" t="n">
        <v>46205</v>
      </c>
      <c r="F68" s="18" t="inlineStr">
        <is>
          <t>طلب: NS-REQ-046</t>
        </is>
      </c>
      <c r="G68" s="18" t="n">
        <v>2</v>
      </c>
      <c r="H68" s="19" t="n">
        <v>5500</v>
      </c>
      <c r="I68" s="18" t="inlineStr">
        <is>
          <t>النظام الجديد</t>
        </is>
      </c>
      <c r="J68" s="18" t="inlineStr">
        <is>
          <t>نعم</t>
        </is>
      </c>
      <c r="K68" s="18" t="inlineStr">
        <is>
          <t>مرجع الطلب: NS-REQ-046 | ⚠ غير موجود في ملف الأرشيف السابق (transfer vouchers archive) – تمت إضافته من ملف التفصيل</t>
        </is>
      </c>
    </row>
    <row r="69">
      <c r="A69" s="25" t="n">
        <v>68</v>
      </c>
      <c r="B69" s="25" t="inlineStr">
        <is>
          <t>RNP</t>
        </is>
      </c>
      <c r="C69" s="25" t="inlineStr">
        <is>
          <t>ترحيل إلى قسم المشاريع تبوك</t>
        </is>
      </c>
      <c r="D69" s="25" t="inlineStr">
        <is>
          <t>ISV-0075</t>
        </is>
      </c>
      <c r="E69" s="96" t="n">
        <v>46207</v>
      </c>
      <c r="F69" s="25" t="inlineStr">
        <is>
          <t>REQ:رائد الخير</t>
        </is>
      </c>
      <c r="G69" s="25" t="n"/>
      <c r="H69" s="27" t="n">
        <v>2750</v>
      </c>
      <c r="I69" s="25" t="inlineStr">
        <is>
          <t>النظام الجديد</t>
        </is>
      </c>
      <c r="J69" s="25" t="inlineStr">
        <is>
          <t>نعم</t>
        </is>
      </c>
      <c r="K69" s="25" t="inlineStr">
        <is>
          <t>موجود في الأرشيف فقط – بدون تفصيل بنود (2 بند)</t>
        </is>
      </c>
    </row>
    <row r="70">
      <c r="A70" s="18" t="n">
        <v>69</v>
      </c>
      <c r="B70" s="18" t="inlineStr">
        <is>
          <t>RNP</t>
        </is>
      </c>
      <c r="C70" s="18" t="inlineStr">
        <is>
          <t>ترحيل إلى قسم المشاريع تبوك</t>
        </is>
      </c>
      <c r="D70" s="18" t="inlineStr">
        <is>
          <t>ISV-0081</t>
        </is>
      </c>
      <c r="E70" s="98" t="n">
        <v>46209</v>
      </c>
      <c r="F70" s="18" t="inlineStr">
        <is>
          <t>طلب: NS-REQ-051</t>
        </is>
      </c>
      <c r="G70" s="18" t="n">
        <v>8</v>
      </c>
      <c r="H70" s="19" t="n">
        <v>2768.5</v>
      </c>
      <c r="I70" s="18" t="inlineStr">
        <is>
          <t>النظام الجديد</t>
        </is>
      </c>
      <c r="J70" s="18" t="inlineStr">
        <is>
          <t>نعم</t>
        </is>
      </c>
      <c r="K70" s="18" t="inlineStr">
        <is>
          <t>مرجع الطلب: NS-REQ-051 | ⚠ غير موجود في ملف الأرشيف السابق (transfer vouchers archive) – تمت إضافته من ملف التفصيل</t>
        </is>
      </c>
    </row>
    <row r="71">
      <c r="A71" s="18" t="n">
        <v>70</v>
      </c>
      <c r="B71" s="18" t="inlineStr">
        <is>
          <t>RNP</t>
        </is>
      </c>
      <c r="C71" s="18" t="inlineStr">
        <is>
          <t>ترحيل إلى قسم المشاريع تبوك</t>
        </is>
      </c>
      <c r="D71" s="18" t="inlineStr">
        <is>
          <t>ISV-0090</t>
        </is>
      </c>
      <c r="E71" s="98" t="n">
        <v>46214</v>
      </c>
      <c r="F71" s="18" t="inlineStr">
        <is>
          <t>طلب: NS-REQ-058</t>
        </is>
      </c>
      <c r="G71" s="18" t="n">
        <v>4</v>
      </c>
      <c r="H71" s="19" t="n">
        <v>990</v>
      </c>
      <c r="I71" s="18" t="inlineStr">
        <is>
          <t>النظام الجديد</t>
        </is>
      </c>
      <c r="J71" s="18" t="inlineStr">
        <is>
          <t>نعم</t>
        </is>
      </c>
      <c r="K71" s="18" t="inlineStr">
        <is>
          <t>مرجع الطلب: NS-REQ-058 | ⚠ غير موجود في ملف الأرشيف السابق (transfer vouchers archive) – تمت إضافته من ملف التفصيل</t>
        </is>
      </c>
    </row>
    <row r="72">
      <c r="A72" s="18" t="n">
        <v>71</v>
      </c>
      <c r="B72" s="18" t="inlineStr">
        <is>
          <t>RNP</t>
        </is>
      </c>
      <c r="C72" s="18" t="inlineStr">
        <is>
          <t>ترحيل إلى قسم المشاريع تبوك</t>
        </is>
      </c>
      <c r="D72" s="18" t="inlineStr">
        <is>
          <t>ISV-0091</t>
        </is>
      </c>
      <c r="E72" s="98" t="n">
        <v>46214</v>
      </c>
      <c r="F72" s="18" t="inlineStr">
        <is>
          <t>طلب: NS-REQ-059</t>
        </is>
      </c>
      <c r="G72" s="18" t="n">
        <v>4</v>
      </c>
      <c r="H72" s="19" t="n">
        <v>330</v>
      </c>
      <c r="I72" s="18" t="inlineStr">
        <is>
          <t>النظام الجديد</t>
        </is>
      </c>
      <c r="J72" s="18" t="inlineStr">
        <is>
          <t>نعم</t>
        </is>
      </c>
      <c r="K72" s="18" t="inlineStr">
        <is>
          <t>مرجع الطلب: NS-REQ-059 | ⚠ غير موجود في ملف الأرشيف السابق (transfer vouchers archive) – تمت إضافته من ملف التفصيل</t>
        </is>
      </c>
    </row>
    <row r="73">
      <c r="A73" s="18" t="n">
        <v>72</v>
      </c>
      <c r="B73" s="18" t="inlineStr">
        <is>
          <t>RNP</t>
        </is>
      </c>
      <c r="C73" s="18" t="inlineStr">
        <is>
          <t>ترحيل إلى قسم المشاريع تبوك</t>
        </is>
      </c>
      <c r="D73" s="18" t="inlineStr">
        <is>
          <t>ISV-0092</t>
        </is>
      </c>
      <c r="E73" s="98" t="n">
        <v>46214</v>
      </c>
      <c r="F73" s="18" t="inlineStr">
        <is>
          <t>طلب: NS-REQ-061</t>
        </is>
      </c>
      <c r="G73" s="18" t="n">
        <v>1</v>
      </c>
      <c r="H73" s="19" t="n">
        <v>825</v>
      </c>
      <c r="I73" s="18" t="inlineStr">
        <is>
          <t>النظام الجديد</t>
        </is>
      </c>
      <c r="J73" s="18" t="inlineStr">
        <is>
          <t>نعم</t>
        </is>
      </c>
      <c r="K73" s="18" t="inlineStr">
        <is>
          <t>مرجع الطلب: NS-REQ-061 | ⚠ غير موجود في ملف الأرشيف السابق (transfer vouchers archive) – تمت إضافته من ملف التفصيل</t>
        </is>
      </c>
    </row>
    <row r="74">
      <c r="A74" s="18" t="n">
        <v>73</v>
      </c>
      <c r="B74" s="18" t="inlineStr">
        <is>
          <t>RNP</t>
        </is>
      </c>
      <c r="C74" s="18" t="inlineStr">
        <is>
          <t>ترحيل إلى قسم المشاريع تبوك</t>
        </is>
      </c>
      <c r="D74" s="18" t="inlineStr">
        <is>
          <t>ISV-0127</t>
        </is>
      </c>
      <c r="E74" s="98" t="n">
        <v>46229</v>
      </c>
      <c r="F74" s="18" t="inlineStr">
        <is>
          <t>طلب: NS-REQ-083</t>
        </is>
      </c>
      <c r="G74" s="18" t="n">
        <v>5</v>
      </c>
      <c r="H74" s="19" t="n">
        <v>1496</v>
      </c>
      <c r="I74" s="18" t="inlineStr">
        <is>
          <t>النظام الجديد</t>
        </is>
      </c>
      <c r="J74" s="18" t="inlineStr">
        <is>
          <t>نعم</t>
        </is>
      </c>
      <c r="K74" s="18" t="inlineStr">
        <is>
          <t>مرجع الطلب: NS-REQ-083 | ⚠ غير موجود في ملف الأرشيف السابق (transfer vouchers archive) – تمت إضافته من ملف التفصيل</t>
        </is>
      </c>
    </row>
    <row r="75">
      <c r="A75" s="18" t="n">
        <v>74</v>
      </c>
      <c r="B75" s="18" t="inlineStr">
        <is>
          <t>RNP</t>
        </is>
      </c>
      <c r="C75" s="18" t="inlineStr">
        <is>
          <t>ترحيل إلى قسم المشاريع تبوك</t>
        </is>
      </c>
      <c r="D75" s="18" t="inlineStr">
        <is>
          <t>ISV-0128</t>
        </is>
      </c>
      <c r="E75" s="98" t="n">
        <v>46229</v>
      </c>
      <c r="F75" s="18" t="inlineStr">
        <is>
          <t>طلب: NS-REQ-084</t>
        </is>
      </c>
      <c r="G75" s="18" t="n">
        <v>7</v>
      </c>
      <c r="H75" s="19" t="n">
        <v>2670</v>
      </c>
      <c r="I75" s="18" t="inlineStr">
        <is>
          <t>النظام الجديد</t>
        </is>
      </c>
      <c r="J75" s="18" t="inlineStr">
        <is>
          <t>نعم</t>
        </is>
      </c>
      <c r="K75" s="18" t="inlineStr">
        <is>
          <t>مرجع الطلب: NS-REQ-084 | ⚠ غير موجود في ملف الأرشيف السابق (transfer vouchers archive) – تمت إضافته من ملف التفصيل</t>
        </is>
      </c>
    </row>
    <row r="76">
      <c r="A76" s="79" t="n">
        <v>75</v>
      </c>
      <c r="B76" s="79" t="inlineStr">
        <is>
          <t>RNO</t>
        </is>
      </c>
      <c r="C76" s="79" t="inlineStr">
        <is>
          <t>صرف مواد للإنتاج – مزرعة الرياض</t>
        </is>
      </c>
      <c r="D76" s="79" t="inlineStr">
        <is>
          <t>RNO-1784</t>
        </is>
      </c>
      <c r="E76" s="114" t="n">
        <v>45863</v>
      </c>
      <c r="F76" s="79" t="inlineStr">
        <is>
          <t>OPERATION RIYADH NURSERY</t>
        </is>
      </c>
      <c r="G76" s="79" t="n"/>
      <c r="H76" s="81" t="n">
        <v>5179.26</v>
      </c>
      <c r="I76" s="79" t="inlineStr">
        <is>
          <t>النظام القديم</t>
        </is>
      </c>
      <c r="J76" s="79" t="inlineStr">
        <is>
          <t>لا</t>
        </is>
      </c>
      <c r="K76" s="79" t="inlineStr">
        <is>
          <t>قبل بداية الفترة 30-7-2025 – غير محسوب | بدون تفصيل بنود في السجل</t>
        </is>
      </c>
    </row>
    <row r="77">
      <c r="A77" s="79" t="n">
        <v>76</v>
      </c>
      <c r="B77" s="79" t="inlineStr">
        <is>
          <t>RNO</t>
        </is>
      </c>
      <c r="C77" s="79" t="inlineStr">
        <is>
          <t>صرف مواد للإنتاج – مزرعة الرياض</t>
        </is>
      </c>
      <c r="D77" s="79" t="inlineStr">
        <is>
          <t>RNO-1799</t>
        </is>
      </c>
      <c r="E77" s="114" t="n">
        <v>45865</v>
      </c>
      <c r="F77" s="79" t="inlineStr">
        <is>
          <t>OPERATION RIYADH NURSERY</t>
        </is>
      </c>
      <c r="G77" s="79" t="n"/>
      <c r="H77" s="81" t="n">
        <v>350.75</v>
      </c>
      <c r="I77" s="79" t="inlineStr">
        <is>
          <t>النظام القديم</t>
        </is>
      </c>
      <c r="J77" s="79" t="inlineStr">
        <is>
          <t>لا</t>
        </is>
      </c>
      <c r="K77" s="79" t="inlineStr">
        <is>
          <t>قبل بداية الفترة 30-7-2025 – غير محسوب | بدون تفصيل بنود في السجل</t>
        </is>
      </c>
    </row>
    <row r="78">
      <c r="A78" s="79" t="n">
        <v>77</v>
      </c>
      <c r="B78" s="79" t="inlineStr">
        <is>
          <t>RNO</t>
        </is>
      </c>
      <c r="C78" s="79" t="inlineStr">
        <is>
          <t>صرف مواد للإنتاج – مزرعة الرياض</t>
        </is>
      </c>
      <c r="D78" s="79" t="inlineStr">
        <is>
          <t>RNO-1814</t>
        </is>
      </c>
      <c r="E78" s="114" t="n">
        <v>45867</v>
      </c>
      <c r="F78" s="79" t="inlineStr">
        <is>
          <t>OPERATION RIYADH NURSERY</t>
        </is>
      </c>
      <c r="G78" s="79" t="n"/>
      <c r="H78" s="81" t="n">
        <v>7590</v>
      </c>
      <c r="I78" s="79" t="inlineStr">
        <is>
          <t>النظام القديم</t>
        </is>
      </c>
      <c r="J78" s="79" t="inlineStr">
        <is>
          <t>لا</t>
        </is>
      </c>
      <c r="K78" s="79" t="inlineStr">
        <is>
          <t>قبل بداية الفترة 30-7-2025 – غير محسوب | بدون تفصيل بنود في السجل</t>
        </is>
      </c>
    </row>
    <row r="79">
      <c r="A79" s="79" t="n">
        <v>78</v>
      </c>
      <c r="B79" s="79" t="inlineStr">
        <is>
          <t>RNO</t>
        </is>
      </c>
      <c r="C79" s="79" t="inlineStr">
        <is>
          <t>صرف مواد للإنتاج – مزرعة الرياض</t>
        </is>
      </c>
      <c r="D79" s="79" t="inlineStr">
        <is>
          <t>RNO-1816</t>
        </is>
      </c>
      <c r="E79" s="114" t="n">
        <v>45867</v>
      </c>
      <c r="F79" s="79" t="inlineStr">
        <is>
          <t>OPERATION RIYADH NURSERY</t>
        </is>
      </c>
      <c r="G79" s="79" t="n"/>
      <c r="H79" s="81" t="n">
        <v>200.1</v>
      </c>
      <c r="I79" s="79" t="inlineStr">
        <is>
          <t>النظام القديم</t>
        </is>
      </c>
      <c r="J79" s="79" t="inlineStr">
        <is>
          <t>لا</t>
        </is>
      </c>
      <c r="K79" s="79" t="inlineStr">
        <is>
          <t>قبل بداية الفترة 30-7-2025 – غير محسوب | بدون تفصيل بنود في السجل</t>
        </is>
      </c>
    </row>
    <row r="80">
      <c r="A80" s="16" t="n">
        <v>79</v>
      </c>
      <c r="B80" s="16" t="inlineStr">
        <is>
          <t>RNO</t>
        </is>
      </c>
      <c r="C80" s="16" t="inlineStr">
        <is>
          <t>صرف مواد للإنتاج – مزرعة الرياض</t>
        </is>
      </c>
      <c r="D80" s="16" t="inlineStr">
        <is>
          <t>RNO-1861</t>
        </is>
      </c>
      <c r="E80" s="95" t="n">
        <v>45872</v>
      </c>
      <c r="F80" s="16" t="inlineStr">
        <is>
          <t>OPERATION RIYADH NURSERY</t>
        </is>
      </c>
      <c r="G80" s="16" t="n"/>
      <c r="H80" s="17" t="n">
        <v>287.5</v>
      </c>
      <c r="I80" s="16" t="inlineStr">
        <is>
          <t>النظام القديم</t>
        </is>
      </c>
      <c r="J80" s="16" t="inlineStr">
        <is>
          <t>نعم</t>
        </is>
      </c>
      <c r="K80" s="16" t="inlineStr">
        <is>
          <t>بدون تفصيل بنود في السجل</t>
        </is>
      </c>
    </row>
    <row r="81">
      <c r="A81" s="16" t="n">
        <v>80</v>
      </c>
      <c r="B81" s="16" t="inlineStr">
        <is>
          <t>RNO</t>
        </is>
      </c>
      <c r="C81" s="16" t="inlineStr">
        <is>
          <t>صرف مواد للإنتاج – مزرعة الرياض</t>
        </is>
      </c>
      <c r="D81" s="16" t="inlineStr">
        <is>
          <t>RNO-2176</t>
        </is>
      </c>
      <c r="E81" s="95" t="n">
        <v>45873</v>
      </c>
      <c r="F81" s="16" t="inlineStr">
        <is>
          <t>OPERATION RIYADH NURSERY</t>
        </is>
      </c>
      <c r="G81" s="16" t="n"/>
      <c r="H81" s="17" t="n">
        <v>1690.5</v>
      </c>
      <c r="I81" s="16" t="inlineStr">
        <is>
          <t>النظام القديم</t>
        </is>
      </c>
      <c r="J81" s="16" t="inlineStr">
        <is>
          <t>نعم</t>
        </is>
      </c>
      <c r="K81" s="16" t="inlineStr">
        <is>
          <t>بدون تفصيل بنود في السجل</t>
        </is>
      </c>
    </row>
    <row r="82">
      <c r="A82" s="16" t="n">
        <v>81</v>
      </c>
      <c r="B82" s="16" t="inlineStr">
        <is>
          <t>RNO</t>
        </is>
      </c>
      <c r="C82" s="16" t="inlineStr">
        <is>
          <t>صرف مواد للإنتاج – مزرعة الرياض</t>
        </is>
      </c>
      <c r="D82" s="16" t="inlineStr">
        <is>
          <t>RNO-1890</t>
        </is>
      </c>
      <c r="E82" s="95" t="n">
        <v>45878</v>
      </c>
      <c r="F82" s="16" t="inlineStr">
        <is>
          <t>OPERATION RIYADH NURSERY</t>
        </is>
      </c>
      <c r="G82" s="16" t="n"/>
      <c r="H82" s="17" t="n">
        <v>4294.1</v>
      </c>
      <c r="I82" s="16" t="inlineStr">
        <is>
          <t>النظام القديم</t>
        </is>
      </c>
      <c r="J82" s="16" t="inlineStr">
        <is>
          <t>نعم</t>
        </is>
      </c>
      <c r="K82" s="16" t="inlineStr">
        <is>
          <t>بدون تفصيل بنود في السجل</t>
        </is>
      </c>
    </row>
    <row r="83">
      <c r="A83" s="16" t="n">
        <v>82</v>
      </c>
      <c r="B83" s="16" t="inlineStr">
        <is>
          <t>RNO</t>
        </is>
      </c>
      <c r="C83" s="16" t="inlineStr">
        <is>
          <t>صرف مواد للإنتاج – مزرعة الرياض</t>
        </is>
      </c>
      <c r="D83" s="16" t="inlineStr">
        <is>
          <t>RNO-1895</t>
        </is>
      </c>
      <c r="E83" s="95" t="n">
        <v>45878</v>
      </c>
      <c r="F83" s="16" t="inlineStr">
        <is>
          <t>OPERATION RIYADH NURSERY</t>
        </is>
      </c>
      <c r="G83" s="16" t="n"/>
      <c r="H83" s="17" t="n">
        <v>3775</v>
      </c>
      <c r="I83" s="16" t="inlineStr">
        <is>
          <t>النظام القديم</t>
        </is>
      </c>
      <c r="J83" s="16" t="inlineStr">
        <is>
          <t>نعم</t>
        </is>
      </c>
      <c r="K83" s="16" t="inlineStr">
        <is>
          <t>بدون تفصيل بنود في السجل</t>
        </is>
      </c>
    </row>
    <row r="84">
      <c r="A84" s="16" t="n">
        <v>83</v>
      </c>
      <c r="B84" s="16" t="inlineStr">
        <is>
          <t>RNO</t>
        </is>
      </c>
      <c r="C84" s="16" t="inlineStr">
        <is>
          <t>صرف مواد للإنتاج – مزرعة الرياض</t>
        </is>
      </c>
      <c r="D84" s="16" t="inlineStr">
        <is>
          <t>RNO-1899</t>
        </is>
      </c>
      <c r="E84" s="95" t="n">
        <v>45878</v>
      </c>
      <c r="F84" s="16" t="inlineStr">
        <is>
          <t>OPERATION RIYADH NURSERY</t>
        </is>
      </c>
      <c r="G84" s="16" t="n"/>
      <c r="H84" s="17" t="n">
        <v>9043</v>
      </c>
      <c r="I84" s="16" t="inlineStr">
        <is>
          <t>النظام القديم</t>
        </is>
      </c>
      <c r="J84" s="16" t="inlineStr">
        <is>
          <t>نعم</t>
        </is>
      </c>
      <c r="K84" s="16" t="inlineStr">
        <is>
          <t>بدون تفصيل بنود في السجل</t>
        </is>
      </c>
    </row>
    <row r="85">
      <c r="A85" s="16" t="n">
        <v>84</v>
      </c>
      <c r="B85" s="16" t="inlineStr">
        <is>
          <t>RNO</t>
        </is>
      </c>
      <c r="C85" s="16" t="inlineStr">
        <is>
          <t>صرف مواد للإنتاج – مزرعة الرياض</t>
        </is>
      </c>
      <c r="D85" s="16" t="inlineStr">
        <is>
          <t>RNO-1900</t>
        </is>
      </c>
      <c r="E85" s="95" t="n">
        <v>45878</v>
      </c>
      <c r="F85" s="16" t="inlineStr">
        <is>
          <t>OPERATION RIYADH NURSERY</t>
        </is>
      </c>
      <c r="G85" s="16" t="n"/>
      <c r="H85" s="17" t="n">
        <v>7500</v>
      </c>
      <c r="I85" s="16" t="inlineStr">
        <is>
          <t>النظام القديم</t>
        </is>
      </c>
      <c r="J85" s="16" t="inlineStr">
        <is>
          <t>نعم</t>
        </is>
      </c>
      <c r="K85" s="16" t="inlineStr">
        <is>
          <t>بدون تفصيل بنود في السجل</t>
        </is>
      </c>
    </row>
    <row r="86">
      <c r="A86" s="16" t="n">
        <v>85</v>
      </c>
      <c r="B86" s="16" t="inlineStr">
        <is>
          <t>RNO</t>
        </is>
      </c>
      <c r="C86" s="16" t="inlineStr">
        <is>
          <t>صرف مواد للإنتاج – مزرعة الرياض</t>
        </is>
      </c>
      <c r="D86" s="16" t="inlineStr">
        <is>
          <t>RNO-1922</t>
        </is>
      </c>
      <c r="E86" s="95" t="n">
        <v>45882</v>
      </c>
      <c r="F86" s="16" t="inlineStr">
        <is>
          <t>OPERATION RIYADH NURSERY</t>
        </is>
      </c>
      <c r="G86" s="16" t="n"/>
      <c r="H86" s="17" t="n">
        <v>2855.45</v>
      </c>
      <c r="I86" s="16" t="inlineStr">
        <is>
          <t>النظام القديم</t>
        </is>
      </c>
      <c r="J86" s="16" t="inlineStr">
        <is>
          <t>نعم</t>
        </is>
      </c>
      <c r="K86" s="16" t="inlineStr">
        <is>
          <t>بدون تفصيل بنود في السجل</t>
        </is>
      </c>
    </row>
    <row r="87">
      <c r="A87" s="16" t="n">
        <v>86</v>
      </c>
      <c r="B87" s="16" t="inlineStr">
        <is>
          <t>RNO</t>
        </is>
      </c>
      <c r="C87" s="16" t="inlineStr">
        <is>
          <t>صرف مواد للإنتاج – مزرعة الرياض</t>
        </is>
      </c>
      <c r="D87" s="16" t="inlineStr">
        <is>
          <t>RNO-1940</t>
        </is>
      </c>
      <c r="E87" s="95" t="n">
        <v>45885</v>
      </c>
      <c r="F87" s="16" t="inlineStr">
        <is>
          <t>OPERATION RIYADH NURSERY</t>
        </is>
      </c>
      <c r="G87" s="16" t="n"/>
      <c r="H87" s="17" t="n">
        <v>3737.5</v>
      </c>
      <c r="I87" s="16" t="inlineStr">
        <is>
          <t>النظام القديم</t>
        </is>
      </c>
      <c r="J87" s="16" t="inlineStr">
        <is>
          <t>نعم</t>
        </is>
      </c>
      <c r="K87" s="16" t="inlineStr">
        <is>
          <t>بدون تفصيل بنود في السجل</t>
        </is>
      </c>
    </row>
    <row r="88">
      <c r="A88" s="16" t="n">
        <v>87</v>
      </c>
      <c r="B88" s="16" t="inlineStr">
        <is>
          <t>RNO</t>
        </is>
      </c>
      <c r="C88" s="16" t="inlineStr">
        <is>
          <t>صرف مواد للإنتاج – مزرعة الرياض</t>
        </is>
      </c>
      <c r="D88" s="16" t="inlineStr">
        <is>
          <t>RNO-1939</t>
        </is>
      </c>
      <c r="E88" s="95" t="n">
        <v>45886</v>
      </c>
      <c r="F88" s="16" t="inlineStr">
        <is>
          <t>OPERATION RIYADH NURSERY</t>
        </is>
      </c>
      <c r="G88" s="16" t="n"/>
      <c r="H88" s="17" t="n">
        <v>1220.15</v>
      </c>
      <c r="I88" s="16" t="inlineStr">
        <is>
          <t>النظام القديم</t>
        </is>
      </c>
      <c r="J88" s="16" t="inlineStr">
        <is>
          <t>نعم</t>
        </is>
      </c>
      <c r="K88" s="16" t="inlineStr">
        <is>
          <t>بدون تفصيل بنود في السجل</t>
        </is>
      </c>
    </row>
    <row r="89">
      <c r="A89" s="16" t="n">
        <v>88</v>
      </c>
      <c r="B89" s="16" t="inlineStr">
        <is>
          <t>RNO</t>
        </is>
      </c>
      <c r="C89" s="16" t="inlineStr">
        <is>
          <t>صرف مواد للإنتاج – مزرعة الرياض</t>
        </is>
      </c>
      <c r="D89" s="16" t="inlineStr">
        <is>
          <t>RNO-1959</t>
        </is>
      </c>
      <c r="E89" s="95" t="n">
        <v>45887</v>
      </c>
      <c r="F89" s="16" t="inlineStr">
        <is>
          <t>OPERATION RIYADH NURSERY</t>
        </is>
      </c>
      <c r="G89" s="16" t="n"/>
      <c r="H89" s="17" t="n">
        <v>138</v>
      </c>
      <c r="I89" s="16" t="inlineStr">
        <is>
          <t>النظام القديم</t>
        </is>
      </c>
      <c r="J89" s="16" t="inlineStr">
        <is>
          <t>نعم</t>
        </is>
      </c>
      <c r="K89" s="16" t="inlineStr">
        <is>
          <t>بدون تفصيل بنود في السجل</t>
        </is>
      </c>
    </row>
    <row r="90">
      <c r="A90" s="16" t="n">
        <v>89</v>
      </c>
      <c r="B90" s="16" t="inlineStr">
        <is>
          <t>RNO</t>
        </is>
      </c>
      <c r="C90" s="16" t="inlineStr">
        <is>
          <t>صرف مواد للإنتاج – مزرعة الرياض</t>
        </is>
      </c>
      <c r="D90" s="16" t="inlineStr">
        <is>
          <t>RNO-1967</t>
        </is>
      </c>
      <c r="E90" s="95" t="n">
        <v>45889</v>
      </c>
      <c r="F90" s="16" t="inlineStr">
        <is>
          <t>OPERATION RIYADH NURSERY</t>
        </is>
      </c>
      <c r="G90" s="16" t="n"/>
      <c r="H90" s="17" t="n">
        <v>4525.25</v>
      </c>
      <c r="I90" s="16" t="inlineStr">
        <is>
          <t>النظام القديم</t>
        </is>
      </c>
      <c r="J90" s="16" t="inlineStr">
        <is>
          <t>نعم</t>
        </is>
      </c>
      <c r="K90" s="16" t="inlineStr">
        <is>
          <t>بدون تفصيل بنود في السجل</t>
        </is>
      </c>
    </row>
    <row r="91">
      <c r="A91" s="16" t="n">
        <v>90</v>
      </c>
      <c r="B91" s="16" t="inlineStr">
        <is>
          <t>RNO</t>
        </is>
      </c>
      <c r="C91" s="16" t="inlineStr">
        <is>
          <t>صرف مواد للإنتاج – مزرعة الرياض</t>
        </is>
      </c>
      <c r="D91" s="16" t="inlineStr">
        <is>
          <t>RNO-1986</t>
        </is>
      </c>
      <c r="E91" s="95" t="n">
        <v>45890</v>
      </c>
      <c r="F91" s="16" t="inlineStr">
        <is>
          <t>OPERATION RIYADH NURSERY</t>
        </is>
      </c>
      <c r="G91" s="16" t="n"/>
      <c r="H91" s="17" t="n">
        <v>920</v>
      </c>
      <c r="I91" s="16" t="inlineStr">
        <is>
          <t>النظام القديم</t>
        </is>
      </c>
      <c r="J91" s="16" t="inlineStr">
        <is>
          <t>نعم</t>
        </is>
      </c>
      <c r="K91" s="16" t="inlineStr">
        <is>
          <t>بدون تفصيل بنود في السجل</t>
        </is>
      </c>
    </row>
    <row r="92">
      <c r="A92" s="16" t="n">
        <v>91</v>
      </c>
      <c r="B92" s="16" t="inlineStr">
        <is>
          <t>RNO</t>
        </is>
      </c>
      <c r="C92" s="16" t="inlineStr">
        <is>
          <t>صرف مواد للإنتاج – مزرعة الرياض</t>
        </is>
      </c>
      <c r="D92" s="16" t="inlineStr">
        <is>
          <t>RNO-1989</t>
        </is>
      </c>
      <c r="E92" s="95" t="n">
        <v>45890</v>
      </c>
      <c r="F92" s="16" t="inlineStr">
        <is>
          <t>OPERATION RIYADH NURSERY</t>
        </is>
      </c>
      <c r="G92" s="16" t="n"/>
      <c r="H92" s="17" t="n">
        <v>517.5</v>
      </c>
      <c r="I92" s="16" t="inlineStr">
        <is>
          <t>النظام القديم</t>
        </is>
      </c>
      <c r="J92" s="16" t="inlineStr">
        <is>
          <t>نعم</t>
        </is>
      </c>
      <c r="K92" s="16" t="inlineStr">
        <is>
          <t>بدون تفصيل بنود في السجل</t>
        </is>
      </c>
    </row>
    <row r="93">
      <c r="A93" s="16" t="n">
        <v>92</v>
      </c>
      <c r="B93" s="16" t="inlineStr">
        <is>
          <t>RNO</t>
        </is>
      </c>
      <c r="C93" s="16" t="inlineStr">
        <is>
          <t>صرف مواد للإنتاج – مزرعة الرياض</t>
        </is>
      </c>
      <c r="D93" s="16" t="inlineStr">
        <is>
          <t>RNO-1997</t>
        </is>
      </c>
      <c r="E93" s="95" t="n">
        <v>45892</v>
      </c>
      <c r="F93" s="16" t="inlineStr">
        <is>
          <t>OPERATION RIYADH NURSERY</t>
        </is>
      </c>
      <c r="G93" s="16" t="n"/>
      <c r="H93" s="17" t="n">
        <v>1534.68</v>
      </c>
      <c r="I93" s="16" t="inlineStr">
        <is>
          <t>النظام القديم</t>
        </is>
      </c>
      <c r="J93" s="16" t="inlineStr">
        <is>
          <t>نعم</t>
        </is>
      </c>
      <c r="K93" s="16" t="inlineStr">
        <is>
          <t>بدون تفصيل بنود في السجل</t>
        </is>
      </c>
    </row>
    <row r="94">
      <c r="A94" s="16" t="n">
        <v>93</v>
      </c>
      <c r="B94" s="16" t="inlineStr">
        <is>
          <t>RNO</t>
        </is>
      </c>
      <c r="C94" s="16" t="inlineStr">
        <is>
          <t>صرف مواد للإنتاج – مزرعة الرياض</t>
        </is>
      </c>
      <c r="D94" s="16" t="inlineStr">
        <is>
          <t>RNO-2000</t>
        </is>
      </c>
      <c r="E94" s="95" t="n">
        <v>45892</v>
      </c>
      <c r="F94" s="16" t="inlineStr">
        <is>
          <t>OPERATION RIYADH NURSERY</t>
        </is>
      </c>
      <c r="G94" s="16" t="n"/>
      <c r="H94" s="17" t="n">
        <v>517.5</v>
      </c>
      <c r="I94" s="16" t="inlineStr">
        <is>
          <t>النظام القديم</t>
        </is>
      </c>
      <c r="J94" s="16" t="inlineStr">
        <is>
          <t>نعم</t>
        </is>
      </c>
      <c r="K94" s="16" t="inlineStr">
        <is>
          <t>بدون تفصيل بنود في السجل</t>
        </is>
      </c>
    </row>
    <row r="95">
      <c r="A95" s="16" t="n">
        <v>94</v>
      </c>
      <c r="B95" s="16" t="inlineStr">
        <is>
          <t>RNO</t>
        </is>
      </c>
      <c r="C95" s="16" t="inlineStr">
        <is>
          <t>صرف مواد للإنتاج – مزرعة الرياض</t>
        </is>
      </c>
      <c r="D95" s="16" t="inlineStr">
        <is>
          <t>RNO-2001</t>
        </is>
      </c>
      <c r="E95" s="95" t="n">
        <v>45892</v>
      </c>
      <c r="F95" s="16" t="inlineStr">
        <is>
          <t>OPERATION RIYADH NURSERY</t>
        </is>
      </c>
      <c r="G95" s="16" t="n"/>
      <c r="H95" s="17" t="n">
        <v>517.5</v>
      </c>
      <c r="I95" s="16" t="inlineStr">
        <is>
          <t>النظام القديم</t>
        </is>
      </c>
      <c r="J95" s="16" t="inlineStr">
        <is>
          <t>نعم</t>
        </is>
      </c>
      <c r="K95" s="16" t="inlineStr">
        <is>
          <t>بدون تفصيل بنود في السجل</t>
        </is>
      </c>
    </row>
    <row r="96">
      <c r="A96" s="16" t="n">
        <v>95</v>
      </c>
      <c r="B96" s="16" t="inlineStr">
        <is>
          <t>RNO</t>
        </is>
      </c>
      <c r="C96" s="16" t="inlineStr">
        <is>
          <t>صرف مواد للإنتاج – مزرعة الرياض</t>
        </is>
      </c>
      <c r="D96" s="16" t="inlineStr">
        <is>
          <t>RNO-2005</t>
        </is>
      </c>
      <c r="E96" s="95" t="n">
        <v>45893</v>
      </c>
      <c r="F96" s="16" t="inlineStr">
        <is>
          <t>OPERATION RIYADH NURSERY</t>
        </is>
      </c>
      <c r="G96" s="16" t="n"/>
      <c r="H96" s="17" t="n">
        <v>517.5</v>
      </c>
      <c r="I96" s="16" t="inlineStr">
        <is>
          <t>النظام القديم</t>
        </is>
      </c>
      <c r="J96" s="16" t="inlineStr">
        <is>
          <t>نعم</t>
        </is>
      </c>
      <c r="K96" s="16" t="inlineStr">
        <is>
          <t>بدون تفصيل بنود في السجل</t>
        </is>
      </c>
    </row>
    <row r="97">
      <c r="A97" s="16" t="n">
        <v>96</v>
      </c>
      <c r="B97" s="16" t="inlineStr">
        <is>
          <t>RNO</t>
        </is>
      </c>
      <c r="C97" s="16" t="inlineStr">
        <is>
          <t>صرف مواد للإنتاج – مزرعة الرياض</t>
        </is>
      </c>
      <c r="D97" s="16" t="inlineStr">
        <is>
          <t>RNO-2013</t>
        </is>
      </c>
      <c r="E97" s="95" t="n">
        <v>45893</v>
      </c>
      <c r="F97" s="16" t="inlineStr">
        <is>
          <t>OPERATION RIYADH NURSERY</t>
        </is>
      </c>
      <c r="G97" s="16" t="n"/>
      <c r="H97" s="17" t="n">
        <v>4439</v>
      </c>
      <c r="I97" s="16" t="inlineStr">
        <is>
          <t>النظام القديم</t>
        </is>
      </c>
      <c r="J97" s="16" t="inlineStr">
        <is>
          <t>نعم</t>
        </is>
      </c>
      <c r="K97" s="16" t="inlineStr">
        <is>
          <t>بدون تفصيل بنود في السجل</t>
        </is>
      </c>
    </row>
    <row r="98">
      <c r="A98" s="16" t="n">
        <v>97</v>
      </c>
      <c r="B98" s="16" t="inlineStr">
        <is>
          <t>RNO</t>
        </is>
      </c>
      <c r="C98" s="16" t="inlineStr">
        <is>
          <t>صرف مواد للإنتاج – مزرعة الرياض</t>
        </is>
      </c>
      <c r="D98" s="16" t="inlineStr">
        <is>
          <t>RNO-2028</t>
        </is>
      </c>
      <c r="E98" s="95" t="n">
        <v>45895</v>
      </c>
      <c r="F98" s="16" t="inlineStr">
        <is>
          <t>OPERATION RIYADH NURSERY</t>
        </is>
      </c>
      <c r="G98" s="16" t="n"/>
      <c r="H98" s="17" t="n">
        <v>5847.75</v>
      </c>
      <c r="I98" s="16" t="inlineStr">
        <is>
          <t>النظام القديم</t>
        </is>
      </c>
      <c r="J98" s="16" t="inlineStr">
        <is>
          <t>نعم</t>
        </is>
      </c>
      <c r="K98" s="16" t="inlineStr">
        <is>
          <t>بدون تفصيل بنود في السجل</t>
        </is>
      </c>
    </row>
    <row r="99">
      <c r="A99" s="16" t="n">
        <v>98</v>
      </c>
      <c r="B99" s="16" t="inlineStr">
        <is>
          <t>RNO</t>
        </is>
      </c>
      <c r="C99" s="16" t="inlineStr">
        <is>
          <t>صرف مواد للإنتاج – مزرعة الرياض</t>
        </is>
      </c>
      <c r="D99" s="16" t="inlineStr">
        <is>
          <t>RNO-2035</t>
        </is>
      </c>
      <c r="E99" s="95" t="n">
        <v>45896</v>
      </c>
      <c r="F99" s="16" t="inlineStr">
        <is>
          <t>OPERATION RIYADH NURSERY</t>
        </is>
      </c>
      <c r="G99" s="16" t="n"/>
      <c r="H99" s="17" t="n">
        <v>3458.63</v>
      </c>
      <c r="I99" s="16" t="inlineStr">
        <is>
          <t>النظام القديم</t>
        </is>
      </c>
      <c r="J99" s="16" t="inlineStr">
        <is>
          <t>نعم</t>
        </is>
      </c>
      <c r="K99" s="16" t="inlineStr">
        <is>
          <t>بدون تفصيل بنود في السجل</t>
        </is>
      </c>
    </row>
    <row r="100">
      <c r="A100" s="16" t="n">
        <v>99</v>
      </c>
      <c r="B100" s="16" t="inlineStr">
        <is>
          <t>RNO</t>
        </is>
      </c>
      <c r="C100" s="16" t="inlineStr">
        <is>
          <t>صرف مواد للإنتاج – مزرعة الرياض</t>
        </is>
      </c>
      <c r="D100" s="16" t="inlineStr">
        <is>
          <t>RNO-2049</t>
        </is>
      </c>
      <c r="E100" s="95" t="n">
        <v>45897</v>
      </c>
      <c r="F100" s="16" t="inlineStr">
        <is>
          <t>OPERATION RIYADH NURSERY</t>
        </is>
      </c>
      <c r="G100" s="16" t="n"/>
      <c r="H100" s="17" t="n">
        <v>4467.75</v>
      </c>
      <c r="I100" s="16" t="inlineStr">
        <is>
          <t>النظام القديم</t>
        </is>
      </c>
      <c r="J100" s="16" t="inlineStr">
        <is>
          <t>نعم</t>
        </is>
      </c>
      <c r="K100" s="16" t="inlineStr">
        <is>
          <t>بدون تفصيل بنود في السجل</t>
        </is>
      </c>
    </row>
    <row r="101">
      <c r="A101" s="16" t="n">
        <v>100</v>
      </c>
      <c r="B101" s="16" t="inlineStr">
        <is>
          <t>RNO</t>
        </is>
      </c>
      <c r="C101" s="16" t="inlineStr">
        <is>
          <t>صرف مواد للإنتاج – مزرعة الرياض</t>
        </is>
      </c>
      <c r="D101" s="16" t="inlineStr">
        <is>
          <t>RNO-2218</t>
        </is>
      </c>
      <c r="E101" s="95" t="n">
        <v>45898</v>
      </c>
      <c r="F101" s="16" t="inlineStr">
        <is>
          <t>OPERATION RIYADH NURSERY</t>
        </is>
      </c>
      <c r="G101" s="16" t="n"/>
      <c r="H101" s="17" t="n">
        <v>8625</v>
      </c>
      <c r="I101" s="16" t="inlineStr">
        <is>
          <t>النظام القديم</t>
        </is>
      </c>
      <c r="J101" s="16" t="inlineStr">
        <is>
          <t>نعم</t>
        </is>
      </c>
      <c r="K101" s="16" t="inlineStr">
        <is>
          <t>بدون تفصيل بنود في السجل</t>
        </is>
      </c>
    </row>
    <row r="102">
      <c r="A102" s="16" t="n">
        <v>101</v>
      </c>
      <c r="B102" s="16" t="inlineStr">
        <is>
          <t>RNO</t>
        </is>
      </c>
      <c r="C102" s="16" t="inlineStr">
        <is>
          <t>صرف مواد للإنتاج – مزرعة الرياض</t>
        </is>
      </c>
      <c r="D102" s="16" t="inlineStr">
        <is>
          <t>RNO-2063</t>
        </is>
      </c>
      <c r="E102" s="95" t="n">
        <v>45899</v>
      </c>
      <c r="F102" s="16" t="inlineStr">
        <is>
          <t>OPERATION RIYADH NURSERY</t>
        </is>
      </c>
      <c r="G102" s="16" t="n"/>
      <c r="H102" s="17" t="n">
        <v>9617.450000000001</v>
      </c>
      <c r="I102" s="16" t="inlineStr">
        <is>
          <t>النظام القديم</t>
        </is>
      </c>
      <c r="J102" s="16" t="inlineStr">
        <is>
          <t>نعم</t>
        </is>
      </c>
      <c r="K102" s="16" t="inlineStr">
        <is>
          <t>بدون تفصيل بنود في السجل</t>
        </is>
      </c>
    </row>
    <row r="103">
      <c r="A103" s="16" t="n">
        <v>102</v>
      </c>
      <c r="B103" s="16" t="inlineStr">
        <is>
          <t>RNO</t>
        </is>
      </c>
      <c r="C103" s="16" t="inlineStr">
        <is>
          <t>صرف مواد للإنتاج – مزرعة الرياض</t>
        </is>
      </c>
      <c r="D103" s="16" t="inlineStr">
        <is>
          <t>RNO-2071</t>
        </is>
      </c>
      <c r="E103" s="95" t="n">
        <v>45901</v>
      </c>
      <c r="F103" s="16" t="inlineStr">
        <is>
          <t>OPERATION RIYADH NURSERY</t>
        </is>
      </c>
      <c r="G103" s="16" t="n"/>
      <c r="H103" s="17" t="n">
        <v>414</v>
      </c>
      <c r="I103" s="16" t="inlineStr">
        <is>
          <t>النظام القديم</t>
        </is>
      </c>
      <c r="J103" s="16" t="inlineStr">
        <is>
          <t>نعم</t>
        </is>
      </c>
      <c r="K103" s="16" t="inlineStr">
        <is>
          <t>بدون تفصيل بنود في السجل</t>
        </is>
      </c>
    </row>
    <row r="104">
      <c r="A104" s="16" t="n">
        <v>103</v>
      </c>
      <c r="B104" s="16" t="inlineStr">
        <is>
          <t>RNO</t>
        </is>
      </c>
      <c r="C104" s="16" t="inlineStr">
        <is>
          <t>صرف مواد للإنتاج – مزرعة الرياض</t>
        </is>
      </c>
      <c r="D104" s="16" t="inlineStr">
        <is>
          <t>RNO-2074</t>
        </is>
      </c>
      <c r="E104" s="95" t="n">
        <v>45901</v>
      </c>
      <c r="F104" s="16" t="inlineStr">
        <is>
          <t>OPERATION RIYADH NURSERY</t>
        </is>
      </c>
      <c r="G104" s="16" t="n"/>
      <c r="H104" s="17" t="n">
        <v>17583.5</v>
      </c>
      <c r="I104" s="16" t="inlineStr">
        <is>
          <t>النظام القديم</t>
        </is>
      </c>
      <c r="J104" s="16" t="inlineStr">
        <is>
          <t>نعم</t>
        </is>
      </c>
      <c r="K104" s="16" t="inlineStr">
        <is>
          <t>بدون تفصيل بنود في السجل</t>
        </is>
      </c>
    </row>
    <row r="105">
      <c r="A105" s="16" t="n">
        <v>104</v>
      </c>
      <c r="B105" s="16" t="inlineStr">
        <is>
          <t>RNO</t>
        </is>
      </c>
      <c r="C105" s="16" t="inlineStr">
        <is>
          <t>صرف مواد للإنتاج – مزرعة الرياض</t>
        </is>
      </c>
      <c r="D105" s="16" t="inlineStr">
        <is>
          <t>RNO-2082</t>
        </is>
      </c>
      <c r="E105" s="95" t="n">
        <v>45901</v>
      </c>
      <c r="F105" s="16" t="inlineStr">
        <is>
          <t>OPERATION RIYADH NURSERY</t>
        </is>
      </c>
      <c r="G105" s="16" t="n"/>
      <c r="H105" s="17" t="n">
        <v>2551.85</v>
      </c>
      <c r="I105" s="16" t="inlineStr">
        <is>
          <t>النظام القديم</t>
        </is>
      </c>
      <c r="J105" s="16" t="inlineStr">
        <is>
          <t>نعم</t>
        </is>
      </c>
      <c r="K105" s="16" t="inlineStr">
        <is>
          <t>بدون تفصيل بنود في السجل</t>
        </is>
      </c>
    </row>
    <row r="106">
      <c r="A106" s="16" t="n">
        <v>105</v>
      </c>
      <c r="B106" s="16" t="inlineStr">
        <is>
          <t>RNO</t>
        </is>
      </c>
      <c r="C106" s="16" t="inlineStr">
        <is>
          <t>صرف مواد للإنتاج – مزرعة الرياض</t>
        </is>
      </c>
      <c r="D106" s="16" t="inlineStr">
        <is>
          <t>RNO-2087</t>
        </is>
      </c>
      <c r="E106" s="95" t="n">
        <v>45902</v>
      </c>
      <c r="F106" s="16" t="inlineStr">
        <is>
          <t>OPERATION RIYADH NURSERY</t>
        </is>
      </c>
      <c r="G106" s="16" t="n"/>
      <c r="H106" s="17" t="n">
        <v>4996.75</v>
      </c>
      <c r="I106" s="16" t="inlineStr">
        <is>
          <t>النظام القديم</t>
        </is>
      </c>
      <c r="J106" s="16" t="inlineStr">
        <is>
          <t>نعم</t>
        </is>
      </c>
      <c r="K106" s="16" t="inlineStr">
        <is>
          <t>بدون تفصيل بنود في السجل</t>
        </is>
      </c>
    </row>
    <row r="107">
      <c r="A107" s="16" t="n">
        <v>106</v>
      </c>
      <c r="B107" s="16" t="inlineStr">
        <is>
          <t>RNO</t>
        </is>
      </c>
      <c r="C107" s="16" t="inlineStr">
        <is>
          <t>صرف مواد للإنتاج – مزرعة الرياض</t>
        </is>
      </c>
      <c r="D107" s="16" t="inlineStr">
        <is>
          <t>RNO-2209</t>
        </is>
      </c>
      <c r="E107" s="95" t="n">
        <v>45903</v>
      </c>
      <c r="F107" s="16" t="inlineStr">
        <is>
          <t>OPERATION RIYADH NURSERY</t>
        </is>
      </c>
      <c r="G107" s="16" t="n"/>
      <c r="H107" s="17" t="n">
        <v>1071.8</v>
      </c>
      <c r="I107" s="16" t="inlineStr">
        <is>
          <t>النظام القديم</t>
        </is>
      </c>
      <c r="J107" s="16" t="inlineStr">
        <is>
          <t>نعم</t>
        </is>
      </c>
      <c r="K107" s="16" t="inlineStr">
        <is>
          <t>بدون تفصيل بنود في السجل</t>
        </is>
      </c>
    </row>
    <row r="108">
      <c r="A108" s="16" t="n">
        <v>107</v>
      </c>
      <c r="B108" s="16" t="inlineStr">
        <is>
          <t>RNO</t>
        </is>
      </c>
      <c r="C108" s="16" t="inlineStr">
        <is>
          <t>صرف مواد للإنتاج – مزرعة الرياض</t>
        </is>
      </c>
      <c r="D108" s="16" t="inlineStr">
        <is>
          <t>RNO-2109</t>
        </is>
      </c>
      <c r="E108" s="95" t="n">
        <v>45906</v>
      </c>
      <c r="F108" s="16" t="inlineStr">
        <is>
          <t>OPERATION RIYADH NURSERY</t>
        </is>
      </c>
      <c r="G108" s="16" t="n"/>
      <c r="H108" s="17" t="n">
        <v>10309.75</v>
      </c>
      <c r="I108" s="16" t="inlineStr">
        <is>
          <t>النظام القديم</t>
        </is>
      </c>
      <c r="J108" s="16" t="inlineStr">
        <is>
          <t>نعم</t>
        </is>
      </c>
      <c r="K108" s="16" t="inlineStr">
        <is>
          <t>بدون تفصيل بنود في السجل</t>
        </is>
      </c>
    </row>
    <row r="109">
      <c r="A109" s="16" t="n">
        <v>108</v>
      </c>
      <c r="B109" s="16" t="inlineStr">
        <is>
          <t>RNO</t>
        </is>
      </c>
      <c r="C109" s="16" t="inlineStr">
        <is>
          <t>صرف مواد للإنتاج – مزرعة الرياض</t>
        </is>
      </c>
      <c r="D109" s="16" t="inlineStr">
        <is>
          <t>RNO-2142</t>
        </is>
      </c>
      <c r="E109" s="95" t="n">
        <v>45910</v>
      </c>
      <c r="F109" s="16" t="inlineStr">
        <is>
          <t>OPERATION RIYADH NURSERY</t>
        </is>
      </c>
      <c r="G109" s="16" t="n"/>
      <c r="H109" s="17" t="n">
        <v>7181.18</v>
      </c>
      <c r="I109" s="16" t="inlineStr">
        <is>
          <t>النظام القديم</t>
        </is>
      </c>
      <c r="J109" s="16" t="inlineStr">
        <is>
          <t>نعم</t>
        </is>
      </c>
      <c r="K109" s="16" t="inlineStr">
        <is>
          <t>بدون تفصيل بنود في السجل</t>
        </is>
      </c>
    </row>
    <row r="110">
      <c r="A110" s="16" t="n">
        <v>109</v>
      </c>
      <c r="B110" s="16" t="inlineStr">
        <is>
          <t>RNO</t>
        </is>
      </c>
      <c r="C110" s="16" t="inlineStr">
        <is>
          <t>صرف مواد للإنتاج – مزرعة الرياض</t>
        </is>
      </c>
      <c r="D110" s="16" t="inlineStr">
        <is>
          <t>RNO-2156</t>
        </is>
      </c>
      <c r="E110" s="95" t="n">
        <v>45910</v>
      </c>
      <c r="F110" s="16" t="inlineStr">
        <is>
          <t>OPERATION RIYADH NURSERY</t>
        </is>
      </c>
      <c r="G110" s="16" t="n"/>
      <c r="H110" s="17" t="n">
        <v>1144.25</v>
      </c>
      <c r="I110" s="16" t="inlineStr">
        <is>
          <t>النظام القديم</t>
        </is>
      </c>
      <c r="J110" s="16" t="inlineStr">
        <is>
          <t>نعم</t>
        </is>
      </c>
      <c r="K110" s="16" t="inlineStr">
        <is>
          <t>بدون تفصيل بنود في السجل</t>
        </is>
      </c>
    </row>
    <row r="111">
      <c r="A111" s="16" t="n">
        <v>110</v>
      </c>
      <c r="B111" s="16" t="inlineStr">
        <is>
          <t>RNO</t>
        </is>
      </c>
      <c r="C111" s="16" t="inlineStr">
        <is>
          <t>صرف مواد للإنتاج – مزرعة الرياض</t>
        </is>
      </c>
      <c r="D111" s="16" t="inlineStr">
        <is>
          <t>RNO-2219</t>
        </is>
      </c>
      <c r="E111" s="95" t="n">
        <v>45910</v>
      </c>
      <c r="F111" s="16" t="inlineStr">
        <is>
          <t>OPERATION RIYADH NURSERY</t>
        </is>
      </c>
      <c r="G111" s="16" t="n"/>
      <c r="H111" s="17" t="n">
        <v>14202.5</v>
      </c>
      <c r="I111" s="16" t="inlineStr">
        <is>
          <t>النظام القديم</t>
        </is>
      </c>
      <c r="J111" s="16" t="inlineStr">
        <is>
          <t>نعم</t>
        </is>
      </c>
      <c r="K111" s="16" t="inlineStr">
        <is>
          <t>بدون تفصيل بنود في السجل</t>
        </is>
      </c>
    </row>
    <row r="112">
      <c r="A112" s="16" t="n">
        <v>111</v>
      </c>
      <c r="B112" s="16" t="inlineStr">
        <is>
          <t>RNO</t>
        </is>
      </c>
      <c r="C112" s="16" t="inlineStr">
        <is>
          <t>صرف مواد للإنتاج – مزرعة الرياض</t>
        </is>
      </c>
      <c r="D112" s="16" t="inlineStr">
        <is>
          <t>RNO-2163</t>
        </is>
      </c>
      <c r="E112" s="95" t="n">
        <v>45911</v>
      </c>
      <c r="F112" s="16" t="inlineStr">
        <is>
          <t>OPERATION RIYADH NURSERY</t>
        </is>
      </c>
      <c r="G112" s="16" t="n"/>
      <c r="H112" s="17" t="n">
        <v>6399.75</v>
      </c>
      <c r="I112" s="16" t="inlineStr">
        <is>
          <t>النظام القديم</t>
        </is>
      </c>
      <c r="J112" s="16" t="inlineStr">
        <is>
          <t>نعم</t>
        </is>
      </c>
      <c r="K112" s="16" t="inlineStr">
        <is>
          <t>بدون تفصيل بنود في السجل</t>
        </is>
      </c>
    </row>
    <row r="113">
      <c r="A113" s="16" t="n">
        <v>112</v>
      </c>
      <c r="B113" s="16" t="inlineStr">
        <is>
          <t>RNO</t>
        </is>
      </c>
      <c r="C113" s="16" t="inlineStr">
        <is>
          <t>صرف مواد للإنتاج – مزرعة الرياض</t>
        </is>
      </c>
      <c r="D113" s="16" t="inlineStr">
        <is>
          <t>RNO-2221</t>
        </is>
      </c>
      <c r="E113" s="95" t="n">
        <v>45912</v>
      </c>
      <c r="F113" s="16" t="inlineStr">
        <is>
          <t>OPERATION RIYADH NURSERY</t>
        </is>
      </c>
      <c r="G113" s="16" t="n"/>
      <c r="H113" s="17" t="n">
        <v>15525</v>
      </c>
      <c r="I113" s="16" t="inlineStr">
        <is>
          <t>النظام القديم</t>
        </is>
      </c>
      <c r="J113" s="16" t="inlineStr">
        <is>
          <t>نعم</t>
        </is>
      </c>
      <c r="K113" s="16" t="inlineStr">
        <is>
          <t>بدون تفصيل بنود في السجل</t>
        </is>
      </c>
    </row>
    <row r="114">
      <c r="A114" s="16" t="n">
        <v>113</v>
      </c>
      <c r="B114" s="16" t="inlineStr">
        <is>
          <t>RNO</t>
        </is>
      </c>
      <c r="C114" s="16" t="inlineStr">
        <is>
          <t>صرف مواد للإنتاج – مزرعة الرياض</t>
        </is>
      </c>
      <c r="D114" s="16" t="inlineStr">
        <is>
          <t>RNO-2174</t>
        </is>
      </c>
      <c r="E114" s="95" t="n">
        <v>45913</v>
      </c>
      <c r="F114" s="16" t="inlineStr">
        <is>
          <t>OPERATION RIYADH NURSERY</t>
        </is>
      </c>
      <c r="G114" s="16" t="n"/>
      <c r="H114" s="17" t="n">
        <v>1337.45</v>
      </c>
      <c r="I114" s="16" t="inlineStr">
        <is>
          <t>النظام القديم</t>
        </is>
      </c>
      <c r="J114" s="16" t="inlineStr">
        <is>
          <t>نعم</t>
        </is>
      </c>
      <c r="K114" s="16" t="inlineStr">
        <is>
          <t>بدون تفصيل بنود في السجل</t>
        </is>
      </c>
    </row>
    <row r="115">
      <c r="A115" s="16" t="n">
        <v>114</v>
      </c>
      <c r="B115" s="16" t="inlineStr">
        <is>
          <t>RNO</t>
        </is>
      </c>
      <c r="C115" s="16" t="inlineStr">
        <is>
          <t>صرف مواد للإنتاج – مزرعة الرياض</t>
        </is>
      </c>
      <c r="D115" s="16" t="inlineStr">
        <is>
          <t>RNO-2189</t>
        </is>
      </c>
      <c r="E115" s="95" t="n">
        <v>45914</v>
      </c>
      <c r="F115" s="16" t="inlineStr">
        <is>
          <t>OPERATION RIYADH NURSERY</t>
        </is>
      </c>
      <c r="G115" s="16" t="n"/>
      <c r="H115" s="17" t="n">
        <v>1920.5</v>
      </c>
      <c r="I115" s="16" t="inlineStr">
        <is>
          <t>النظام القديم</t>
        </is>
      </c>
      <c r="J115" s="16" t="inlineStr">
        <is>
          <t>نعم</t>
        </is>
      </c>
      <c r="K115" s="16" t="inlineStr">
        <is>
          <t>بدون تفصيل بنود في السجل</t>
        </is>
      </c>
    </row>
    <row r="116">
      <c r="A116" s="16" t="n">
        <v>115</v>
      </c>
      <c r="B116" s="16" t="inlineStr">
        <is>
          <t>RNO</t>
        </is>
      </c>
      <c r="C116" s="16" t="inlineStr">
        <is>
          <t>صرف مواد للإنتاج – مزرعة الرياض</t>
        </is>
      </c>
      <c r="D116" s="16" t="inlineStr">
        <is>
          <t>RNO-2201</t>
        </is>
      </c>
      <c r="E116" s="95" t="n">
        <v>45915</v>
      </c>
      <c r="F116" s="16" t="inlineStr">
        <is>
          <t>OPERATION RIYADH NURSERY</t>
        </is>
      </c>
      <c r="G116" s="16" t="n"/>
      <c r="H116" s="17" t="n">
        <v>5589</v>
      </c>
      <c r="I116" s="16" t="inlineStr">
        <is>
          <t>النظام القديم</t>
        </is>
      </c>
      <c r="J116" s="16" t="inlineStr">
        <is>
          <t>نعم</t>
        </is>
      </c>
      <c r="K116" s="16" t="inlineStr">
        <is>
          <t>بدون تفصيل بنود في السجل</t>
        </is>
      </c>
    </row>
    <row r="117">
      <c r="A117" s="16" t="n">
        <v>116</v>
      </c>
      <c r="B117" s="16" t="inlineStr">
        <is>
          <t>RNO</t>
        </is>
      </c>
      <c r="C117" s="16" t="inlineStr">
        <is>
          <t>صرف مواد للإنتاج – مزرعة الرياض</t>
        </is>
      </c>
      <c r="D117" s="16" t="inlineStr">
        <is>
          <t>RNO-2214</t>
        </is>
      </c>
      <c r="E117" s="95" t="n">
        <v>45916</v>
      </c>
      <c r="F117" s="16" t="inlineStr">
        <is>
          <t>OPERATION RIYADH NURSERY</t>
        </is>
      </c>
      <c r="G117" s="16" t="n"/>
      <c r="H117" s="17" t="n">
        <v>3490.25</v>
      </c>
      <c r="I117" s="16" t="inlineStr">
        <is>
          <t>النظام القديم</t>
        </is>
      </c>
      <c r="J117" s="16" t="inlineStr">
        <is>
          <t>نعم</t>
        </is>
      </c>
      <c r="K117" s="16" t="inlineStr">
        <is>
          <t>بدون تفصيل بنود في السجل</t>
        </is>
      </c>
    </row>
    <row r="118">
      <c r="A118" s="16" t="n">
        <v>117</v>
      </c>
      <c r="B118" s="16" t="inlineStr">
        <is>
          <t>RNO</t>
        </is>
      </c>
      <c r="C118" s="16" t="inlineStr">
        <is>
          <t>صرف مواد للإنتاج – مزرعة الرياض</t>
        </is>
      </c>
      <c r="D118" s="16" t="inlineStr">
        <is>
          <t>RNO-2229</t>
        </is>
      </c>
      <c r="E118" s="95" t="n">
        <v>45917</v>
      </c>
      <c r="F118" s="16" t="inlineStr">
        <is>
          <t>OPERATION RIYADH NURSERY</t>
        </is>
      </c>
      <c r="G118" s="16" t="n"/>
      <c r="H118" s="17" t="n">
        <v>3447.13</v>
      </c>
      <c r="I118" s="16" t="inlineStr">
        <is>
          <t>النظام القديم</t>
        </is>
      </c>
      <c r="J118" s="16" t="inlineStr">
        <is>
          <t>نعم</t>
        </is>
      </c>
      <c r="K118" s="16" t="inlineStr">
        <is>
          <t>بدون تفصيل بنود في السجل</t>
        </is>
      </c>
    </row>
    <row r="119">
      <c r="A119" s="16" t="n">
        <v>118</v>
      </c>
      <c r="B119" s="16" t="inlineStr">
        <is>
          <t>RNO</t>
        </is>
      </c>
      <c r="C119" s="16" t="inlineStr">
        <is>
          <t>صرف مواد للإنتاج – مزرعة الرياض</t>
        </is>
      </c>
      <c r="D119" s="16" t="inlineStr">
        <is>
          <t>RNO-2235</t>
        </is>
      </c>
      <c r="E119" s="95" t="n">
        <v>45918</v>
      </c>
      <c r="F119" s="16" t="inlineStr">
        <is>
          <t>OPERATION RIYADH NURSERY</t>
        </is>
      </c>
      <c r="G119" s="16" t="n"/>
      <c r="H119" s="17" t="n">
        <v>15525</v>
      </c>
      <c r="I119" s="16" t="inlineStr">
        <is>
          <t>النظام القديم</t>
        </is>
      </c>
      <c r="J119" s="16" t="inlineStr">
        <is>
          <t>نعم</t>
        </is>
      </c>
      <c r="K119" s="16" t="inlineStr">
        <is>
          <t>بدون تفصيل بنود في السجل</t>
        </is>
      </c>
    </row>
    <row r="120">
      <c r="A120" s="16" t="n">
        <v>119</v>
      </c>
      <c r="B120" s="16" t="inlineStr">
        <is>
          <t>RNO</t>
        </is>
      </c>
      <c r="C120" s="16" t="inlineStr">
        <is>
          <t>صرف مواد للإنتاج – مزرعة الرياض</t>
        </is>
      </c>
      <c r="D120" s="16" t="inlineStr">
        <is>
          <t>RNO-2245</t>
        </is>
      </c>
      <c r="E120" s="95" t="n">
        <v>45920</v>
      </c>
      <c r="F120" s="16" t="inlineStr">
        <is>
          <t>OPERATION RIYADH NURSERY</t>
        </is>
      </c>
      <c r="G120" s="16" t="n"/>
      <c r="H120" s="17" t="n">
        <v>3450</v>
      </c>
      <c r="I120" s="16" t="inlineStr">
        <is>
          <t>النظام القديم</t>
        </is>
      </c>
      <c r="J120" s="16" t="inlineStr">
        <is>
          <t>نعم</t>
        </is>
      </c>
      <c r="K120" s="16" t="inlineStr">
        <is>
          <t>بدون تفصيل بنود في السجل</t>
        </is>
      </c>
    </row>
    <row r="121">
      <c r="A121" s="16" t="n">
        <v>120</v>
      </c>
      <c r="B121" s="16" t="inlineStr">
        <is>
          <t>RNO</t>
        </is>
      </c>
      <c r="C121" s="16" t="inlineStr">
        <is>
          <t>صرف مواد للإنتاج – مزرعة الرياض</t>
        </is>
      </c>
      <c r="D121" s="16" t="inlineStr">
        <is>
          <t>RNO-2269</t>
        </is>
      </c>
      <c r="E121" s="95" t="n">
        <v>45924</v>
      </c>
      <c r="F121" s="16" t="inlineStr">
        <is>
          <t>OPERATION RIYADH NURSERY</t>
        </is>
      </c>
      <c r="G121" s="16" t="n"/>
      <c r="H121" s="17" t="n">
        <v>10898.55</v>
      </c>
      <c r="I121" s="16" t="inlineStr">
        <is>
          <t>النظام القديم</t>
        </is>
      </c>
      <c r="J121" s="16" t="inlineStr">
        <is>
          <t>نعم</t>
        </is>
      </c>
      <c r="K121" s="16" t="inlineStr">
        <is>
          <t>بدون تفصيل بنود في السجل</t>
        </is>
      </c>
    </row>
    <row r="122">
      <c r="A122" s="16" t="n">
        <v>121</v>
      </c>
      <c r="B122" s="16" t="inlineStr">
        <is>
          <t>RNO</t>
        </is>
      </c>
      <c r="C122" s="16" t="inlineStr">
        <is>
          <t>صرف مواد للإنتاج – مزرعة الرياض</t>
        </is>
      </c>
      <c r="D122" s="16" t="inlineStr">
        <is>
          <t>RNO-2284</t>
        </is>
      </c>
      <c r="E122" s="95" t="n">
        <v>45924</v>
      </c>
      <c r="F122" s="16" t="inlineStr">
        <is>
          <t>OPERATION RIYADH NURSERY</t>
        </is>
      </c>
      <c r="G122" s="16" t="n"/>
      <c r="H122" s="17" t="n">
        <v>2466.75</v>
      </c>
      <c r="I122" s="16" t="inlineStr">
        <is>
          <t>النظام القديم</t>
        </is>
      </c>
      <c r="J122" s="16" t="inlineStr">
        <is>
          <t>نعم</t>
        </is>
      </c>
      <c r="K122" s="16" t="inlineStr">
        <is>
          <t>بدون تفصيل بنود في السجل</t>
        </is>
      </c>
    </row>
    <row r="123">
      <c r="A123" s="16" t="n">
        <v>122</v>
      </c>
      <c r="B123" s="16" t="inlineStr">
        <is>
          <t>RNO</t>
        </is>
      </c>
      <c r="C123" s="16" t="inlineStr">
        <is>
          <t>صرف مواد للإنتاج – مزرعة الرياض</t>
        </is>
      </c>
      <c r="D123" s="16" t="inlineStr">
        <is>
          <t>RNO-2294</t>
        </is>
      </c>
      <c r="E123" s="95" t="n">
        <v>45926</v>
      </c>
      <c r="F123" s="16" t="inlineStr">
        <is>
          <t>OPERATION RIYADH NURSERY</t>
        </is>
      </c>
      <c r="G123" s="16" t="n"/>
      <c r="H123" s="17" t="n">
        <v>303.6</v>
      </c>
      <c r="I123" s="16" t="inlineStr">
        <is>
          <t>النظام القديم</t>
        </is>
      </c>
      <c r="J123" s="16" t="inlineStr">
        <is>
          <t>نعم</t>
        </is>
      </c>
      <c r="K123" s="16" t="inlineStr">
        <is>
          <t>بدون تفصيل بنود في السجل</t>
        </is>
      </c>
    </row>
    <row r="124">
      <c r="A124" s="16" t="n">
        <v>123</v>
      </c>
      <c r="B124" s="16" t="inlineStr">
        <is>
          <t>RNO</t>
        </is>
      </c>
      <c r="C124" s="16" t="inlineStr">
        <is>
          <t>صرف مواد للإنتاج – مزرعة الرياض</t>
        </is>
      </c>
      <c r="D124" s="16" t="inlineStr">
        <is>
          <t>RNO-2310</t>
        </is>
      </c>
      <c r="E124" s="95" t="n">
        <v>45927</v>
      </c>
      <c r="F124" s="16" t="inlineStr">
        <is>
          <t>OPERATION RIYADH NURSERY</t>
        </is>
      </c>
      <c r="G124" s="16" t="n"/>
      <c r="H124" s="17" t="n">
        <v>6166.3</v>
      </c>
      <c r="I124" s="16" t="inlineStr">
        <is>
          <t>النظام القديم</t>
        </is>
      </c>
      <c r="J124" s="16" t="inlineStr">
        <is>
          <t>نعم</t>
        </is>
      </c>
      <c r="K124" s="16" t="inlineStr">
        <is>
          <t>بدون تفصيل بنود في السجل</t>
        </is>
      </c>
    </row>
    <row r="125">
      <c r="A125" s="16" t="n">
        <v>124</v>
      </c>
      <c r="B125" s="16" t="inlineStr">
        <is>
          <t>RNO</t>
        </is>
      </c>
      <c r="C125" s="16" t="inlineStr">
        <is>
          <t>صرف مواد للإنتاج – مزرعة الرياض</t>
        </is>
      </c>
      <c r="D125" s="16" t="inlineStr">
        <is>
          <t>RNO-2317</t>
        </is>
      </c>
      <c r="E125" s="95" t="n">
        <v>45928</v>
      </c>
      <c r="F125" s="16" t="inlineStr">
        <is>
          <t>OPERATION RIYADH NURSERY</t>
        </is>
      </c>
      <c r="G125" s="16" t="n"/>
      <c r="H125" s="17" t="n">
        <v>2208</v>
      </c>
      <c r="I125" s="16" t="inlineStr">
        <is>
          <t>النظام القديم</t>
        </is>
      </c>
      <c r="J125" s="16" t="inlineStr">
        <is>
          <t>نعم</t>
        </is>
      </c>
      <c r="K125" s="16" t="inlineStr">
        <is>
          <t>بدون تفصيل بنود في السجل</t>
        </is>
      </c>
    </row>
    <row r="126">
      <c r="A126" s="16" t="n">
        <v>125</v>
      </c>
      <c r="B126" s="16" t="inlineStr">
        <is>
          <t>RNO</t>
        </is>
      </c>
      <c r="C126" s="16" t="inlineStr">
        <is>
          <t>صرف مواد للإنتاج – مزرعة الرياض</t>
        </is>
      </c>
      <c r="D126" s="16" t="inlineStr">
        <is>
          <t>RNO-2326</t>
        </is>
      </c>
      <c r="E126" s="95" t="n">
        <v>45930</v>
      </c>
      <c r="F126" s="16" t="inlineStr">
        <is>
          <t>OPERATION RIYADH NURSERY</t>
        </is>
      </c>
      <c r="G126" s="16" t="n"/>
      <c r="H126" s="17" t="n">
        <v>20518.3</v>
      </c>
      <c r="I126" s="16" t="inlineStr">
        <is>
          <t>النظام القديم</t>
        </is>
      </c>
      <c r="J126" s="16" t="inlineStr">
        <is>
          <t>نعم</t>
        </is>
      </c>
      <c r="K126" s="16" t="inlineStr">
        <is>
          <t>بدون تفصيل بنود في السجل</t>
        </is>
      </c>
    </row>
    <row r="127">
      <c r="A127" s="16" t="n">
        <v>126</v>
      </c>
      <c r="B127" s="16" t="inlineStr">
        <is>
          <t>RNO</t>
        </is>
      </c>
      <c r="C127" s="16" t="inlineStr">
        <is>
          <t>صرف مواد للإنتاج – مزرعة الرياض</t>
        </is>
      </c>
      <c r="D127" s="16" t="inlineStr">
        <is>
          <t>RNO-2342</t>
        </is>
      </c>
      <c r="E127" s="95" t="n">
        <v>45930</v>
      </c>
      <c r="F127" s="16" t="inlineStr">
        <is>
          <t>OPERATION RIYADH NURSERY</t>
        </is>
      </c>
      <c r="G127" s="16" t="n"/>
      <c r="H127" s="17" t="n">
        <v>8400.75</v>
      </c>
      <c r="I127" s="16" t="inlineStr">
        <is>
          <t>النظام القديم</t>
        </is>
      </c>
      <c r="J127" s="16" t="inlineStr">
        <is>
          <t>نعم</t>
        </is>
      </c>
      <c r="K127" s="16" t="inlineStr">
        <is>
          <t>بدون تفصيل بنود في السجل</t>
        </is>
      </c>
    </row>
    <row r="128">
      <c r="A128" s="16" t="n">
        <v>127</v>
      </c>
      <c r="B128" s="16" t="inlineStr">
        <is>
          <t>RNO</t>
        </is>
      </c>
      <c r="C128" s="16" t="inlineStr">
        <is>
          <t>صرف مواد للإنتاج – مزرعة الرياض</t>
        </is>
      </c>
      <c r="D128" s="16" t="inlineStr">
        <is>
          <t>RNO-2355</t>
        </is>
      </c>
      <c r="E128" s="95" t="n">
        <v>45933</v>
      </c>
      <c r="F128" s="16" t="inlineStr">
        <is>
          <t>OPERATION RIYADH NURSERY</t>
        </is>
      </c>
      <c r="G128" s="16" t="n"/>
      <c r="H128" s="17" t="n">
        <v>14682.05</v>
      </c>
      <c r="I128" s="16" t="inlineStr">
        <is>
          <t>النظام القديم</t>
        </is>
      </c>
      <c r="J128" s="16" t="inlineStr">
        <is>
          <t>نعم</t>
        </is>
      </c>
      <c r="K128" s="16" t="inlineStr">
        <is>
          <t>بدون تفصيل بنود في السجل</t>
        </is>
      </c>
    </row>
    <row r="129">
      <c r="A129" s="16" t="n">
        <v>128</v>
      </c>
      <c r="B129" s="16" t="inlineStr">
        <is>
          <t>RNO</t>
        </is>
      </c>
      <c r="C129" s="16" t="inlineStr">
        <is>
          <t>صرف مواد للإنتاج – مزرعة الرياض</t>
        </is>
      </c>
      <c r="D129" s="16" t="inlineStr">
        <is>
          <t>RNO-2363</t>
        </is>
      </c>
      <c r="E129" s="95" t="n">
        <v>45934</v>
      </c>
      <c r="F129" s="16" t="inlineStr">
        <is>
          <t>OPERATION RIYADH NURSERY</t>
        </is>
      </c>
      <c r="G129" s="16" t="n"/>
      <c r="H129" s="17" t="n">
        <v>24668.08</v>
      </c>
      <c r="I129" s="16" t="inlineStr">
        <is>
          <t>النظام القديم</t>
        </is>
      </c>
      <c r="J129" s="16" t="inlineStr">
        <is>
          <t>نعم</t>
        </is>
      </c>
      <c r="K129" s="16" t="inlineStr">
        <is>
          <t>بدون تفصيل بنود في السجل</t>
        </is>
      </c>
    </row>
    <row r="130">
      <c r="A130" s="16" t="n">
        <v>129</v>
      </c>
      <c r="B130" s="16" t="inlineStr">
        <is>
          <t>RNO</t>
        </is>
      </c>
      <c r="C130" s="16" t="inlineStr">
        <is>
          <t>صرف مواد للإنتاج – مزرعة الرياض</t>
        </is>
      </c>
      <c r="D130" s="16" t="inlineStr">
        <is>
          <t>RNO-2399</t>
        </is>
      </c>
      <c r="E130" s="95" t="n">
        <v>45938</v>
      </c>
      <c r="F130" s="16" t="inlineStr">
        <is>
          <t>OPERATION RIYADH NURSERY</t>
        </is>
      </c>
      <c r="G130" s="16" t="n"/>
      <c r="H130" s="17" t="n">
        <v>13531.48</v>
      </c>
      <c r="I130" s="16" t="inlineStr">
        <is>
          <t>النظام القديم</t>
        </is>
      </c>
      <c r="J130" s="16" t="inlineStr">
        <is>
          <t>نعم</t>
        </is>
      </c>
      <c r="K130" s="16" t="inlineStr">
        <is>
          <t>بدون تفصيل بنود في السجل</t>
        </is>
      </c>
    </row>
    <row r="131">
      <c r="A131" s="16" t="n">
        <v>130</v>
      </c>
      <c r="B131" s="16" t="inlineStr">
        <is>
          <t>RNO</t>
        </is>
      </c>
      <c r="C131" s="16" t="inlineStr">
        <is>
          <t>صرف مواد للإنتاج – مزرعة الرياض</t>
        </is>
      </c>
      <c r="D131" s="16" t="inlineStr">
        <is>
          <t>RNO-2409</t>
        </is>
      </c>
      <c r="E131" s="95" t="n">
        <v>45938</v>
      </c>
      <c r="F131" s="16" t="inlineStr">
        <is>
          <t>OPERATION RIYADH NURSERY</t>
        </is>
      </c>
      <c r="G131" s="16" t="n"/>
      <c r="H131" s="17" t="n">
        <v>552</v>
      </c>
      <c r="I131" s="16" t="inlineStr">
        <is>
          <t>النظام القديم</t>
        </is>
      </c>
      <c r="J131" s="16" t="inlineStr">
        <is>
          <t>نعم</t>
        </is>
      </c>
      <c r="K131" s="16" t="inlineStr">
        <is>
          <t>بدون تفصيل بنود في السجل</t>
        </is>
      </c>
    </row>
    <row r="132">
      <c r="A132" s="16" t="n">
        <v>131</v>
      </c>
      <c r="B132" s="16" t="inlineStr">
        <is>
          <t>RNO</t>
        </is>
      </c>
      <c r="C132" s="16" t="inlineStr">
        <is>
          <t>صرف مواد للإنتاج – مزرعة الرياض</t>
        </is>
      </c>
      <c r="D132" s="16" t="inlineStr">
        <is>
          <t>RNO-2417</t>
        </is>
      </c>
      <c r="E132" s="95" t="n">
        <v>45939</v>
      </c>
      <c r="F132" s="16" t="inlineStr">
        <is>
          <t>OPERATION RIYADH NURSERY</t>
        </is>
      </c>
      <c r="G132" s="16" t="n"/>
      <c r="H132" s="17" t="n">
        <v>56107.93</v>
      </c>
      <c r="I132" s="16" t="inlineStr">
        <is>
          <t>النظام القديم</t>
        </is>
      </c>
      <c r="J132" s="16" t="inlineStr">
        <is>
          <t>نعم</t>
        </is>
      </c>
      <c r="K132" s="16" t="inlineStr">
        <is>
          <t>بدون تفصيل بنود في السجل</t>
        </is>
      </c>
    </row>
    <row r="133">
      <c r="A133" s="16" t="n">
        <v>132</v>
      </c>
      <c r="B133" s="16" t="inlineStr">
        <is>
          <t>RNO</t>
        </is>
      </c>
      <c r="C133" s="16" t="inlineStr">
        <is>
          <t>صرف مواد للإنتاج – مزرعة الرياض</t>
        </is>
      </c>
      <c r="D133" s="16" t="inlineStr">
        <is>
          <t>RNO-2432</t>
        </is>
      </c>
      <c r="E133" s="95" t="n">
        <v>45941</v>
      </c>
      <c r="F133" s="16" t="inlineStr">
        <is>
          <t>OPERATION RIYADH NURSERY</t>
        </is>
      </c>
      <c r="G133" s="16" t="n"/>
      <c r="H133" s="17" t="n">
        <v>15117.9</v>
      </c>
      <c r="I133" s="16" t="inlineStr">
        <is>
          <t>النظام القديم</t>
        </is>
      </c>
      <c r="J133" s="16" t="inlineStr">
        <is>
          <t>نعم</t>
        </is>
      </c>
      <c r="K133" s="16" t="inlineStr">
        <is>
          <t>بدون تفصيل بنود في السجل</t>
        </is>
      </c>
    </row>
    <row r="134">
      <c r="A134" s="16" t="n">
        <v>133</v>
      </c>
      <c r="B134" s="16" t="inlineStr">
        <is>
          <t>RNO</t>
        </is>
      </c>
      <c r="C134" s="16" t="inlineStr">
        <is>
          <t>صرف مواد للإنتاج – مزرعة الرياض</t>
        </is>
      </c>
      <c r="D134" s="16" t="inlineStr">
        <is>
          <t>RNO-2448</t>
        </is>
      </c>
      <c r="E134" s="95" t="n">
        <v>45942</v>
      </c>
      <c r="F134" s="16" t="inlineStr">
        <is>
          <t>OPERATION RIYADH NURSERY</t>
        </is>
      </c>
      <c r="G134" s="16" t="n"/>
      <c r="H134" s="17" t="n">
        <v>2386.25</v>
      </c>
      <c r="I134" s="16" t="inlineStr">
        <is>
          <t>النظام القديم</t>
        </is>
      </c>
      <c r="J134" s="16" t="inlineStr">
        <is>
          <t>نعم</t>
        </is>
      </c>
      <c r="K134" s="16" t="inlineStr">
        <is>
          <t>بدون تفصيل بنود في السجل</t>
        </is>
      </c>
    </row>
    <row r="135">
      <c r="A135" s="16" t="n">
        <v>134</v>
      </c>
      <c r="B135" s="16" t="inlineStr">
        <is>
          <t>RNO</t>
        </is>
      </c>
      <c r="C135" s="16" t="inlineStr">
        <is>
          <t>صرف مواد للإنتاج – مزرعة الرياض</t>
        </is>
      </c>
      <c r="D135" s="16" t="inlineStr">
        <is>
          <t>RNO-2463</t>
        </is>
      </c>
      <c r="E135" s="95" t="n">
        <v>45943</v>
      </c>
      <c r="F135" s="16" t="inlineStr">
        <is>
          <t>OPERATION RIYADH NURSERY</t>
        </is>
      </c>
      <c r="G135" s="16" t="n"/>
      <c r="H135" s="17" t="n">
        <v>8435.25</v>
      </c>
      <c r="I135" s="16" t="inlineStr">
        <is>
          <t>النظام القديم</t>
        </is>
      </c>
      <c r="J135" s="16" t="inlineStr">
        <is>
          <t>نعم</t>
        </is>
      </c>
      <c r="K135" s="16" t="inlineStr">
        <is>
          <t>بدون تفصيل بنود في السجل</t>
        </is>
      </c>
    </row>
    <row r="136">
      <c r="A136" s="16" t="n">
        <v>135</v>
      </c>
      <c r="B136" s="16" t="inlineStr">
        <is>
          <t>RNO</t>
        </is>
      </c>
      <c r="C136" s="16" t="inlineStr">
        <is>
          <t>صرف مواد للإنتاج – مزرعة الرياض</t>
        </is>
      </c>
      <c r="D136" s="16" t="inlineStr">
        <is>
          <t>RNO-2478</t>
        </is>
      </c>
      <c r="E136" s="95" t="n">
        <v>45944</v>
      </c>
      <c r="F136" s="16" t="inlineStr">
        <is>
          <t>OPERATION RIYADH NURSERY</t>
        </is>
      </c>
      <c r="G136" s="16" t="n"/>
      <c r="H136" s="17" t="n">
        <v>8223.65</v>
      </c>
      <c r="I136" s="16" t="inlineStr">
        <is>
          <t>النظام القديم</t>
        </is>
      </c>
      <c r="J136" s="16" t="inlineStr">
        <is>
          <t>نعم</t>
        </is>
      </c>
      <c r="K136" s="16" t="inlineStr">
        <is>
          <t>بدون تفصيل بنود في السجل</t>
        </is>
      </c>
    </row>
    <row r="137">
      <c r="A137" s="16" t="n">
        <v>136</v>
      </c>
      <c r="B137" s="16" t="inlineStr">
        <is>
          <t>RNO</t>
        </is>
      </c>
      <c r="C137" s="16" t="inlineStr">
        <is>
          <t>صرف مواد للإنتاج – مزرعة الرياض</t>
        </is>
      </c>
      <c r="D137" s="16" t="inlineStr">
        <is>
          <t>RNO-2507</t>
        </is>
      </c>
      <c r="E137" s="95" t="n">
        <v>45946</v>
      </c>
      <c r="F137" s="16" t="inlineStr">
        <is>
          <t>OPERATION RIYADH NURSERY</t>
        </is>
      </c>
      <c r="G137" s="16" t="n"/>
      <c r="H137" s="17" t="n">
        <v>1749.15</v>
      </c>
      <c r="I137" s="16" t="inlineStr">
        <is>
          <t>النظام القديم</t>
        </is>
      </c>
      <c r="J137" s="16" t="inlineStr">
        <is>
          <t>نعم</t>
        </is>
      </c>
      <c r="K137" s="16" t="inlineStr">
        <is>
          <t>بدون تفصيل بنود في السجل</t>
        </is>
      </c>
    </row>
    <row r="138">
      <c r="A138" s="16" t="n">
        <v>137</v>
      </c>
      <c r="B138" s="16" t="inlineStr">
        <is>
          <t>RNO</t>
        </is>
      </c>
      <c r="C138" s="16" t="inlineStr">
        <is>
          <t>صرف مواد للإنتاج – مزرعة الرياض</t>
        </is>
      </c>
      <c r="D138" s="16" t="inlineStr">
        <is>
          <t>RNO-2518</t>
        </is>
      </c>
      <c r="E138" s="95" t="n">
        <v>45948</v>
      </c>
      <c r="F138" s="16" t="inlineStr">
        <is>
          <t>OPERATION RIYADH NURSERY</t>
        </is>
      </c>
      <c r="G138" s="16" t="n"/>
      <c r="H138" s="17" t="n">
        <v>6373.3</v>
      </c>
      <c r="I138" s="16" t="inlineStr">
        <is>
          <t>النظام القديم</t>
        </is>
      </c>
      <c r="J138" s="16" t="inlineStr">
        <is>
          <t>نعم</t>
        </is>
      </c>
      <c r="K138" s="16" t="inlineStr">
        <is>
          <t>بدون تفصيل بنود في السجل</t>
        </is>
      </c>
    </row>
    <row r="139">
      <c r="A139" s="16" t="n">
        <v>138</v>
      </c>
      <c r="B139" s="16" t="inlineStr">
        <is>
          <t>RNO</t>
        </is>
      </c>
      <c r="C139" s="16" t="inlineStr">
        <is>
          <t>صرف مواد للإنتاج – مزرعة الرياض</t>
        </is>
      </c>
      <c r="D139" s="16" t="inlineStr">
        <is>
          <t>RNO-2538</t>
        </is>
      </c>
      <c r="E139" s="95" t="n">
        <v>45949</v>
      </c>
      <c r="F139" s="16" t="inlineStr">
        <is>
          <t>OPERATION RIYADH NURSERY</t>
        </is>
      </c>
      <c r="G139" s="16" t="n"/>
      <c r="H139" s="17" t="n">
        <v>3151</v>
      </c>
      <c r="I139" s="16" t="inlineStr">
        <is>
          <t>النظام القديم</t>
        </is>
      </c>
      <c r="J139" s="16" t="inlineStr">
        <is>
          <t>نعم</t>
        </is>
      </c>
      <c r="K139" s="16" t="inlineStr">
        <is>
          <t>بدون تفصيل بنود في السجل</t>
        </is>
      </c>
    </row>
    <row r="140">
      <c r="A140" s="16" t="n">
        <v>139</v>
      </c>
      <c r="B140" s="16" t="inlineStr">
        <is>
          <t>RNO</t>
        </is>
      </c>
      <c r="C140" s="16" t="inlineStr">
        <is>
          <t>صرف مواد للإنتاج – مزرعة الرياض</t>
        </is>
      </c>
      <c r="D140" s="16" t="inlineStr">
        <is>
          <t>RNO-2547</t>
        </is>
      </c>
      <c r="E140" s="95" t="n">
        <v>45950</v>
      </c>
      <c r="F140" s="16" t="inlineStr">
        <is>
          <t>OPERATION RIYADH NURSERY</t>
        </is>
      </c>
      <c r="G140" s="16" t="n"/>
      <c r="H140" s="17" t="n">
        <v>7997.1</v>
      </c>
      <c r="I140" s="16" t="inlineStr">
        <is>
          <t>النظام القديم</t>
        </is>
      </c>
      <c r="J140" s="16" t="inlineStr">
        <is>
          <t>نعم</t>
        </is>
      </c>
      <c r="K140" s="16" t="inlineStr">
        <is>
          <t>بدون تفصيل بنود في السجل</t>
        </is>
      </c>
    </row>
    <row r="141">
      <c r="A141" s="16" t="n">
        <v>140</v>
      </c>
      <c r="B141" s="16" t="inlineStr">
        <is>
          <t>RNO</t>
        </is>
      </c>
      <c r="C141" s="16" t="inlineStr">
        <is>
          <t>صرف مواد للإنتاج – مزرعة الرياض</t>
        </is>
      </c>
      <c r="D141" s="16" t="inlineStr">
        <is>
          <t>RNO-2561</t>
        </is>
      </c>
      <c r="E141" s="95" t="n">
        <v>45951</v>
      </c>
      <c r="F141" s="16" t="inlineStr">
        <is>
          <t>OPERATION RIYADH NURSERY</t>
        </is>
      </c>
      <c r="G141" s="16" t="n"/>
      <c r="H141" s="17" t="n">
        <v>12983.5</v>
      </c>
      <c r="I141" s="16" t="inlineStr">
        <is>
          <t>النظام القديم</t>
        </is>
      </c>
      <c r="J141" s="16" t="inlineStr">
        <is>
          <t>نعم</t>
        </is>
      </c>
      <c r="K141" s="16" t="inlineStr">
        <is>
          <t>بدون تفصيل بنود في السجل</t>
        </is>
      </c>
    </row>
    <row r="142">
      <c r="A142" s="16" t="n">
        <v>141</v>
      </c>
      <c r="B142" s="16" t="inlineStr">
        <is>
          <t>RNO</t>
        </is>
      </c>
      <c r="C142" s="16" t="inlineStr">
        <is>
          <t>صرف مواد للإنتاج – مزرعة الرياض</t>
        </is>
      </c>
      <c r="D142" s="16" t="inlineStr">
        <is>
          <t>RNO-2581</t>
        </is>
      </c>
      <c r="E142" s="95" t="n">
        <v>45952</v>
      </c>
      <c r="F142" s="16" t="inlineStr">
        <is>
          <t>OPERATION RIYADH NURSERY</t>
        </is>
      </c>
      <c r="G142" s="16" t="n"/>
      <c r="H142" s="17" t="n">
        <v>11463.78</v>
      </c>
      <c r="I142" s="16" t="inlineStr">
        <is>
          <t>النظام القديم</t>
        </is>
      </c>
      <c r="J142" s="16" t="inlineStr">
        <is>
          <t>نعم</t>
        </is>
      </c>
      <c r="K142" s="16" t="inlineStr">
        <is>
          <t>بدون تفصيل بنود في السجل</t>
        </is>
      </c>
    </row>
    <row r="143">
      <c r="A143" s="16" t="n">
        <v>142</v>
      </c>
      <c r="B143" s="16" t="inlineStr">
        <is>
          <t>RNO</t>
        </is>
      </c>
      <c r="C143" s="16" t="inlineStr">
        <is>
          <t>صرف مواد للإنتاج – مزرعة الرياض</t>
        </is>
      </c>
      <c r="D143" s="16" t="inlineStr">
        <is>
          <t>RNO-2603</t>
        </is>
      </c>
      <c r="E143" s="95" t="n">
        <v>45953</v>
      </c>
      <c r="F143" s="16" t="inlineStr">
        <is>
          <t>OPERATION RIYADH NURSERY</t>
        </is>
      </c>
      <c r="G143" s="16" t="n"/>
      <c r="H143" s="17" t="n">
        <v>2823.25</v>
      </c>
      <c r="I143" s="16" t="inlineStr">
        <is>
          <t>النظام القديم</t>
        </is>
      </c>
      <c r="J143" s="16" t="inlineStr">
        <is>
          <t>نعم</t>
        </is>
      </c>
      <c r="K143" s="16" t="inlineStr">
        <is>
          <t>بدون تفصيل بنود في السجل</t>
        </is>
      </c>
    </row>
    <row r="144">
      <c r="A144" s="16" t="n">
        <v>143</v>
      </c>
      <c r="B144" s="16" t="inlineStr">
        <is>
          <t>RNO</t>
        </is>
      </c>
      <c r="C144" s="16" t="inlineStr">
        <is>
          <t>صرف مواد للإنتاج – مزرعة الرياض</t>
        </is>
      </c>
      <c r="D144" s="16" t="inlineStr">
        <is>
          <t>RNO-2609</t>
        </is>
      </c>
      <c r="E144" s="95" t="n">
        <v>45954</v>
      </c>
      <c r="F144" s="16" t="inlineStr">
        <is>
          <t>OPERATION RIYADH NURSERY</t>
        </is>
      </c>
      <c r="G144" s="16" t="n"/>
      <c r="H144" s="17" t="n">
        <v>5671.8</v>
      </c>
      <c r="I144" s="16" t="inlineStr">
        <is>
          <t>النظام القديم</t>
        </is>
      </c>
      <c r="J144" s="16" t="inlineStr">
        <is>
          <t>نعم</t>
        </is>
      </c>
      <c r="K144" s="16" t="inlineStr">
        <is>
          <t>بدون تفصيل بنود في السجل</t>
        </is>
      </c>
    </row>
    <row r="145">
      <c r="A145" s="16" t="n">
        <v>144</v>
      </c>
      <c r="B145" s="16" t="inlineStr">
        <is>
          <t>RNO</t>
        </is>
      </c>
      <c r="C145" s="16" t="inlineStr">
        <is>
          <t>صرف مواد للإنتاج – مزرعة الرياض</t>
        </is>
      </c>
      <c r="D145" s="16" t="inlineStr">
        <is>
          <t>RNO-2624</t>
        </is>
      </c>
      <c r="E145" s="95" t="n">
        <v>45955</v>
      </c>
      <c r="F145" s="16" t="inlineStr">
        <is>
          <t>OPERATION RIYADH NURSERY</t>
        </is>
      </c>
      <c r="G145" s="16" t="n"/>
      <c r="H145" s="17" t="n">
        <v>7216.83</v>
      </c>
      <c r="I145" s="16" t="inlineStr">
        <is>
          <t>النظام القديم</t>
        </is>
      </c>
      <c r="J145" s="16" t="inlineStr">
        <is>
          <t>نعم</t>
        </is>
      </c>
      <c r="K145" s="16" t="inlineStr">
        <is>
          <t>بدون تفصيل بنود في السجل</t>
        </is>
      </c>
    </row>
    <row r="146">
      <c r="A146" s="16" t="n">
        <v>145</v>
      </c>
      <c r="B146" s="16" t="inlineStr">
        <is>
          <t>RNO</t>
        </is>
      </c>
      <c r="C146" s="16" t="inlineStr">
        <is>
          <t>صرف مواد للإنتاج – مزرعة الرياض</t>
        </is>
      </c>
      <c r="D146" s="16" t="inlineStr">
        <is>
          <t>RNO-2640</t>
        </is>
      </c>
      <c r="E146" s="95" t="n">
        <v>45956</v>
      </c>
      <c r="F146" s="16" t="inlineStr">
        <is>
          <t>OPERATION RIYADH NURSERY</t>
        </is>
      </c>
      <c r="G146" s="16" t="n"/>
      <c r="H146" s="17" t="n">
        <v>2702.5</v>
      </c>
      <c r="I146" s="16" t="inlineStr">
        <is>
          <t>النظام القديم</t>
        </is>
      </c>
      <c r="J146" s="16" t="inlineStr">
        <is>
          <t>نعم</t>
        </is>
      </c>
      <c r="K146" s="16" t="inlineStr">
        <is>
          <t>بدون تفصيل بنود في السجل</t>
        </is>
      </c>
    </row>
    <row r="147">
      <c r="A147" s="16" t="n">
        <v>146</v>
      </c>
      <c r="B147" s="16" t="inlineStr">
        <is>
          <t>RNO</t>
        </is>
      </c>
      <c r="C147" s="16" t="inlineStr">
        <is>
          <t>صرف مواد للإنتاج – مزرعة الرياض</t>
        </is>
      </c>
      <c r="D147" s="16" t="inlineStr">
        <is>
          <t>RNO-2657</t>
        </is>
      </c>
      <c r="E147" s="95" t="n">
        <v>45957</v>
      </c>
      <c r="F147" s="16" t="inlineStr">
        <is>
          <t>OPERATION RIYADH NURSERY</t>
        </is>
      </c>
      <c r="G147" s="16" t="n"/>
      <c r="H147" s="17" t="n">
        <v>10368.98</v>
      </c>
      <c r="I147" s="16" t="inlineStr">
        <is>
          <t>النظام القديم</t>
        </is>
      </c>
      <c r="J147" s="16" t="inlineStr">
        <is>
          <t>نعم</t>
        </is>
      </c>
      <c r="K147" s="16" t="inlineStr">
        <is>
          <t>بدون تفصيل بنود في السجل</t>
        </is>
      </c>
    </row>
    <row r="148">
      <c r="A148" s="16" t="n">
        <v>147</v>
      </c>
      <c r="B148" s="16" t="inlineStr">
        <is>
          <t>RNO</t>
        </is>
      </c>
      <c r="C148" s="16" t="inlineStr">
        <is>
          <t>صرف مواد للإنتاج – مزرعة الرياض</t>
        </is>
      </c>
      <c r="D148" s="16" t="inlineStr">
        <is>
          <t>RNO-2668</t>
        </is>
      </c>
      <c r="E148" s="95" t="n">
        <v>45958</v>
      </c>
      <c r="F148" s="16" t="inlineStr">
        <is>
          <t>OPERATION RIYADH NURSERY</t>
        </is>
      </c>
      <c r="G148" s="16" t="n"/>
      <c r="H148" s="17" t="n">
        <v>6704.5</v>
      </c>
      <c r="I148" s="16" t="inlineStr">
        <is>
          <t>النظام القديم</t>
        </is>
      </c>
      <c r="J148" s="16" t="inlineStr">
        <is>
          <t>نعم</t>
        </is>
      </c>
      <c r="K148" s="16" t="inlineStr">
        <is>
          <t>بدون تفصيل بنود في السجل</t>
        </is>
      </c>
    </row>
    <row r="149">
      <c r="A149" s="16" t="n">
        <v>148</v>
      </c>
      <c r="B149" s="16" t="inlineStr">
        <is>
          <t>RNO</t>
        </is>
      </c>
      <c r="C149" s="16" t="inlineStr">
        <is>
          <t>صرف مواد للإنتاج – مزرعة الرياض</t>
        </is>
      </c>
      <c r="D149" s="16" t="inlineStr">
        <is>
          <t>RNO-2678</t>
        </is>
      </c>
      <c r="E149" s="95" t="n">
        <v>45959</v>
      </c>
      <c r="F149" s="16" t="inlineStr">
        <is>
          <t>OPERATION RIYADH NURSERY</t>
        </is>
      </c>
      <c r="G149" s="16" t="n"/>
      <c r="H149" s="17" t="n">
        <v>6857.45</v>
      </c>
      <c r="I149" s="16" t="inlineStr">
        <is>
          <t>النظام القديم</t>
        </is>
      </c>
      <c r="J149" s="16" t="inlineStr">
        <is>
          <t>نعم</t>
        </is>
      </c>
      <c r="K149" s="16" t="inlineStr">
        <is>
          <t>بدون تفصيل بنود في السجل</t>
        </is>
      </c>
    </row>
    <row r="150">
      <c r="A150" s="16" t="n">
        <v>149</v>
      </c>
      <c r="B150" s="16" t="inlineStr">
        <is>
          <t>RNO</t>
        </is>
      </c>
      <c r="C150" s="16" t="inlineStr">
        <is>
          <t>صرف مواد للإنتاج – مزرعة الرياض</t>
        </is>
      </c>
      <c r="D150" s="16" t="inlineStr">
        <is>
          <t>RNO-2699</t>
        </is>
      </c>
      <c r="E150" s="95" t="n">
        <v>45960</v>
      </c>
      <c r="F150" s="16" t="inlineStr">
        <is>
          <t>OPERATION RIYADH NURSERY</t>
        </is>
      </c>
      <c r="G150" s="16" t="n"/>
      <c r="H150" s="17" t="n">
        <v>3849.63</v>
      </c>
      <c r="I150" s="16" t="inlineStr">
        <is>
          <t>النظام القديم</t>
        </is>
      </c>
      <c r="J150" s="16" t="inlineStr">
        <is>
          <t>نعم</t>
        </is>
      </c>
      <c r="K150" s="16" t="inlineStr">
        <is>
          <t>بدون تفصيل بنود في السجل</t>
        </is>
      </c>
    </row>
    <row r="151">
      <c r="A151" s="16" t="n">
        <v>150</v>
      </c>
      <c r="B151" s="16" t="inlineStr">
        <is>
          <t>RNO</t>
        </is>
      </c>
      <c r="C151" s="16" t="inlineStr">
        <is>
          <t>صرف مواد للإنتاج – مزرعة الرياض</t>
        </is>
      </c>
      <c r="D151" s="16" t="inlineStr">
        <is>
          <t>RNO-2702</t>
        </is>
      </c>
      <c r="E151" s="95" t="n">
        <v>45961</v>
      </c>
      <c r="F151" s="16" t="inlineStr">
        <is>
          <t>OPERATION RIYADH NURSERY</t>
        </is>
      </c>
      <c r="G151" s="16" t="n"/>
      <c r="H151" s="17" t="n">
        <v>4285.48</v>
      </c>
      <c r="I151" s="16" t="inlineStr">
        <is>
          <t>النظام القديم</t>
        </is>
      </c>
      <c r="J151" s="16" t="inlineStr">
        <is>
          <t>نعم</t>
        </is>
      </c>
      <c r="K151" s="16" t="inlineStr">
        <is>
          <t>بدون تفصيل بنود في السجل</t>
        </is>
      </c>
    </row>
    <row r="152">
      <c r="A152" s="16" t="n">
        <v>151</v>
      </c>
      <c r="B152" s="16" t="inlineStr">
        <is>
          <t>RNO</t>
        </is>
      </c>
      <c r="C152" s="16" t="inlineStr">
        <is>
          <t>صرف مواد للإنتاج – مزرعة الرياض</t>
        </is>
      </c>
      <c r="D152" s="16" t="inlineStr">
        <is>
          <t>RNO-2709</t>
        </is>
      </c>
      <c r="E152" s="95" t="n">
        <v>45962</v>
      </c>
      <c r="F152" s="16" t="inlineStr">
        <is>
          <t>OPERATION RIYADH NURSERY</t>
        </is>
      </c>
      <c r="G152" s="16" t="n"/>
      <c r="H152" s="17" t="n">
        <v>7096.65</v>
      </c>
      <c r="I152" s="16" t="inlineStr">
        <is>
          <t>النظام القديم</t>
        </is>
      </c>
      <c r="J152" s="16" t="inlineStr">
        <is>
          <t>نعم</t>
        </is>
      </c>
      <c r="K152" s="16" t="inlineStr">
        <is>
          <t>بدون تفصيل بنود في السجل</t>
        </is>
      </c>
    </row>
    <row r="153">
      <c r="A153" s="16" t="n">
        <v>152</v>
      </c>
      <c r="B153" s="16" t="inlineStr">
        <is>
          <t>RNO</t>
        </is>
      </c>
      <c r="C153" s="16" t="inlineStr">
        <is>
          <t>صرف مواد للإنتاج – مزرعة الرياض</t>
        </is>
      </c>
      <c r="D153" s="16" t="inlineStr">
        <is>
          <t>RNO-2740</t>
        </is>
      </c>
      <c r="E153" s="95" t="n">
        <v>45963</v>
      </c>
      <c r="F153" s="16" t="inlineStr">
        <is>
          <t>OPERATION RIYADH NURSERY</t>
        </is>
      </c>
      <c r="G153" s="16" t="n"/>
      <c r="H153" s="17" t="n">
        <v>7449.13</v>
      </c>
      <c r="I153" s="16" t="inlineStr">
        <is>
          <t>النظام القديم</t>
        </is>
      </c>
      <c r="J153" s="16" t="inlineStr">
        <is>
          <t>نعم</t>
        </is>
      </c>
      <c r="K153" s="16" t="inlineStr">
        <is>
          <t>بدون تفصيل بنود في السجل</t>
        </is>
      </c>
    </row>
    <row r="154">
      <c r="A154" s="16" t="n">
        <v>153</v>
      </c>
      <c r="B154" s="16" t="inlineStr">
        <is>
          <t>RNO</t>
        </is>
      </c>
      <c r="C154" s="16" t="inlineStr">
        <is>
          <t>صرف مواد للإنتاج – مزرعة الرياض</t>
        </is>
      </c>
      <c r="D154" s="16" t="inlineStr">
        <is>
          <t>RNO-2749</t>
        </is>
      </c>
      <c r="E154" s="95" t="n">
        <v>45964</v>
      </c>
      <c r="F154" s="16" t="inlineStr">
        <is>
          <t>OPERATION RIYADH NURSERY</t>
        </is>
      </c>
      <c r="G154" s="16" t="n"/>
      <c r="H154" s="17" t="n">
        <v>2415</v>
      </c>
      <c r="I154" s="16" t="inlineStr">
        <is>
          <t>النظام القديم</t>
        </is>
      </c>
      <c r="J154" s="16" t="inlineStr">
        <is>
          <t>نعم</t>
        </is>
      </c>
      <c r="K154" s="16" t="inlineStr">
        <is>
          <t>بدون تفصيل بنود في السجل</t>
        </is>
      </c>
    </row>
    <row r="155">
      <c r="A155" s="16" t="n">
        <v>154</v>
      </c>
      <c r="B155" s="16" t="inlineStr">
        <is>
          <t>RNO</t>
        </is>
      </c>
      <c r="C155" s="16" t="inlineStr">
        <is>
          <t>صرف مواد للإنتاج – مزرعة الرياض</t>
        </is>
      </c>
      <c r="D155" s="16" t="inlineStr">
        <is>
          <t>RNO-2754</t>
        </is>
      </c>
      <c r="E155" s="95" t="n">
        <v>45965</v>
      </c>
      <c r="F155" s="16" t="inlineStr">
        <is>
          <t>OPERATION RIYADH NURSERY</t>
        </is>
      </c>
      <c r="G155" s="16" t="n"/>
      <c r="H155" s="17" t="n">
        <v>16472.03</v>
      </c>
      <c r="I155" s="16" t="inlineStr">
        <is>
          <t>النظام القديم</t>
        </is>
      </c>
      <c r="J155" s="16" t="inlineStr">
        <is>
          <t>نعم</t>
        </is>
      </c>
      <c r="K155" s="16" t="inlineStr">
        <is>
          <t>بدون تفصيل بنود في السجل</t>
        </is>
      </c>
    </row>
    <row r="156">
      <c r="A156" s="16" t="n">
        <v>155</v>
      </c>
      <c r="B156" s="16" t="inlineStr">
        <is>
          <t>RNO</t>
        </is>
      </c>
      <c r="C156" s="16" t="inlineStr">
        <is>
          <t>صرف مواد للإنتاج – مزرعة الرياض</t>
        </is>
      </c>
      <c r="D156" s="16" t="inlineStr">
        <is>
          <t>RNO-2774</t>
        </is>
      </c>
      <c r="E156" s="95" t="n">
        <v>45966</v>
      </c>
      <c r="F156" s="16" t="inlineStr">
        <is>
          <t>OPERATION RIYADH NURSERY</t>
        </is>
      </c>
      <c r="G156" s="16" t="n"/>
      <c r="H156" s="17" t="n">
        <v>3987.63</v>
      </c>
      <c r="I156" s="16" t="inlineStr">
        <is>
          <t>النظام القديم</t>
        </is>
      </c>
      <c r="J156" s="16" t="inlineStr">
        <is>
          <t>نعم</t>
        </is>
      </c>
      <c r="K156" s="16" t="inlineStr">
        <is>
          <t>بدون تفصيل بنود في السجل</t>
        </is>
      </c>
    </row>
    <row r="157">
      <c r="A157" s="16" t="n">
        <v>156</v>
      </c>
      <c r="B157" s="16" t="inlineStr">
        <is>
          <t>RNO</t>
        </is>
      </c>
      <c r="C157" s="16" t="inlineStr">
        <is>
          <t>صرف مواد للإنتاج – مزرعة الرياض</t>
        </is>
      </c>
      <c r="D157" s="16" t="inlineStr">
        <is>
          <t>RNO-2785</t>
        </is>
      </c>
      <c r="E157" s="95" t="n">
        <v>45967</v>
      </c>
      <c r="F157" s="16" t="inlineStr">
        <is>
          <t>OPERATION RIYADH NURSERY</t>
        </is>
      </c>
      <c r="G157" s="16" t="n"/>
      <c r="H157" s="17" t="n">
        <v>10571.95</v>
      </c>
      <c r="I157" s="16" t="inlineStr">
        <is>
          <t>النظام القديم</t>
        </is>
      </c>
      <c r="J157" s="16" t="inlineStr">
        <is>
          <t>نعم</t>
        </is>
      </c>
      <c r="K157" s="16" t="inlineStr">
        <is>
          <t>بدون تفصيل بنود في السجل</t>
        </is>
      </c>
    </row>
    <row r="158">
      <c r="A158" s="16" t="n">
        <v>157</v>
      </c>
      <c r="B158" s="16" t="inlineStr">
        <is>
          <t>RNO</t>
        </is>
      </c>
      <c r="C158" s="16" t="inlineStr">
        <is>
          <t>صرف مواد للإنتاج – مزرعة الرياض</t>
        </is>
      </c>
      <c r="D158" s="16" t="inlineStr">
        <is>
          <t>RNO-2802</t>
        </is>
      </c>
      <c r="E158" s="95" t="n">
        <v>45969</v>
      </c>
      <c r="F158" s="16" t="inlineStr">
        <is>
          <t>OPERATION RIYADH NURSERY</t>
        </is>
      </c>
      <c r="G158" s="16" t="n"/>
      <c r="H158" s="17" t="n">
        <v>16040.2</v>
      </c>
      <c r="I158" s="16" t="inlineStr">
        <is>
          <t>النظام القديم</t>
        </is>
      </c>
      <c r="J158" s="16" t="inlineStr">
        <is>
          <t>نعم</t>
        </is>
      </c>
      <c r="K158" s="16" t="inlineStr">
        <is>
          <t>بدون تفصيل بنود في السجل</t>
        </is>
      </c>
    </row>
    <row r="159">
      <c r="A159" s="16" t="n">
        <v>158</v>
      </c>
      <c r="B159" s="16" t="inlineStr">
        <is>
          <t>RNO</t>
        </is>
      </c>
      <c r="C159" s="16" t="inlineStr">
        <is>
          <t>صرف مواد للإنتاج – مزرعة الرياض</t>
        </is>
      </c>
      <c r="D159" s="16" t="inlineStr">
        <is>
          <t>RNO-2817</t>
        </is>
      </c>
      <c r="E159" s="95" t="n">
        <v>45970</v>
      </c>
      <c r="F159" s="16" t="inlineStr">
        <is>
          <t>OPERATION RIYADH NURSERY</t>
        </is>
      </c>
      <c r="G159" s="16" t="n"/>
      <c r="H159" s="17" t="n">
        <v>460</v>
      </c>
      <c r="I159" s="16" t="inlineStr">
        <is>
          <t>النظام القديم</t>
        </is>
      </c>
      <c r="J159" s="16" t="inlineStr">
        <is>
          <t>نعم</t>
        </is>
      </c>
      <c r="K159" s="16" t="inlineStr">
        <is>
          <t>بدون تفصيل بنود في السجل</t>
        </is>
      </c>
    </row>
    <row r="160">
      <c r="A160" s="16" t="n">
        <v>159</v>
      </c>
      <c r="B160" s="16" t="inlineStr">
        <is>
          <t>RNO</t>
        </is>
      </c>
      <c r="C160" s="16" t="inlineStr">
        <is>
          <t>صرف مواد للإنتاج – مزرعة الرياض</t>
        </is>
      </c>
      <c r="D160" s="16" t="inlineStr">
        <is>
          <t>RNO-2820</t>
        </is>
      </c>
      <c r="E160" s="95" t="n">
        <v>45970</v>
      </c>
      <c r="F160" s="16" t="inlineStr">
        <is>
          <t>OPERATION RIYADH NURSERY</t>
        </is>
      </c>
      <c r="G160" s="16" t="n"/>
      <c r="H160" s="17" t="n">
        <v>106593.5</v>
      </c>
      <c r="I160" s="16" t="inlineStr">
        <is>
          <t>النظام القديم</t>
        </is>
      </c>
      <c r="J160" s="16" t="inlineStr">
        <is>
          <t>نعم</t>
        </is>
      </c>
      <c r="K160" s="16" t="inlineStr">
        <is>
          <t>بدون تفصيل بنود في السجل</t>
        </is>
      </c>
    </row>
    <row r="161">
      <c r="A161" s="16" t="n">
        <v>160</v>
      </c>
      <c r="B161" s="16" t="inlineStr">
        <is>
          <t>RNO</t>
        </is>
      </c>
      <c r="C161" s="16" t="inlineStr">
        <is>
          <t>صرف مواد للإنتاج – مزرعة الرياض</t>
        </is>
      </c>
      <c r="D161" s="16" t="inlineStr">
        <is>
          <t>RNO-2831</t>
        </is>
      </c>
      <c r="E161" s="95" t="n">
        <v>45971</v>
      </c>
      <c r="F161" s="16" t="inlineStr">
        <is>
          <t>OPERATION RIYADH NURSERY</t>
        </is>
      </c>
      <c r="G161" s="16" t="n"/>
      <c r="H161" s="17" t="n">
        <v>2658.23</v>
      </c>
      <c r="I161" s="16" t="inlineStr">
        <is>
          <t>النظام القديم</t>
        </is>
      </c>
      <c r="J161" s="16" t="inlineStr">
        <is>
          <t>نعم</t>
        </is>
      </c>
      <c r="K161" s="16" t="inlineStr">
        <is>
          <t>بدون تفصيل بنود في السجل</t>
        </is>
      </c>
    </row>
    <row r="162">
      <c r="A162" s="16" t="n">
        <v>161</v>
      </c>
      <c r="B162" s="16" t="inlineStr">
        <is>
          <t>RNO</t>
        </is>
      </c>
      <c r="C162" s="16" t="inlineStr">
        <is>
          <t>صرف مواد للإنتاج – مزرعة الرياض</t>
        </is>
      </c>
      <c r="D162" s="16" t="inlineStr">
        <is>
          <t>RNO-2851</t>
        </is>
      </c>
      <c r="E162" s="95" t="n">
        <v>45972</v>
      </c>
      <c r="F162" s="16" t="inlineStr">
        <is>
          <t>OPERATION RIYADH NURSERY</t>
        </is>
      </c>
      <c r="G162" s="16" t="n"/>
      <c r="H162" s="17" t="n">
        <v>14145</v>
      </c>
      <c r="I162" s="16" t="inlineStr">
        <is>
          <t>النظام القديم</t>
        </is>
      </c>
      <c r="J162" s="16" t="inlineStr">
        <is>
          <t>نعم</t>
        </is>
      </c>
      <c r="K162" s="16" t="inlineStr">
        <is>
          <t>بدون تفصيل بنود في السجل</t>
        </is>
      </c>
    </row>
    <row r="163">
      <c r="A163" s="16" t="n">
        <v>162</v>
      </c>
      <c r="B163" s="16" t="inlineStr">
        <is>
          <t>RNO</t>
        </is>
      </c>
      <c r="C163" s="16" t="inlineStr">
        <is>
          <t>صرف مواد للإنتاج – مزرعة الرياض</t>
        </is>
      </c>
      <c r="D163" s="16" t="inlineStr">
        <is>
          <t>RNO-2866</t>
        </is>
      </c>
      <c r="E163" s="95" t="n">
        <v>45973</v>
      </c>
      <c r="F163" s="16" t="inlineStr">
        <is>
          <t>OPERATION RIYADH NURSERY</t>
        </is>
      </c>
      <c r="G163" s="16" t="n"/>
      <c r="H163" s="17" t="n">
        <v>5618.9</v>
      </c>
      <c r="I163" s="16" t="inlineStr">
        <is>
          <t>النظام القديم</t>
        </is>
      </c>
      <c r="J163" s="16" t="inlineStr">
        <is>
          <t>نعم</t>
        </is>
      </c>
      <c r="K163" s="16" t="inlineStr">
        <is>
          <t>بدون تفصيل بنود في السجل</t>
        </is>
      </c>
    </row>
    <row r="164">
      <c r="A164" s="16" t="n">
        <v>163</v>
      </c>
      <c r="B164" s="16" t="inlineStr">
        <is>
          <t>RNO</t>
        </is>
      </c>
      <c r="C164" s="16" t="inlineStr">
        <is>
          <t>صرف مواد للإنتاج – مزرعة الرياض</t>
        </is>
      </c>
      <c r="D164" s="16" t="inlineStr">
        <is>
          <t>RNO-2879</t>
        </is>
      </c>
      <c r="E164" s="95" t="n">
        <v>45974</v>
      </c>
      <c r="F164" s="16" t="inlineStr">
        <is>
          <t>OPERATION RIYADH NURSERY</t>
        </is>
      </c>
      <c r="G164" s="16" t="n"/>
      <c r="H164" s="17" t="n">
        <v>15444.5</v>
      </c>
      <c r="I164" s="16" t="inlineStr">
        <is>
          <t>النظام القديم</t>
        </is>
      </c>
      <c r="J164" s="16" t="inlineStr">
        <is>
          <t>نعم</t>
        </is>
      </c>
      <c r="K164" s="16" t="inlineStr">
        <is>
          <t>بدون تفصيل بنود في السجل</t>
        </is>
      </c>
    </row>
    <row r="165">
      <c r="A165" s="16" t="n">
        <v>164</v>
      </c>
      <c r="B165" s="16" t="inlineStr">
        <is>
          <t>RNO</t>
        </is>
      </c>
      <c r="C165" s="16" t="inlineStr">
        <is>
          <t>صرف مواد للإنتاج – مزرعة الرياض</t>
        </is>
      </c>
      <c r="D165" s="16" t="inlineStr">
        <is>
          <t>RNO-2886</t>
        </is>
      </c>
      <c r="E165" s="95" t="n">
        <v>45976</v>
      </c>
      <c r="F165" s="16" t="inlineStr">
        <is>
          <t>OPERATION RIYADH NURSERY</t>
        </is>
      </c>
      <c r="G165" s="16" t="n"/>
      <c r="H165" s="17" t="n">
        <v>3121.1</v>
      </c>
      <c r="I165" s="16" t="inlineStr">
        <is>
          <t>النظام القديم</t>
        </is>
      </c>
      <c r="J165" s="16" t="inlineStr">
        <is>
          <t>نعم</t>
        </is>
      </c>
      <c r="K165" s="16" t="inlineStr">
        <is>
          <t>بدون تفصيل بنود في السجل</t>
        </is>
      </c>
    </row>
    <row r="166">
      <c r="A166" s="16" t="n">
        <v>165</v>
      </c>
      <c r="B166" s="16" t="inlineStr">
        <is>
          <t>RNO</t>
        </is>
      </c>
      <c r="C166" s="16" t="inlineStr">
        <is>
          <t>صرف مواد للإنتاج – مزرعة الرياض</t>
        </is>
      </c>
      <c r="D166" s="16" t="inlineStr">
        <is>
          <t>RNO-2895</t>
        </is>
      </c>
      <c r="E166" s="95" t="n">
        <v>45977</v>
      </c>
      <c r="F166" s="16" t="inlineStr">
        <is>
          <t>OPERATION RIYADH NURSERY</t>
        </is>
      </c>
      <c r="G166" s="16" t="n"/>
      <c r="H166" s="17" t="n">
        <v>1162.65</v>
      </c>
      <c r="I166" s="16" t="inlineStr">
        <is>
          <t>النظام القديم</t>
        </is>
      </c>
      <c r="J166" s="16" t="inlineStr">
        <is>
          <t>نعم</t>
        </is>
      </c>
      <c r="K166" s="16" t="inlineStr">
        <is>
          <t>بدون تفصيل بنود في السجل</t>
        </is>
      </c>
    </row>
    <row r="167">
      <c r="A167" s="16" t="n">
        <v>166</v>
      </c>
      <c r="B167" s="16" t="inlineStr">
        <is>
          <t>RNO</t>
        </is>
      </c>
      <c r="C167" s="16" t="inlineStr">
        <is>
          <t>صرف مواد للإنتاج – مزرعة الرياض</t>
        </is>
      </c>
      <c r="D167" s="16" t="inlineStr">
        <is>
          <t>RNO-2910</t>
        </is>
      </c>
      <c r="E167" s="95" t="n">
        <v>45978</v>
      </c>
      <c r="F167" s="16" t="inlineStr">
        <is>
          <t>OPERATION RIYADH NURSERY</t>
        </is>
      </c>
      <c r="G167" s="16" t="n"/>
      <c r="H167" s="17" t="n">
        <v>6645.85</v>
      </c>
      <c r="I167" s="16" t="inlineStr">
        <is>
          <t>النظام القديم</t>
        </is>
      </c>
      <c r="J167" s="16" t="inlineStr">
        <is>
          <t>نعم</t>
        </is>
      </c>
      <c r="K167" s="16" t="inlineStr">
        <is>
          <t>بدون تفصيل بنود في السجل</t>
        </is>
      </c>
    </row>
    <row r="168">
      <c r="A168" s="16" t="n">
        <v>167</v>
      </c>
      <c r="B168" s="16" t="inlineStr">
        <is>
          <t>RNO</t>
        </is>
      </c>
      <c r="C168" s="16" t="inlineStr">
        <is>
          <t>صرف مواد للإنتاج – مزرعة الرياض</t>
        </is>
      </c>
      <c r="D168" s="16" t="inlineStr">
        <is>
          <t>RNO-2966</t>
        </is>
      </c>
      <c r="E168" s="95" t="n">
        <v>45983</v>
      </c>
      <c r="F168" s="16" t="inlineStr">
        <is>
          <t>OPERATION RIYADH NURSERY</t>
        </is>
      </c>
      <c r="G168" s="16" t="n"/>
      <c r="H168" s="17" t="n">
        <v>4674.75</v>
      </c>
      <c r="I168" s="16" t="inlineStr">
        <is>
          <t>النظام القديم</t>
        </is>
      </c>
      <c r="J168" s="16" t="inlineStr">
        <is>
          <t>نعم</t>
        </is>
      </c>
      <c r="K168" s="16" t="inlineStr">
        <is>
          <t>بدون تفصيل بنود في السجل</t>
        </is>
      </c>
    </row>
    <row r="169">
      <c r="A169" s="16" t="n">
        <v>168</v>
      </c>
      <c r="B169" s="16" t="inlineStr">
        <is>
          <t>RNO</t>
        </is>
      </c>
      <c r="C169" s="16" t="inlineStr">
        <is>
          <t>صرف مواد للإنتاج – مزرعة الرياض</t>
        </is>
      </c>
      <c r="D169" s="16" t="inlineStr">
        <is>
          <t>RNO-2978</t>
        </is>
      </c>
      <c r="E169" s="95" t="n">
        <v>45984</v>
      </c>
      <c r="F169" s="16" t="inlineStr">
        <is>
          <t>OPERATION RIYADH NURSERY</t>
        </is>
      </c>
      <c r="G169" s="16" t="n"/>
      <c r="H169" s="17" t="n">
        <v>16836.58</v>
      </c>
      <c r="I169" s="16" t="inlineStr">
        <is>
          <t>النظام القديم</t>
        </is>
      </c>
      <c r="J169" s="16" t="inlineStr">
        <is>
          <t>نعم</t>
        </is>
      </c>
      <c r="K169" s="16" t="inlineStr">
        <is>
          <t>بدون تفصيل بنود في السجل</t>
        </is>
      </c>
    </row>
    <row r="170">
      <c r="A170" s="16" t="n">
        <v>169</v>
      </c>
      <c r="B170" s="16" t="inlineStr">
        <is>
          <t>RNO</t>
        </is>
      </c>
      <c r="C170" s="16" t="inlineStr">
        <is>
          <t>صرف مواد للإنتاج – مزرعة الرياض</t>
        </is>
      </c>
      <c r="D170" s="16" t="inlineStr">
        <is>
          <t>RNO-2993</t>
        </is>
      </c>
      <c r="E170" s="95" t="n">
        <v>45985</v>
      </c>
      <c r="F170" s="16" t="inlineStr">
        <is>
          <t>OPERATION RIYADH NURSERY</t>
        </is>
      </c>
      <c r="G170" s="16" t="n"/>
      <c r="H170" s="17" t="n">
        <v>3673.1</v>
      </c>
      <c r="I170" s="16" t="inlineStr">
        <is>
          <t>النظام القديم</t>
        </is>
      </c>
      <c r="J170" s="16" t="inlineStr">
        <is>
          <t>نعم</t>
        </is>
      </c>
      <c r="K170" s="16" t="inlineStr">
        <is>
          <t>بدون تفصيل بنود في السجل</t>
        </is>
      </c>
    </row>
    <row r="171">
      <c r="A171" s="16" t="n">
        <v>170</v>
      </c>
      <c r="B171" s="16" t="inlineStr">
        <is>
          <t>RNO</t>
        </is>
      </c>
      <c r="C171" s="16" t="inlineStr">
        <is>
          <t>صرف مواد للإنتاج – مزرعة الرياض</t>
        </is>
      </c>
      <c r="D171" s="16" t="inlineStr">
        <is>
          <t>RNO-3003</t>
        </is>
      </c>
      <c r="E171" s="95" t="n">
        <v>45986</v>
      </c>
      <c r="F171" s="16" t="inlineStr">
        <is>
          <t>OPERATION RIYADH NURSERY</t>
        </is>
      </c>
      <c r="G171" s="16" t="n"/>
      <c r="H171" s="17" t="n">
        <v>12351</v>
      </c>
      <c r="I171" s="16" t="inlineStr">
        <is>
          <t>النظام القديم</t>
        </is>
      </c>
      <c r="J171" s="16" t="inlineStr">
        <is>
          <t>نعم</t>
        </is>
      </c>
      <c r="K171" s="16" t="inlineStr">
        <is>
          <t>بدون تفصيل بنود في السجل</t>
        </is>
      </c>
    </row>
    <row r="172">
      <c r="A172" s="16" t="n">
        <v>171</v>
      </c>
      <c r="B172" s="16" t="inlineStr">
        <is>
          <t>RNO</t>
        </is>
      </c>
      <c r="C172" s="16" t="inlineStr">
        <is>
          <t>صرف مواد للإنتاج – مزرعة الرياض</t>
        </is>
      </c>
      <c r="D172" s="16" t="inlineStr">
        <is>
          <t>RNO-3026</t>
        </is>
      </c>
      <c r="E172" s="95" t="n">
        <v>45987</v>
      </c>
      <c r="F172" s="16" t="inlineStr">
        <is>
          <t>OPERATION RIYADH NURSERY</t>
        </is>
      </c>
      <c r="G172" s="16" t="n"/>
      <c r="H172" s="17" t="n">
        <v>6295.68</v>
      </c>
      <c r="I172" s="16" t="inlineStr">
        <is>
          <t>النظام القديم</t>
        </is>
      </c>
      <c r="J172" s="16" t="inlineStr">
        <is>
          <t>نعم</t>
        </is>
      </c>
      <c r="K172" s="16" t="inlineStr">
        <is>
          <t>بدون تفصيل بنود في السجل</t>
        </is>
      </c>
    </row>
    <row r="173">
      <c r="A173" s="16" t="n">
        <v>172</v>
      </c>
      <c r="B173" s="16" t="inlineStr">
        <is>
          <t>RNO</t>
        </is>
      </c>
      <c r="C173" s="16" t="inlineStr">
        <is>
          <t>صرف مواد للإنتاج – مزرعة الرياض</t>
        </is>
      </c>
      <c r="D173" s="16" t="inlineStr">
        <is>
          <t>RNO-3037</t>
        </is>
      </c>
      <c r="E173" s="95" t="n">
        <v>45988</v>
      </c>
      <c r="F173" s="16" t="inlineStr">
        <is>
          <t>OPERATION RIYADH NURSERY</t>
        </is>
      </c>
      <c r="G173" s="16" t="n"/>
      <c r="H173" s="17" t="n">
        <v>8245.5</v>
      </c>
      <c r="I173" s="16" t="inlineStr">
        <is>
          <t>النظام القديم</t>
        </is>
      </c>
      <c r="J173" s="16" t="inlineStr">
        <is>
          <t>نعم</t>
        </is>
      </c>
      <c r="K173" s="16" t="inlineStr">
        <is>
          <t>بدون تفصيل بنود في السجل</t>
        </is>
      </c>
    </row>
    <row r="174">
      <c r="A174" s="16" t="n">
        <v>173</v>
      </c>
      <c r="B174" s="16" t="inlineStr">
        <is>
          <t>RNO</t>
        </is>
      </c>
      <c r="C174" s="16" t="inlineStr">
        <is>
          <t>صرف مواد للإنتاج – مزرعة الرياض</t>
        </is>
      </c>
      <c r="D174" s="16" t="inlineStr">
        <is>
          <t>RNO-3043</t>
        </is>
      </c>
      <c r="E174" s="95" t="n">
        <v>45990</v>
      </c>
      <c r="F174" s="16" t="inlineStr">
        <is>
          <t>OPERATION RIYADH NURSERY</t>
        </is>
      </c>
      <c r="G174" s="16" t="n"/>
      <c r="H174" s="17" t="n">
        <v>6268.65</v>
      </c>
      <c r="I174" s="16" t="inlineStr">
        <is>
          <t>النظام القديم</t>
        </is>
      </c>
      <c r="J174" s="16" t="inlineStr">
        <is>
          <t>نعم</t>
        </is>
      </c>
      <c r="K174" s="16" t="inlineStr">
        <is>
          <t>بدون تفصيل بنود في السجل</t>
        </is>
      </c>
    </row>
    <row r="175">
      <c r="A175" s="16" t="n">
        <v>174</v>
      </c>
      <c r="B175" s="16" t="inlineStr">
        <is>
          <t>RNO</t>
        </is>
      </c>
      <c r="C175" s="16" t="inlineStr">
        <is>
          <t>صرف مواد للإنتاج – مزرعة الرياض</t>
        </is>
      </c>
      <c r="D175" s="16" t="inlineStr">
        <is>
          <t>RNO-3071</t>
        </is>
      </c>
      <c r="E175" s="95" t="n">
        <v>45991</v>
      </c>
      <c r="F175" s="16" t="inlineStr">
        <is>
          <t>OPERATION RIYADH NURSERY</t>
        </is>
      </c>
      <c r="G175" s="16" t="n"/>
      <c r="H175" s="17" t="n">
        <v>2749.65</v>
      </c>
      <c r="I175" s="16" t="inlineStr">
        <is>
          <t>النظام القديم</t>
        </is>
      </c>
      <c r="J175" s="16" t="inlineStr">
        <is>
          <t>نعم</t>
        </is>
      </c>
      <c r="K175" s="16" t="inlineStr">
        <is>
          <t>بدون تفصيل بنود في السجل</t>
        </is>
      </c>
    </row>
    <row r="176">
      <c r="A176" s="16" t="n">
        <v>175</v>
      </c>
      <c r="B176" s="16" t="inlineStr">
        <is>
          <t>RNO</t>
        </is>
      </c>
      <c r="C176" s="16" t="inlineStr">
        <is>
          <t>صرف مواد للإنتاج – مزرعة الرياض</t>
        </is>
      </c>
      <c r="D176" s="16" t="inlineStr">
        <is>
          <t>RNO-3086</t>
        </is>
      </c>
      <c r="E176" s="95" t="n">
        <v>45992</v>
      </c>
      <c r="F176" s="16" t="inlineStr">
        <is>
          <t>OPERATION RIYADH NURSERY</t>
        </is>
      </c>
      <c r="G176" s="16" t="n"/>
      <c r="H176" s="17" t="n">
        <v>529</v>
      </c>
      <c r="I176" s="16" t="inlineStr">
        <is>
          <t>النظام القديم</t>
        </is>
      </c>
      <c r="J176" s="16" t="inlineStr">
        <is>
          <t>نعم</t>
        </is>
      </c>
      <c r="K176" s="16" t="inlineStr">
        <is>
          <t>بدون تفصيل بنود في السجل</t>
        </is>
      </c>
    </row>
    <row r="177">
      <c r="A177" s="16" t="n">
        <v>176</v>
      </c>
      <c r="B177" s="16" t="inlineStr">
        <is>
          <t>RNO</t>
        </is>
      </c>
      <c r="C177" s="16" t="inlineStr">
        <is>
          <t>صرف مواد للإنتاج – مزرعة الرياض</t>
        </is>
      </c>
      <c r="D177" s="16" t="inlineStr">
        <is>
          <t>RNO-3099</t>
        </is>
      </c>
      <c r="E177" s="95" t="n">
        <v>45993</v>
      </c>
      <c r="F177" s="16" t="inlineStr">
        <is>
          <t>OPERATION RIYADH NURSERY</t>
        </is>
      </c>
      <c r="G177" s="16" t="n"/>
      <c r="H177" s="17" t="n">
        <v>3475.88</v>
      </c>
      <c r="I177" s="16" t="inlineStr">
        <is>
          <t>النظام القديم</t>
        </is>
      </c>
      <c r="J177" s="16" t="inlineStr">
        <is>
          <t>نعم</t>
        </is>
      </c>
      <c r="K177" s="16" t="inlineStr">
        <is>
          <t>بدون تفصيل بنود في السجل</t>
        </is>
      </c>
    </row>
    <row r="178">
      <c r="A178" s="16" t="n">
        <v>177</v>
      </c>
      <c r="B178" s="16" t="inlineStr">
        <is>
          <t>RNO</t>
        </is>
      </c>
      <c r="C178" s="16" t="inlineStr">
        <is>
          <t>صرف مواد للإنتاج – مزرعة الرياض</t>
        </is>
      </c>
      <c r="D178" s="16" t="inlineStr">
        <is>
          <t>RNO-3118</t>
        </is>
      </c>
      <c r="E178" s="95" t="n">
        <v>45995</v>
      </c>
      <c r="F178" s="16" t="inlineStr">
        <is>
          <t>OPERATION RIYADH NURSERY</t>
        </is>
      </c>
      <c r="G178" s="16" t="n"/>
      <c r="H178" s="17" t="n">
        <v>9660</v>
      </c>
      <c r="I178" s="16" t="inlineStr">
        <is>
          <t>النظام القديم</t>
        </is>
      </c>
      <c r="J178" s="16" t="inlineStr">
        <is>
          <t>نعم</t>
        </is>
      </c>
      <c r="K178" s="16" t="inlineStr">
        <is>
          <t>بدون تفصيل بنود في السجل</t>
        </is>
      </c>
    </row>
    <row r="179">
      <c r="A179" s="16" t="n">
        <v>178</v>
      </c>
      <c r="B179" s="16" t="inlineStr">
        <is>
          <t>RNO</t>
        </is>
      </c>
      <c r="C179" s="16" t="inlineStr">
        <is>
          <t>صرف مواد للإنتاج – مزرعة الرياض</t>
        </is>
      </c>
      <c r="D179" s="16" t="inlineStr">
        <is>
          <t>RNO-3145</t>
        </is>
      </c>
      <c r="E179" s="95" t="n">
        <v>45997</v>
      </c>
      <c r="F179" s="16" t="inlineStr">
        <is>
          <t>OPERATION RIYADH NURSERY</t>
        </is>
      </c>
      <c r="G179" s="16" t="n"/>
      <c r="H179" s="17" t="n">
        <v>4122.75</v>
      </c>
      <c r="I179" s="16" t="inlineStr">
        <is>
          <t>النظام القديم</t>
        </is>
      </c>
      <c r="J179" s="16" t="inlineStr">
        <is>
          <t>نعم</t>
        </is>
      </c>
      <c r="K179" s="16" t="inlineStr">
        <is>
          <t>بدون تفصيل بنود في السجل</t>
        </is>
      </c>
    </row>
    <row r="180">
      <c r="A180" s="16" t="n">
        <v>179</v>
      </c>
      <c r="B180" s="16" t="inlineStr">
        <is>
          <t>RNO</t>
        </is>
      </c>
      <c r="C180" s="16" t="inlineStr">
        <is>
          <t>صرف مواد للإنتاج – مزرعة الرياض</t>
        </is>
      </c>
      <c r="D180" s="16" t="inlineStr">
        <is>
          <t>RNO-3158</t>
        </is>
      </c>
      <c r="E180" s="95" t="n">
        <v>45998</v>
      </c>
      <c r="F180" s="16" t="inlineStr">
        <is>
          <t>OPERATION RIYADH NURSERY</t>
        </is>
      </c>
      <c r="G180" s="16" t="n"/>
      <c r="H180" s="17" t="n">
        <v>2866.38</v>
      </c>
      <c r="I180" s="16" t="inlineStr">
        <is>
          <t>النظام القديم</t>
        </is>
      </c>
      <c r="J180" s="16" t="inlineStr">
        <is>
          <t>نعم</t>
        </is>
      </c>
      <c r="K180" s="16" t="inlineStr">
        <is>
          <t>بدون تفصيل بنود في السجل</t>
        </is>
      </c>
    </row>
    <row r="181">
      <c r="A181" s="16" t="n">
        <v>180</v>
      </c>
      <c r="B181" s="16" t="inlineStr">
        <is>
          <t>RNO</t>
        </is>
      </c>
      <c r="C181" s="16" t="inlineStr">
        <is>
          <t>صرف مواد للإنتاج – مزرعة الرياض</t>
        </is>
      </c>
      <c r="D181" s="16" t="inlineStr">
        <is>
          <t>RNO-3171</t>
        </is>
      </c>
      <c r="E181" s="95" t="n">
        <v>45999</v>
      </c>
      <c r="F181" s="16" t="inlineStr">
        <is>
          <t>OPERATION RIYADH NURSERY</t>
        </is>
      </c>
      <c r="G181" s="16" t="n"/>
      <c r="H181" s="17" t="n">
        <v>2434.55</v>
      </c>
      <c r="I181" s="16" t="inlineStr">
        <is>
          <t>النظام القديم</t>
        </is>
      </c>
      <c r="J181" s="16" t="inlineStr">
        <is>
          <t>نعم</t>
        </is>
      </c>
      <c r="K181" s="16" t="inlineStr">
        <is>
          <t>بدون تفصيل بنود في السجل</t>
        </is>
      </c>
    </row>
    <row r="182">
      <c r="A182" s="16" t="n">
        <v>181</v>
      </c>
      <c r="B182" s="16" t="inlineStr">
        <is>
          <t>RNO</t>
        </is>
      </c>
      <c r="C182" s="16" t="inlineStr">
        <is>
          <t>صرف مواد للإنتاج – مزرعة الرياض</t>
        </is>
      </c>
      <c r="D182" s="16" t="inlineStr">
        <is>
          <t>RNO-3195</t>
        </is>
      </c>
      <c r="E182" s="95" t="n">
        <v>46000</v>
      </c>
      <c r="F182" s="16" t="inlineStr">
        <is>
          <t>OPERATION RIYADH NURSERY</t>
        </is>
      </c>
      <c r="G182" s="16" t="n"/>
      <c r="H182" s="17" t="n">
        <v>8691.129999999999</v>
      </c>
      <c r="I182" s="16" t="inlineStr">
        <is>
          <t>النظام القديم</t>
        </is>
      </c>
      <c r="J182" s="16" t="inlineStr">
        <is>
          <t>نعم</t>
        </is>
      </c>
      <c r="K182" s="16" t="inlineStr">
        <is>
          <t>بدون تفصيل بنود في السجل</t>
        </is>
      </c>
    </row>
    <row r="183">
      <c r="A183" s="16" t="n">
        <v>182</v>
      </c>
      <c r="B183" s="16" t="inlineStr">
        <is>
          <t>RNO</t>
        </is>
      </c>
      <c r="C183" s="16" t="inlineStr">
        <is>
          <t>صرف مواد للإنتاج – مزرعة الرياض</t>
        </is>
      </c>
      <c r="D183" s="16" t="inlineStr">
        <is>
          <t>RNO-3205</t>
        </is>
      </c>
      <c r="E183" s="95" t="n">
        <v>46001</v>
      </c>
      <c r="F183" s="16" t="inlineStr">
        <is>
          <t>OPERATION RIYADH NURSERY</t>
        </is>
      </c>
      <c r="G183" s="16" t="n"/>
      <c r="H183" s="17" t="n">
        <v>8366.25</v>
      </c>
      <c r="I183" s="16" t="inlineStr">
        <is>
          <t>النظام القديم</t>
        </is>
      </c>
      <c r="J183" s="16" t="inlineStr">
        <is>
          <t>نعم</t>
        </is>
      </c>
      <c r="K183" s="16" t="inlineStr">
        <is>
          <t>بدون تفصيل بنود في السجل</t>
        </is>
      </c>
    </row>
    <row r="184">
      <c r="A184" s="16" t="n">
        <v>183</v>
      </c>
      <c r="B184" s="16" t="inlineStr">
        <is>
          <t>RNO</t>
        </is>
      </c>
      <c r="C184" s="16" t="inlineStr">
        <is>
          <t>صرف مواد للإنتاج – مزرعة الرياض</t>
        </is>
      </c>
      <c r="D184" s="16" t="inlineStr">
        <is>
          <t>RNO-3213</t>
        </is>
      </c>
      <c r="E184" s="95" t="n">
        <v>46002</v>
      </c>
      <c r="F184" s="16" t="inlineStr">
        <is>
          <t>OPERATION RIYADH NURSERY</t>
        </is>
      </c>
      <c r="G184" s="16" t="n"/>
      <c r="H184" s="17" t="n">
        <v>4479.25</v>
      </c>
      <c r="I184" s="16" t="inlineStr">
        <is>
          <t>النظام القديم</t>
        </is>
      </c>
      <c r="J184" s="16" t="inlineStr">
        <is>
          <t>نعم</t>
        </is>
      </c>
      <c r="K184" s="16" t="inlineStr">
        <is>
          <t>بدون تفصيل بنود في السجل</t>
        </is>
      </c>
    </row>
    <row r="185">
      <c r="A185" s="16" t="n">
        <v>184</v>
      </c>
      <c r="B185" s="16" t="inlineStr">
        <is>
          <t>RNO</t>
        </is>
      </c>
      <c r="C185" s="16" t="inlineStr">
        <is>
          <t>صرف مواد للإنتاج – مزرعة الرياض</t>
        </is>
      </c>
      <c r="D185" s="16" t="inlineStr">
        <is>
          <t>RNO-3223</t>
        </is>
      </c>
      <c r="E185" s="95" t="n">
        <v>46004</v>
      </c>
      <c r="F185" s="16" t="inlineStr">
        <is>
          <t>OPERATION RIYADH NURSERY</t>
        </is>
      </c>
      <c r="G185" s="16" t="n"/>
      <c r="H185" s="17" t="n">
        <v>4230.85</v>
      </c>
      <c r="I185" s="16" t="inlineStr">
        <is>
          <t>النظام القديم</t>
        </is>
      </c>
      <c r="J185" s="16" t="inlineStr">
        <is>
          <t>نعم</t>
        </is>
      </c>
      <c r="K185" s="16" t="inlineStr">
        <is>
          <t>بدون تفصيل بنود في السجل</t>
        </is>
      </c>
    </row>
    <row r="186">
      <c r="A186" s="16" t="n">
        <v>185</v>
      </c>
      <c r="B186" s="16" t="inlineStr">
        <is>
          <t>RNO</t>
        </is>
      </c>
      <c r="C186" s="16" t="inlineStr">
        <is>
          <t>صرف مواد للإنتاج – مزرعة الرياض</t>
        </is>
      </c>
      <c r="D186" s="16" t="inlineStr">
        <is>
          <t>RNO-3239</t>
        </is>
      </c>
      <c r="E186" s="95" t="n">
        <v>46005</v>
      </c>
      <c r="F186" s="16" t="inlineStr">
        <is>
          <t>OPERATION RIYADH NURSERY</t>
        </is>
      </c>
      <c r="G186" s="16" t="n"/>
      <c r="H186" s="17" t="n">
        <v>982.1</v>
      </c>
      <c r="I186" s="16" t="inlineStr">
        <is>
          <t>النظام القديم</t>
        </is>
      </c>
      <c r="J186" s="16" t="inlineStr">
        <is>
          <t>نعم</t>
        </is>
      </c>
      <c r="K186" s="16" t="inlineStr">
        <is>
          <t>بدون تفصيل بنود في السجل</t>
        </is>
      </c>
    </row>
    <row r="187">
      <c r="A187" s="16" t="n">
        <v>186</v>
      </c>
      <c r="B187" s="16" t="inlineStr">
        <is>
          <t>RNO</t>
        </is>
      </c>
      <c r="C187" s="16" t="inlineStr">
        <is>
          <t>صرف مواد للإنتاج – مزرعة الرياض</t>
        </is>
      </c>
      <c r="D187" s="16" t="inlineStr">
        <is>
          <t>RNO-3251</t>
        </is>
      </c>
      <c r="E187" s="95" t="n">
        <v>46006</v>
      </c>
      <c r="F187" s="16" t="inlineStr">
        <is>
          <t>OPERATION RIYADH NURSERY</t>
        </is>
      </c>
      <c r="G187" s="16" t="n"/>
      <c r="H187" s="17" t="n">
        <v>6804.55</v>
      </c>
      <c r="I187" s="16" t="inlineStr">
        <is>
          <t>النظام القديم</t>
        </is>
      </c>
      <c r="J187" s="16" t="inlineStr">
        <is>
          <t>نعم</t>
        </is>
      </c>
      <c r="K187" s="16" t="inlineStr">
        <is>
          <t>بدون تفصيل بنود في السجل</t>
        </is>
      </c>
    </row>
    <row r="188">
      <c r="A188" s="16" t="n">
        <v>187</v>
      </c>
      <c r="B188" s="16" t="inlineStr">
        <is>
          <t>RNO</t>
        </is>
      </c>
      <c r="C188" s="16" t="inlineStr">
        <is>
          <t>صرف مواد للإنتاج – مزرعة الرياض</t>
        </is>
      </c>
      <c r="D188" s="16" t="inlineStr">
        <is>
          <t>RNO-3263</t>
        </is>
      </c>
      <c r="E188" s="95" t="n">
        <v>46007</v>
      </c>
      <c r="F188" s="16" t="inlineStr">
        <is>
          <t>OPERATION RIYADH NURSERY</t>
        </is>
      </c>
      <c r="G188" s="16" t="n"/>
      <c r="H188" s="17" t="n">
        <v>529</v>
      </c>
      <c r="I188" s="16" t="inlineStr">
        <is>
          <t>النظام القديم</t>
        </is>
      </c>
      <c r="J188" s="16" t="inlineStr">
        <is>
          <t>نعم</t>
        </is>
      </c>
      <c r="K188" s="16" t="inlineStr">
        <is>
          <t>بدون تفصيل بنود في السجل</t>
        </is>
      </c>
    </row>
    <row r="189">
      <c r="A189" s="16" t="n">
        <v>188</v>
      </c>
      <c r="B189" s="16" t="inlineStr">
        <is>
          <t>RNO</t>
        </is>
      </c>
      <c r="C189" s="16" t="inlineStr">
        <is>
          <t>صرف مواد للإنتاج – مزرعة الرياض</t>
        </is>
      </c>
      <c r="D189" s="16" t="inlineStr">
        <is>
          <t>RNO-3268</t>
        </is>
      </c>
      <c r="E189" s="95" t="n">
        <v>46008</v>
      </c>
      <c r="F189" s="16" t="inlineStr">
        <is>
          <t>OPERATION RIYADH NURSERY</t>
        </is>
      </c>
      <c r="G189" s="16" t="n"/>
      <c r="H189" s="17" t="n">
        <v>4745.48</v>
      </c>
      <c r="I189" s="16" t="inlineStr">
        <is>
          <t>النظام القديم</t>
        </is>
      </c>
      <c r="J189" s="16" t="inlineStr">
        <is>
          <t>نعم</t>
        </is>
      </c>
      <c r="K189" s="16" t="inlineStr">
        <is>
          <t>بدون تفصيل بنود في السجل</t>
        </is>
      </c>
    </row>
    <row r="190">
      <c r="A190" s="16" t="n">
        <v>189</v>
      </c>
      <c r="B190" s="16" t="inlineStr">
        <is>
          <t>RNO</t>
        </is>
      </c>
      <c r="C190" s="16" t="inlineStr">
        <is>
          <t>صرف مواد للإنتاج – مزرعة الرياض</t>
        </is>
      </c>
      <c r="D190" s="16" t="inlineStr">
        <is>
          <t>RNO-3275</t>
        </is>
      </c>
      <c r="E190" s="95" t="n">
        <v>46009</v>
      </c>
      <c r="F190" s="16" t="inlineStr">
        <is>
          <t>OPERATION RIYADH NURSERY</t>
        </is>
      </c>
      <c r="G190" s="16" t="n"/>
      <c r="H190" s="17" t="n">
        <v>2309.2</v>
      </c>
      <c r="I190" s="16" t="inlineStr">
        <is>
          <t>النظام القديم</t>
        </is>
      </c>
      <c r="J190" s="16" t="inlineStr">
        <is>
          <t>نعم</t>
        </is>
      </c>
      <c r="K190" s="16" t="inlineStr">
        <is>
          <t>بدون تفصيل بنود في السجل</t>
        </is>
      </c>
    </row>
    <row r="191">
      <c r="A191" s="16" t="n">
        <v>190</v>
      </c>
      <c r="B191" s="16" t="inlineStr">
        <is>
          <t>RNO</t>
        </is>
      </c>
      <c r="C191" s="16" t="inlineStr">
        <is>
          <t>صرف مواد للإنتاج – مزرعة الرياض</t>
        </is>
      </c>
      <c r="D191" s="16" t="inlineStr">
        <is>
          <t>RNO-3297</t>
        </is>
      </c>
      <c r="E191" s="95" t="n">
        <v>46012</v>
      </c>
      <c r="F191" s="16" t="inlineStr">
        <is>
          <t>OPERATION RIYADH NURSERY</t>
        </is>
      </c>
      <c r="G191" s="16" t="n"/>
      <c r="H191" s="17" t="n">
        <v>1351.83</v>
      </c>
      <c r="I191" s="16" t="inlineStr">
        <is>
          <t>النظام القديم</t>
        </is>
      </c>
      <c r="J191" s="16" t="inlineStr">
        <is>
          <t>نعم</t>
        </is>
      </c>
      <c r="K191" s="16" t="inlineStr">
        <is>
          <t>بدون تفصيل بنود في السجل</t>
        </is>
      </c>
    </row>
    <row r="192">
      <c r="A192" s="16" t="n">
        <v>191</v>
      </c>
      <c r="B192" s="16" t="inlineStr">
        <is>
          <t>RNO</t>
        </is>
      </c>
      <c r="C192" s="16" t="inlineStr">
        <is>
          <t>صرف مواد للإنتاج – مزرعة الرياض</t>
        </is>
      </c>
      <c r="D192" s="16" t="inlineStr">
        <is>
          <t>RNO-3317</t>
        </is>
      </c>
      <c r="E192" s="95" t="n">
        <v>46014</v>
      </c>
      <c r="F192" s="16" t="inlineStr">
        <is>
          <t>OPERATION RIYADH NURSERY</t>
        </is>
      </c>
      <c r="G192" s="16" t="n"/>
      <c r="H192" s="17" t="n">
        <v>5698.83</v>
      </c>
      <c r="I192" s="16" t="inlineStr">
        <is>
          <t>النظام القديم</t>
        </is>
      </c>
      <c r="J192" s="16" t="inlineStr">
        <is>
          <t>نعم</t>
        </is>
      </c>
      <c r="K192" s="16" t="inlineStr">
        <is>
          <t>بدون تفصيل بنود في السجل</t>
        </is>
      </c>
    </row>
    <row r="193">
      <c r="A193" s="16" t="n">
        <v>192</v>
      </c>
      <c r="B193" s="16" t="inlineStr">
        <is>
          <t>RNO</t>
        </is>
      </c>
      <c r="C193" s="16" t="inlineStr">
        <is>
          <t>صرف مواد للإنتاج – مزرعة الرياض</t>
        </is>
      </c>
      <c r="D193" s="16" t="inlineStr">
        <is>
          <t>RNO-3347</t>
        </is>
      </c>
      <c r="E193" s="95" t="n">
        <v>46016</v>
      </c>
      <c r="F193" s="16" t="inlineStr">
        <is>
          <t>OPERATION RIYADH NURSERY</t>
        </is>
      </c>
      <c r="G193" s="16" t="n"/>
      <c r="H193" s="17" t="n">
        <v>2521.38</v>
      </c>
      <c r="I193" s="16" t="inlineStr">
        <is>
          <t>النظام القديم</t>
        </is>
      </c>
      <c r="J193" s="16" t="inlineStr">
        <is>
          <t>نعم</t>
        </is>
      </c>
      <c r="K193" s="16" t="inlineStr">
        <is>
          <t>بدون تفصيل بنود في السجل</t>
        </is>
      </c>
    </row>
    <row r="194">
      <c r="A194" s="16" t="n">
        <v>193</v>
      </c>
      <c r="B194" s="16" t="inlineStr">
        <is>
          <t>RNO</t>
        </is>
      </c>
      <c r="C194" s="16" t="inlineStr">
        <is>
          <t>صرف مواد للإنتاج – مزرعة الرياض</t>
        </is>
      </c>
      <c r="D194" s="16" t="inlineStr">
        <is>
          <t>RNO-3353</t>
        </is>
      </c>
      <c r="E194" s="95" t="n">
        <v>46018</v>
      </c>
      <c r="F194" s="16" t="inlineStr">
        <is>
          <t>OPERATION RIYADH NURSERY</t>
        </is>
      </c>
      <c r="G194" s="16" t="n"/>
      <c r="H194" s="17" t="n">
        <v>7453.73</v>
      </c>
      <c r="I194" s="16" t="inlineStr">
        <is>
          <t>النظام القديم</t>
        </is>
      </c>
      <c r="J194" s="16" t="inlineStr">
        <is>
          <t>نعم</t>
        </is>
      </c>
      <c r="K194" s="16" t="inlineStr">
        <is>
          <t>بدون تفصيل بنود في السجل</t>
        </is>
      </c>
    </row>
    <row r="195">
      <c r="A195" s="16" t="n">
        <v>194</v>
      </c>
      <c r="B195" s="16" t="inlineStr">
        <is>
          <t>RNO</t>
        </is>
      </c>
      <c r="C195" s="16" t="inlineStr">
        <is>
          <t>صرف مواد للإنتاج – مزرعة الرياض</t>
        </is>
      </c>
      <c r="D195" s="16" t="inlineStr">
        <is>
          <t>RNO-3492</t>
        </is>
      </c>
      <c r="E195" s="95" t="n">
        <v>46029</v>
      </c>
      <c r="F195" s="16" t="inlineStr">
        <is>
          <t>OPERATION RIYADH NURSERY</t>
        </is>
      </c>
      <c r="G195" s="16" t="n"/>
      <c r="H195" s="17" t="n">
        <v>529</v>
      </c>
      <c r="I195" s="16" t="inlineStr">
        <is>
          <t>النظام القديم</t>
        </is>
      </c>
      <c r="J195" s="16" t="inlineStr">
        <is>
          <t>نعم</t>
        </is>
      </c>
      <c r="K195" s="16" t="inlineStr">
        <is>
          <t>بدون تفصيل بنود في السجل</t>
        </is>
      </c>
    </row>
    <row r="196">
      <c r="A196" s="16" t="n">
        <v>195</v>
      </c>
      <c r="B196" s="16" t="inlineStr">
        <is>
          <t>RNO</t>
        </is>
      </c>
      <c r="C196" s="16" t="inlineStr">
        <is>
          <t>صرف مواد للإنتاج – مزرعة الرياض</t>
        </is>
      </c>
      <c r="D196" s="16" t="inlineStr">
        <is>
          <t>RNO-3525</t>
        </is>
      </c>
      <c r="E196" s="95" t="n">
        <v>46033</v>
      </c>
      <c r="F196" s="16" t="inlineStr">
        <is>
          <t>OPERATION RIYADH NURSERY</t>
        </is>
      </c>
      <c r="G196" s="16" t="n">
        <v>2</v>
      </c>
      <c r="H196" s="17" t="n">
        <v>1069.5</v>
      </c>
      <c r="I196" s="16" t="inlineStr">
        <is>
          <t>النظام القديم</t>
        </is>
      </c>
      <c r="J196" s="16" t="inlineStr">
        <is>
          <t>نعم</t>
        </is>
      </c>
      <c r="K196" s="16" t="n"/>
    </row>
    <row r="197">
      <c r="A197" s="16" t="n">
        <v>196</v>
      </c>
      <c r="B197" s="16" t="inlineStr">
        <is>
          <t>RNO</t>
        </is>
      </c>
      <c r="C197" s="16" t="inlineStr">
        <is>
          <t>صرف مواد للإنتاج – مزرعة الرياض</t>
        </is>
      </c>
      <c r="D197" s="16" t="inlineStr">
        <is>
          <t>RNO-3558</t>
        </is>
      </c>
      <c r="E197" s="95" t="n">
        <v>46036</v>
      </c>
      <c r="F197" s="16" t="inlineStr">
        <is>
          <t>OPERATION RIYADH NURSERY</t>
        </is>
      </c>
      <c r="G197" s="16" t="n">
        <v>2</v>
      </c>
      <c r="H197" s="17" t="n">
        <v>1909</v>
      </c>
      <c r="I197" s="16" t="inlineStr">
        <is>
          <t>النظام القديم</t>
        </is>
      </c>
      <c r="J197" s="16" t="inlineStr">
        <is>
          <t>نعم</t>
        </is>
      </c>
      <c r="K197" s="16" t="n"/>
    </row>
    <row r="198">
      <c r="A198" s="16" t="n">
        <v>197</v>
      </c>
      <c r="B198" s="16" t="inlineStr">
        <is>
          <t>RNO</t>
        </is>
      </c>
      <c r="C198" s="16" t="inlineStr">
        <is>
          <t>صرف مواد للإنتاج – مزرعة الرياض</t>
        </is>
      </c>
      <c r="D198" s="16" t="inlineStr">
        <is>
          <t>RNO-3624</t>
        </is>
      </c>
      <c r="E198" s="95" t="n">
        <v>46046</v>
      </c>
      <c r="F198" s="16" t="inlineStr">
        <is>
          <t>OPERATION RIYADH NURSERY</t>
        </is>
      </c>
      <c r="G198" s="16" t="n">
        <v>2</v>
      </c>
      <c r="H198" s="17" t="n">
        <v>5359</v>
      </c>
      <c r="I198" s="16" t="inlineStr">
        <is>
          <t>النظام القديم</t>
        </is>
      </c>
      <c r="J198" s="16" t="inlineStr">
        <is>
          <t>نعم</t>
        </is>
      </c>
      <c r="K198" s="16" t="n"/>
    </row>
    <row r="199">
      <c r="A199" s="16" t="n">
        <v>198</v>
      </c>
      <c r="B199" s="16" t="inlineStr">
        <is>
          <t>RNO</t>
        </is>
      </c>
      <c r="C199" s="16" t="inlineStr">
        <is>
          <t>صرف مواد للإنتاج – مزرعة الرياض</t>
        </is>
      </c>
      <c r="D199" s="16" t="inlineStr">
        <is>
          <t>RNO-3637</t>
        </is>
      </c>
      <c r="E199" s="95" t="n">
        <v>46048</v>
      </c>
      <c r="F199" s="16" t="inlineStr">
        <is>
          <t>OPERATION RIYADH NURSERY</t>
        </is>
      </c>
      <c r="G199" s="16" t="n">
        <v>2</v>
      </c>
      <c r="H199" s="17" t="n">
        <v>1230.5</v>
      </c>
      <c r="I199" s="16" t="inlineStr">
        <is>
          <t>النظام القديم</t>
        </is>
      </c>
      <c r="J199" s="16" t="inlineStr">
        <is>
          <t>نعم</t>
        </is>
      </c>
      <c r="K199" s="16" t="n"/>
    </row>
    <row r="200">
      <c r="A200" s="16" t="n">
        <v>199</v>
      </c>
      <c r="B200" s="16" t="inlineStr">
        <is>
          <t>RNO</t>
        </is>
      </c>
      <c r="C200" s="16" t="inlineStr">
        <is>
          <t>صرف مواد للإنتاج – مزرعة الرياض</t>
        </is>
      </c>
      <c r="D200" s="16" t="inlineStr">
        <is>
          <t>RNO-3673</t>
        </is>
      </c>
      <c r="E200" s="95" t="n">
        <v>46049</v>
      </c>
      <c r="F200" s="16" t="inlineStr">
        <is>
          <t>OPERATION RIYADH NURSERY</t>
        </is>
      </c>
      <c r="G200" s="16" t="n">
        <v>2</v>
      </c>
      <c r="H200" s="17" t="n">
        <v>2603.6</v>
      </c>
      <c r="I200" s="16" t="inlineStr">
        <is>
          <t>النظام القديم</t>
        </is>
      </c>
      <c r="J200" s="16" t="inlineStr">
        <is>
          <t>نعم</t>
        </is>
      </c>
      <c r="K200" s="16" t="n"/>
    </row>
    <row r="201">
      <c r="A201" s="16" t="n">
        <v>200</v>
      </c>
      <c r="B201" s="16" t="inlineStr">
        <is>
          <t>RNO</t>
        </is>
      </c>
      <c r="C201" s="16" t="inlineStr">
        <is>
          <t>صرف مواد للإنتاج – مزرعة الرياض</t>
        </is>
      </c>
      <c r="D201" s="16" t="inlineStr">
        <is>
          <t>RNO-3684</t>
        </is>
      </c>
      <c r="E201" s="95" t="n">
        <v>46050</v>
      </c>
      <c r="F201" s="16" t="inlineStr">
        <is>
          <t>OPERATION RIYADH NURSERY</t>
        </is>
      </c>
      <c r="G201" s="16" t="n">
        <v>9</v>
      </c>
      <c r="H201" s="17" t="n">
        <v>5577.5</v>
      </c>
      <c r="I201" s="16" t="inlineStr">
        <is>
          <t>النظام القديم</t>
        </is>
      </c>
      <c r="J201" s="16" t="inlineStr">
        <is>
          <t>نعم</t>
        </is>
      </c>
      <c r="K201" s="16" t="n"/>
    </row>
    <row r="202">
      <c r="A202" s="16" t="n">
        <v>201</v>
      </c>
      <c r="B202" s="16" t="inlineStr">
        <is>
          <t>RNO</t>
        </is>
      </c>
      <c r="C202" s="16" t="inlineStr">
        <is>
          <t>صرف مواد للإنتاج – مزرعة الرياض</t>
        </is>
      </c>
      <c r="D202" s="16" t="inlineStr">
        <is>
          <t>RNO-3695</t>
        </is>
      </c>
      <c r="E202" s="95" t="n">
        <v>46051</v>
      </c>
      <c r="F202" s="16" t="inlineStr">
        <is>
          <t>OPERATION RIYADH NURSERY</t>
        </is>
      </c>
      <c r="G202" s="16" t="n"/>
      <c r="H202" s="17" t="n">
        <v>1679</v>
      </c>
      <c r="I202" s="16" t="inlineStr">
        <is>
          <t>النظام القديم</t>
        </is>
      </c>
      <c r="J202" s="16" t="inlineStr">
        <is>
          <t>نعم</t>
        </is>
      </c>
      <c r="K202" s="16" t="inlineStr">
        <is>
          <t>بدون تفصيل بنود في السجل</t>
        </is>
      </c>
    </row>
    <row r="203">
      <c r="A203" s="16" t="n">
        <v>202</v>
      </c>
      <c r="B203" s="16" t="inlineStr">
        <is>
          <t>RNO</t>
        </is>
      </c>
      <c r="C203" s="16" t="inlineStr">
        <is>
          <t>صرف مواد للإنتاج – مزرعة الرياض</t>
        </is>
      </c>
      <c r="D203" s="16" t="inlineStr">
        <is>
          <t>RNO-3707</t>
        </is>
      </c>
      <c r="E203" s="95" t="n">
        <v>46054</v>
      </c>
      <c r="F203" s="16" t="inlineStr">
        <is>
          <t>OPERATION RIYADH NURSERY</t>
        </is>
      </c>
      <c r="G203" s="16" t="n">
        <v>16</v>
      </c>
      <c r="H203" s="17" t="n">
        <v>12882.3</v>
      </c>
      <c r="I203" s="16" t="inlineStr">
        <is>
          <t>النظام القديم</t>
        </is>
      </c>
      <c r="J203" s="16" t="inlineStr">
        <is>
          <t>نعم</t>
        </is>
      </c>
      <c r="K203" s="16" t="n"/>
    </row>
    <row r="204">
      <c r="A204" s="16" t="n">
        <v>203</v>
      </c>
      <c r="B204" s="16" t="inlineStr">
        <is>
          <t>RNO</t>
        </is>
      </c>
      <c r="C204" s="16" t="inlineStr">
        <is>
          <t>صرف مواد للإنتاج – مزرعة الرياض</t>
        </is>
      </c>
      <c r="D204" s="16" t="inlineStr">
        <is>
          <t>RNO-3762</t>
        </is>
      </c>
      <c r="E204" s="95" t="n">
        <v>46058</v>
      </c>
      <c r="F204" s="16" t="inlineStr">
        <is>
          <t>OPERATION RIYADH NURSERY</t>
        </is>
      </c>
      <c r="G204" s="16" t="n">
        <v>3</v>
      </c>
      <c r="H204" s="17" t="n">
        <v>26234.38</v>
      </c>
      <c r="I204" s="16" t="inlineStr">
        <is>
          <t>النظام القديم</t>
        </is>
      </c>
      <c r="J204" s="16" t="inlineStr">
        <is>
          <t>نعم</t>
        </is>
      </c>
      <c r="K204" s="16" t="n"/>
    </row>
    <row r="205">
      <c r="A205" s="16" t="n">
        <v>204</v>
      </c>
      <c r="B205" s="16" t="inlineStr">
        <is>
          <t>RNO</t>
        </is>
      </c>
      <c r="C205" s="16" t="inlineStr">
        <is>
          <t>صرف مواد للإنتاج – مزرعة الرياض</t>
        </is>
      </c>
      <c r="D205" s="16" t="inlineStr">
        <is>
          <t>RNO-3777</t>
        </is>
      </c>
      <c r="E205" s="95" t="n">
        <v>46061</v>
      </c>
      <c r="F205" s="16" t="inlineStr">
        <is>
          <t>OPERATION RIYADH NURSERY</t>
        </is>
      </c>
      <c r="G205" s="16" t="n">
        <v>7</v>
      </c>
      <c r="H205" s="17" t="n">
        <v>9674.379999999999</v>
      </c>
      <c r="I205" s="16" t="inlineStr">
        <is>
          <t>النظام القديم</t>
        </is>
      </c>
      <c r="J205" s="16" t="inlineStr">
        <is>
          <t>نعم</t>
        </is>
      </c>
      <c r="K205" s="16" t="n"/>
    </row>
    <row r="206">
      <c r="A206" s="16" t="n">
        <v>205</v>
      </c>
      <c r="B206" s="16" t="inlineStr">
        <is>
          <t>RNO</t>
        </is>
      </c>
      <c r="C206" s="16" t="inlineStr">
        <is>
          <t>صرف مواد للإنتاج – مزرعة الرياض</t>
        </is>
      </c>
      <c r="D206" s="16" t="inlineStr">
        <is>
          <t>RNO-3800</t>
        </is>
      </c>
      <c r="E206" s="95" t="n">
        <v>46063</v>
      </c>
      <c r="F206" s="16" t="inlineStr">
        <is>
          <t>OPERATION RIYADH NURSERY</t>
        </is>
      </c>
      <c r="G206" s="16" t="n">
        <v>11</v>
      </c>
      <c r="H206" s="17" t="n">
        <v>6039.8</v>
      </c>
      <c r="I206" s="16" t="inlineStr">
        <is>
          <t>النظام القديم</t>
        </is>
      </c>
      <c r="J206" s="16" t="inlineStr">
        <is>
          <t>نعم</t>
        </is>
      </c>
      <c r="K206" s="16" t="n"/>
    </row>
    <row r="207">
      <c r="A207" s="16" t="n">
        <v>206</v>
      </c>
      <c r="B207" s="16" t="inlineStr">
        <is>
          <t>RNO</t>
        </is>
      </c>
      <c r="C207" s="16" t="inlineStr">
        <is>
          <t>صرف مواد للإنتاج – مزرعة الرياض</t>
        </is>
      </c>
      <c r="D207" s="16" t="inlineStr">
        <is>
          <t>RNO-3829</t>
        </is>
      </c>
      <c r="E207" s="95" t="n">
        <v>46065</v>
      </c>
      <c r="F207" s="16" t="inlineStr">
        <is>
          <t>OPERATION RIYADH NURSERY</t>
        </is>
      </c>
      <c r="G207" s="16" t="n">
        <v>4</v>
      </c>
      <c r="H207" s="17" t="n">
        <v>5417.08</v>
      </c>
      <c r="I207" s="16" t="inlineStr">
        <is>
          <t>النظام القديم</t>
        </is>
      </c>
      <c r="J207" s="16" t="inlineStr">
        <is>
          <t>نعم</t>
        </is>
      </c>
      <c r="K207" s="16" t="n"/>
    </row>
    <row r="208">
      <c r="A208" s="18" t="n">
        <v>207</v>
      </c>
      <c r="B208" s="18" t="inlineStr">
        <is>
          <t>RNO</t>
        </is>
      </c>
      <c r="C208" s="18" t="inlineStr">
        <is>
          <t>صرف مواد للإنتاج – مزرعة الرياض</t>
        </is>
      </c>
      <c r="D208" s="18" t="inlineStr">
        <is>
          <t>RNO-3832</t>
        </is>
      </c>
      <c r="E208" s="98" t="n">
        <v>46066</v>
      </c>
      <c r="F208" s="18" t="inlineStr">
        <is>
          <t>OPERATION RIYADH NURSERY</t>
        </is>
      </c>
      <c r="G208" s="18" t="n">
        <v>4</v>
      </c>
      <c r="H208" s="19" t="n">
        <v>5550.48</v>
      </c>
      <c r="I208" s="18" t="inlineStr">
        <is>
          <t>النظام القديم</t>
        </is>
      </c>
      <c r="J208" s="18" t="inlineStr">
        <is>
          <t>نعم</t>
        </is>
      </c>
      <c r="K208" s="18" t="inlineStr">
        <is>
          <t>⚠ مجموع البنود 5,274.48 لا يساوي إجمالي العقد 5,550.48 (فرق 276.00)</t>
        </is>
      </c>
    </row>
    <row r="209">
      <c r="A209" s="16" t="n">
        <v>208</v>
      </c>
      <c r="B209" s="16" t="inlineStr">
        <is>
          <t>RNO</t>
        </is>
      </c>
      <c r="C209" s="16" t="inlineStr">
        <is>
          <t>صرف مواد للإنتاج – مزرعة الرياض</t>
        </is>
      </c>
      <c r="D209" s="16" t="inlineStr">
        <is>
          <t>RNO-3848</t>
        </is>
      </c>
      <c r="E209" s="95" t="n">
        <v>46068</v>
      </c>
      <c r="F209" s="16" t="inlineStr">
        <is>
          <t>OPERATION RIYADH NURSERY</t>
        </is>
      </c>
      <c r="G209" s="16" t="n">
        <v>2</v>
      </c>
      <c r="H209" s="17" t="n">
        <v>2133.83</v>
      </c>
      <c r="I209" s="16" t="inlineStr">
        <is>
          <t>النظام القديم</t>
        </is>
      </c>
      <c r="J209" s="16" t="inlineStr">
        <is>
          <t>نعم</t>
        </is>
      </c>
      <c r="K209" s="16" t="n"/>
    </row>
    <row r="210">
      <c r="A210" s="16" t="n">
        <v>209</v>
      </c>
      <c r="B210" s="16" t="inlineStr">
        <is>
          <t>RNO</t>
        </is>
      </c>
      <c r="C210" s="16" t="inlineStr">
        <is>
          <t>صرف مواد للإنتاج – مزرعة الرياض</t>
        </is>
      </c>
      <c r="D210" s="16" t="inlineStr">
        <is>
          <t>RNO-3853</t>
        </is>
      </c>
      <c r="E210" s="95" t="n">
        <v>46069</v>
      </c>
      <c r="F210" s="16" t="inlineStr">
        <is>
          <t>OPERATION RIYADH NURSERY</t>
        </is>
      </c>
      <c r="G210" s="16" t="n">
        <v>1</v>
      </c>
      <c r="H210" s="17" t="n">
        <v>69</v>
      </c>
      <c r="I210" s="16" t="inlineStr">
        <is>
          <t>النظام القديم</t>
        </is>
      </c>
      <c r="J210" s="16" t="inlineStr">
        <is>
          <t>نعم</t>
        </is>
      </c>
      <c r="K210" s="16" t="n"/>
    </row>
    <row r="211">
      <c r="A211" s="16" t="n">
        <v>210</v>
      </c>
      <c r="B211" s="16" t="inlineStr">
        <is>
          <t>RNO</t>
        </is>
      </c>
      <c r="C211" s="16" t="inlineStr">
        <is>
          <t>صرف مواد للإنتاج – مزرعة الرياض</t>
        </is>
      </c>
      <c r="D211" s="16" t="inlineStr">
        <is>
          <t>RNO-3862</t>
        </is>
      </c>
      <c r="E211" s="95" t="n">
        <v>46070</v>
      </c>
      <c r="F211" s="16" t="inlineStr">
        <is>
          <t>OPERATION RIYADH NURSERY</t>
        </is>
      </c>
      <c r="G211" s="16" t="n">
        <v>16</v>
      </c>
      <c r="H211" s="17" t="n">
        <v>6766.03</v>
      </c>
      <c r="I211" s="16" t="inlineStr">
        <is>
          <t>النظام القديم</t>
        </is>
      </c>
      <c r="J211" s="16" t="inlineStr">
        <is>
          <t>نعم</t>
        </is>
      </c>
      <c r="K211" s="16" t="n"/>
    </row>
    <row r="212">
      <c r="A212" s="16" t="n">
        <v>211</v>
      </c>
      <c r="B212" s="16" t="inlineStr">
        <is>
          <t>RNO</t>
        </is>
      </c>
      <c r="C212" s="16" t="inlineStr">
        <is>
          <t>صرف مواد للإنتاج – مزرعة الرياض</t>
        </is>
      </c>
      <c r="D212" s="16" t="inlineStr">
        <is>
          <t>RNO-3879</t>
        </is>
      </c>
      <c r="E212" s="95" t="n">
        <v>46072</v>
      </c>
      <c r="F212" s="16" t="inlineStr">
        <is>
          <t>OPERATION RIYADH NURSERY</t>
        </is>
      </c>
      <c r="G212" s="16" t="n">
        <v>1</v>
      </c>
      <c r="H212" s="17" t="n">
        <v>6555</v>
      </c>
      <c r="I212" s="16" t="inlineStr">
        <is>
          <t>النظام القديم</t>
        </is>
      </c>
      <c r="J212" s="16" t="inlineStr">
        <is>
          <t>نعم</t>
        </is>
      </c>
      <c r="K212" s="16" t="n"/>
    </row>
    <row r="213">
      <c r="A213" s="16" t="n">
        <v>212</v>
      </c>
      <c r="B213" s="16" t="inlineStr">
        <is>
          <t>RNO</t>
        </is>
      </c>
      <c r="C213" s="16" t="inlineStr">
        <is>
          <t>صرف مواد للإنتاج – مزرعة الرياض</t>
        </is>
      </c>
      <c r="D213" s="16" t="inlineStr">
        <is>
          <t>RNO-3906</t>
        </is>
      </c>
      <c r="E213" s="95" t="n">
        <v>46075</v>
      </c>
      <c r="F213" s="16" t="inlineStr">
        <is>
          <t>OPERATION RIYADH NURSERY</t>
        </is>
      </c>
      <c r="G213" s="16" t="n">
        <v>5</v>
      </c>
      <c r="H213" s="17" t="n">
        <v>11440.78</v>
      </c>
      <c r="I213" s="16" t="inlineStr">
        <is>
          <t>النظام القديم</t>
        </is>
      </c>
      <c r="J213" s="16" t="inlineStr">
        <is>
          <t>نعم</t>
        </is>
      </c>
      <c r="K213" s="16" t="n"/>
    </row>
    <row r="214">
      <c r="A214" s="79" t="n">
        <v>213</v>
      </c>
      <c r="B214" s="79" t="inlineStr">
        <is>
          <t>RNO</t>
        </is>
      </c>
      <c r="C214" s="79" t="inlineStr">
        <is>
          <t>صرف مواد للإنتاج – مزرعة الرياض</t>
        </is>
      </c>
      <c r="D214" s="79" t="inlineStr">
        <is>
          <t>RNO-8</t>
        </is>
      </c>
      <c r="E214" s="114" t="n">
        <v>46077</v>
      </c>
      <c r="F214" s="79" t="inlineStr">
        <is>
          <t>OPERATION-RN</t>
        </is>
      </c>
      <c r="G214" s="79" t="n">
        <v>5</v>
      </c>
      <c r="H214" s="81" t="n">
        <v>9948.5</v>
      </c>
      <c r="I214" s="79" t="inlineStr">
        <is>
          <t>سجل صرف المخزن</t>
        </is>
      </c>
      <c r="J214" s="79" t="inlineStr">
        <is>
          <t>لا</t>
        </is>
      </c>
      <c r="K214" s="79" t="inlineStr">
        <is>
          <t>سند RN-RAW-OUT#134 – مرجع RNO-3906 – بواسطة None | ملاحظة السند: ENG.MOHAMMED ABDELMIGEED | ⚠ نفس العقد RNO-3906 المسجل بالنظام القديم (22-2-2026 بقيمة 11,440.78 = 9,948.50 + ضريبة) – مكرر وغير محسوب</t>
        </is>
      </c>
    </row>
    <row r="215">
      <c r="A215" s="16" t="n">
        <v>214</v>
      </c>
      <c r="B215" s="16" t="inlineStr">
        <is>
          <t>RNO</t>
        </is>
      </c>
      <c r="C215" s="16" t="inlineStr">
        <is>
          <t>صرف مواد للإنتاج – مزرعة الرياض</t>
        </is>
      </c>
      <c r="D215" s="16" t="inlineStr">
        <is>
          <t>RNO-145</t>
        </is>
      </c>
      <c r="E215" s="95" t="n">
        <v>46079</v>
      </c>
      <c r="F215" s="16" t="inlineStr">
        <is>
          <t>OPERATION-RN</t>
        </is>
      </c>
      <c r="G215" s="16" t="n">
        <v>5</v>
      </c>
      <c r="H215" s="17" t="n">
        <v>3770</v>
      </c>
      <c r="I215" s="16" t="inlineStr">
        <is>
          <t>سجل صرف المخزن</t>
        </is>
      </c>
      <c r="J215" s="16" t="inlineStr">
        <is>
          <t>نعم</t>
        </is>
      </c>
      <c r="K215" s="16" t="inlineStr">
        <is>
          <t>سند RN-RAW-OUT#145 – مرجع 145 – بواسطة None | ملاحظة السند: ENG.MOHAMMED ABDELMIGEED</t>
        </is>
      </c>
    </row>
    <row r="216">
      <c r="A216" s="16" t="n">
        <v>215</v>
      </c>
      <c r="B216" s="16" t="inlineStr">
        <is>
          <t>RNO</t>
        </is>
      </c>
      <c r="C216" s="16" t="inlineStr">
        <is>
          <t>صرف مواد للإنتاج – مزرعة الرياض</t>
        </is>
      </c>
      <c r="D216" s="16" t="inlineStr">
        <is>
          <t>RNO-147</t>
        </is>
      </c>
      <c r="E216" s="95" t="n">
        <v>46082</v>
      </c>
      <c r="F216" s="16" t="inlineStr">
        <is>
          <t>OPERATION-RN</t>
        </is>
      </c>
      <c r="G216" s="16" t="n">
        <v>3</v>
      </c>
      <c r="H216" s="17" t="n">
        <v>2709.5</v>
      </c>
      <c r="I216" s="16" t="inlineStr">
        <is>
          <t>سجل صرف المخزن</t>
        </is>
      </c>
      <c r="J216" s="16" t="inlineStr">
        <is>
          <t>نعم</t>
        </is>
      </c>
      <c r="K216" s="16" t="inlineStr">
        <is>
          <t>سند RN-RAW-OUT#147 – مرجع 147 – بواسطة None | ملاحظة السند: ENG.MOHAMMED ABDELMIGEED</t>
        </is>
      </c>
    </row>
    <row r="217">
      <c r="A217" s="16" t="n">
        <v>216</v>
      </c>
      <c r="B217" s="16" t="inlineStr">
        <is>
          <t>RNO</t>
        </is>
      </c>
      <c r="C217" s="16" t="inlineStr">
        <is>
          <t>صرف مواد للإنتاج – مزرعة الرياض</t>
        </is>
      </c>
      <c r="D217" s="16" t="inlineStr">
        <is>
          <t>RNO-149</t>
        </is>
      </c>
      <c r="E217" s="95" t="n">
        <v>46083</v>
      </c>
      <c r="F217" s="16" t="inlineStr">
        <is>
          <t>OPERATION-RN</t>
        </is>
      </c>
      <c r="G217" s="16" t="n">
        <v>2</v>
      </c>
      <c r="H217" s="17" t="n">
        <v>1869</v>
      </c>
      <c r="I217" s="16" t="inlineStr">
        <is>
          <t>سجل صرف المخزن</t>
        </is>
      </c>
      <c r="J217" s="16" t="inlineStr">
        <is>
          <t>نعم</t>
        </is>
      </c>
      <c r="K217" s="16" t="inlineStr">
        <is>
          <t>سند RN-RAW-OUT#149 – مرجع 149 – بواسطة None | ملاحظة السند: ENG.MOHAMMED ABDELMIGEED</t>
        </is>
      </c>
    </row>
    <row r="218">
      <c r="A218" s="16" t="n">
        <v>217</v>
      </c>
      <c r="B218" s="16" t="inlineStr">
        <is>
          <t>RNO</t>
        </is>
      </c>
      <c r="C218" s="16" t="inlineStr">
        <is>
          <t>صرف مواد للإنتاج – مزرعة الرياض</t>
        </is>
      </c>
      <c r="D218" s="16" t="inlineStr">
        <is>
          <t>RNO-150</t>
        </is>
      </c>
      <c r="E218" s="95" t="n">
        <v>46084</v>
      </c>
      <c r="F218" s="16" t="inlineStr">
        <is>
          <t>OPERATION-RN</t>
        </is>
      </c>
      <c r="G218" s="16" t="n">
        <v>4</v>
      </c>
      <c r="H218" s="17" t="n">
        <v>4494.5</v>
      </c>
      <c r="I218" s="16" t="inlineStr">
        <is>
          <t>سجل صرف المخزن</t>
        </is>
      </c>
      <c r="J218" s="16" t="inlineStr">
        <is>
          <t>نعم</t>
        </is>
      </c>
      <c r="K218" s="16" t="inlineStr">
        <is>
          <t>سند RN-RAW-OUT#150 – مرجع 150 – بواسطة None | ملاحظة السند: ENG.MOHAMMED ABDELMIGEED</t>
        </is>
      </c>
    </row>
    <row r="219">
      <c r="A219" s="16" t="n">
        <v>218</v>
      </c>
      <c r="B219" s="16" t="inlineStr">
        <is>
          <t>RNO</t>
        </is>
      </c>
      <c r="C219" s="16" t="inlineStr">
        <is>
          <t>صرف مواد للإنتاج – مزرعة الرياض</t>
        </is>
      </c>
      <c r="D219" s="16" t="inlineStr">
        <is>
          <t>RNO-152</t>
        </is>
      </c>
      <c r="E219" s="95" t="n">
        <v>46084</v>
      </c>
      <c r="F219" s="16" t="inlineStr">
        <is>
          <t>OPERATION-RN</t>
        </is>
      </c>
      <c r="G219" s="16" t="n">
        <v>1</v>
      </c>
      <c r="H219" s="17" t="n">
        <v>1920</v>
      </c>
      <c r="I219" s="16" t="inlineStr">
        <is>
          <t>سجل صرف المخزن</t>
        </is>
      </c>
      <c r="J219" s="16" t="inlineStr">
        <is>
          <t>نعم</t>
        </is>
      </c>
      <c r="K219" s="16" t="inlineStr">
        <is>
          <t>سند RN-RAW-OUT#152 – مرجع 152 – بواسطة None | ملاحظة السند: ENG.MOHAMMED ABDELMIGEED</t>
        </is>
      </c>
    </row>
    <row r="220">
      <c r="A220" s="16" t="n">
        <v>219</v>
      </c>
      <c r="B220" s="16" t="inlineStr">
        <is>
          <t>RNO</t>
        </is>
      </c>
      <c r="C220" s="16" t="inlineStr">
        <is>
          <t>صرف مواد للإنتاج – مزرعة الرياض</t>
        </is>
      </c>
      <c r="D220" s="16" t="inlineStr">
        <is>
          <t>RNO-156</t>
        </is>
      </c>
      <c r="E220" s="95" t="n">
        <v>46086</v>
      </c>
      <c r="F220" s="16" t="inlineStr">
        <is>
          <t>OPERATION-RN</t>
        </is>
      </c>
      <c r="G220" s="16" t="n">
        <v>12</v>
      </c>
      <c r="H220" s="17" t="n">
        <v>3270</v>
      </c>
      <c r="I220" s="16" t="inlineStr">
        <is>
          <t>سجل صرف المخزن</t>
        </is>
      </c>
      <c r="J220" s="16" t="inlineStr">
        <is>
          <t>نعم</t>
        </is>
      </c>
      <c r="K220" s="16" t="inlineStr">
        <is>
          <t>سند RN-RAW-OUT#156 – مرجع 156 – بواسطة None | ملاحظة السند: ENG.MOHAMMED ABDELMIGEED</t>
        </is>
      </c>
    </row>
    <row r="221">
      <c r="A221" s="16" t="n">
        <v>220</v>
      </c>
      <c r="B221" s="16" t="inlineStr">
        <is>
          <t>RNO</t>
        </is>
      </c>
      <c r="C221" s="16" t="inlineStr">
        <is>
          <t>صرف مواد للإنتاج – مزرعة الرياض</t>
        </is>
      </c>
      <c r="D221" s="16" t="inlineStr">
        <is>
          <t>RNO-158</t>
        </is>
      </c>
      <c r="E221" s="95" t="n">
        <v>46088</v>
      </c>
      <c r="F221" s="16" t="inlineStr">
        <is>
          <t>OPERATION-RN</t>
        </is>
      </c>
      <c r="G221" s="16" t="n">
        <v>2</v>
      </c>
      <c r="H221" s="17" t="n">
        <v>1551</v>
      </c>
      <c r="I221" s="16" t="inlineStr">
        <is>
          <t>سجل صرف المخزن</t>
        </is>
      </c>
      <c r="J221" s="16" t="inlineStr">
        <is>
          <t>نعم</t>
        </is>
      </c>
      <c r="K221" s="16" t="inlineStr">
        <is>
          <t>سند RN-RAW-OUT#158 – مرجع 158 – بواسطة None | ملاحظة السند: ENG.MOHAMMED ABDELMIGEED</t>
        </is>
      </c>
    </row>
    <row r="222">
      <c r="A222" s="16" t="n">
        <v>221</v>
      </c>
      <c r="B222" s="16" t="inlineStr">
        <is>
          <t>RNO</t>
        </is>
      </c>
      <c r="C222" s="16" t="inlineStr">
        <is>
          <t>صرف مواد للإنتاج – مزرعة الرياض</t>
        </is>
      </c>
      <c r="D222" s="16" t="inlineStr">
        <is>
          <t>RNO-163</t>
        </is>
      </c>
      <c r="E222" s="95" t="n">
        <v>46090</v>
      </c>
      <c r="F222" s="16" t="inlineStr">
        <is>
          <t>OPERATION-RN</t>
        </is>
      </c>
      <c r="G222" s="16" t="n">
        <v>5</v>
      </c>
      <c r="H222" s="17" t="n">
        <v>5626.5</v>
      </c>
      <c r="I222" s="16" t="inlineStr">
        <is>
          <t>سجل صرف المخزن</t>
        </is>
      </c>
      <c r="J222" s="16" t="inlineStr">
        <is>
          <t>نعم</t>
        </is>
      </c>
      <c r="K222" s="16" t="inlineStr">
        <is>
          <t>سند RN-RAW-OUT#163 – مرجع 163 – بواسطة None | ملاحظة السند: ENG.MOHAMMED ABDELMIGEED</t>
        </is>
      </c>
    </row>
    <row r="223">
      <c r="A223" s="16" t="n">
        <v>222</v>
      </c>
      <c r="B223" s="16" t="inlineStr">
        <is>
          <t>RNO</t>
        </is>
      </c>
      <c r="C223" s="16" t="inlineStr">
        <is>
          <t>صرف مواد للإنتاج – مزرعة الرياض</t>
        </is>
      </c>
      <c r="D223" s="16" t="inlineStr">
        <is>
          <t>RNO-166</t>
        </is>
      </c>
      <c r="E223" s="95" t="n">
        <v>46092</v>
      </c>
      <c r="F223" s="16" t="inlineStr">
        <is>
          <t>OPERATION-RN</t>
        </is>
      </c>
      <c r="G223" s="16" t="n">
        <v>2</v>
      </c>
      <c r="H223" s="17" t="n">
        <v>340</v>
      </c>
      <c r="I223" s="16" t="inlineStr">
        <is>
          <t>سجل صرف المخزن</t>
        </is>
      </c>
      <c r="J223" s="16" t="inlineStr">
        <is>
          <t>نعم</t>
        </is>
      </c>
      <c r="K223" s="16" t="inlineStr">
        <is>
          <t>سند RN-RAW-OUT#166 – مرجع 166 – بواسطة None | ملاحظة السند: ENG.MOHAMMED ABDELMIGEED</t>
        </is>
      </c>
    </row>
    <row r="224">
      <c r="A224" s="16" t="n">
        <v>223</v>
      </c>
      <c r="B224" s="16" t="inlineStr">
        <is>
          <t>RNO</t>
        </is>
      </c>
      <c r="C224" s="16" t="inlineStr">
        <is>
          <t>صرف مواد للإنتاج – مزرعة الرياض</t>
        </is>
      </c>
      <c r="D224" s="16" t="inlineStr">
        <is>
          <t>RNO-169</t>
        </is>
      </c>
      <c r="E224" s="95" t="n">
        <v>46095</v>
      </c>
      <c r="F224" s="16" t="inlineStr">
        <is>
          <t>OPERATION-RN</t>
        </is>
      </c>
      <c r="G224" s="16" t="n">
        <v>4</v>
      </c>
      <c r="H224" s="17" t="n">
        <v>2832.5</v>
      </c>
      <c r="I224" s="16" t="inlineStr">
        <is>
          <t>سجل صرف المخزن</t>
        </is>
      </c>
      <c r="J224" s="16" t="inlineStr">
        <is>
          <t>نعم</t>
        </is>
      </c>
      <c r="K224" s="16" t="inlineStr">
        <is>
          <t>سند RN-RAW-OUT#169 – مرجع 169 – بواسطة None | ملاحظة السند: ENG.MOHAMMED ABDELMIGEED</t>
        </is>
      </c>
    </row>
    <row r="225">
      <c r="A225" s="16" t="n">
        <v>224</v>
      </c>
      <c r="B225" s="16" t="inlineStr">
        <is>
          <t>RNO</t>
        </is>
      </c>
      <c r="C225" s="16" t="inlineStr">
        <is>
          <t>صرف مواد للإنتاج – مزرعة الرياض</t>
        </is>
      </c>
      <c r="D225" s="16" t="inlineStr">
        <is>
          <t>RNO-174</t>
        </is>
      </c>
      <c r="E225" s="95" t="n">
        <v>46098</v>
      </c>
      <c r="F225" s="16" t="inlineStr">
        <is>
          <t>OPERATION-RN</t>
        </is>
      </c>
      <c r="G225" s="16" t="n">
        <v>4</v>
      </c>
      <c r="H225" s="17" t="n">
        <v>4566.5</v>
      </c>
      <c r="I225" s="16" t="inlineStr">
        <is>
          <t>سجل صرف المخزن</t>
        </is>
      </c>
      <c r="J225" s="16" t="inlineStr">
        <is>
          <t>نعم</t>
        </is>
      </c>
      <c r="K225" s="16" t="inlineStr">
        <is>
          <t>سند RN-RAW-OUT#174 – مرجع 174 – بواسطة None | ملاحظة السند: ENG.MOHAMMED ABDELMIGEED</t>
        </is>
      </c>
    </row>
    <row r="226">
      <c r="A226" s="16" t="n">
        <v>225</v>
      </c>
      <c r="B226" s="16" t="inlineStr">
        <is>
          <t>RNO</t>
        </is>
      </c>
      <c r="C226" s="16" t="inlineStr">
        <is>
          <t>صرف مواد للإنتاج – مزرعة الرياض</t>
        </is>
      </c>
      <c r="D226" s="16" t="inlineStr">
        <is>
          <t>RNO-176</t>
        </is>
      </c>
      <c r="E226" s="95" t="n">
        <v>46099</v>
      </c>
      <c r="F226" s="16" t="inlineStr">
        <is>
          <t>OPERATION-RN</t>
        </is>
      </c>
      <c r="G226" s="16" t="n">
        <v>17</v>
      </c>
      <c r="H226" s="17" t="n">
        <v>5657.5</v>
      </c>
      <c r="I226" s="16" t="inlineStr">
        <is>
          <t>سجل صرف المخزن</t>
        </is>
      </c>
      <c r="J226" s="16" t="inlineStr">
        <is>
          <t>نعم</t>
        </is>
      </c>
      <c r="K226" s="16" t="inlineStr">
        <is>
          <t>سند RN-RAW-OUT#176 – مرجع 176 – بواسطة None | ملاحظة السند: ENG.MOHAMMED ABDELMIGEED</t>
        </is>
      </c>
    </row>
    <row r="227">
      <c r="A227" s="16" t="n">
        <v>226</v>
      </c>
      <c r="B227" s="16" t="inlineStr">
        <is>
          <t>RNO</t>
        </is>
      </c>
      <c r="C227" s="16" t="inlineStr">
        <is>
          <t>صرف مواد للإنتاج – مزرعة الرياض</t>
        </is>
      </c>
      <c r="D227" s="16" t="inlineStr">
        <is>
          <t>RNO-179</t>
        </is>
      </c>
      <c r="E227" s="95" t="n">
        <v>46103</v>
      </c>
      <c r="F227" s="16" t="inlineStr">
        <is>
          <t>OPERATION-RN</t>
        </is>
      </c>
      <c r="G227" s="16" t="n">
        <v>3</v>
      </c>
      <c r="H227" s="17" t="n">
        <v>4726.5</v>
      </c>
      <c r="I227" s="16" t="inlineStr">
        <is>
          <t>سجل صرف المخزن</t>
        </is>
      </c>
      <c r="J227" s="16" t="inlineStr">
        <is>
          <t>نعم</t>
        </is>
      </c>
      <c r="K227" s="16" t="inlineStr">
        <is>
          <t>سند RN-RAW-OUT#179 – مرجع 179 – بواسطة None | ملاحظة السند: ENG.MOHAMMED ABDELMIGEED</t>
        </is>
      </c>
    </row>
    <row r="228">
      <c r="A228" s="16" t="n">
        <v>227</v>
      </c>
      <c r="B228" s="16" t="inlineStr">
        <is>
          <t>RNO</t>
        </is>
      </c>
      <c r="C228" s="16" t="inlineStr">
        <is>
          <t>صرف مواد للإنتاج – مزرعة الرياض</t>
        </is>
      </c>
      <c r="D228" s="16" t="inlineStr">
        <is>
          <t>RNO-181</t>
        </is>
      </c>
      <c r="E228" s="95" t="n">
        <v>46105</v>
      </c>
      <c r="F228" s="16" t="inlineStr">
        <is>
          <t>OPERATION-RN</t>
        </is>
      </c>
      <c r="G228" s="16" t="n">
        <v>2</v>
      </c>
      <c r="H228" s="17" t="n">
        <v>1365</v>
      </c>
      <c r="I228" s="16" t="inlineStr">
        <is>
          <t>سجل صرف المخزن</t>
        </is>
      </c>
      <c r="J228" s="16" t="inlineStr">
        <is>
          <t>نعم</t>
        </is>
      </c>
      <c r="K228" s="16" t="inlineStr">
        <is>
          <t>سند RN-RAW-OUT#181 – مرجع 181 – بواسطة None | ملاحظة السند: MR.HUSSIN MUSTAFA</t>
        </is>
      </c>
    </row>
    <row r="229">
      <c r="A229" s="16" t="n">
        <v>228</v>
      </c>
      <c r="B229" s="16" t="inlineStr">
        <is>
          <t>RNO</t>
        </is>
      </c>
      <c r="C229" s="16" t="inlineStr">
        <is>
          <t>صرف مواد للإنتاج – مزرعة الرياض</t>
        </is>
      </c>
      <c r="D229" s="16" t="inlineStr">
        <is>
          <t>RNO-182</t>
        </is>
      </c>
      <c r="E229" s="95" t="n">
        <v>46107</v>
      </c>
      <c r="F229" s="16" t="inlineStr">
        <is>
          <t>OPERATION-RN</t>
        </is>
      </c>
      <c r="G229" s="16" t="n">
        <v>3</v>
      </c>
      <c r="H229" s="17" t="n">
        <v>2430</v>
      </c>
      <c r="I229" s="16" t="inlineStr">
        <is>
          <t>سجل صرف المخزن</t>
        </is>
      </c>
      <c r="J229" s="16" t="inlineStr">
        <is>
          <t>نعم</t>
        </is>
      </c>
      <c r="K229" s="16" t="inlineStr">
        <is>
          <t>سند RN-RAW-OUT#182 – مرجع 182 – بواسطة None | ملاحظة السند: ENG.MOHAMMED ABDELMIGEED</t>
        </is>
      </c>
    </row>
    <row r="230">
      <c r="A230" s="16" t="n">
        <v>229</v>
      </c>
      <c r="B230" s="16" t="inlineStr">
        <is>
          <t>RNO</t>
        </is>
      </c>
      <c r="C230" s="16" t="inlineStr">
        <is>
          <t>صرف مواد للإنتاج – مزرعة الرياض</t>
        </is>
      </c>
      <c r="D230" s="16" t="inlineStr">
        <is>
          <t>RNO-185</t>
        </is>
      </c>
      <c r="E230" s="95" t="n">
        <v>46107</v>
      </c>
      <c r="F230" s="16" t="inlineStr">
        <is>
          <t>OPERATION-RN</t>
        </is>
      </c>
      <c r="G230" s="16" t="n">
        <v>3</v>
      </c>
      <c r="H230" s="17" t="n">
        <v>5063.5</v>
      </c>
      <c r="I230" s="16" t="inlineStr">
        <is>
          <t>سجل صرف المخزن</t>
        </is>
      </c>
      <c r="J230" s="16" t="inlineStr">
        <is>
          <t>نعم</t>
        </is>
      </c>
      <c r="K230" s="16" t="inlineStr">
        <is>
          <t>سند RN-RAW-OUT#185 – مرجع 185 – بواسطة None | ملاحظة السند: ENG.MOHAMMED ABDELMIGEED</t>
        </is>
      </c>
    </row>
    <row r="231">
      <c r="A231" s="18" t="n">
        <v>230</v>
      </c>
      <c r="B231" s="18" t="inlineStr">
        <is>
          <t>RNO</t>
        </is>
      </c>
      <c r="C231" s="18" t="inlineStr">
        <is>
          <t>صرف مواد للإنتاج – مزرعة الرياض</t>
        </is>
      </c>
      <c r="D231" s="18" t="inlineStr">
        <is>
          <t>RNO-186-REV1</t>
        </is>
      </c>
      <c r="E231" s="98" t="n">
        <v>46107</v>
      </c>
      <c r="F231" s="18" t="inlineStr">
        <is>
          <t>OPERATION-RN</t>
        </is>
      </c>
      <c r="G231" s="18" t="n">
        <v>3</v>
      </c>
      <c r="H231" s="19" t="n">
        <v>78463.5</v>
      </c>
      <c r="I231" s="18" t="inlineStr">
        <is>
          <t>سجل صرف المخزن</t>
        </is>
      </c>
      <c r="J231" s="18" t="inlineStr">
        <is>
          <t>نعم</t>
        </is>
      </c>
      <c r="K231" s="18" t="inlineStr">
        <is>
          <t>سند RN-RAW-OUT#186-REV1 – مرجع تبديل من مركن 20 الي 40 – بواسطة None | ملاحظة السند: ENG.MOHAMMED ABDELMIGEED | ⚠ سند معدّل (REV1) | ⚠ صرف أشجار (بوانسيانا/نيم/لبخ 1-2 متر) للإنتاج بقيمة 78,463.50 بغرض "تبديل من مركن 20 إلى 40" – عملية تحويل وليست استهلاكاً، يلزم التأكد من إعادة إدخال الأشجار للمخزون</t>
        </is>
      </c>
    </row>
    <row r="232">
      <c r="A232" s="16" t="n">
        <v>231</v>
      </c>
      <c r="B232" s="16" t="inlineStr">
        <is>
          <t>RNO</t>
        </is>
      </c>
      <c r="C232" s="16" t="inlineStr">
        <is>
          <t>صرف مواد للإنتاج – مزرعة الرياض</t>
        </is>
      </c>
      <c r="D232" s="16" t="inlineStr">
        <is>
          <t>RNO-187</t>
        </is>
      </c>
      <c r="E232" s="95" t="n">
        <v>46109</v>
      </c>
      <c r="F232" s="16" t="inlineStr">
        <is>
          <t>OPERATION-RN</t>
        </is>
      </c>
      <c r="G232" s="16" t="n">
        <v>4</v>
      </c>
      <c r="H232" s="17" t="n">
        <v>1992.5</v>
      </c>
      <c r="I232" s="16" t="inlineStr">
        <is>
          <t>سجل صرف المخزن</t>
        </is>
      </c>
      <c r="J232" s="16" t="inlineStr">
        <is>
          <t>نعم</t>
        </is>
      </c>
      <c r="K232" s="16" t="inlineStr">
        <is>
          <t>سند RN-RAW-OUT#187 – مرجع 187 – بواسطة None | ملاحظة السند: ENG.MOHAMMED ABDELMIGEED</t>
        </is>
      </c>
    </row>
    <row r="233">
      <c r="A233" s="16" t="n">
        <v>232</v>
      </c>
      <c r="B233" s="16" t="inlineStr">
        <is>
          <t>RNO</t>
        </is>
      </c>
      <c r="C233" s="16" t="inlineStr">
        <is>
          <t>صرف مواد للإنتاج – مزرعة الرياض</t>
        </is>
      </c>
      <c r="D233" s="16" t="inlineStr">
        <is>
          <t>RNO-189</t>
        </is>
      </c>
      <c r="E233" s="95" t="n">
        <v>46110</v>
      </c>
      <c r="F233" s="16" t="inlineStr">
        <is>
          <t>OPERATION-RN</t>
        </is>
      </c>
      <c r="G233" s="16" t="n">
        <v>1</v>
      </c>
      <c r="H233" s="17" t="n">
        <v>960</v>
      </c>
      <c r="I233" s="16" t="inlineStr">
        <is>
          <t>سجل صرف المخزن</t>
        </is>
      </c>
      <c r="J233" s="16" t="inlineStr">
        <is>
          <t>نعم</t>
        </is>
      </c>
      <c r="K233" s="16" t="inlineStr">
        <is>
          <t>سند RN-RAW-OUT#189 – مرجع 189 – بواسطة None | ملاحظة السند: ENG.MOHAMMED ABDELMIGEED</t>
        </is>
      </c>
    </row>
    <row r="234">
      <c r="A234" s="16" t="n">
        <v>233</v>
      </c>
      <c r="B234" s="16" t="inlineStr">
        <is>
          <t>RNO</t>
        </is>
      </c>
      <c r="C234" s="16" t="inlineStr">
        <is>
          <t>صرف مواد للإنتاج – مزرعة الرياض</t>
        </is>
      </c>
      <c r="D234" s="16" t="inlineStr">
        <is>
          <t>RNO-191</t>
        </is>
      </c>
      <c r="E234" s="95" t="n">
        <v>46111</v>
      </c>
      <c r="F234" s="16" t="inlineStr">
        <is>
          <t>OPERATION-RN</t>
        </is>
      </c>
      <c r="G234" s="16" t="n">
        <v>2</v>
      </c>
      <c r="H234" s="17" t="n">
        <v>2225</v>
      </c>
      <c r="I234" s="16" t="inlineStr">
        <is>
          <t>سجل صرف المخزن</t>
        </is>
      </c>
      <c r="J234" s="16" t="inlineStr">
        <is>
          <t>نعم</t>
        </is>
      </c>
      <c r="K234" s="16" t="inlineStr">
        <is>
          <t>سند RN-RAW-OUT#191 – مرجع 191 – بواسطة None | ملاحظة السند: ENG.MOHAMMED ABDELMIGEED</t>
        </is>
      </c>
    </row>
    <row r="235">
      <c r="A235" s="16" t="n">
        <v>234</v>
      </c>
      <c r="B235" s="16" t="inlineStr">
        <is>
          <t>RNO</t>
        </is>
      </c>
      <c r="C235" s="16" t="inlineStr">
        <is>
          <t>صرف مواد للإنتاج – مزرعة الرياض</t>
        </is>
      </c>
      <c r="D235" s="16" t="inlineStr">
        <is>
          <t>RNO-192</t>
        </is>
      </c>
      <c r="E235" s="95" t="n">
        <v>46111</v>
      </c>
      <c r="F235" s="16" t="inlineStr">
        <is>
          <t>OPERATION-RN</t>
        </is>
      </c>
      <c r="G235" s="16" t="n">
        <v>1</v>
      </c>
      <c r="H235" s="17" t="n">
        <v>1200</v>
      </c>
      <c r="I235" s="16" t="inlineStr">
        <is>
          <t>سجل صرف المخزن</t>
        </is>
      </c>
      <c r="J235" s="16" t="inlineStr">
        <is>
          <t>نعم</t>
        </is>
      </c>
      <c r="K235" s="16" t="inlineStr">
        <is>
          <t>سند RN-RAW-OUT#192 – مرجع 192 – بواسطة None | ملاحظة السند: ENG.MOHAMMED ABDELMIGEED</t>
        </is>
      </c>
    </row>
    <row r="236">
      <c r="A236" s="16" t="n">
        <v>235</v>
      </c>
      <c r="B236" s="16" t="inlineStr">
        <is>
          <t>RNO</t>
        </is>
      </c>
      <c r="C236" s="16" t="inlineStr">
        <is>
          <t>صرف مواد للإنتاج – مزرعة الرياض</t>
        </is>
      </c>
      <c r="D236" s="16" t="inlineStr">
        <is>
          <t>RNO-195</t>
        </is>
      </c>
      <c r="E236" s="95" t="n">
        <v>46112</v>
      </c>
      <c r="F236" s="16" t="inlineStr">
        <is>
          <t>OPERATION-RN</t>
        </is>
      </c>
      <c r="G236" s="16" t="n">
        <v>3</v>
      </c>
      <c r="H236" s="17" t="n">
        <v>2229.5</v>
      </c>
      <c r="I236" s="16" t="inlineStr">
        <is>
          <t>سجل صرف المخزن</t>
        </is>
      </c>
      <c r="J236" s="16" t="inlineStr">
        <is>
          <t>نعم</t>
        </is>
      </c>
      <c r="K236" s="16" t="inlineStr">
        <is>
          <t>سند RN-RAW-OUT#195 – مرجع 195 – بواسطة None | ملاحظة السند: ENG.MOHAMMED ABDELMIGEED</t>
        </is>
      </c>
    </row>
    <row r="237">
      <c r="A237" s="16" t="n">
        <v>236</v>
      </c>
      <c r="B237" s="16" t="inlineStr">
        <is>
          <t>RNO</t>
        </is>
      </c>
      <c r="C237" s="16" t="inlineStr">
        <is>
          <t>صرف مواد للإنتاج – مزرعة الرياض</t>
        </is>
      </c>
      <c r="D237" s="16" t="inlineStr">
        <is>
          <t>RNO-197</t>
        </is>
      </c>
      <c r="E237" s="95" t="n">
        <v>46113</v>
      </c>
      <c r="F237" s="16" t="inlineStr">
        <is>
          <t>OPERATION-RN</t>
        </is>
      </c>
      <c r="G237" s="16" t="n">
        <v>3</v>
      </c>
      <c r="H237" s="17" t="n">
        <v>1660</v>
      </c>
      <c r="I237" s="16" t="inlineStr">
        <is>
          <t>سجل صرف المخزن</t>
        </is>
      </c>
      <c r="J237" s="16" t="inlineStr">
        <is>
          <t>نعم</t>
        </is>
      </c>
      <c r="K237" s="16" t="inlineStr">
        <is>
          <t>سند RN-RAW-OUT#197 – مرجع 197 – بواسطة None | ملاحظة السند: ENG.MOHAMMED ABDELMIGEED</t>
        </is>
      </c>
    </row>
    <row r="238">
      <c r="A238" s="16" t="n">
        <v>237</v>
      </c>
      <c r="B238" s="16" t="inlineStr">
        <is>
          <t>RNO</t>
        </is>
      </c>
      <c r="C238" s="16" t="inlineStr">
        <is>
          <t>صرف مواد للإنتاج – مزرعة الرياض</t>
        </is>
      </c>
      <c r="D238" s="16" t="inlineStr">
        <is>
          <t>RNO-199</t>
        </is>
      </c>
      <c r="E238" s="95" t="n">
        <v>46114</v>
      </c>
      <c r="F238" s="16" t="inlineStr">
        <is>
          <t>OPERATION-RN</t>
        </is>
      </c>
      <c r="G238" s="16" t="n">
        <v>3</v>
      </c>
      <c r="H238" s="17" t="n">
        <v>2825</v>
      </c>
      <c r="I238" s="16" t="inlineStr">
        <is>
          <t>سجل صرف المخزن</t>
        </is>
      </c>
      <c r="J238" s="16" t="inlineStr">
        <is>
          <t>نعم</t>
        </is>
      </c>
      <c r="K238" s="16" t="inlineStr">
        <is>
          <t>سند RN-RAW-OUT#199 – مرجع 199 – بواسطة None | ملاحظة السند: ENG.MOHAMMED ABDELMIGEED</t>
        </is>
      </c>
    </row>
    <row r="239">
      <c r="A239" s="16" t="n">
        <v>238</v>
      </c>
      <c r="B239" s="16" t="inlineStr">
        <is>
          <t>RNO</t>
        </is>
      </c>
      <c r="C239" s="16" t="inlineStr">
        <is>
          <t>صرف مواد للإنتاج – مزرعة الرياض</t>
        </is>
      </c>
      <c r="D239" s="16" t="inlineStr">
        <is>
          <t>RNO-201</t>
        </is>
      </c>
      <c r="E239" s="95" t="n">
        <v>46116</v>
      </c>
      <c r="F239" s="16" t="inlineStr">
        <is>
          <t>OPERATION-RN</t>
        </is>
      </c>
      <c r="G239" s="16" t="n">
        <v>2</v>
      </c>
      <c r="H239" s="17" t="n">
        <v>660</v>
      </c>
      <c r="I239" s="16" t="inlineStr">
        <is>
          <t>سجل صرف المخزن</t>
        </is>
      </c>
      <c r="J239" s="16" t="inlineStr">
        <is>
          <t>نعم</t>
        </is>
      </c>
      <c r="K239" s="16" t="inlineStr">
        <is>
          <t>سند RN-RAW-OUT#201 – مرجع 201 – بواسطة None | ملاحظة السند: ENG.MOHAMMED ABDELMIGEED</t>
        </is>
      </c>
    </row>
    <row r="240">
      <c r="A240" s="18" t="n">
        <v>239</v>
      </c>
      <c r="B240" s="18" t="inlineStr">
        <is>
          <t>RNO</t>
        </is>
      </c>
      <c r="C240" s="18" t="inlineStr">
        <is>
          <t>صرف مواد للإنتاج – مزرعة الرياض</t>
        </is>
      </c>
      <c r="D240" s="18" t="inlineStr">
        <is>
          <t>RNO-204-REV1</t>
        </is>
      </c>
      <c r="E240" s="98" t="n">
        <v>46117</v>
      </c>
      <c r="F240" s="18" t="inlineStr">
        <is>
          <t>OPERATION-RN</t>
        </is>
      </c>
      <c r="G240" s="18" t="n">
        <v>3</v>
      </c>
      <c r="H240" s="19" t="n">
        <v>1896</v>
      </c>
      <c r="I240" s="18" t="inlineStr">
        <is>
          <t>سجل صرف المخزن</t>
        </is>
      </c>
      <c r="J240" s="18" t="inlineStr">
        <is>
          <t>نعم</t>
        </is>
      </c>
      <c r="K240" s="18" t="inlineStr">
        <is>
          <t>سند RN-RAW-OUT#204-REV1 – مرجع 204 – بواسطة None | ملاحظة السند: ENG.MOHAMMED ABDELMIGEED | ⚠ سند معدّل (REV1)</t>
        </is>
      </c>
    </row>
    <row r="241">
      <c r="A241" s="16" t="n">
        <v>240</v>
      </c>
      <c r="B241" s="16" t="inlineStr">
        <is>
          <t>RNO</t>
        </is>
      </c>
      <c r="C241" s="16" t="inlineStr">
        <is>
          <t>صرف مواد للإنتاج – مزرعة الرياض</t>
        </is>
      </c>
      <c r="D241" s="16" t="inlineStr">
        <is>
          <t>RNO-209</t>
        </is>
      </c>
      <c r="E241" s="95" t="n">
        <v>46120</v>
      </c>
      <c r="F241" s="16" t="inlineStr">
        <is>
          <t>OPERATION-RN</t>
        </is>
      </c>
      <c r="G241" s="16" t="n">
        <v>3</v>
      </c>
      <c r="H241" s="17" t="n">
        <v>980</v>
      </c>
      <c r="I241" s="16" t="inlineStr">
        <is>
          <t>سجل صرف المخزن</t>
        </is>
      </c>
      <c r="J241" s="16" t="inlineStr">
        <is>
          <t>نعم</t>
        </is>
      </c>
      <c r="K241" s="16" t="inlineStr">
        <is>
          <t>سند RN-RAW-OUT#209 – مرجع 209 – بواسطة None | ملاحظة السند: ENG.MOHAMMED ABDELMIGEED</t>
        </is>
      </c>
    </row>
    <row r="242">
      <c r="A242" s="16" t="n">
        <v>241</v>
      </c>
      <c r="B242" s="16" t="inlineStr">
        <is>
          <t>RNO</t>
        </is>
      </c>
      <c r="C242" s="16" t="inlineStr">
        <is>
          <t>صرف مواد للإنتاج – مزرعة الرياض</t>
        </is>
      </c>
      <c r="D242" s="16" t="inlineStr">
        <is>
          <t>RNO-217</t>
        </is>
      </c>
      <c r="E242" s="95" t="n">
        <v>46123</v>
      </c>
      <c r="F242" s="16" t="inlineStr">
        <is>
          <t>OPERATION-RN</t>
        </is>
      </c>
      <c r="G242" s="16" t="n">
        <v>12</v>
      </c>
      <c r="H242" s="17" t="n">
        <v>13740</v>
      </c>
      <c r="I242" s="16" t="inlineStr">
        <is>
          <t>سجل صرف المخزن</t>
        </is>
      </c>
      <c r="J242" s="16" t="inlineStr">
        <is>
          <t>نعم</t>
        </is>
      </c>
      <c r="K242" s="16" t="inlineStr">
        <is>
          <t>سند RN-RAW-OUT#217 – مرجع 217 – بواسطة None | ملاحظة السند: ENG.MOHAMMED ABDELMIGEED</t>
        </is>
      </c>
    </row>
    <row r="243">
      <c r="A243" s="16" t="n">
        <v>242</v>
      </c>
      <c r="B243" s="16" t="inlineStr">
        <is>
          <t>RNO</t>
        </is>
      </c>
      <c r="C243" s="16" t="inlineStr">
        <is>
          <t>صرف مواد للإنتاج – مزرعة الرياض</t>
        </is>
      </c>
      <c r="D243" s="16" t="inlineStr">
        <is>
          <t>RNO-218</t>
        </is>
      </c>
      <c r="E243" s="95" t="n">
        <v>46123</v>
      </c>
      <c r="F243" s="16" t="inlineStr">
        <is>
          <t>OPERATION-RN</t>
        </is>
      </c>
      <c r="G243" s="16" t="n">
        <v>7</v>
      </c>
      <c r="H243" s="17" t="n">
        <v>2250</v>
      </c>
      <c r="I243" s="16" t="inlineStr">
        <is>
          <t>سجل صرف المخزن</t>
        </is>
      </c>
      <c r="J243" s="16" t="inlineStr">
        <is>
          <t>نعم</t>
        </is>
      </c>
      <c r="K243" s="16" t="inlineStr">
        <is>
          <t>سند RN-RAW-OUT#218 – مرجع 218 – بواسطة None | ملاحظة السند: ENG.MOHAMMED ABDELMIGEED</t>
        </is>
      </c>
    </row>
    <row r="244">
      <c r="A244" s="16" t="n">
        <v>243</v>
      </c>
      <c r="B244" s="16" t="inlineStr">
        <is>
          <t>RNO</t>
        </is>
      </c>
      <c r="C244" s="16" t="inlineStr">
        <is>
          <t>صرف مواد للإنتاج – مزرعة الرياض</t>
        </is>
      </c>
      <c r="D244" s="16" t="inlineStr">
        <is>
          <t>RNO-221</t>
        </is>
      </c>
      <c r="E244" s="95" t="n">
        <v>46125</v>
      </c>
      <c r="F244" s="16" t="inlineStr">
        <is>
          <t>OPERATION-RN</t>
        </is>
      </c>
      <c r="G244" s="16" t="n">
        <v>2</v>
      </c>
      <c r="H244" s="17" t="n">
        <v>2225</v>
      </c>
      <c r="I244" s="16" t="inlineStr">
        <is>
          <t>سجل صرف المخزن</t>
        </is>
      </c>
      <c r="J244" s="16" t="inlineStr">
        <is>
          <t>نعم</t>
        </is>
      </c>
      <c r="K244" s="16" t="inlineStr">
        <is>
          <t>سند RN-RAW-OUT#221 – مرجع 221 – بواسطة None | ملاحظة السند: ENG.MOHAMMED ABDELMIGEED</t>
        </is>
      </c>
    </row>
    <row r="245">
      <c r="A245" s="16" t="n">
        <v>244</v>
      </c>
      <c r="B245" s="16" t="inlineStr">
        <is>
          <t>RNO</t>
        </is>
      </c>
      <c r="C245" s="16" t="inlineStr">
        <is>
          <t>صرف مواد للإنتاج – مزرعة الرياض</t>
        </is>
      </c>
      <c r="D245" s="16" t="inlineStr">
        <is>
          <t>RNO-222</t>
        </is>
      </c>
      <c r="E245" s="95" t="n">
        <v>46126</v>
      </c>
      <c r="F245" s="16" t="inlineStr">
        <is>
          <t>OPERATION-RN</t>
        </is>
      </c>
      <c r="G245" s="16" t="n">
        <v>3</v>
      </c>
      <c r="H245" s="17" t="n">
        <v>2164.5</v>
      </c>
      <c r="I245" s="16" t="inlineStr">
        <is>
          <t>سجل صرف المخزن</t>
        </is>
      </c>
      <c r="J245" s="16" t="inlineStr">
        <is>
          <t>نعم</t>
        </is>
      </c>
      <c r="K245" s="16" t="inlineStr">
        <is>
          <t>سند RN-RAW-OUT#222 – مرجع 222 – بواسطة None | ملاحظة السند: ENG.MOHAMMED ABDELMIGEED</t>
        </is>
      </c>
    </row>
    <row r="246">
      <c r="A246" s="16" t="n">
        <v>245</v>
      </c>
      <c r="B246" s="16" t="inlineStr">
        <is>
          <t>RNO</t>
        </is>
      </c>
      <c r="C246" s="16" t="inlineStr">
        <is>
          <t>صرف مواد للإنتاج – مزرعة الرياض</t>
        </is>
      </c>
      <c r="D246" s="16" t="inlineStr">
        <is>
          <t>RNO-223</t>
        </is>
      </c>
      <c r="E246" s="95" t="n">
        <v>46127</v>
      </c>
      <c r="F246" s="16" t="inlineStr">
        <is>
          <t>OPERATION-RN</t>
        </is>
      </c>
      <c r="G246" s="16" t="n">
        <v>6</v>
      </c>
      <c r="H246" s="17" t="n">
        <v>3496.5</v>
      </c>
      <c r="I246" s="16" t="inlineStr">
        <is>
          <t>سجل صرف المخزن</t>
        </is>
      </c>
      <c r="J246" s="16" t="inlineStr">
        <is>
          <t>نعم</t>
        </is>
      </c>
      <c r="K246" s="16" t="inlineStr">
        <is>
          <t>سند RN-RAW-OUT#223 – مرجع 223 – بواسطة None | ملاحظة السند: ENG.MOHAMMED ABDELMIGEED</t>
        </is>
      </c>
    </row>
    <row r="247">
      <c r="A247" s="16" t="n">
        <v>246</v>
      </c>
      <c r="B247" s="16" t="inlineStr">
        <is>
          <t>RNO</t>
        </is>
      </c>
      <c r="C247" s="16" t="inlineStr">
        <is>
          <t>صرف مواد للإنتاج – مزرعة الرياض</t>
        </is>
      </c>
      <c r="D247" s="16" t="inlineStr">
        <is>
          <t>RNO-226</t>
        </is>
      </c>
      <c r="E247" s="95" t="n">
        <v>46128</v>
      </c>
      <c r="F247" s="16" t="inlineStr">
        <is>
          <t>OPERATION-RN</t>
        </is>
      </c>
      <c r="G247" s="16" t="n">
        <v>3</v>
      </c>
      <c r="H247" s="17" t="n">
        <v>1694</v>
      </c>
      <c r="I247" s="16" t="inlineStr">
        <is>
          <t>سجل صرف المخزن</t>
        </is>
      </c>
      <c r="J247" s="16" t="inlineStr">
        <is>
          <t>نعم</t>
        </is>
      </c>
      <c r="K247" s="16" t="inlineStr">
        <is>
          <t>سند RN-RAW-OUT#226 – مرجع 226 – بواسطة None | ملاحظة السند: ENG.MOHAMMED ABDELMIGEED</t>
        </is>
      </c>
    </row>
    <row r="248">
      <c r="A248" s="16" t="n">
        <v>247</v>
      </c>
      <c r="B248" s="16" t="inlineStr">
        <is>
          <t>RNO</t>
        </is>
      </c>
      <c r="C248" s="16" t="inlineStr">
        <is>
          <t>صرف مواد للإنتاج – مزرعة الرياض</t>
        </is>
      </c>
      <c r="D248" s="16" t="inlineStr">
        <is>
          <t>RNO-228</t>
        </is>
      </c>
      <c r="E248" s="95" t="n">
        <v>46130</v>
      </c>
      <c r="F248" s="16" t="inlineStr">
        <is>
          <t>OPERATION-RN</t>
        </is>
      </c>
      <c r="G248" s="16" t="n">
        <v>5</v>
      </c>
      <c r="H248" s="17" t="n">
        <v>7772.5</v>
      </c>
      <c r="I248" s="16" t="inlineStr">
        <is>
          <t>سجل صرف المخزن</t>
        </is>
      </c>
      <c r="J248" s="16" t="inlineStr">
        <is>
          <t>نعم</t>
        </is>
      </c>
      <c r="K248" s="16" t="inlineStr">
        <is>
          <t>سند RN-RAW-OUT#228 – مرجع 228 – بواسطة None | ملاحظة السند: ENG.MOHAMMED ABDELMIGEED</t>
        </is>
      </c>
    </row>
    <row r="249">
      <c r="A249" s="16" t="n">
        <v>248</v>
      </c>
      <c r="B249" s="16" t="inlineStr">
        <is>
          <t>RNO</t>
        </is>
      </c>
      <c r="C249" s="16" t="inlineStr">
        <is>
          <t>صرف مواد للإنتاج – مزرعة الرياض</t>
        </is>
      </c>
      <c r="D249" s="16" t="inlineStr">
        <is>
          <t>RNO-231</t>
        </is>
      </c>
      <c r="E249" s="95" t="n">
        <v>46131</v>
      </c>
      <c r="F249" s="16" t="inlineStr">
        <is>
          <t>OPERATION-RN</t>
        </is>
      </c>
      <c r="G249" s="16" t="n">
        <v>7</v>
      </c>
      <c r="H249" s="17" t="n">
        <v>2979</v>
      </c>
      <c r="I249" s="16" t="inlineStr">
        <is>
          <t>سجل صرف المخزن</t>
        </is>
      </c>
      <c r="J249" s="16" t="inlineStr">
        <is>
          <t>نعم</t>
        </is>
      </c>
      <c r="K249" s="16" t="inlineStr">
        <is>
          <t>سند RN-RAW-OUT#231 – مرجع 231 – بواسطة None | ملاحظة السند: ENG.MOHAMMED ABDELMIGEED</t>
        </is>
      </c>
    </row>
    <row r="250">
      <c r="A250" s="16" t="n">
        <v>249</v>
      </c>
      <c r="B250" s="16" t="inlineStr">
        <is>
          <t>RNO</t>
        </is>
      </c>
      <c r="C250" s="16" t="inlineStr">
        <is>
          <t>صرف مواد للإنتاج – مزرعة الرياض</t>
        </is>
      </c>
      <c r="D250" s="16" t="inlineStr">
        <is>
          <t>RNO-236</t>
        </is>
      </c>
      <c r="E250" s="95" t="n">
        <v>46133</v>
      </c>
      <c r="F250" s="16" t="inlineStr">
        <is>
          <t>OPERATION-RN</t>
        </is>
      </c>
      <c r="G250" s="16" t="n">
        <v>3</v>
      </c>
      <c r="H250" s="17" t="n">
        <v>2203</v>
      </c>
      <c r="I250" s="16" t="inlineStr">
        <is>
          <t>سجل صرف المخزن</t>
        </is>
      </c>
      <c r="J250" s="16" t="inlineStr">
        <is>
          <t>نعم</t>
        </is>
      </c>
      <c r="K250" s="16" t="inlineStr">
        <is>
          <t>سند RN-RAW-OUT#236 – مرجع 236 – بواسطة None | ملاحظة السند: ENG.MOHAMMED ABDELMIGEED</t>
        </is>
      </c>
    </row>
    <row r="251">
      <c r="A251" s="16" t="n">
        <v>250</v>
      </c>
      <c r="B251" s="16" t="inlineStr">
        <is>
          <t>RNO</t>
        </is>
      </c>
      <c r="C251" s="16" t="inlineStr">
        <is>
          <t>صرف مواد للإنتاج – مزرعة الرياض</t>
        </is>
      </c>
      <c r="D251" s="16" t="inlineStr">
        <is>
          <t>RNO-241</t>
        </is>
      </c>
      <c r="E251" s="95" t="n">
        <v>46137</v>
      </c>
      <c r="F251" s="16" t="inlineStr">
        <is>
          <t>OPERATION-RN</t>
        </is>
      </c>
      <c r="G251" s="16" t="n">
        <v>5</v>
      </c>
      <c r="H251" s="17" t="n">
        <v>7466.5</v>
      </c>
      <c r="I251" s="16" t="inlineStr">
        <is>
          <t>سجل صرف المخزن</t>
        </is>
      </c>
      <c r="J251" s="16" t="inlineStr">
        <is>
          <t>نعم</t>
        </is>
      </c>
      <c r="K251" s="16" t="inlineStr">
        <is>
          <t>سند RN-RAW-OUT#241 – مرجع 241 – بواسطة None | ملاحظة السند: ENG.MOHAMMED ABDELMIGEED</t>
        </is>
      </c>
    </row>
    <row r="252">
      <c r="A252" s="16" t="n">
        <v>251</v>
      </c>
      <c r="B252" s="16" t="inlineStr">
        <is>
          <t>RNO</t>
        </is>
      </c>
      <c r="C252" s="16" t="inlineStr">
        <is>
          <t>صرف مواد للإنتاج – مزرعة الرياض</t>
        </is>
      </c>
      <c r="D252" s="16" t="inlineStr">
        <is>
          <t>RNO-245</t>
        </is>
      </c>
      <c r="E252" s="95" t="n">
        <v>46139</v>
      </c>
      <c r="F252" s="16" t="inlineStr">
        <is>
          <t>OPERATION-RN</t>
        </is>
      </c>
      <c r="G252" s="16" t="n">
        <v>4</v>
      </c>
      <c r="H252" s="17" t="n">
        <v>3532.5</v>
      </c>
      <c r="I252" s="16" t="inlineStr">
        <is>
          <t>سجل صرف المخزن</t>
        </is>
      </c>
      <c r="J252" s="16" t="inlineStr">
        <is>
          <t>نعم</t>
        </is>
      </c>
      <c r="K252" s="16" t="inlineStr">
        <is>
          <t>سند RN-RAW-OUT#245 – مرجع 245 – بواسطة None | ملاحظة السند: ENG.MOHAMMED ABDELMIGEED</t>
        </is>
      </c>
    </row>
    <row r="253">
      <c r="A253" s="16" t="n">
        <v>252</v>
      </c>
      <c r="B253" s="16" t="inlineStr">
        <is>
          <t>RNO</t>
        </is>
      </c>
      <c r="C253" s="16" t="inlineStr">
        <is>
          <t>صرف مواد للإنتاج – مزرعة الرياض</t>
        </is>
      </c>
      <c r="D253" s="16" t="inlineStr">
        <is>
          <t>RNO-249</t>
        </is>
      </c>
      <c r="E253" s="95" t="n">
        <v>46140</v>
      </c>
      <c r="F253" s="16" t="inlineStr">
        <is>
          <t>OPERATION-RN</t>
        </is>
      </c>
      <c r="G253" s="16" t="n">
        <v>3</v>
      </c>
      <c r="H253" s="17" t="n">
        <v>3065</v>
      </c>
      <c r="I253" s="16" t="inlineStr">
        <is>
          <t>سجل صرف المخزن</t>
        </is>
      </c>
      <c r="J253" s="16" t="inlineStr">
        <is>
          <t>نعم</t>
        </is>
      </c>
      <c r="K253" s="16" t="inlineStr">
        <is>
          <t>سند RN-RAW-OUT#249 – مرجع 249 – بواسطة None | ملاحظة السند: ENG.MOHAMMED ABDELMIGEED</t>
        </is>
      </c>
    </row>
    <row r="254">
      <c r="A254" s="16" t="n">
        <v>253</v>
      </c>
      <c r="B254" s="16" t="inlineStr">
        <is>
          <t>RNO</t>
        </is>
      </c>
      <c r="C254" s="16" t="inlineStr">
        <is>
          <t>صرف مواد للإنتاج – مزرعة الرياض</t>
        </is>
      </c>
      <c r="D254" s="16" t="inlineStr">
        <is>
          <t>RNO-251</t>
        </is>
      </c>
      <c r="E254" s="95" t="n">
        <v>46141</v>
      </c>
      <c r="F254" s="16" t="inlineStr">
        <is>
          <t>OPERATION-RN</t>
        </is>
      </c>
      <c r="G254" s="16" t="n">
        <v>1</v>
      </c>
      <c r="H254" s="17" t="n">
        <v>41.5</v>
      </c>
      <c r="I254" s="16" t="inlineStr">
        <is>
          <t>سجل صرف المخزن</t>
        </is>
      </c>
      <c r="J254" s="16" t="inlineStr">
        <is>
          <t>نعم</t>
        </is>
      </c>
      <c r="K254" s="16" t="inlineStr">
        <is>
          <t>سند RN-RAW-OUT#251 – مرجع 251 – بواسطة None | ملاحظة السند: ENG.MOHAMMED ABDELMIGEED</t>
        </is>
      </c>
    </row>
    <row r="255">
      <c r="A255" s="16" t="n">
        <v>254</v>
      </c>
      <c r="B255" s="16" t="inlineStr">
        <is>
          <t>RNO</t>
        </is>
      </c>
      <c r="C255" s="16" t="inlineStr">
        <is>
          <t>صرف مواد للإنتاج – مزرعة الرياض</t>
        </is>
      </c>
      <c r="D255" s="16" t="inlineStr">
        <is>
          <t>RNO-253</t>
        </is>
      </c>
      <c r="E255" s="95" t="n">
        <v>46141</v>
      </c>
      <c r="F255" s="16" t="inlineStr">
        <is>
          <t>OPERATION-RN</t>
        </is>
      </c>
      <c r="G255" s="16" t="n">
        <v>4</v>
      </c>
      <c r="H255" s="17" t="n">
        <v>3175</v>
      </c>
      <c r="I255" s="16" t="inlineStr">
        <is>
          <t>سجل صرف المخزن</t>
        </is>
      </c>
      <c r="J255" s="16" t="inlineStr">
        <is>
          <t>نعم</t>
        </is>
      </c>
      <c r="K255" s="16" t="inlineStr">
        <is>
          <t>سند RN-RAW-OUT#253 – مرجع 253 – بواسطة None | ملاحظة السند: ENG.MOHAMMED ABDELMIGEED</t>
        </is>
      </c>
    </row>
    <row r="256">
      <c r="A256" s="16" t="n">
        <v>255</v>
      </c>
      <c r="B256" s="16" t="inlineStr">
        <is>
          <t>RNO</t>
        </is>
      </c>
      <c r="C256" s="16" t="inlineStr">
        <is>
          <t>صرف مواد للإنتاج – مزرعة الرياض</t>
        </is>
      </c>
      <c r="D256" s="16" t="inlineStr">
        <is>
          <t>RNO-258</t>
        </is>
      </c>
      <c r="E256" s="95" t="n">
        <v>46144</v>
      </c>
      <c r="F256" s="16" t="inlineStr">
        <is>
          <t>OPERATION-RN</t>
        </is>
      </c>
      <c r="G256" s="16" t="n">
        <v>6</v>
      </c>
      <c r="H256" s="17" t="n">
        <v>2043</v>
      </c>
      <c r="I256" s="16" t="inlineStr">
        <is>
          <t>سجل صرف المخزن</t>
        </is>
      </c>
      <c r="J256" s="16" t="inlineStr">
        <is>
          <t>نعم</t>
        </is>
      </c>
      <c r="K256" s="16" t="inlineStr">
        <is>
          <t>سند RN-RAW-OUT#258 – مرجع 258 – بواسطة None | ملاحظة السند: ENG.MOHAMMED ABDELMIGEED</t>
        </is>
      </c>
    </row>
    <row r="257">
      <c r="A257" s="16" t="n">
        <v>256</v>
      </c>
      <c r="B257" s="16" t="inlineStr">
        <is>
          <t>RNO</t>
        </is>
      </c>
      <c r="C257" s="16" t="inlineStr">
        <is>
          <t>صرف مواد للإنتاج – مزرعة الرياض</t>
        </is>
      </c>
      <c r="D257" s="16" t="inlineStr">
        <is>
          <t>RNO-264</t>
        </is>
      </c>
      <c r="E257" s="95" t="n">
        <v>46146</v>
      </c>
      <c r="F257" s="16" t="inlineStr">
        <is>
          <t>OPERATION-RN</t>
        </is>
      </c>
      <c r="G257" s="16" t="n">
        <v>5</v>
      </c>
      <c r="H257" s="17" t="n">
        <v>12266.5</v>
      </c>
      <c r="I257" s="16" t="inlineStr">
        <is>
          <t>سجل صرف المخزن</t>
        </is>
      </c>
      <c r="J257" s="16" t="inlineStr">
        <is>
          <t>نعم</t>
        </is>
      </c>
      <c r="K257" s="16" t="inlineStr">
        <is>
          <t>سند RN-RAW-OUT#264 – مرجع 264 – بواسطة None | ملاحظة السند: ENG.MOHAMMED ABDELMIGEED</t>
        </is>
      </c>
    </row>
    <row r="258">
      <c r="A258" s="16" t="n">
        <v>257</v>
      </c>
      <c r="B258" s="16" t="inlineStr">
        <is>
          <t>RNO</t>
        </is>
      </c>
      <c r="C258" s="16" t="inlineStr">
        <is>
          <t>صرف مواد للإنتاج – مزرعة الرياض</t>
        </is>
      </c>
      <c r="D258" s="16" t="inlineStr">
        <is>
          <t>RNO-268</t>
        </is>
      </c>
      <c r="E258" s="95" t="n">
        <v>46147</v>
      </c>
      <c r="F258" s="16" t="inlineStr">
        <is>
          <t>OPERATION-RN</t>
        </is>
      </c>
      <c r="G258" s="16" t="n">
        <v>6</v>
      </c>
      <c r="H258" s="17" t="n">
        <v>9853</v>
      </c>
      <c r="I258" s="16" t="inlineStr">
        <is>
          <t>سجل صرف المخزن</t>
        </is>
      </c>
      <c r="J258" s="16" t="inlineStr">
        <is>
          <t>نعم</t>
        </is>
      </c>
      <c r="K258" s="16" t="inlineStr">
        <is>
          <t>سند RN-RAW-OUT#268 – مرجع 268 – بواسطة None | ملاحظة السند: ENG.MOHAMMED ABDELMIGEED</t>
        </is>
      </c>
    </row>
    <row r="259">
      <c r="A259" s="16" t="n">
        <v>258</v>
      </c>
      <c r="B259" s="16" t="inlineStr">
        <is>
          <t>RNO</t>
        </is>
      </c>
      <c r="C259" s="16" t="inlineStr">
        <is>
          <t>صرف مواد للإنتاج – مزرعة الرياض</t>
        </is>
      </c>
      <c r="D259" s="16" t="inlineStr">
        <is>
          <t>RNO-272</t>
        </is>
      </c>
      <c r="E259" s="95" t="n">
        <v>46148</v>
      </c>
      <c r="F259" s="16" t="inlineStr">
        <is>
          <t>OPERATION-RN</t>
        </is>
      </c>
      <c r="G259" s="16" t="n">
        <v>3</v>
      </c>
      <c r="H259" s="17" t="n">
        <v>1090</v>
      </c>
      <c r="I259" s="16" t="inlineStr">
        <is>
          <t>سجل صرف المخزن</t>
        </is>
      </c>
      <c r="J259" s="16" t="inlineStr">
        <is>
          <t>نعم</t>
        </is>
      </c>
      <c r="K259" s="16" t="inlineStr">
        <is>
          <t>سند RN-RAW-OUT#272 – مرجع 272 – بواسطة None | ملاحظة السند: ENG.MOHAMMED ABDELMIGEED</t>
        </is>
      </c>
    </row>
    <row r="260">
      <c r="A260" s="16" t="n">
        <v>259</v>
      </c>
      <c r="B260" s="16" t="inlineStr">
        <is>
          <t>RNO</t>
        </is>
      </c>
      <c r="C260" s="16" t="inlineStr">
        <is>
          <t>صرف مواد للإنتاج – مزرعة الرياض</t>
        </is>
      </c>
      <c r="D260" s="16" t="inlineStr">
        <is>
          <t>RNO-274</t>
        </is>
      </c>
      <c r="E260" s="95" t="n">
        <v>46149</v>
      </c>
      <c r="F260" s="16" t="inlineStr">
        <is>
          <t>OPERATION-RN</t>
        </is>
      </c>
      <c r="G260" s="16" t="n">
        <v>3</v>
      </c>
      <c r="H260" s="17" t="n">
        <v>2151</v>
      </c>
      <c r="I260" s="16" t="inlineStr">
        <is>
          <t>سجل صرف المخزن</t>
        </is>
      </c>
      <c r="J260" s="16" t="inlineStr">
        <is>
          <t>نعم</t>
        </is>
      </c>
      <c r="K260" s="16" t="inlineStr">
        <is>
          <t>سند RN-RAW-OUT#274 – مرجع 274 – بواسطة None | ملاحظة السند: ENG.MOHAMMED ABDELMIGEED</t>
        </is>
      </c>
    </row>
    <row r="261">
      <c r="A261" s="16" t="n">
        <v>260</v>
      </c>
      <c r="B261" s="16" t="inlineStr">
        <is>
          <t>RNO</t>
        </is>
      </c>
      <c r="C261" s="16" t="inlineStr">
        <is>
          <t>صرف مواد للإنتاج – مزرعة الرياض</t>
        </is>
      </c>
      <c r="D261" s="16" t="inlineStr">
        <is>
          <t>RNO-280</t>
        </is>
      </c>
      <c r="E261" s="95" t="n">
        <v>46152</v>
      </c>
      <c r="F261" s="16" t="inlineStr">
        <is>
          <t>OPERATION-RN</t>
        </is>
      </c>
      <c r="G261" s="16" t="n">
        <v>4</v>
      </c>
      <c r="H261" s="17" t="n">
        <v>4892</v>
      </c>
      <c r="I261" s="16" t="inlineStr">
        <is>
          <t>سجل صرف المخزن</t>
        </is>
      </c>
      <c r="J261" s="16" t="inlineStr">
        <is>
          <t>نعم</t>
        </is>
      </c>
      <c r="K261" s="16" t="inlineStr">
        <is>
          <t>سند RN-RAW-OUT#280 – مرجع 280 – بواسطة None | ملاحظة السند: ENG.MOHAMMED ABDELMIGEED</t>
        </is>
      </c>
    </row>
    <row r="262">
      <c r="A262" s="16" t="n">
        <v>261</v>
      </c>
      <c r="B262" s="16" t="inlineStr">
        <is>
          <t>RNO</t>
        </is>
      </c>
      <c r="C262" s="16" t="inlineStr">
        <is>
          <t>صرف مواد للإنتاج – مزرعة الرياض</t>
        </is>
      </c>
      <c r="D262" s="16" t="inlineStr">
        <is>
          <t>RNO-282</t>
        </is>
      </c>
      <c r="E262" s="95" t="n">
        <v>46153</v>
      </c>
      <c r="F262" s="16" t="inlineStr">
        <is>
          <t>OPERATION-RN</t>
        </is>
      </c>
      <c r="G262" s="16" t="n">
        <v>11</v>
      </c>
      <c r="H262" s="17" t="n">
        <v>3089</v>
      </c>
      <c r="I262" s="16" t="inlineStr">
        <is>
          <t>سجل صرف المخزن</t>
        </is>
      </c>
      <c r="J262" s="16" t="inlineStr">
        <is>
          <t>نعم</t>
        </is>
      </c>
      <c r="K262" s="16" t="inlineStr">
        <is>
          <t>سند RN-RAW-OUT#282 – مرجع 282 – بواسطة None | ملاحظة السند: ENG.MOHAMMED ABDELMIGEED</t>
        </is>
      </c>
    </row>
    <row r="263">
      <c r="A263" s="18" t="n">
        <v>262</v>
      </c>
      <c r="B263" s="18" t="inlineStr">
        <is>
          <t>RNO</t>
        </is>
      </c>
      <c r="C263" s="18" t="inlineStr">
        <is>
          <t>صرف مواد للإنتاج – مزرعة الرياض</t>
        </is>
      </c>
      <c r="D263" s="18" t="inlineStr">
        <is>
          <t>RNO-287-REV1</t>
        </is>
      </c>
      <c r="E263" s="98" t="n">
        <v>46155</v>
      </c>
      <c r="F263" s="18" t="inlineStr">
        <is>
          <t>OPERATION-RN</t>
        </is>
      </c>
      <c r="G263" s="18" t="n">
        <v>3</v>
      </c>
      <c r="H263" s="19" t="n">
        <v>671.5</v>
      </c>
      <c r="I263" s="18" t="inlineStr">
        <is>
          <t>سجل صرف المخزن</t>
        </is>
      </c>
      <c r="J263" s="18" t="inlineStr">
        <is>
          <t>نعم</t>
        </is>
      </c>
      <c r="K263" s="18" t="inlineStr">
        <is>
          <t>سند RN-RAW-OUT#287-REV1 – مرجع 287 – بواسطة None | ملاحظة السند: ENG.MOHAMMED ABDELMIGEED | ⚠ سند معدّل (REV1)</t>
        </is>
      </c>
    </row>
    <row r="264">
      <c r="A264" s="16" t="n">
        <v>263</v>
      </c>
      <c r="B264" s="16" t="inlineStr">
        <is>
          <t>RNO</t>
        </is>
      </c>
      <c r="C264" s="16" t="inlineStr">
        <is>
          <t>صرف مواد للإنتاج – مزرعة الرياض</t>
        </is>
      </c>
      <c r="D264" s="16" t="inlineStr">
        <is>
          <t>RNO-289</t>
        </is>
      </c>
      <c r="E264" s="95" t="n">
        <v>46156</v>
      </c>
      <c r="F264" s="16" t="inlineStr">
        <is>
          <t>OPERATION-RN</t>
        </is>
      </c>
      <c r="G264" s="16" t="n">
        <v>2</v>
      </c>
      <c r="H264" s="17" t="n">
        <v>4121.5</v>
      </c>
      <c r="I264" s="16" t="inlineStr">
        <is>
          <t>سجل صرف المخزن</t>
        </is>
      </c>
      <c r="J264" s="16" t="inlineStr">
        <is>
          <t>نعم</t>
        </is>
      </c>
      <c r="K264" s="16" t="inlineStr">
        <is>
          <t>سند RN-RAW-OUT#289 – مرجع 289 – بواسطة None | ملاحظة السند: ENG.MOHAMMED ABDELMIGEED</t>
        </is>
      </c>
    </row>
    <row r="265">
      <c r="A265" s="16" t="n">
        <v>264</v>
      </c>
      <c r="B265" s="16" t="inlineStr">
        <is>
          <t>RNO</t>
        </is>
      </c>
      <c r="C265" s="16" t="inlineStr">
        <is>
          <t>صرف مواد للإنتاج – مزرعة الرياض</t>
        </is>
      </c>
      <c r="D265" s="16" t="inlineStr">
        <is>
          <t>RNO-291</t>
        </is>
      </c>
      <c r="E265" s="95" t="n">
        <v>46156</v>
      </c>
      <c r="F265" s="16" t="inlineStr">
        <is>
          <t>OPERATION-RN</t>
        </is>
      </c>
      <c r="G265" s="16" t="n">
        <v>2</v>
      </c>
      <c r="H265" s="17" t="n">
        <v>96</v>
      </c>
      <c r="I265" s="16" t="inlineStr">
        <is>
          <t>سجل صرف المخزن</t>
        </is>
      </c>
      <c r="J265" s="16" t="inlineStr">
        <is>
          <t>نعم</t>
        </is>
      </c>
      <c r="K265" s="16" t="inlineStr">
        <is>
          <t>سند RN-RAW-OUT#291 – مرجع 291 – بواسطة None | ملاحظة السند: ENG.MOHAMMED ABDELMIGEED</t>
        </is>
      </c>
    </row>
    <row r="266">
      <c r="A266" s="16" t="n">
        <v>265</v>
      </c>
      <c r="B266" s="16" t="inlineStr">
        <is>
          <t>RNO</t>
        </is>
      </c>
      <c r="C266" s="16" t="inlineStr">
        <is>
          <t>صرف مواد للإنتاج – مزرعة الرياض</t>
        </is>
      </c>
      <c r="D266" s="16" t="inlineStr">
        <is>
          <t>RNO-295</t>
        </is>
      </c>
      <c r="E266" s="95" t="n">
        <v>46160</v>
      </c>
      <c r="F266" s="16" t="inlineStr">
        <is>
          <t>OPERATION-RN</t>
        </is>
      </c>
      <c r="G266" s="16" t="n">
        <v>1</v>
      </c>
      <c r="H266" s="17" t="n">
        <v>41.5</v>
      </c>
      <c r="I266" s="16" t="inlineStr">
        <is>
          <t>سجل صرف المخزن</t>
        </is>
      </c>
      <c r="J266" s="16" t="inlineStr">
        <is>
          <t>نعم</t>
        </is>
      </c>
      <c r="K266" s="16" t="inlineStr">
        <is>
          <t>سند RN-RAW-OUT#295 – مرجع 295 – بواسطة None | ملاحظة السند: ENG.MOHAMMED ABDELMIGEED</t>
        </is>
      </c>
    </row>
    <row r="267">
      <c r="A267" s="16" t="n">
        <v>266</v>
      </c>
      <c r="B267" s="16" t="inlineStr">
        <is>
          <t>RNO</t>
        </is>
      </c>
      <c r="C267" s="16" t="inlineStr">
        <is>
          <t>صرف مواد للإنتاج – مزرعة الرياض</t>
        </is>
      </c>
      <c r="D267" s="16" t="inlineStr">
        <is>
          <t>RNO-300</t>
        </is>
      </c>
      <c r="E267" s="95" t="n">
        <v>46162</v>
      </c>
      <c r="F267" s="16" t="inlineStr">
        <is>
          <t>OPERATION-RN</t>
        </is>
      </c>
      <c r="G267" s="16" t="n">
        <v>1</v>
      </c>
      <c r="H267" s="17" t="n">
        <v>4160</v>
      </c>
      <c r="I267" s="16" t="inlineStr">
        <is>
          <t>سجل صرف المخزن</t>
        </is>
      </c>
      <c r="J267" s="16" t="inlineStr">
        <is>
          <t>نعم</t>
        </is>
      </c>
      <c r="K267" s="16" t="inlineStr">
        <is>
          <t>سند RN-RAW-OUT#300 – مرجع 300 – بواسطة None | ملاحظة السند: ENG.MOHAMMED ABDELMIGEED</t>
        </is>
      </c>
    </row>
    <row r="268">
      <c r="A268" s="16" t="n">
        <v>267</v>
      </c>
      <c r="B268" s="16" t="inlineStr">
        <is>
          <t>RNO</t>
        </is>
      </c>
      <c r="C268" s="16" t="inlineStr">
        <is>
          <t>صرف مواد للإنتاج – مزرعة الرياض</t>
        </is>
      </c>
      <c r="D268" s="16" t="inlineStr">
        <is>
          <t>RNO-302</t>
        </is>
      </c>
      <c r="E268" s="95" t="n">
        <v>46165</v>
      </c>
      <c r="F268" s="16" t="inlineStr">
        <is>
          <t>OPERATION-RN</t>
        </is>
      </c>
      <c r="G268" s="16" t="n">
        <v>12</v>
      </c>
      <c r="H268" s="17" t="n">
        <v>4079.5</v>
      </c>
      <c r="I268" s="16" t="inlineStr">
        <is>
          <t>سجل صرف المخزن</t>
        </is>
      </c>
      <c r="J268" s="16" t="inlineStr">
        <is>
          <t>نعم</t>
        </is>
      </c>
      <c r="K268" s="16" t="inlineStr">
        <is>
          <t>سند RN-RAW-OUT#302 – مرجع 302 – بواسطة None | ملاحظة السند: ENG.MOHAMMED ABDELMIGEED</t>
        </is>
      </c>
    </row>
    <row r="269">
      <c r="A269" s="16" t="n">
        <v>268</v>
      </c>
      <c r="B269" s="16" t="inlineStr">
        <is>
          <t>RNO</t>
        </is>
      </c>
      <c r="C269" s="16" t="inlineStr">
        <is>
          <t>صرف مواد للإنتاج – مزرعة الرياض</t>
        </is>
      </c>
      <c r="D269" s="16" t="inlineStr">
        <is>
          <t>RNO-304</t>
        </is>
      </c>
      <c r="E269" s="95" t="n">
        <v>46166</v>
      </c>
      <c r="F269" s="16" t="inlineStr">
        <is>
          <t>OPERATION-RN</t>
        </is>
      </c>
      <c r="G269" s="16" t="n">
        <v>3</v>
      </c>
      <c r="H269" s="17" t="n">
        <v>3119.5</v>
      </c>
      <c r="I269" s="16" t="inlineStr">
        <is>
          <t>سجل صرف المخزن</t>
        </is>
      </c>
      <c r="J269" s="16" t="inlineStr">
        <is>
          <t>نعم</t>
        </is>
      </c>
      <c r="K269" s="16" t="inlineStr">
        <is>
          <t>سند RN-RAW-OUT#304 – مرجع 304 – بواسطة None | ملاحظة السند: ENG.MOHAMMED ABDELMIGEED</t>
        </is>
      </c>
    </row>
    <row r="270">
      <c r="A270" s="16" t="n">
        <v>269</v>
      </c>
      <c r="B270" s="16" t="inlineStr">
        <is>
          <t>RNO</t>
        </is>
      </c>
      <c r="C270" s="16" t="inlineStr">
        <is>
          <t>صرف مواد للإنتاج – مزرعة الرياض</t>
        </is>
      </c>
      <c r="D270" s="16" t="inlineStr">
        <is>
          <t>RNO-308</t>
        </is>
      </c>
      <c r="E270" s="95" t="n">
        <v>46167</v>
      </c>
      <c r="F270" s="16" t="inlineStr">
        <is>
          <t>OPERATION-RN</t>
        </is>
      </c>
      <c r="G270" s="16" t="n">
        <v>2</v>
      </c>
      <c r="H270" s="17" t="n">
        <v>4158</v>
      </c>
      <c r="I270" s="16" t="inlineStr">
        <is>
          <t>سجل صرف المخزن</t>
        </is>
      </c>
      <c r="J270" s="16" t="inlineStr">
        <is>
          <t>نعم</t>
        </is>
      </c>
      <c r="K270" s="16" t="inlineStr">
        <is>
          <t>سند RN-RAW-OUT#308 – مرجع 308 – بواسطة None | ملاحظة السند: ENG.MOHAMMED ABDELMIGEED</t>
        </is>
      </c>
    </row>
    <row r="271">
      <c r="A271" s="16" t="n">
        <v>270</v>
      </c>
      <c r="B271" s="16" t="inlineStr">
        <is>
          <t>RNO</t>
        </is>
      </c>
      <c r="C271" s="16" t="inlineStr">
        <is>
          <t>صرف مواد للإنتاج – مزرعة الرياض</t>
        </is>
      </c>
      <c r="D271" s="16" t="inlineStr">
        <is>
          <t>RNO-312</t>
        </is>
      </c>
      <c r="E271" s="95" t="n">
        <v>46172</v>
      </c>
      <c r="F271" s="16" t="inlineStr">
        <is>
          <t>OPERATION-RN</t>
        </is>
      </c>
      <c r="G271" s="16" t="n">
        <v>3</v>
      </c>
      <c r="H271" s="17" t="n">
        <v>2264</v>
      </c>
      <c r="I271" s="16" t="inlineStr">
        <is>
          <t>سجل صرف المخزن</t>
        </is>
      </c>
      <c r="J271" s="16" t="inlineStr">
        <is>
          <t>نعم</t>
        </is>
      </c>
      <c r="K271" s="16" t="inlineStr">
        <is>
          <t>سند RN-RAW-OUT#312 – مرجع 312 – بواسطة None | ملاحظة السند: ENG.MOHAMMED ABDELMIGEED</t>
        </is>
      </c>
    </row>
    <row r="272">
      <c r="A272" s="16" t="n">
        <v>271</v>
      </c>
      <c r="B272" s="16" t="inlineStr">
        <is>
          <t>RNO</t>
        </is>
      </c>
      <c r="C272" s="16" t="inlineStr">
        <is>
          <t>صرف مواد للإنتاج – مزرعة الرياض</t>
        </is>
      </c>
      <c r="D272" s="16" t="inlineStr">
        <is>
          <t>RNO-315</t>
        </is>
      </c>
      <c r="E272" s="95" t="n">
        <v>46173</v>
      </c>
      <c r="F272" s="16" t="inlineStr">
        <is>
          <t>OPERATION-RN</t>
        </is>
      </c>
      <c r="G272" s="16" t="n">
        <v>2</v>
      </c>
      <c r="H272" s="17" t="n">
        <v>1449.5</v>
      </c>
      <c r="I272" s="16" t="inlineStr">
        <is>
          <t>سجل صرف المخزن</t>
        </is>
      </c>
      <c r="J272" s="16" t="inlineStr">
        <is>
          <t>نعم</t>
        </is>
      </c>
      <c r="K272" s="16" t="inlineStr">
        <is>
          <t>سند RN-RAW-OUT#315 – مرجع 315 – بواسطة None | ملاحظة السند: ENG.MOHAMMED ABDELMIGEED</t>
        </is>
      </c>
    </row>
    <row r="273">
      <c r="A273" s="16" t="n">
        <v>272</v>
      </c>
      <c r="B273" s="16" t="inlineStr">
        <is>
          <t>RNO</t>
        </is>
      </c>
      <c r="C273" s="16" t="inlineStr">
        <is>
          <t>صرف مواد للإنتاج – مزرعة الرياض</t>
        </is>
      </c>
      <c r="D273" s="16" t="inlineStr">
        <is>
          <t>RNO-317</t>
        </is>
      </c>
      <c r="E273" s="95" t="n">
        <v>46174</v>
      </c>
      <c r="F273" s="16" t="inlineStr">
        <is>
          <t>OPERATION-RN</t>
        </is>
      </c>
      <c r="G273" s="16" t="n">
        <v>2</v>
      </c>
      <c r="H273" s="17" t="n">
        <v>935</v>
      </c>
      <c r="I273" s="16" t="inlineStr">
        <is>
          <t>سجل صرف المخزن</t>
        </is>
      </c>
      <c r="J273" s="16" t="inlineStr">
        <is>
          <t>نعم</t>
        </is>
      </c>
      <c r="K273" s="16" t="inlineStr">
        <is>
          <t>سند RN-RAW-OUT#317 – مرجع 317 – بواسطة None | ملاحظة السند: ENG.MOHAMMED ABDELMIGEED</t>
        </is>
      </c>
    </row>
    <row r="274">
      <c r="A274" s="16" t="n">
        <v>273</v>
      </c>
      <c r="B274" s="16" t="inlineStr">
        <is>
          <t>RNO</t>
        </is>
      </c>
      <c r="C274" s="16" t="inlineStr">
        <is>
          <t>صرف مواد للإنتاج – مزرعة الرياض</t>
        </is>
      </c>
      <c r="D274" s="16" t="inlineStr">
        <is>
          <t>RNO-320</t>
        </is>
      </c>
      <c r="E274" s="95" t="n">
        <v>46175</v>
      </c>
      <c r="F274" s="16" t="inlineStr">
        <is>
          <t>OPERATION-RN</t>
        </is>
      </c>
      <c r="G274" s="16" t="n">
        <v>3</v>
      </c>
      <c r="H274" s="17" t="n">
        <v>3148</v>
      </c>
      <c r="I274" s="16" t="inlineStr">
        <is>
          <t>سجل صرف المخزن</t>
        </is>
      </c>
      <c r="J274" s="16" t="inlineStr">
        <is>
          <t>نعم</t>
        </is>
      </c>
      <c r="K274" s="16" t="inlineStr">
        <is>
          <t>سند RN-RAW-OUT#320 – مرجع 320 – بواسطة None | ملاحظة السند: ENG.MOHAMMED ABDELMIGEED</t>
        </is>
      </c>
    </row>
    <row r="275">
      <c r="A275" s="25" t="n">
        <v>274</v>
      </c>
      <c r="B275" s="25" t="inlineStr">
        <is>
          <t>RNO</t>
        </is>
      </c>
      <c r="C275" s="25" t="inlineStr">
        <is>
          <t>صرف مواد للإنتاج – مزرعة الرياض</t>
        </is>
      </c>
      <c r="D275" s="25" t="inlineStr">
        <is>
          <t>ISV-0002</t>
        </is>
      </c>
      <c r="E275" s="96" t="n">
        <v>46186</v>
      </c>
      <c r="F275" s="25" t="inlineStr">
        <is>
          <t>PRODUCTION OPERATION-RN</t>
        </is>
      </c>
      <c r="G275" s="25" t="n">
        <v>2</v>
      </c>
      <c r="H275" s="27" t="n">
        <v>161.5</v>
      </c>
      <c r="I275" s="25" t="inlineStr">
        <is>
          <t>النظام الجديد</t>
        </is>
      </c>
      <c r="J275" s="25" t="inlineStr">
        <is>
          <t>نعم</t>
        </is>
      </c>
      <c r="K275" s="25" t="inlineStr">
        <is>
          <t>مرجع الطلب: RNPR-0012</t>
        </is>
      </c>
    </row>
    <row r="276">
      <c r="A276" s="25" t="n">
        <v>275</v>
      </c>
      <c r="B276" s="25" t="inlineStr">
        <is>
          <t>RNO</t>
        </is>
      </c>
      <c r="C276" s="25" t="inlineStr">
        <is>
          <t>صرف مواد للإنتاج – مزرعة الرياض</t>
        </is>
      </c>
      <c r="D276" s="25" t="inlineStr">
        <is>
          <t>ISV-0003</t>
        </is>
      </c>
      <c r="E276" s="96" t="n">
        <v>46186</v>
      </c>
      <c r="F276" s="25" t="inlineStr">
        <is>
          <t>PRODUCTION OPERATION-RN</t>
        </is>
      </c>
      <c r="G276" s="25" t="n">
        <v>1</v>
      </c>
      <c r="H276" s="27" t="n">
        <v>310.5</v>
      </c>
      <c r="I276" s="25" t="inlineStr">
        <is>
          <t>النظام الجديد</t>
        </is>
      </c>
      <c r="J276" s="25" t="inlineStr">
        <is>
          <t>نعم</t>
        </is>
      </c>
      <c r="K276" s="25" t="inlineStr">
        <is>
          <t>مرجع الطلب: RNPR-0013</t>
        </is>
      </c>
    </row>
    <row r="277">
      <c r="A277" s="25" t="n">
        <v>276</v>
      </c>
      <c r="B277" s="25" t="inlineStr">
        <is>
          <t>RNO</t>
        </is>
      </c>
      <c r="C277" s="25" t="inlineStr">
        <is>
          <t>صرف مواد للإنتاج – مزرعة الرياض</t>
        </is>
      </c>
      <c r="D277" s="25" t="inlineStr">
        <is>
          <t>ISV-0008</t>
        </is>
      </c>
      <c r="E277" s="96" t="n">
        <v>46187</v>
      </c>
      <c r="F277" s="25" t="inlineStr">
        <is>
          <t>PRODUCTION OPERATION-RN</t>
        </is>
      </c>
      <c r="G277" s="25" t="n">
        <v>5</v>
      </c>
      <c r="H277" s="27" t="n">
        <v>2796</v>
      </c>
      <c r="I277" s="25" t="inlineStr">
        <is>
          <t>النظام الجديد</t>
        </is>
      </c>
      <c r="J277" s="25" t="inlineStr">
        <is>
          <t>نعم</t>
        </is>
      </c>
      <c r="K277" s="25" t="inlineStr">
        <is>
          <t>مرجع الطلب: RNPR-0014</t>
        </is>
      </c>
    </row>
    <row r="278">
      <c r="A278" s="25" t="n">
        <v>277</v>
      </c>
      <c r="B278" s="25" t="inlineStr">
        <is>
          <t>RNO</t>
        </is>
      </c>
      <c r="C278" s="25" t="inlineStr">
        <is>
          <t>صرف مواد للإنتاج – مزرعة الرياض</t>
        </is>
      </c>
      <c r="D278" s="25" t="inlineStr">
        <is>
          <t>ISV-0018</t>
        </is>
      </c>
      <c r="E278" s="96" t="n">
        <v>46190</v>
      </c>
      <c r="F278" s="25" t="inlineStr">
        <is>
          <t>PRODUCTION OPERATION-RN</t>
        </is>
      </c>
      <c r="G278" s="25" t="n">
        <v>3</v>
      </c>
      <c r="H278" s="27" t="n">
        <v>3028</v>
      </c>
      <c r="I278" s="25" t="inlineStr">
        <is>
          <t>النظام الجديد</t>
        </is>
      </c>
      <c r="J278" s="25" t="inlineStr">
        <is>
          <t>نعم</t>
        </is>
      </c>
      <c r="K278" s="25" t="inlineStr">
        <is>
          <t>مرجع الطلب: RNPR-0016</t>
        </is>
      </c>
    </row>
    <row r="279">
      <c r="A279" s="25" t="n">
        <v>278</v>
      </c>
      <c r="B279" s="25" t="inlineStr">
        <is>
          <t>RNO</t>
        </is>
      </c>
      <c r="C279" s="25" t="inlineStr">
        <is>
          <t>صرف مواد للإنتاج – مزرعة الرياض</t>
        </is>
      </c>
      <c r="D279" s="25" t="inlineStr">
        <is>
          <t>ISV-0023</t>
        </is>
      </c>
      <c r="E279" s="96" t="n">
        <v>46194</v>
      </c>
      <c r="F279" s="25" t="inlineStr">
        <is>
          <t>PRODUCTION OPERATION-RN</t>
        </is>
      </c>
      <c r="G279" s="25" t="n">
        <v>2</v>
      </c>
      <c r="H279" s="27" t="n">
        <v>643.5</v>
      </c>
      <c r="I279" s="25" t="inlineStr">
        <is>
          <t>النظام الجديد</t>
        </is>
      </c>
      <c r="J279" s="25" t="inlineStr">
        <is>
          <t>نعم</t>
        </is>
      </c>
      <c r="K279" s="25" t="inlineStr">
        <is>
          <t>مرجع الطلب: RNPR-0017</t>
        </is>
      </c>
    </row>
    <row r="280">
      <c r="A280" s="25" t="n">
        <v>279</v>
      </c>
      <c r="B280" s="25" t="inlineStr">
        <is>
          <t>RNO</t>
        </is>
      </c>
      <c r="C280" s="25" t="inlineStr">
        <is>
          <t>صرف مواد للإنتاج – مزرعة الرياض</t>
        </is>
      </c>
      <c r="D280" s="25" t="inlineStr">
        <is>
          <t>ISV-0042</t>
        </is>
      </c>
      <c r="E280" s="96" t="n">
        <v>46198</v>
      </c>
      <c r="F280" s="25" t="inlineStr">
        <is>
          <t>PRODUCTION OPERATION-RN</t>
        </is>
      </c>
      <c r="G280" s="25" t="n">
        <v>3</v>
      </c>
      <c r="H280" s="27" t="n">
        <v>2125.5</v>
      </c>
      <c r="I280" s="25" t="inlineStr">
        <is>
          <t>النظام الجديد</t>
        </is>
      </c>
      <c r="J280" s="25" t="inlineStr">
        <is>
          <t>نعم</t>
        </is>
      </c>
      <c r="K280" s="25" t="inlineStr">
        <is>
          <t>مرجع الطلب: ORD-20260625090652</t>
        </is>
      </c>
    </row>
    <row r="281">
      <c r="A281" s="25" t="n">
        <v>280</v>
      </c>
      <c r="B281" s="25" t="inlineStr">
        <is>
          <t>RNO</t>
        </is>
      </c>
      <c r="C281" s="25" t="inlineStr">
        <is>
          <t>صرف مواد للإنتاج – مزرعة الرياض</t>
        </is>
      </c>
      <c r="D281" s="25" t="inlineStr">
        <is>
          <t>ISV-0046</t>
        </is>
      </c>
      <c r="E281" s="96" t="n">
        <v>46200</v>
      </c>
      <c r="F281" s="25" t="inlineStr">
        <is>
          <t>PRODUCTION OPERATION-RN</t>
        </is>
      </c>
      <c r="G281" s="25" t="n">
        <v>3</v>
      </c>
      <c r="H281" s="27" t="n">
        <v>895.5</v>
      </c>
      <c r="I281" s="25" t="inlineStr">
        <is>
          <t>النظام الجديد</t>
        </is>
      </c>
      <c r="J281" s="25" t="inlineStr">
        <is>
          <t>نعم</t>
        </is>
      </c>
      <c r="K281" s="25" t="inlineStr">
        <is>
          <t>مرجع الطلب: RNPR-0018</t>
        </is>
      </c>
    </row>
    <row r="282">
      <c r="A282" s="25" t="n">
        <v>281</v>
      </c>
      <c r="B282" s="25" t="inlineStr">
        <is>
          <t>RNO</t>
        </is>
      </c>
      <c r="C282" s="25" t="inlineStr">
        <is>
          <t>صرف مواد للإنتاج – مزرعة الرياض</t>
        </is>
      </c>
      <c r="D282" s="25" t="inlineStr">
        <is>
          <t>ISV-0047</t>
        </is>
      </c>
      <c r="E282" s="96" t="n">
        <v>46200</v>
      </c>
      <c r="F282" s="25" t="inlineStr">
        <is>
          <t>PRODUCTION OPERATION-RN</t>
        </is>
      </c>
      <c r="G282" s="25" t="n">
        <v>1</v>
      </c>
      <c r="H282" s="27" t="n">
        <v>19584</v>
      </c>
      <c r="I282" s="25" t="inlineStr">
        <is>
          <t>النظام الجديد</t>
        </is>
      </c>
      <c r="J282" s="25" t="inlineStr">
        <is>
          <t>نعم</t>
        </is>
      </c>
      <c r="K282" s="25" t="inlineStr">
        <is>
          <t>مرجع الطلب: RNPR-0019</t>
        </is>
      </c>
    </row>
    <row r="283">
      <c r="A283" s="25" t="n">
        <v>282</v>
      </c>
      <c r="B283" s="25" t="inlineStr">
        <is>
          <t>RNO</t>
        </is>
      </c>
      <c r="C283" s="25" t="inlineStr">
        <is>
          <t>صرف مواد للإنتاج – مزرعة الرياض</t>
        </is>
      </c>
      <c r="D283" s="25" t="inlineStr">
        <is>
          <t>ISV-0053</t>
        </is>
      </c>
      <c r="E283" s="96" t="n">
        <v>46201</v>
      </c>
      <c r="F283" s="25" t="inlineStr">
        <is>
          <t>PRODUCTION OPERATION-RN</t>
        </is>
      </c>
      <c r="G283" s="25" t="n">
        <v>1</v>
      </c>
      <c r="H283" s="27" t="n">
        <v>13392</v>
      </c>
      <c r="I283" s="25" t="inlineStr">
        <is>
          <t>النظام الجديد</t>
        </is>
      </c>
      <c r="J283" s="25" t="inlineStr">
        <is>
          <t>نعم</t>
        </is>
      </c>
      <c r="K283" s="25" t="inlineStr">
        <is>
          <t>مرجع الطلب: ORD-20260628102531</t>
        </is>
      </c>
    </row>
    <row r="284">
      <c r="A284" s="25" t="n">
        <v>283</v>
      </c>
      <c r="B284" s="25" t="inlineStr">
        <is>
          <t>RNO</t>
        </is>
      </c>
      <c r="C284" s="25" t="inlineStr">
        <is>
          <t>صرف مواد للإنتاج – مزرعة الرياض</t>
        </is>
      </c>
      <c r="D284" s="25" t="inlineStr">
        <is>
          <t>ISV-0061</t>
        </is>
      </c>
      <c r="E284" s="96" t="n">
        <v>46202</v>
      </c>
      <c r="F284" s="25" t="inlineStr">
        <is>
          <t>PRODUCTION OPERATION-RN</t>
        </is>
      </c>
      <c r="G284" s="25" t="n">
        <v>3</v>
      </c>
      <c r="H284" s="27" t="n">
        <v>3217.5</v>
      </c>
      <c r="I284" s="25" t="inlineStr">
        <is>
          <t>النظام الجديد</t>
        </is>
      </c>
      <c r="J284" s="25" t="inlineStr">
        <is>
          <t>نعم</t>
        </is>
      </c>
      <c r="K284" s="25" t="inlineStr">
        <is>
          <t>مرجع الطلب: ORD-20260629092656 | حالته بالنظام: مرتجع جزئي – التفصيل لا يوضح الكمية المرتجعة</t>
        </is>
      </c>
    </row>
    <row r="285">
      <c r="A285" s="25" t="n">
        <v>284</v>
      </c>
      <c r="B285" s="25" t="inlineStr">
        <is>
          <t>RNO</t>
        </is>
      </c>
      <c r="C285" s="25" t="inlineStr">
        <is>
          <t>صرف مواد للإنتاج – مزرعة الرياض</t>
        </is>
      </c>
      <c r="D285" s="25" t="inlineStr">
        <is>
          <t>ISV-0062</t>
        </is>
      </c>
      <c r="E285" s="96" t="n">
        <v>46203</v>
      </c>
      <c r="F285" s="25" t="inlineStr">
        <is>
          <t>PRODUCTION OPERATION-RN</t>
        </is>
      </c>
      <c r="G285" s="25" t="n">
        <v>4</v>
      </c>
      <c r="H285" s="27" t="n">
        <v>1068.5</v>
      </c>
      <c r="I285" s="25" t="inlineStr">
        <is>
          <t>النظام الجديد</t>
        </is>
      </c>
      <c r="J285" s="25" t="inlineStr">
        <is>
          <t>نعم</t>
        </is>
      </c>
      <c r="K285" s="25" t="inlineStr">
        <is>
          <t>مرجع الطلب: RNPR-0020</t>
        </is>
      </c>
    </row>
    <row r="286">
      <c r="A286" s="25" t="n">
        <v>285</v>
      </c>
      <c r="B286" s="25" t="inlineStr">
        <is>
          <t>RNO</t>
        </is>
      </c>
      <c r="C286" s="25" t="inlineStr">
        <is>
          <t>صرف مواد للإنتاج – مزرعة الرياض</t>
        </is>
      </c>
      <c r="D286" s="25" t="inlineStr">
        <is>
          <t>ISV-0063</t>
        </is>
      </c>
      <c r="E286" s="96" t="n">
        <v>46203</v>
      </c>
      <c r="F286" s="25" t="inlineStr">
        <is>
          <t>PRODUCTION OPERATION-RN</t>
        </is>
      </c>
      <c r="G286" s="25" t="n">
        <v>1</v>
      </c>
      <c r="H286" s="27" t="n">
        <v>1500</v>
      </c>
      <c r="I286" s="25" t="inlineStr">
        <is>
          <t>النظام الجديد</t>
        </is>
      </c>
      <c r="J286" s="25" t="inlineStr">
        <is>
          <t>نعم</t>
        </is>
      </c>
      <c r="K286" s="25" t="inlineStr">
        <is>
          <t>مرجع الطلب: RNPR-0021</t>
        </is>
      </c>
    </row>
    <row r="287">
      <c r="A287" s="25" t="n">
        <v>286</v>
      </c>
      <c r="B287" s="25" t="inlineStr">
        <is>
          <t>RNO</t>
        </is>
      </c>
      <c r="C287" s="25" t="inlineStr">
        <is>
          <t>صرف مواد للإنتاج – مزرعة الرياض</t>
        </is>
      </c>
      <c r="D287" s="25" t="inlineStr">
        <is>
          <t>ISV-0072</t>
        </is>
      </c>
      <c r="E287" s="96" t="n">
        <v>46205</v>
      </c>
      <c r="F287" s="25" t="inlineStr">
        <is>
          <t>PRODUCTION OPERATION-RN</t>
        </is>
      </c>
      <c r="G287" s="25" t="n">
        <v>1</v>
      </c>
      <c r="H287" s="27" t="n">
        <v>2568</v>
      </c>
      <c r="I287" s="25" t="inlineStr">
        <is>
          <t>النظام الجديد</t>
        </is>
      </c>
      <c r="J287" s="25" t="inlineStr">
        <is>
          <t>نعم</t>
        </is>
      </c>
      <c r="K287" s="25" t="inlineStr">
        <is>
          <t>مرجع الطلب: RNPR-0023</t>
        </is>
      </c>
    </row>
    <row r="288">
      <c r="A288" s="25" t="n">
        <v>287</v>
      </c>
      <c r="B288" s="25" t="inlineStr">
        <is>
          <t>RNO</t>
        </is>
      </c>
      <c r="C288" s="25" t="inlineStr">
        <is>
          <t>صرف مواد للإنتاج – مزرعة الرياض</t>
        </is>
      </c>
      <c r="D288" s="25" t="inlineStr">
        <is>
          <t>ISV-0079</t>
        </is>
      </c>
      <c r="E288" s="96" t="n">
        <v>46208</v>
      </c>
      <c r="F288" s="25" t="inlineStr">
        <is>
          <t>PRODUCTION OPERATION-RN</t>
        </is>
      </c>
      <c r="G288" s="25" t="n">
        <v>1</v>
      </c>
      <c r="H288" s="27" t="n">
        <v>1116.5</v>
      </c>
      <c r="I288" s="25" t="inlineStr">
        <is>
          <t>النظام الجديد</t>
        </is>
      </c>
      <c r="J288" s="25" t="inlineStr">
        <is>
          <t>نعم</t>
        </is>
      </c>
      <c r="K288" s="25" t="inlineStr">
        <is>
          <t>مرجع الطلب: ORD-20260705163839</t>
        </is>
      </c>
    </row>
    <row r="289">
      <c r="A289" s="25" t="n">
        <v>288</v>
      </c>
      <c r="B289" s="25" t="inlineStr">
        <is>
          <t>RNO</t>
        </is>
      </c>
      <c r="C289" s="25" t="inlineStr">
        <is>
          <t>صرف مواد للإنتاج – مزرعة الرياض</t>
        </is>
      </c>
      <c r="D289" s="25" t="inlineStr">
        <is>
          <t>ISV-0099</t>
        </is>
      </c>
      <c r="E289" s="96" t="n">
        <v>46215</v>
      </c>
      <c r="F289" s="25" t="inlineStr">
        <is>
          <t>PRODUCTION OPERATION-RN</t>
        </is>
      </c>
      <c r="G289" s="25" t="n">
        <v>1</v>
      </c>
      <c r="H289" s="27" t="n">
        <v>2144</v>
      </c>
      <c r="I289" s="25" t="inlineStr">
        <is>
          <t>النظام الجديد</t>
        </is>
      </c>
      <c r="J289" s="25" t="inlineStr">
        <is>
          <t>نعم</t>
        </is>
      </c>
      <c r="K289" s="25" t="inlineStr">
        <is>
          <t>مرجع الطلب: RNPR-0024</t>
        </is>
      </c>
    </row>
    <row r="290">
      <c r="A290" s="25" t="n">
        <v>289</v>
      </c>
      <c r="B290" s="25" t="inlineStr">
        <is>
          <t>RNO</t>
        </is>
      </c>
      <c r="C290" s="25" t="inlineStr">
        <is>
          <t>صرف مواد للإنتاج – مزرعة الرياض</t>
        </is>
      </c>
      <c r="D290" s="25" t="inlineStr">
        <is>
          <t>ISV-0110</t>
        </is>
      </c>
      <c r="E290" s="96" t="n">
        <v>46223</v>
      </c>
      <c r="F290" s="25" t="inlineStr">
        <is>
          <t>PRODUCTION OPERATION-RN</t>
        </is>
      </c>
      <c r="G290" s="25" t="n">
        <v>1</v>
      </c>
      <c r="H290" s="27" t="n">
        <v>832</v>
      </c>
      <c r="I290" s="25" t="inlineStr">
        <is>
          <t>النظام الجديد</t>
        </is>
      </c>
      <c r="J290" s="25" t="inlineStr">
        <is>
          <t>نعم</t>
        </is>
      </c>
      <c r="K290" s="25" t="inlineStr">
        <is>
          <t>مرجع الطلب: RNPR-0027</t>
        </is>
      </c>
    </row>
    <row r="291">
      <c r="A291" s="25" t="n">
        <v>290</v>
      </c>
      <c r="B291" s="25" t="inlineStr">
        <is>
          <t>RNO</t>
        </is>
      </c>
      <c r="C291" s="25" t="inlineStr">
        <is>
          <t>صرف مواد للإنتاج – مزرعة الرياض</t>
        </is>
      </c>
      <c r="D291" s="25" t="inlineStr">
        <is>
          <t>ISV-0129</t>
        </is>
      </c>
      <c r="E291" s="96" t="n">
        <v>46229</v>
      </c>
      <c r="F291" s="25" t="inlineStr">
        <is>
          <t>PRODUCTION OPERATION-RN</t>
        </is>
      </c>
      <c r="G291" s="25" t="n">
        <v>2</v>
      </c>
      <c r="H291" s="27" t="n">
        <v>564</v>
      </c>
      <c r="I291" s="25" t="inlineStr">
        <is>
          <t>النظام الجديد</t>
        </is>
      </c>
      <c r="J291" s="25" t="inlineStr">
        <is>
          <t>نعم</t>
        </is>
      </c>
      <c r="K291" s="25" t="inlineStr">
        <is>
          <t>مرجع الطلب: ORD-20260726105808</t>
        </is>
      </c>
    </row>
    <row r="292">
      <c r="A292" s="25" t="n">
        <v>291</v>
      </c>
      <c r="B292" s="25" t="inlineStr">
        <is>
          <t>RNO</t>
        </is>
      </c>
      <c r="C292" s="25" t="inlineStr">
        <is>
          <t>صرف مواد للإنتاج – مزرعة الرياض</t>
        </is>
      </c>
      <c r="D292" s="25" t="inlineStr">
        <is>
          <t>ISV-0135</t>
        </is>
      </c>
      <c r="E292" s="96" t="n">
        <v>46230</v>
      </c>
      <c r="F292" s="25" t="inlineStr">
        <is>
          <t>PRODUCTION OPERATION-RN</t>
        </is>
      </c>
      <c r="G292" s="25" t="n">
        <v>2</v>
      </c>
      <c r="H292" s="27" t="n">
        <v>886</v>
      </c>
      <c r="I292" s="25" t="inlineStr">
        <is>
          <t>النظام الجديد</t>
        </is>
      </c>
      <c r="J292" s="25" t="inlineStr">
        <is>
          <t>نعم</t>
        </is>
      </c>
      <c r="K292" s="25" t="inlineStr">
        <is>
          <t>مرجع الطلب: RNPR-0031</t>
        </is>
      </c>
    </row>
    <row r="293">
      <c r="A293" s="25" t="n">
        <v>292</v>
      </c>
      <c r="B293" s="25" t="inlineStr">
        <is>
          <t>RNO</t>
        </is>
      </c>
      <c r="C293" s="25" t="inlineStr">
        <is>
          <t>صرف مواد للإنتاج – مزرعة الرياض</t>
        </is>
      </c>
      <c r="D293" s="25" t="inlineStr">
        <is>
          <t>ISV-0139</t>
        </is>
      </c>
      <c r="E293" s="96" t="n">
        <v>46231</v>
      </c>
      <c r="F293" s="25" t="inlineStr">
        <is>
          <t>PRODUCTION OPERATION-RN</t>
        </is>
      </c>
      <c r="G293" s="25" t="n">
        <v>1</v>
      </c>
      <c r="H293" s="27" t="n">
        <v>1796</v>
      </c>
      <c r="I293" s="25" t="inlineStr">
        <is>
          <t>النظام الجديد</t>
        </is>
      </c>
      <c r="J293" s="25" t="inlineStr">
        <is>
          <t>نعم</t>
        </is>
      </c>
      <c r="K293" s="25" t="inlineStr">
        <is>
          <t>مرجع الطلب: RNPR-0032</t>
        </is>
      </c>
    </row>
    <row r="294">
      <c r="A294" s="25" t="n">
        <v>293</v>
      </c>
      <c r="B294" s="25" t="inlineStr">
        <is>
          <t>RNO</t>
        </is>
      </c>
      <c r="C294" s="25" t="inlineStr">
        <is>
          <t>صرف مواد للإنتاج – مزرعة الرياض</t>
        </is>
      </c>
      <c r="D294" s="25" t="inlineStr">
        <is>
          <t>ISV-0145</t>
        </is>
      </c>
      <c r="E294" s="96" t="n">
        <v>46233</v>
      </c>
      <c r="F294" s="25" t="inlineStr">
        <is>
          <t>PRODUCTION OPERATION-RN</t>
        </is>
      </c>
      <c r="G294" s="25" t="n">
        <v>1</v>
      </c>
      <c r="H294" s="27" t="n">
        <v>350</v>
      </c>
      <c r="I294" s="25" t="inlineStr">
        <is>
          <t>النظام الجديد</t>
        </is>
      </c>
      <c r="J294" s="25" t="inlineStr">
        <is>
          <t>نعم</t>
        </is>
      </c>
      <c r="K294" s="25" t="inlineStr">
        <is>
          <t>مرجع الطلب: ORD-20260730084717</t>
        </is>
      </c>
    </row>
    <row r="295">
      <c r="A295" s="16" t="n">
        <v>294</v>
      </c>
      <c r="B295" s="16" t="inlineStr">
        <is>
          <t>RNL</t>
        </is>
      </c>
      <c r="C295" s="16" t="inlineStr">
        <is>
          <t>كميات هالكة ومفقودة</t>
        </is>
      </c>
      <c r="D295" s="16" t="inlineStr">
        <is>
          <t>RNL-2165</t>
        </is>
      </c>
      <c r="E295" s="95" t="n">
        <v>45924</v>
      </c>
      <c r="F295" s="16" t="inlineStr">
        <is>
          <t>LOSSES AND WASTE-RIYADH NURSERY</t>
        </is>
      </c>
      <c r="G295" s="16" t="n"/>
      <c r="H295" s="17" t="n">
        <v>10649</v>
      </c>
      <c r="I295" s="16" t="inlineStr">
        <is>
          <t>النظام القديم</t>
        </is>
      </c>
      <c r="J295" s="16" t="inlineStr">
        <is>
          <t>نعم</t>
        </is>
      </c>
      <c r="K295" s="16" t="inlineStr">
        <is>
          <t>بدون تفصيل بنود في السجل</t>
        </is>
      </c>
    </row>
    <row r="296">
      <c r="A296" s="16" t="n">
        <v>295</v>
      </c>
      <c r="B296" s="16" t="inlineStr">
        <is>
          <t>RNL</t>
        </is>
      </c>
      <c r="C296" s="16" t="inlineStr">
        <is>
          <t>كميات هالكة ومفقودة</t>
        </is>
      </c>
      <c r="D296" s="16" t="inlineStr">
        <is>
          <t>RNL-2356</t>
        </is>
      </c>
      <c r="E296" s="95" t="n">
        <v>45930</v>
      </c>
      <c r="F296" s="16" t="inlineStr">
        <is>
          <t>LOSSES AND WASTE-RIYADH NURSERY</t>
        </is>
      </c>
      <c r="G296" s="16" t="n"/>
      <c r="H296" s="17" t="n">
        <v>695.75</v>
      </c>
      <c r="I296" s="16" t="inlineStr">
        <is>
          <t>النظام القديم</t>
        </is>
      </c>
      <c r="J296" s="16" t="inlineStr">
        <is>
          <t>نعم</t>
        </is>
      </c>
      <c r="K296" s="16" t="inlineStr">
        <is>
          <t>بدون تفصيل بنود في السجل</t>
        </is>
      </c>
    </row>
    <row r="297">
      <c r="A297" s="16" t="n">
        <v>296</v>
      </c>
      <c r="B297" s="16" t="inlineStr">
        <is>
          <t>RNL</t>
        </is>
      </c>
      <c r="C297" s="16" t="inlineStr">
        <is>
          <t>كميات هالكة ومفقودة</t>
        </is>
      </c>
      <c r="D297" s="16" t="inlineStr">
        <is>
          <t>RNL-2418</t>
        </is>
      </c>
      <c r="E297" s="95" t="n">
        <v>45939</v>
      </c>
      <c r="F297" s="16" t="inlineStr">
        <is>
          <t>LOSSES AND WASTE-RIYADH NURSERY</t>
        </is>
      </c>
      <c r="G297" s="16" t="n"/>
      <c r="H297" s="17" t="n">
        <v>1834.25</v>
      </c>
      <c r="I297" s="16" t="inlineStr">
        <is>
          <t>النظام القديم</t>
        </is>
      </c>
      <c r="J297" s="16" t="inlineStr">
        <is>
          <t>نعم</t>
        </is>
      </c>
      <c r="K297" s="16" t="inlineStr">
        <is>
          <t>بدون تفصيل بنود في السجل</t>
        </is>
      </c>
    </row>
    <row r="298">
      <c r="A298" s="16" t="n">
        <v>297</v>
      </c>
      <c r="B298" s="16" t="inlineStr">
        <is>
          <t>RNL</t>
        </is>
      </c>
      <c r="C298" s="16" t="inlineStr">
        <is>
          <t>كميات هالكة ومفقودة</t>
        </is>
      </c>
      <c r="D298" s="16" t="inlineStr">
        <is>
          <t>RNL-2506</t>
        </is>
      </c>
      <c r="E298" s="95" t="n">
        <v>45946</v>
      </c>
      <c r="F298" s="16" t="inlineStr">
        <is>
          <t>LOSSES AND WASTE-RIYADH NURSERY</t>
        </is>
      </c>
      <c r="G298" s="16" t="n"/>
      <c r="H298" s="17" t="n">
        <v>2362.68</v>
      </c>
      <c r="I298" s="16" t="inlineStr">
        <is>
          <t>النظام القديم</t>
        </is>
      </c>
      <c r="J298" s="16" t="inlineStr">
        <is>
          <t>نعم</t>
        </is>
      </c>
      <c r="K298" s="16" t="inlineStr">
        <is>
          <t>بدون تفصيل بنود في السجل</t>
        </is>
      </c>
    </row>
    <row r="299">
      <c r="A299" s="16" t="n">
        <v>298</v>
      </c>
      <c r="B299" s="16" t="inlineStr">
        <is>
          <t>RNL</t>
        </is>
      </c>
      <c r="C299" s="16" t="inlineStr">
        <is>
          <t>كميات هالكة ومفقودة</t>
        </is>
      </c>
      <c r="D299" s="16" t="inlineStr">
        <is>
          <t>RNL-2610</t>
        </is>
      </c>
      <c r="E299" s="95" t="n">
        <v>45954</v>
      </c>
      <c r="F299" s="16" t="inlineStr">
        <is>
          <t>LOSSES AND WASTE-RIYADH NURSERY</t>
        </is>
      </c>
      <c r="G299" s="16" t="n"/>
      <c r="H299" s="17" t="n">
        <v>1897.5</v>
      </c>
      <c r="I299" s="16" t="inlineStr">
        <is>
          <t>النظام القديم</t>
        </is>
      </c>
      <c r="J299" s="16" t="inlineStr">
        <is>
          <t>نعم</t>
        </is>
      </c>
      <c r="K299" s="16" t="inlineStr">
        <is>
          <t>بدون تفصيل بنود في السجل</t>
        </is>
      </c>
    </row>
    <row r="300">
      <c r="A300" s="16" t="n">
        <v>299</v>
      </c>
      <c r="B300" s="16" t="inlineStr">
        <is>
          <t>RNL</t>
        </is>
      </c>
      <c r="C300" s="16" t="inlineStr">
        <is>
          <t>كميات هالكة ومفقودة</t>
        </is>
      </c>
      <c r="D300" s="16" t="inlineStr">
        <is>
          <t>RNL-2669</t>
        </is>
      </c>
      <c r="E300" s="95" t="n">
        <v>45958</v>
      </c>
      <c r="F300" s="16" t="inlineStr">
        <is>
          <t>LOSSES AND WASTE-RIYADH NURSERY</t>
        </is>
      </c>
      <c r="G300" s="16" t="n"/>
      <c r="H300" s="17" t="n">
        <v>23363.69</v>
      </c>
      <c r="I300" s="16" t="inlineStr">
        <is>
          <t>النظام القديم</t>
        </is>
      </c>
      <c r="J300" s="16" t="inlineStr">
        <is>
          <t>نعم</t>
        </is>
      </c>
      <c r="K300" s="16" t="inlineStr">
        <is>
          <t>بدون تفصيل بنود في السجل</t>
        </is>
      </c>
    </row>
    <row r="301">
      <c r="A301" s="16" t="n">
        <v>300</v>
      </c>
      <c r="B301" s="16" t="inlineStr">
        <is>
          <t>RNL</t>
        </is>
      </c>
      <c r="C301" s="16" t="inlineStr">
        <is>
          <t>كميات هالكة ومفقودة</t>
        </is>
      </c>
      <c r="D301" s="16" t="inlineStr">
        <is>
          <t>RNL-2982</t>
        </is>
      </c>
      <c r="E301" s="95" t="n">
        <v>45985</v>
      </c>
      <c r="F301" s="16" t="inlineStr">
        <is>
          <t>LOSSES AND WASTE-RIYADH NURSERY</t>
        </is>
      </c>
      <c r="G301" s="16" t="n"/>
      <c r="H301" s="17" t="n">
        <v>6296.25</v>
      </c>
      <c r="I301" s="16" t="inlineStr">
        <is>
          <t>النظام القديم</t>
        </is>
      </c>
      <c r="J301" s="16" t="inlineStr">
        <is>
          <t>نعم</t>
        </is>
      </c>
      <c r="K301" s="16" t="inlineStr">
        <is>
          <t>بدون تفصيل بنود في السجل</t>
        </is>
      </c>
    </row>
    <row r="302">
      <c r="A302" s="16" t="n">
        <v>301</v>
      </c>
      <c r="B302" s="16" t="inlineStr">
        <is>
          <t>RNL</t>
        </is>
      </c>
      <c r="C302" s="16" t="inlineStr">
        <is>
          <t>كميات هالكة ومفقودة</t>
        </is>
      </c>
      <c r="D302" s="16" t="inlineStr">
        <is>
          <t>RNL-3072</t>
        </is>
      </c>
      <c r="E302" s="95" t="n">
        <v>45991</v>
      </c>
      <c r="F302" s="16" t="inlineStr">
        <is>
          <t>LOSSES AND WASTE-RIYADH NURSERY</t>
        </is>
      </c>
      <c r="G302" s="16" t="n"/>
      <c r="H302" s="17" t="n">
        <v>1776.75</v>
      </c>
      <c r="I302" s="16" t="inlineStr">
        <is>
          <t>النظام القديم</t>
        </is>
      </c>
      <c r="J302" s="16" t="inlineStr">
        <is>
          <t>نعم</t>
        </is>
      </c>
      <c r="K302" s="16" t="inlineStr">
        <is>
          <t>بدون تفصيل بنود في السجل</t>
        </is>
      </c>
    </row>
    <row r="303">
      <c r="A303" s="16" t="n">
        <v>302</v>
      </c>
      <c r="B303" s="16" t="inlineStr">
        <is>
          <t>RNL</t>
        </is>
      </c>
      <c r="C303" s="16" t="inlineStr">
        <is>
          <t>كميات هالكة ومفقودة</t>
        </is>
      </c>
      <c r="D303" s="16" t="inlineStr">
        <is>
          <t>RNL-3136</t>
        </is>
      </c>
      <c r="E303" s="95" t="n">
        <v>45995</v>
      </c>
      <c r="F303" s="16" t="inlineStr">
        <is>
          <t>LOSSES AND WASTE-RIYADH NURSERY</t>
        </is>
      </c>
      <c r="G303" s="16" t="n"/>
      <c r="H303" s="17" t="n">
        <v>1600.23</v>
      </c>
      <c r="I303" s="16" t="inlineStr">
        <is>
          <t>النظام القديم</t>
        </is>
      </c>
      <c r="J303" s="16" t="inlineStr">
        <is>
          <t>نعم</t>
        </is>
      </c>
      <c r="K303" s="16" t="inlineStr">
        <is>
          <t>بدون تفصيل بنود في السجل</t>
        </is>
      </c>
    </row>
    <row r="304">
      <c r="A304" s="16" t="n">
        <v>303</v>
      </c>
      <c r="B304" s="16" t="inlineStr">
        <is>
          <t>RNL</t>
        </is>
      </c>
      <c r="C304" s="16" t="inlineStr">
        <is>
          <t>كميات هالكة ومفقودة</t>
        </is>
      </c>
      <c r="D304" s="16" t="inlineStr">
        <is>
          <t>RNL-3159</t>
        </is>
      </c>
      <c r="E304" s="95" t="n">
        <v>45998</v>
      </c>
      <c r="F304" s="16" t="inlineStr">
        <is>
          <t>LOSSES AND WASTE-RIYADH NURSERY</t>
        </is>
      </c>
      <c r="G304" s="16" t="n"/>
      <c r="H304" s="17" t="n">
        <v>2613.95</v>
      </c>
      <c r="I304" s="16" t="inlineStr">
        <is>
          <t>النظام القديم</t>
        </is>
      </c>
      <c r="J304" s="16" t="inlineStr">
        <is>
          <t>نعم</t>
        </is>
      </c>
      <c r="K304" s="16" t="inlineStr">
        <is>
          <t>بدون تفصيل بنود في السجل</t>
        </is>
      </c>
    </row>
    <row r="305">
      <c r="A305" s="16" t="n">
        <v>304</v>
      </c>
      <c r="B305" s="16" t="inlineStr">
        <is>
          <t>RNL</t>
        </is>
      </c>
      <c r="C305" s="16" t="inlineStr">
        <is>
          <t>كميات هالكة ومفقودة</t>
        </is>
      </c>
      <c r="D305" s="16" t="inlineStr">
        <is>
          <t>RNL-3206</t>
        </is>
      </c>
      <c r="E305" s="95" t="n">
        <v>46001</v>
      </c>
      <c r="F305" s="16" t="inlineStr">
        <is>
          <t>LOSSES AND WASTE-RIYADH NURSERY</t>
        </is>
      </c>
      <c r="G305" s="16" t="n"/>
      <c r="H305" s="17" t="n">
        <v>2064.25</v>
      </c>
      <c r="I305" s="16" t="inlineStr">
        <is>
          <t>النظام القديم</t>
        </is>
      </c>
      <c r="J305" s="16" t="inlineStr">
        <is>
          <t>نعم</t>
        </is>
      </c>
      <c r="K305" s="16" t="inlineStr">
        <is>
          <t>بدون تفصيل بنود في السجل</t>
        </is>
      </c>
    </row>
    <row r="306">
      <c r="A306" s="16" t="n">
        <v>305</v>
      </c>
      <c r="B306" s="16" t="inlineStr">
        <is>
          <t>RNL</t>
        </is>
      </c>
      <c r="C306" s="16" t="inlineStr">
        <is>
          <t>كميات هالكة ومفقودة</t>
        </is>
      </c>
      <c r="D306" s="16" t="inlineStr">
        <is>
          <t>RNL-3308</t>
        </is>
      </c>
      <c r="E306" s="95" t="n">
        <v>46013</v>
      </c>
      <c r="F306" s="16" t="inlineStr">
        <is>
          <t>LOSSES AND WASTE-RIYADH NURSERY</t>
        </is>
      </c>
      <c r="G306" s="16" t="n"/>
      <c r="H306" s="17" t="n">
        <v>7144.95</v>
      </c>
      <c r="I306" s="16" t="inlineStr">
        <is>
          <t>النظام القديم</t>
        </is>
      </c>
      <c r="J306" s="16" t="inlineStr">
        <is>
          <t>نعم</t>
        </is>
      </c>
      <c r="K306" s="16" t="inlineStr">
        <is>
          <t>بدون تفصيل بنود في السجل</t>
        </is>
      </c>
    </row>
    <row r="307">
      <c r="A307" s="16" t="n">
        <v>306</v>
      </c>
      <c r="B307" s="16" t="inlineStr">
        <is>
          <t>RNL</t>
        </is>
      </c>
      <c r="C307" s="16" t="inlineStr">
        <is>
          <t>كميات هالكة ومفقودة</t>
        </is>
      </c>
      <c r="D307" s="16" t="inlineStr">
        <is>
          <t>RNL-3320</t>
        </is>
      </c>
      <c r="E307" s="95" t="n">
        <v>46014</v>
      </c>
      <c r="F307" s="16" t="inlineStr">
        <is>
          <t>LOSSES AND WASTE-RIYADH NURSERY</t>
        </is>
      </c>
      <c r="G307" s="16" t="n"/>
      <c r="H307" s="17" t="n">
        <v>14912.34</v>
      </c>
      <c r="I307" s="16" t="inlineStr">
        <is>
          <t>النظام القديم</t>
        </is>
      </c>
      <c r="J307" s="16" t="inlineStr">
        <is>
          <t>نعم</t>
        </is>
      </c>
      <c r="K307" s="16" t="inlineStr">
        <is>
          <t>بدون تفصيل بنود في السجل</t>
        </is>
      </c>
    </row>
    <row r="308">
      <c r="A308" s="16" t="n">
        <v>307</v>
      </c>
      <c r="B308" s="16" t="inlineStr">
        <is>
          <t>RNL</t>
        </is>
      </c>
      <c r="C308" s="16" t="inlineStr">
        <is>
          <t>كميات هالكة ومفقودة</t>
        </is>
      </c>
      <c r="D308" s="16" t="inlineStr">
        <is>
          <t>RNL-3493</t>
        </is>
      </c>
      <c r="E308" s="95" t="n">
        <v>46029</v>
      </c>
      <c r="F308" s="16" t="inlineStr">
        <is>
          <t>LOSSES AND WASTE-RIYADH NURSERY</t>
        </is>
      </c>
      <c r="G308" s="16" t="n">
        <v>2</v>
      </c>
      <c r="H308" s="17" t="n">
        <v>2213.75</v>
      </c>
      <c r="I308" s="16" t="inlineStr">
        <is>
          <t>النظام القديم</t>
        </is>
      </c>
      <c r="J308" s="16" t="inlineStr">
        <is>
          <t>نعم</t>
        </is>
      </c>
      <c r="K308" s="16" t="n"/>
    </row>
    <row r="309">
      <c r="A309" s="16" t="n">
        <v>308</v>
      </c>
      <c r="B309" s="16" t="inlineStr">
        <is>
          <t>RNL</t>
        </is>
      </c>
      <c r="C309" s="16" t="inlineStr">
        <is>
          <t>كميات هالكة ومفقودة</t>
        </is>
      </c>
      <c r="D309" s="16" t="inlineStr">
        <is>
          <t>RNL-3497</t>
        </is>
      </c>
      <c r="E309" s="95" t="n">
        <v>46030</v>
      </c>
      <c r="F309" s="16" t="inlineStr">
        <is>
          <t>LOSSES AND WASTE-RIYADH NURSERY</t>
        </is>
      </c>
      <c r="G309" s="16" t="n">
        <v>2</v>
      </c>
      <c r="H309" s="17" t="n">
        <v>1644.5</v>
      </c>
      <c r="I309" s="16" t="inlineStr">
        <is>
          <t>النظام القديم</t>
        </is>
      </c>
      <c r="J309" s="16" t="inlineStr">
        <is>
          <t>نعم</t>
        </is>
      </c>
      <c r="K309" s="16" t="n"/>
    </row>
    <row r="310">
      <c r="A310" s="16" t="n">
        <v>309</v>
      </c>
      <c r="B310" s="16" t="inlineStr">
        <is>
          <t>RNL</t>
        </is>
      </c>
      <c r="C310" s="16" t="inlineStr">
        <is>
          <t>كميات هالكة ومفقودة</t>
        </is>
      </c>
      <c r="D310" s="16" t="inlineStr">
        <is>
          <t>RNL-3524</t>
        </is>
      </c>
      <c r="E310" s="95" t="n">
        <v>46033</v>
      </c>
      <c r="F310" s="16" t="inlineStr">
        <is>
          <t>LOSSES AND WASTE-RIYADH NURSERY</t>
        </is>
      </c>
      <c r="G310" s="16" t="n">
        <v>5</v>
      </c>
      <c r="H310" s="17" t="n">
        <v>2906.63</v>
      </c>
      <c r="I310" s="16" t="inlineStr">
        <is>
          <t>النظام القديم</t>
        </is>
      </c>
      <c r="J310" s="16" t="inlineStr">
        <is>
          <t>نعم</t>
        </is>
      </c>
      <c r="K310" s="16" t="n"/>
    </row>
    <row r="311">
      <c r="A311" s="16" t="n">
        <v>310</v>
      </c>
      <c r="B311" s="16" t="inlineStr">
        <is>
          <t>RNL</t>
        </is>
      </c>
      <c r="C311" s="16" t="inlineStr">
        <is>
          <t>كميات هالكة ومفقودة</t>
        </is>
      </c>
      <c r="D311" s="16" t="inlineStr">
        <is>
          <t>RNL-3625</t>
        </is>
      </c>
      <c r="E311" s="95" t="n">
        <v>46046</v>
      </c>
      <c r="F311" s="16" t="inlineStr">
        <is>
          <t>LOSSES AND WASTE-RIYADH NURSERY</t>
        </is>
      </c>
      <c r="G311" s="16" t="n">
        <v>1</v>
      </c>
      <c r="H311" s="17" t="n">
        <v>948.75</v>
      </c>
      <c r="I311" s="16" t="inlineStr">
        <is>
          <t>النظام القديم</t>
        </is>
      </c>
      <c r="J311" s="16" t="inlineStr">
        <is>
          <t>نعم</t>
        </is>
      </c>
      <c r="K311" s="16" t="n"/>
    </row>
    <row r="312">
      <c r="A312" s="16" t="n">
        <v>311</v>
      </c>
      <c r="B312" s="16" t="inlineStr">
        <is>
          <t>RNL</t>
        </is>
      </c>
      <c r="C312" s="16" t="inlineStr">
        <is>
          <t>كميات هالكة ومفقودة</t>
        </is>
      </c>
      <c r="D312" s="16" t="inlineStr">
        <is>
          <t>RNL-3718</t>
        </is>
      </c>
      <c r="E312" s="95" t="n">
        <v>46054</v>
      </c>
      <c r="F312" s="16" t="inlineStr">
        <is>
          <t>LOSSES AND WASTE-RIYADH NURSERY</t>
        </is>
      </c>
      <c r="G312" s="16" t="n">
        <v>1</v>
      </c>
      <c r="H312" s="17" t="n">
        <v>316.25</v>
      </c>
      <c r="I312" s="16" t="inlineStr">
        <is>
          <t>النظام القديم</t>
        </is>
      </c>
      <c r="J312" s="16" t="inlineStr">
        <is>
          <t>نعم</t>
        </is>
      </c>
      <c r="K312" s="16" t="n"/>
    </row>
    <row r="313">
      <c r="A313" s="16" t="n">
        <v>312</v>
      </c>
      <c r="B313" s="16" t="inlineStr">
        <is>
          <t>RNL</t>
        </is>
      </c>
      <c r="C313" s="16" t="inlineStr">
        <is>
          <t>كميات هالكة ومفقودة</t>
        </is>
      </c>
      <c r="D313" s="16" t="inlineStr">
        <is>
          <t>RNL-3740</t>
        </is>
      </c>
      <c r="E313" s="95" t="n">
        <v>46056</v>
      </c>
      <c r="F313" s="16" t="inlineStr">
        <is>
          <t>LOSSES AND WASTE-RIYADH NURSERY</t>
        </is>
      </c>
      <c r="G313" s="16" t="n">
        <v>1</v>
      </c>
      <c r="H313" s="17" t="n">
        <v>442.75</v>
      </c>
      <c r="I313" s="16" t="inlineStr">
        <is>
          <t>النظام القديم</t>
        </is>
      </c>
      <c r="J313" s="16" t="inlineStr">
        <is>
          <t>نعم</t>
        </is>
      </c>
      <c r="K313" s="16" t="n"/>
    </row>
    <row r="314">
      <c r="A314" s="16" t="n">
        <v>313</v>
      </c>
      <c r="B314" s="16" t="inlineStr">
        <is>
          <t>RNL</t>
        </is>
      </c>
      <c r="C314" s="16" t="inlineStr">
        <is>
          <t>كميات هالكة ومفقودة</t>
        </is>
      </c>
      <c r="D314" s="16" t="inlineStr">
        <is>
          <t>RNL-3778</t>
        </is>
      </c>
      <c r="E314" s="95" t="n">
        <v>46061</v>
      </c>
      <c r="F314" s="16" t="inlineStr">
        <is>
          <t>LOSSES AND WASTE-RIYADH NURSERY</t>
        </is>
      </c>
      <c r="G314" s="16" t="n">
        <v>2</v>
      </c>
      <c r="H314" s="17" t="n">
        <v>1454.75</v>
      </c>
      <c r="I314" s="16" t="inlineStr">
        <is>
          <t>النظام القديم</t>
        </is>
      </c>
      <c r="J314" s="16" t="inlineStr">
        <is>
          <t>نعم</t>
        </is>
      </c>
      <c r="K314" s="16" t="n"/>
    </row>
    <row r="315">
      <c r="A315" s="16" t="n">
        <v>314</v>
      </c>
      <c r="B315" s="16" t="inlineStr">
        <is>
          <t>RNL</t>
        </is>
      </c>
      <c r="C315" s="16" t="inlineStr">
        <is>
          <t>كميات هالكة ومفقودة</t>
        </is>
      </c>
      <c r="D315" s="16" t="inlineStr">
        <is>
          <t>RNL-3852</t>
        </is>
      </c>
      <c r="E315" s="95" t="n">
        <v>46069</v>
      </c>
      <c r="F315" s="16" t="inlineStr">
        <is>
          <t>LOSSES AND WASTE-RIYADH NURSERY</t>
        </is>
      </c>
      <c r="G315" s="16" t="n">
        <v>3</v>
      </c>
      <c r="H315" s="17" t="n">
        <v>280.31</v>
      </c>
      <c r="I315" s="16" t="inlineStr">
        <is>
          <t>النظام القديم</t>
        </is>
      </c>
      <c r="J315" s="16" t="inlineStr">
        <is>
          <t>نعم</t>
        </is>
      </c>
      <c r="K315" s="16" t="n"/>
    </row>
    <row r="316">
      <c r="A316" s="16" t="n">
        <v>315</v>
      </c>
      <c r="B316" s="16" t="inlineStr">
        <is>
          <t>RNL</t>
        </is>
      </c>
      <c r="C316" s="16" t="inlineStr">
        <is>
          <t>كميات هالكة ومفقودة</t>
        </is>
      </c>
      <c r="D316" s="16" t="inlineStr">
        <is>
          <t>RNL-159</t>
        </is>
      </c>
      <c r="E316" s="95" t="n">
        <v>46088</v>
      </c>
      <c r="F316" s="16" t="inlineStr">
        <is>
          <t>LOSSES AND WASTE-RN</t>
        </is>
      </c>
      <c r="G316" s="16" t="n">
        <v>2</v>
      </c>
      <c r="H316" s="17" t="n">
        <v>850</v>
      </c>
      <c r="I316" s="16" t="inlineStr">
        <is>
          <t>سجل صرف المخزن</t>
        </is>
      </c>
      <c r="J316" s="16" t="inlineStr">
        <is>
          <t>نعم</t>
        </is>
      </c>
      <c r="K316" s="16" t="inlineStr">
        <is>
          <t>سند RN-RAW-OUT#159 – مرجع 159 – بواسطة None | ملاحظة السند: ENG.MOHAMMED ABDELMIGEED</t>
        </is>
      </c>
    </row>
    <row r="317">
      <c r="A317" s="16" t="n">
        <v>316</v>
      </c>
      <c r="B317" s="16" t="inlineStr">
        <is>
          <t>RNL</t>
        </is>
      </c>
      <c r="C317" s="16" t="inlineStr">
        <is>
          <t>كميات هالكة ومفقودة</t>
        </is>
      </c>
      <c r="D317" s="16" t="inlineStr">
        <is>
          <t>RNL-188</t>
        </is>
      </c>
      <c r="E317" s="95" t="n">
        <v>46109</v>
      </c>
      <c r="F317" s="16" t="inlineStr">
        <is>
          <t>LOSSES AND WASTE-RN</t>
        </is>
      </c>
      <c r="G317" s="16" t="n">
        <v>4</v>
      </c>
      <c r="H317" s="17" t="n">
        <v>5633.45</v>
      </c>
      <c r="I317" s="16" t="inlineStr">
        <is>
          <t>سجل صرف المخزن</t>
        </is>
      </c>
      <c r="J317" s="16" t="inlineStr">
        <is>
          <t>نعم</t>
        </is>
      </c>
      <c r="K317" s="16" t="inlineStr">
        <is>
          <t>سند RN-RAW-OUT#188 – مرجع 188 – بواسطة None | ملاحظة السند: ENG.MOHAMMED ABDELMIGEED</t>
        </is>
      </c>
    </row>
    <row r="318">
      <c r="A318" s="16" t="n">
        <v>317</v>
      </c>
      <c r="B318" s="16" t="inlineStr">
        <is>
          <t>RNL</t>
        </is>
      </c>
      <c r="C318" s="16" t="inlineStr">
        <is>
          <t>كميات هالكة ومفقودة</t>
        </is>
      </c>
      <c r="D318" s="16" t="inlineStr">
        <is>
          <t>RNL-196</t>
        </is>
      </c>
      <c r="E318" s="95" t="n">
        <v>46113</v>
      </c>
      <c r="F318" s="16" t="inlineStr">
        <is>
          <t>LOSSES AND WASTE-RN</t>
        </is>
      </c>
      <c r="G318" s="16" t="n">
        <v>4</v>
      </c>
      <c r="H318" s="17" t="n">
        <v>1100</v>
      </c>
      <c r="I318" s="16" t="inlineStr">
        <is>
          <t>سجل صرف المخزن</t>
        </is>
      </c>
      <c r="J318" s="16" t="inlineStr">
        <is>
          <t>نعم</t>
        </is>
      </c>
      <c r="K318" s="16" t="inlineStr">
        <is>
          <t>سند RN-RAW-OUT#196 – مرجع 196 – بواسطة None | ملاحظة السند: ENG.MOHAMMED ABDELMIGEED</t>
        </is>
      </c>
    </row>
    <row r="319">
      <c r="A319" s="16" t="n">
        <v>318</v>
      </c>
      <c r="B319" s="16" t="inlineStr">
        <is>
          <t>RNL</t>
        </is>
      </c>
      <c r="C319" s="16" t="inlineStr">
        <is>
          <t>كميات هالكة ومفقودة</t>
        </is>
      </c>
      <c r="D319" s="16" t="inlineStr">
        <is>
          <t>RNL-212</t>
        </is>
      </c>
      <c r="E319" s="95" t="n">
        <v>46121</v>
      </c>
      <c r="F319" s="16" t="inlineStr">
        <is>
          <t>LOSSES AND WASTE-RN</t>
        </is>
      </c>
      <c r="G319" s="16" t="n">
        <v>1</v>
      </c>
      <c r="H319" s="17" t="n">
        <v>715</v>
      </c>
      <c r="I319" s="16" t="inlineStr">
        <is>
          <t>سجل صرف المخزن</t>
        </is>
      </c>
      <c r="J319" s="16" t="inlineStr">
        <is>
          <t>نعم</t>
        </is>
      </c>
      <c r="K319" s="16" t="inlineStr">
        <is>
          <t>سند RN-RAW-OUT#212 – مرجع 212 – بواسطة السبب عوامل مناخية | ملاحظة السند: ENG.MOHAMMED ABDELMIGEED</t>
        </is>
      </c>
    </row>
    <row r="320">
      <c r="A320" s="16" t="n">
        <v>319</v>
      </c>
      <c r="B320" s="16" t="inlineStr">
        <is>
          <t>RNL</t>
        </is>
      </c>
      <c r="C320" s="16" t="inlineStr">
        <is>
          <t>كميات هالكة ومفقودة</t>
        </is>
      </c>
      <c r="D320" s="16" t="inlineStr">
        <is>
          <t>RNL-214</t>
        </is>
      </c>
      <c r="E320" s="95" t="n">
        <v>46121</v>
      </c>
      <c r="F320" s="16" t="inlineStr">
        <is>
          <t>LOSSES AND WASTE-RN</t>
        </is>
      </c>
      <c r="G320" s="16" t="n">
        <v>1</v>
      </c>
      <c r="H320" s="17" t="n">
        <v>3300</v>
      </c>
      <c r="I320" s="16" t="inlineStr">
        <is>
          <t>سجل صرف المخزن</t>
        </is>
      </c>
      <c r="J320" s="16" t="inlineStr">
        <is>
          <t>نعم</t>
        </is>
      </c>
      <c r="K320" s="16" t="inlineStr">
        <is>
          <t>سند RN-RAW-OUT#214 – مرجع 214 – بواسطة التى تم توريدها من تبوك | ملاحظة السند: ENG.MOHAMMED ABDELMIGEED</t>
        </is>
      </c>
    </row>
    <row r="321">
      <c r="A321" s="16" t="n">
        <v>320</v>
      </c>
      <c r="B321" s="16" t="inlineStr">
        <is>
          <t>RNL</t>
        </is>
      </c>
      <c r="C321" s="16" t="inlineStr">
        <is>
          <t>كميات هالكة ومفقودة</t>
        </is>
      </c>
      <c r="D321" s="16" t="inlineStr">
        <is>
          <t>RNL-235</t>
        </is>
      </c>
      <c r="E321" s="95" t="n">
        <v>46133</v>
      </c>
      <c r="F321" s="16" t="inlineStr">
        <is>
          <t>LOSSES AND WASTE-RN</t>
        </is>
      </c>
      <c r="G321" s="16" t="n">
        <v>2</v>
      </c>
      <c r="H321" s="17" t="n">
        <v>660</v>
      </c>
      <c r="I321" s="16" t="inlineStr">
        <is>
          <t>سجل صرف المخزن</t>
        </is>
      </c>
      <c r="J321" s="16" t="inlineStr">
        <is>
          <t>نعم</t>
        </is>
      </c>
      <c r="K321" s="16" t="inlineStr">
        <is>
          <t>سند RN-RAW-OUT#235 – مرجع 235 – بواسطة بسبب عوامل مناخية | ملاحظة السند: ENG.MOHAMMED ABDELMIGEED</t>
        </is>
      </c>
    </row>
    <row r="322">
      <c r="A322" s="16" t="n">
        <v>321</v>
      </c>
      <c r="B322" s="16" t="inlineStr">
        <is>
          <t>RNL</t>
        </is>
      </c>
      <c r="C322" s="16" t="inlineStr">
        <is>
          <t>كميات هالكة ومفقودة</t>
        </is>
      </c>
      <c r="D322" s="16" t="inlineStr">
        <is>
          <t>RNL-250</t>
        </is>
      </c>
      <c r="E322" s="95" t="n">
        <v>46141</v>
      </c>
      <c r="F322" s="16" t="inlineStr">
        <is>
          <t>LOSSES AND WASTE-RN</t>
        </is>
      </c>
      <c r="G322" s="16" t="n">
        <v>1</v>
      </c>
      <c r="H322" s="17" t="n">
        <v>525</v>
      </c>
      <c r="I322" s="16" t="inlineStr">
        <is>
          <t>سجل صرف المخزن</t>
        </is>
      </c>
      <c r="J322" s="16" t="inlineStr">
        <is>
          <t>نعم</t>
        </is>
      </c>
      <c r="K322" s="16" t="inlineStr">
        <is>
          <t>سند RN-RAW-OUT#250 – مرجع 250 – بواسطة البقاء فى المراكن فتره طويله وعدم بيعه | ملاحظة السند: ENG.MOHAMMED ABDELMIGEED</t>
        </is>
      </c>
    </row>
    <row r="323">
      <c r="A323" s="16" t="n">
        <v>322</v>
      </c>
      <c r="B323" s="16" t="inlineStr">
        <is>
          <t>RNL</t>
        </is>
      </c>
      <c r="C323" s="16" t="inlineStr">
        <is>
          <t>كميات هالكة ومفقودة</t>
        </is>
      </c>
      <c r="D323" s="16" t="inlineStr">
        <is>
          <t>RNL-257</t>
        </is>
      </c>
      <c r="E323" s="95" t="n">
        <v>46144</v>
      </c>
      <c r="F323" s="16" t="inlineStr">
        <is>
          <t>LOSSES AND WASTE-RN</t>
        </is>
      </c>
      <c r="G323" s="16" t="n">
        <v>1</v>
      </c>
      <c r="H323" s="17" t="n">
        <v>1512.5</v>
      </c>
      <c r="I323" s="16" t="inlineStr">
        <is>
          <t>سجل صرف المخزن</t>
        </is>
      </c>
      <c r="J323" s="16" t="inlineStr">
        <is>
          <t>نعم</t>
        </is>
      </c>
      <c r="K323" s="16" t="inlineStr">
        <is>
          <t>سند RN-RAW-OUT#257 – مرجع 257 – بواسطة بقاء النبات في المراكن فتره طويله   | ملاحظة السند: ENG.MOHAMMED ABDELMIGEED</t>
        </is>
      </c>
    </row>
    <row r="324">
      <c r="A324" s="16" t="n">
        <v>323</v>
      </c>
      <c r="B324" s="16" t="inlineStr">
        <is>
          <t>RNL</t>
        </is>
      </c>
      <c r="C324" s="16" t="inlineStr">
        <is>
          <t>كميات هالكة ومفقودة</t>
        </is>
      </c>
      <c r="D324" s="16" t="inlineStr">
        <is>
          <t>RNL-267</t>
        </is>
      </c>
      <c r="E324" s="95" t="n">
        <v>46147</v>
      </c>
      <c r="F324" s="16" t="inlineStr">
        <is>
          <t>LOSSES AND WASTE-RN</t>
        </is>
      </c>
      <c r="G324" s="16" t="n">
        <v>1</v>
      </c>
      <c r="H324" s="17" t="n">
        <v>907.5</v>
      </c>
      <c r="I324" s="16" t="inlineStr">
        <is>
          <t>سجل صرف المخزن</t>
        </is>
      </c>
      <c r="J324" s="16" t="inlineStr">
        <is>
          <t>نعم</t>
        </is>
      </c>
      <c r="K324" s="16" t="inlineStr">
        <is>
          <t>سند RN-RAW-OUT#267 – مرجع 267 – بواسطة سبب الفقد عوامل مناخية | ملاحظة السند: ENG.MOHAMMED ABDELMIGEED</t>
        </is>
      </c>
    </row>
    <row r="325">
      <c r="A325" s="16" t="n">
        <v>324</v>
      </c>
      <c r="B325" s="16" t="inlineStr">
        <is>
          <t>RNL</t>
        </is>
      </c>
      <c r="C325" s="16" t="inlineStr">
        <is>
          <t>كميات هالكة ومفقودة</t>
        </is>
      </c>
      <c r="D325" s="16" t="inlineStr">
        <is>
          <t>RNL-310</t>
        </is>
      </c>
      <c r="E325" s="95" t="n">
        <v>46172</v>
      </c>
      <c r="F325" s="16" t="inlineStr">
        <is>
          <t>LOSSES AND WASTE-RN</t>
        </is>
      </c>
      <c r="G325" s="16" t="n">
        <v>2</v>
      </c>
      <c r="H325" s="17" t="n">
        <v>1265</v>
      </c>
      <c r="I325" s="16" t="inlineStr">
        <is>
          <t>سجل صرف المخزن</t>
        </is>
      </c>
      <c r="J325" s="16" t="inlineStr">
        <is>
          <t>نعم</t>
        </is>
      </c>
      <c r="K325" s="16" t="inlineStr">
        <is>
          <t>سند RN-RAW-OUT#310 – مرجع 310 – بواسطة None | ملاحظة السند: ENG.MOHAMMED ABDELMIGEED</t>
        </is>
      </c>
    </row>
    <row r="326">
      <c r="A326" s="16" t="n">
        <v>325</v>
      </c>
      <c r="B326" s="16" t="inlineStr">
        <is>
          <t>RNL</t>
        </is>
      </c>
      <c r="C326" s="16" t="inlineStr">
        <is>
          <t>كميات هالكة ومفقودة</t>
        </is>
      </c>
      <c r="D326" s="16" t="inlineStr">
        <is>
          <t>RNL-311</t>
        </is>
      </c>
      <c r="E326" s="95" t="n">
        <v>46172</v>
      </c>
      <c r="F326" s="16" t="inlineStr">
        <is>
          <t>LOSSES AND WASTE-RN</t>
        </is>
      </c>
      <c r="G326" s="16" t="n">
        <v>1</v>
      </c>
      <c r="H326" s="17" t="n">
        <v>5005</v>
      </c>
      <c r="I326" s="16" t="inlineStr">
        <is>
          <t>سجل صرف المخزن</t>
        </is>
      </c>
      <c r="J326" s="16" t="inlineStr">
        <is>
          <t>نعم</t>
        </is>
      </c>
      <c r="K326" s="16" t="inlineStr">
        <is>
          <t>سند RN-RAW-OUT#311 – مرجع 311 – بواسطة السبب بقاء  النبات فترة طويلة في المراكن  | ملاحظة السند: ENG.MOHAMMED ABDELMIGEED</t>
        </is>
      </c>
    </row>
    <row r="327">
      <c r="A327" s="16" t="n">
        <v>326</v>
      </c>
      <c r="B327" s="16" t="inlineStr">
        <is>
          <t>RNL</t>
        </is>
      </c>
      <c r="C327" s="16" t="inlineStr">
        <is>
          <t>كميات هالكة ومفقودة</t>
        </is>
      </c>
      <c r="D327" s="16" t="inlineStr">
        <is>
          <t>RNL-318</t>
        </is>
      </c>
      <c r="E327" s="95" t="n">
        <v>46174</v>
      </c>
      <c r="F327" s="16" t="inlineStr">
        <is>
          <t>LOSSES AND WASTE-RN</t>
        </is>
      </c>
      <c r="G327" s="16" t="n">
        <v>1</v>
      </c>
      <c r="H327" s="17" t="n">
        <v>1017.5</v>
      </c>
      <c r="I327" s="16" t="inlineStr">
        <is>
          <t>سجل صرف المخزن</t>
        </is>
      </c>
      <c r="J327" s="16" t="inlineStr">
        <is>
          <t>نعم</t>
        </is>
      </c>
      <c r="K327" s="16" t="inlineStr">
        <is>
          <t>سند RN-RAW-OUT#318 – مرجع 318 – بواسطة بسبب عوامل مناخية | ملاحظة السند: ENG.MOHAMMED ABDELMIGEED</t>
        </is>
      </c>
    </row>
    <row r="328">
      <c r="A328" s="25" t="n">
        <v>327</v>
      </c>
      <c r="B328" s="25" t="inlineStr">
        <is>
          <t>RNL</t>
        </is>
      </c>
      <c r="C328" s="25" t="inlineStr">
        <is>
          <t>كميات هالكة ومفقودة</t>
        </is>
      </c>
      <c r="D328" s="25" t="inlineStr">
        <is>
          <t>ISV-0001</t>
        </is>
      </c>
      <c r="E328" s="96" t="n">
        <v>46186</v>
      </c>
      <c r="F328" s="25" t="inlineStr">
        <is>
          <t>PRODUCTION WASTE-RN</t>
        </is>
      </c>
      <c r="G328" s="25" t="n">
        <v>10</v>
      </c>
      <c r="H328" s="27" t="n">
        <v>1842.5</v>
      </c>
      <c r="I328" s="25" t="inlineStr">
        <is>
          <t>النظام الجديد</t>
        </is>
      </c>
      <c r="J328" s="25" t="inlineStr">
        <is>
          <t>نعم</t>
        </is>
      </c>
      <c r="K328" s="25" t="inlineStr">
        <is>
          <t>مرجع الطلب: RNPR-0011</t>
        </is>
      </c>
    </row>
    <row r="329">
      <c r="A329" s="25" t="n">
        <v>328</v>
      </c>
      <c r="B329" s="25" t="inlineStr">
        <is>
          <t>RNL</t>
        </is>
      </c>
      <c r="C329" s="25" t="inlineStr">
        <is>
          <t>كميات هالكة ومفقودة</t>
        </is>
      </c>
      <c r="D329" s="25" t="inlineStr">
        <is>
          <t>ISV-0009</t>
        </is>
      </c>
      <c r="E329" s="96" t="n">
        <v>46187</v>
      </c>
      <c r="F329" s="25" t="inlineStr">
        <is>
          <t>PRODUCTION WASTE-RN</t>
        </is>
      </c>
      <c r="G329" s="25" t="n">
        <v>7</v>
      </c>
      <c r="H329" s="27" t="n">
        <v>1952.5</v>
      </c>
      <c r="I329" s="25" t="inlineStr">
        <is>
          <t>النظام الجديد</t>
        </is>
      </c>
      <c r="J329" s="25" t="inlineStr">
        <is>
          <t>نعم</t>
        </is>
      </c>
      <c r="K329" s="25" t="inlineStr">
        <is>
          <t>مرجع الطلب: RNPR-0015</t>
        </is>
      </c>
    </row>
    <row r="330">
      <c r="A330" s="25" t="n">
        <v>329</v>
      </c>
      <c r="B330" s="25" t="inlineStr">
        <is>
          <t>RNL</t>
        </is>
      </c>
      <c r="C330" s="25" t="inlineStr">
        <is>
          <t>كميات هالكة ومفقودة</t>
        </is>
      </c>
      <c r="D330" s="25" t="inlineStr">
        <is>
          <t>ISV-0045</t>
        </is>
      </c>
      <c r="E330" s="96" t="n">
        <v>46198</v>
      </c>
      <c r="F330" s="25" t="inlineStr">
        <is>
          <t>PRODUCTION WASTE-RN</t>
        </is>
      </c>
      <c r="G330" s="25" t="n">
        <v>6</v>
      </c>
      <c r="H330" s="27" t="n">
        <v>2406.25</v>
      </c>
      <c r="I330" s="25" t="inlineStr">
        <is>
          <t>النظام الجديد</t>
        </is>
      </c>
      <c r="J330" s="25" t="inlineStr">
        <is>
          <t>نعم</t>
        </is>
      </c>
      <c r="K330" s="25" t="inlineStr">
        <is>
          <t>مرجع الطلب: ORD-20260625172714</t>
        </is>
      </c>
    </row>
    <row r="331">
      <c r="A331" s="25" t="n">
        <v>330</v>
      </c>
      <c r="B331" s="25" t="inlineStr">
        <is>
          <t>RNL</t>
        </is>
      </c>
      <c r="C331" s="25" t="inlineStr">
        <is>
          <t>كميات هالكة ومفقودة</t>
        </is>
      </c>
      <c r="D331" s="25" t="inlineStr">
        <is>
          <t>ISV-0068</t>
        </is>
      </c>
      <c r="E331" s="96" t="n">
        <v>46204</v>
      </c>
      <c r="F331" s="25" t="inlineStr">
        <is>
          <t>PRODUCTION WASTE-RN</t>
        </is>
      </c>
      <c r="G331" s="25" t="n">
        <v>9</v>
      </c>
      <c r="H331" s="27" t="n">
        <v>1773.75</v>
      </c>
      <c r="I331" s="25" t="inlineStr">
        <is>
          <t>النظام الجديد</t>
        </is>
      </c>
      <c r="J331" s="25" t="inlineStr">
        <is>
          <t>نعم</t>
        </is>
      </c>
      <c r="K331" s="25" t="inlineStr">
        <is>
          <t>مرجع الطلب: RNPR-0022</t>
        </is>
      </c>
    </row>
    <row r="332">
      <c r="A332" s="25" t="n">
        <v>331</v>
      </c>
      <c r="B332" s="25" t="inlineStr">
        <is>
          <t>RNL</t>
        </is>
      </c>
      <c r="C332" s="25" t="inlineStr">
        <is>
          <t>كميات هالكة ومفقودة</t>
        </is>
      </c>
      <c r="D332" s="25" t="inlineStr">
        <is>
          <t>ISV-0089</t>
        </is>
      </c>
      <c r="E332" s="96" t="n">
        <v>46214</v>
      </c>
      <c r="F332" s="25" t="inlineStr">
        <is>
          <t>PRODUCTION WASTE-RN</t>
        </is>
      </c>
      <c r="G332" s="25" t="n">
        <v>5</v>
      </c>
      <c r="H332" s="27" t="n">
        <v>3767.5</v>
      </c>
      <c r="I332" s="25" t="inlineStr">
        <is>
          <t>النظام الجديد</t>
        </is>
      </c>
      <c r="J332" s="25" t="inlineStr">
        <is>
          <t>نعم</t>
        </is>
      </c>
      <c r="K332" s="25" t="inlineStr">
        <is>
          <t>مرجع الطلب: ORD-20260711141538</t>
        </is>
      </c>
    </row>
    <row r="333">
      <c r="A333" s="25" t="n">
        <v>332</v>
      </c>
      <c r="B333" s="25" t="inlineStr">
        <is>
          <t>RNL</t>
        </is>
      </c>
      <c r="C333" s="25" t="inlineStr">
        <is>
          <t>كميات هالكة ومفقودة</t>
        </is>
      </c>
      <c r="D333" s="25" t="inlineStr">
        <is>
          <t>ISV-0103</t>
        </is>
      </c>
      <c r="E333" s="96" t="n">
        <v>46218</v>
      </c>
      <c r="F333" s="25" t="inlineStr">
        <is>
          <t>PRODUCTION WASTE-RN</t>
        </is>
      </c>
      <c r="G333" s="25" t="n">
        <v>8</v>
      </c>
      <c r="H333" s="27" t="n">
        <v>1993.75</v>
      </c>
      <c r="I333" s="25" t="inlineStr">
        <is>
          <t>النظام الجديد</t>
        </is>
      </c>
      <c r="J333" s="25" t="inlineStr">
        <is>
          <t>نعم</t>
        </is>
      </c>
      <c r="K333" s="25" t="inlineStr">
        <is>
          <t>مرجع الطلب: ORD-20260715152019</t>
        </is>
      </c>
    </row>
    <row r="334">
      <c r="A334" s="25" t="n">
        <v>333</v>
      </c>
      <c r="B334" s="25" t="inlineStr">
        <is>
          <t>RNL</t>
        </is>
      </c>
      <c r="C334" s="25" t="inlineStr">
        <is>
          <t>كميات هالكة ومفقودة</t>
        </is>
      </c>
      <c r="D334" s="25" t="inlineStr">
        <is>
          <t>ISV-0104</t>
        </is>
      </c>
      <c r="E334" s="96" t="n">
        <v>46218</v>
      </c>
      <c r="F334" s="25" t="inlineStr">
        <is>
          <t>PRODUCTION WASTE-RN</t>
        </is>
      </c>
      <c r="G334" s="25" t="n">
        <v>4</v>
      </c>
      <c r="H334" s="27" t="n">
        <v>2942.5</v>
      </c>
      <c r="I334" s="25" t="inlineStr">
        <is>
          <t>النظام الجديد</t>
        </is>
      </c>
      <c r="J334" s="25" t="inlineStr">
        <is>
          <t>نعم</t>
        </is>
      </c>
      <c r="K334" s="25" t="inlineStr">
        <is>
          <t>مرجع الطلب: RNPR-0025</t>
        </is>
      </c>
    </row>
    <row r="335">
      <c r="A335" s="25" t="n">
        <v>334</v>
      </c>
      <c r="B335" s="25" t="inlineStr">
        <is>
          <t>RNL</t>
        </is>
      </c>
      <c r="C335" s="25" t="inlineStr">
        <is>
          <t>كميات هالكة ومفقودة</t>
        </is>
      </c>
      <c r="D335" s="25" t="inlineStr">
        <is>
          <t>ISV-0109</t>
        </is>
      </c>
      <c r="E335" s="96" t="n">
        <v>46222</v>
      </c>
      <c r="F335" s="25" t="inlineStr">
        <is>
          <t>PRODUCTION WASTE-RN</t>
        </is>
      </c>
      <c r="G335" s="25" t="n">
        <v>5</v>
      </c>
      <c r="H335" s="27" t="n">
        <v>3613.5</v>
      </c>
      <c r="I335" s="25" t="inlineStr">
        <is>
          <t>النظام الجديد</t>
        </is>
      </c>
      <c r="J335" s="25" t="inlineStr">
        <is>
          <t>نعم</t>
        </is>
      </c>
      <c r="K335" s="25" t="inlineStr">
        <is>
          <t>مرجع الطلب: RNPR-0026</t>
        </is>
      </c>
    </row>
    <row r="336">
      <c r="A336" s="25" t="n">
        <v>335</v>
      </c>
      <c r="B336" s="25" t="inlineStr">
        <is>
          <t>RNL</t>
        </is>
      </c>
      <c r="C336" s="25" t="inlineStr">
        <is>
          <t>كميات هالكة ومفقودة</t>
        </is>
      </c>
      <c r="D336" s="25" t="inlineStr">
        <is>
          <t>ISV-0121</t>
        </is>
      </c>
      <c r="E336" s="96" t="n">
        <v>46226</v>
      </c>
      <c r="F336" s="25" t="inlineStr">
        <is>
          <t>PRODUCTION WASTE-RN</t>
        </is>
      </c>
      <c r="G336" s="25" t="n">
        <v>1</v>
      </c>
      <c r="H336" s="27" t="n">
        <v>3586.25</v>
      </c>
      <c r="I336" s="25" t="inlineStr">
        <is>
          <t>النظام الجديد</t>
        </is>
      </c>
      <c r="J336" s="25" t="inlineStr">
        <is>
          <t>نعم</t>
        </is>
      </c>
      <c r="K336" s="25" t="inlineStr">
        <is>
          <t>مرجع الطلب: RNPR-0028</t>
        </is>
      </c>
    </row>
    <row r="337">
      <c r="A337" s="25" t="n">
        <v>336</v>
      </c>
      <c r="B337" s="25" t="inlineStr">
        <is>
          <t>RNL</t>
        </is>
      </c>
      <c r="C337" s="25" t="inlineStr">
        <is>
          <t>كميات هالكة ومفقودة</t>
        </is>
      </c>
      <c r="D337" s="25" t="inlineStr">
        <is>
          <t>ISV-0124</t>
        </is>
      </c>
      <c r="E337" s="96" t="n">
        <v>46228</v>
      </c>
      <c r="F337" s="25" t="inlineStr">
        <is>
          <t>PRODUCTION WASTE-RN</t>
        </is>
      </c>
      <c r="G337" s="25" t="n">
        <v>1</v>
      </c>
      <c r="H337" s="27" t="n">
        <v>3150</v>
      </c>
      <c r="I337" s="25" t="inlineStr">
        <is>
          <t>النظام الجديد</t>
        </is>
      </c>
      <c r="J337" s="25" t="inlineStr">
        <is>
          <t>نعم</t>
        </is>
      </c>
      <c r="K337" s="25" t="inlineStr">
        <is>
          <t>مرجع الطلب: RNPR-0029</t>
        </is>
      </c>
    </row>
    <row r="338">
      <c r="A338" s="25" t="n">
        <v>337</v>
      </c>
      <c r="B338" s="25" t="inlineStr">
        <is>
          <t>RNL</t>
        </is>
      </c>
      <c r="C338" s="25" t="inlineStr">
        <is>
          <t>كميات هالكة ومفقودة</t>
        </is>
      </c>
      <c r="D338" s="25" t="inlineStr">
        <is>
          <t>ISV-0125</t>
        </is>
      </c>
      <c r="E338" s="96" t="n">
        <v>46228</v>
      </c>
      <c r="F338" s="25" t="inlineStr">
        <is>
          <t>PRODUCTION WASTE-RN</t>
        </is>
      </c>
      <c r="G338" s="25" t="n">
        <v>4</v>
      </c>
      <c r="H338" s="27" t="n">
        <v>3080</v>
      </c>
      <c r="I338" s="25" t="inlineStr">
        <is>
          <t>النظام الجديد</t>
        </is>
      </c>
      <c r="J338" s="25" t="inlineStr">
        <is>
          <t>نعم</t>
        </is>
      </c>
      <c r="K338" s="25" t="inlineStr">
        <is>
          <t>مرجع الطلب: RNPR-0030</t>
        </is>
      </c>
    </row>
    <row r="339">
      <c r="A339" s="25" t="n">
        <v>338</v>
      </c>
      <c r="B339" s="25" t="inlineStr">
        <is>
          <t>RNL</t>
        </is>
      </c>
      <c r="C339" s="25" t="inlineStr">
        <is>
          <t>كميات هالكة ومفقودة</t>
        </is>
      </c>
      <c r="D339" s="25" t="inlineStr">
        <is>
          <t>ISV-0140</t>
        </is>
      </c>
      <c r="E339" s="96" t="n">
        <v>46231</v>
      </c>
      <c r="F339" s="25" t="inlineStr">
        <is>
          <t>PRODUCTION WASTE-RN</t>
        </is>
      </c>
      <c r="G339" s="25" t="n">
        <v>4</v>
      </c>
      <c r="H339" s="27" t="n">
        <v>1787.5</v>
      </c>
      <c r="I339" s="25" t="inlineStr">
        <is>
          <t>النظام الجديد</t>
        </is>
      </c>
      <c r="J339" s="25" t="inlineStr">
        <is>
          <t>نعم</t>
        </is>
      </c>
      <c r="K339" s="25" t="inlineStr">
        <is>
          <t>مرجع الطلب: ORD-20260728174700</t>
        </is>
      </c>
    </row>
  </sheetData>
  <autoFilter ref="A1:K339"/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771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3" customWidth="1" min="5" max="5"/>
    <col width="42" customWidth="1" min="6" max="6"/>
    <col width="11" customWidth="1" min="7" max="7"/>
    <col width="7" customWidth="1" min="8" max="8"/>
    <col width="11" customWidth="1" min="9" max="9"/>
    <col width="16" customWidth="1" min="10" max="10"/>
  </cols>
  <sheetData>
    <row r="1">
      <c r="A1" s="22" t="inlineStr">
        <is>
          <t>نوع الحركة</t>
        </is>
      </c>
      <c r="B1" s="22" t="inlineStr">
        <is>
          <t>رقم العقد</t>
        </is>
      </c>
      <c r="C1" s="22" t="inlineStr">
        <is>
          <t>التاريخ</t>
        </is>
      </c>
      <c r="D1" s="22" t="inlineStr">
        <is>
          <t>المصدر</t>
        </is>
      </c>
      <c r="E1" s="22" t="inlineStr">
        <is>
          <t>كود الصنف</t>
        </is>
      </c>
      <c r="F1" s="22" t="inlineStr">
        <is>
          <t>اسم الصنف</t>
        </is>
      </c>
      <c r="G1" s="22" t="inlineStr">
        <is>
          <t>الكمية</t>
        </is>
      </c>
      <c r="H1" s="22" t="inlineStr">
        <is>
          <t>الوحدة</t>
        </is>
      </c>
      <c r="I1" s="22" t="inlineStr">
        <is>
          <t>سعر الوحدة</t>
        </is>
      </c>
      <c r="J1" s="22" t="inlineStr">
        <is>
          <t>الإجمالي</t>
        </is>
      </c>
    </row>
    <row r="2">
      <c r="A2" s="16" t="inlineStr">
        <is>
          <t>TNR</t>
        </is>
      </c>
      <c r="B2" s="16" t="inlineStr">
        <is>
          <t>TNR-3441</t>
        </is>
      </c>
      <c r="C2" s="95" t="n">
        <v>46023</v>
      </c>
      <c r="D2" s="16" t="inlineStr">
        <is>
          <t>النظام القديم</t>
        </is>
      </c>
      <c r="E2" s="16" t="inlineStr">
        <is>
          <t>TN-OD456</t>
        </is>
      </c>
      <c r="F2" s="16" t="inlineStr">
        <is>
          <t>دورانتا أخضر</t>
        </is>
      </c>
      <c r="G2" s="16" t="n">
        <v>1200</v>
      </c>
      <c r="H2" s="16" t="inlineStr">
        <is>
          <t>EA</t>
        </is>
      </c>
      <c r="I2" s="17" t="n">
        <v>2.5</v>
      </c>
      <c r="J2" s="17" t="n">
        <v>3450</v>
      </c>
    </row>
    <row r="3">
      <c r="A3" s="16" t="inlineStr">
        <is>
          <t>TNR</t>
        </is>
      </c>
      <c r="B3" s="16" t="inlineStr">
        <is>
          <t>TNR-3441</t>
        </is>
      </c>
      <c r="C3" s="95" t="n">
        <v>46023</v>
      </c>
      <c r="D3" s="16" t="inlineStr">
        <is>
          <t>النظام القديم</t>
        </is>
      </c>
      <c r="E3" s="16" t="inlineStr">
        <is>
          <t>TN-OD454</t>
        </is>
      </c>
      <c r="F3" s="16" t="inlineStr">
        <is>
          <t>تيكوماريا 50 سم</t>
        </is>
      </c>
      <c r="G3" s="16" t="n">
        <v>740</v>
      </c>
      <c r="H3" s="16" t="inlineStr">
        <is>
          <t>EA</t>
        </is>
      </c>
      <c r="I3" s="17" t="n">
        <v>2.5</v>
      </c>
      <c r="J3" s="17" t="n">
        <v>2127.5</v>
      </c>
    </row>
    <row r="4">
      <c r="A4" s="16" t="inlineStr">
        <is>
          <t>TNR</t>
        </is>
      </c>
      <c r="B4" s="16" t="inlineStr">
        <is>
          <t>TNR-3441</t>
        </is>
      </c>
      <c r="C4" s="95" t="n">
        <v>46023</v>
      </c>
      <c r="D4" s="16" t="inlineStr">
        <is>
          <t>النظام القديم</t>
        </is>
      </c>
      <c r="E4" s="16" t="inlineStr">
        <is>
          <t>TN-OD458</t>
        </is>
      </c>
      <c r="F4" s="16" t="inlineStr">
        <is>
          <t>اكاليفا</t>
        </is>
      </c>
      <c r="G4" s="16" t="n">
        <v>6</v>
      </c>
      <c r="H4" s="16" t="inlineStr">
        <is>
          <t>EA</t>
        </is>
      </c>
      <c r="I4" s="17" t="n">
        <v>25</v>
      </c>
      <c r="J4" s="17" t="n">
        <v>172.5</v>
      </c>
    </row>
    <row r="5">
      <c r="A5" s="16" t="inlineStr">
        <is>
          <t>TNR</t>
        </is>
      </c>
      <c r="B5" s="16" t="inlineStr">
        <is>
          <t>TNR-3441</t>
        </is>
      </c>
      <c r="C5" s="95" t="n">
        <v>46023</v>
      </c>
      <c r="D5" s="16" t="inlineStr">
        <is>
          <t>النظام القديم</t>
        </is>
      </c>
      <c r="E5" s="16" t="inlineStr">
        <is>
          <t>TN-NPB</t>
        </is>
      </c>
      <c r="F5" s="16" t="inlineStr">
        <is>
          <t>حجر ديكورى ابيض مطفى :35 سم - 10 كجم</t>
        </is>
      </c>
      <c r="G5" s="16" t="n">
        <v>200</v>
      </c>
      <c r="H5" s="16" t="inlineStr">
        <is>
          <t>EA</t>
        </is>
      </c>
      <c r="I5" s="17" t="n">
        <v>11.5</v>
      </c>
      <c r="J5" s="17" t="n">
        <v>2645</v>
      </c>
    </row>
    <row r="6">
      <c r="A6" s="9" t="n"/>
      <c r="B6" s="9" t="inlineStr">
        <is>
          <t>إجمالي TNR-3441</t>
        </is>
      </c>
      <c r="C6" s="9" t="n"/>
      <c r="D6" s="9" t="n"/>
      <c r="E6" s="9" t="n"/>
      <c r="F6" s="9" t="n"/>
      <c r="G6" s="9">
        <f>SUM(G2:G5)</f>
        <v/>
      </c>
      <c r="H6" s="9" t="n"/>
      <c r="I6" s="9" t="n"/>
      <c r="J6" s="10">
        <f>SUM(J2:J5)</f>
        <v/>
      </c>
    </row>
    <row r="7">
      <c r="A7" s="16" t="inlineStr">
        <is>
          <t>TNR</t>
        </is>
      </c>
      <c r="B7" s="16" t="inlineStr">
        <is>
          <t>TRF-0120</t>
        </is>
      </c>
      <c r="C7" s="95" t="n">
        <v>46217</v>
      </c>
      <c r="D7" s="16" t="inlineStr">
        <is>
          <t>النظام الجديد</t>
        </is>
      </c>
      <c r="E7" s="16" t="inlineStr">
        <is>
          <t>OD373</t>
        </is>
      </c>
      <c r="F7" s="16" t="inlineStr">
        <is>
          <t>سيسبانيا 1-2 متر</t>
        </is>
      </c>
      <c r="G7" s="16" t="n">
        <v>250</v>
      </c>
      <c r="H7" s="16" t="inlineStr">
        <is>
          <t>EA</t>
        </is>
      </c>
      <c r="I7" s="17" t="n">
        <v>25.5</v>
      </c>
      <c r="J7" s="17" t="n">
        <v>7331.25</v>
      </c>
    </row>
    <row r="8">
      <c r="A8" s="9" t="n"/>
      <c r="B8" s="9" t="inlineStr">
        <is>
          <t>إجمالي TRF-0120</t>
        </is>
      </c>
      <c r="C8" s="9" t="n"/>
      <c r="D8" s="9" t="n"/>
      <c r="E8" s="9" t="n"/>
      <c r="F8" s="9" t="n"/>
      <c r="G8" s="9">
        <f>SUM(G7:G7)</f>
        <v/>
      </c>
      <c r="H8" s="9" t="n"/>
      <c r="I8" s="9" t="n"/>
      <c r="J8" s="10">
        <f>SUM(J7:J7)</f>
        <v/>
      </c>
    </row>
    <row r="9">
      <c r="A9" s="16" t="inlineStr">
        <is>
          <t>TNR</t>
        </is>
      </c>
      <c r="B9" s="16" t="inlineStr">
        <is>
          <t>TRF-0188</t>
        </is>
      </c>
      <c r="C9" s="95" t="n">
        <v>46231</v>
      </c>
      <c r="D9" s="16" t="inlineStr">
        <is>
          <t>النظام الجديد</t>
        </is>
      </c>
      <c r="E9" s="16" t="inlineStr">
        <is>
          <t>FR368</t>
        </is>
      </c>
      <c r="F9" s="16" t="inlineStr">
        <is>
          <t>بيرلايت 100 لتر</t>
        </is>
      </c>
      <c r="G9" s="16" t="n">
        <v>25</v>
      </c>
      <c r="H9" s="16" t="inlineStr">
        <is>
          <t>EA</t>
        </is>
      </c>
      <c r="I9" s="17" t="n">
        <v>32.5</v>
      </c>
      <c r="J9" s="17" t="n">
        <v>934.37</v>
      </c>
    </row>
    <row r="10">
      <c r="A10" s="9" t="n"/>
      <c r="B10" s="9" t="inlineStr">
        <is>
          <t>إجمالي TRF-0188</t>
        </is>
      </c>
      <c r="C10" s="9" t="n"/>
      <c r="D10" s="9" t="n"/>
      <c r="E10" s="9" t="n"/>
      <c r="F10" s="9" t="n"/>
      <c r="G10" s="9">
        <f>SUM(G9:G9)</f>
        <v/>
      </c>
      <c r="H10" s="9" t="n"/>
      <c r="I10" s="9" t="n"/>
      <c r="J10" s="10">
        <f>SUM(J9:J9)</f>
        <v/>
      </c>
    </row>
    <row r="11">
      <c r="A11" s="16" t="inlineStr">
        <is>
          <t>RNT</t>
        </is>
      </c>
      <c r="B11" s="16" t="inlineStr">
        <is>
          <t>RNT-3434</t>
        </is>
      </c>
      <c r="C11" s="95" t="n">
        <v>46026</v>
      </c>
      <c r="D11" s="16" t="inlineStr">
        <is>
          <t>النظام القديم</t>
        </is>
      </c>
      <c r="E11" s="16" t="inlineStr">
        <is>
          <t>RN-OD561</t>
        </is>
      </c>
      <c r="F11" s="16" t="inlineStr">
        <is>
          <t>زهور مارى جولد</t>
        </is>
      </c>
      <c r="G11" s="16" t="n">
        <v>2000</v>
      </c>
      <c r="H11" s="16" t="inlineStr">
        <is>
          <t>EA</t>
        </is>
      </c>
      <c r="I11" s="17" t="n">
        <v>0.6</v>
      </c>
      <c r="J11" s="17" t="n">
        <v>1380</v>
      </c>
    </row>
    <row r="12">
      <c r="A12" s="9" t="n"/>
      <c r="B12" s="9" t="inlineStr">
        <is>
          <t>إجمالي RNT-3434</t>
        </is>
      </c>
      <c r="C12" s="9" t="n"/>
      <c r="D12" s="9" t="n"/>
      <c r="E12" s="9" t="n"/>
      <c r="F12" s="9" t="n"/>
      <c r="G12" s="9">
        <f>SUM(G11:G11)</f>
        <v/>
      </c>
      <c r="H12" s="9" t="n"/>
      <c r="I12" s="9" t="n"/>
      <c r="J12" s="10">
        <f>SUM(J11:J11)</f>
        <v/>
      </c>
    </row>
    <row r="13">
      <c r="A13" s="16" t="inlineStr">
        <is>
          <t>RNT</t>
        </is>
      </c>
      <c r="B13" s="16" t="inlineStr">
        <is>
          <t>RNT-3604</t>
        </is>
      </c>
      <c r="C13" s="95" t="n">
        <v>46042</v>
      </c>
      <c r="D13" s="16" t="inlineStr">
        <is>
          <t>النظام القديم</t>
        </is>
      </c>
      <c r="E13" s="16" t="inlineStr">
        <is>
          <t>RN-ID1501</t>
        </is>
      </c>
      <c r="F13" s="16" t="inlineStr">
        <is>
          <t>ترادسكانتيا ان اس مركن19 سم عالقى</t>
        </is>
      </c>
      <c r="G13" s="16" t="n">
        <v>270</v>
      </c>
      <c r="H13" s="16" t="inlineStr">
        <is>
          <t>EA</t>
        </is>
      </c>
      <c r="I13" s="17" t="n">
        <v>8.5</v>
      </c>
      <c r="J13" s="17" t="n">
        <v>2639.25</v>
      </c>
    </row>
    <row r="14">
      <c r="A14" s="16" t="inlineStr">
        <is>
          <t>RNT</t>
        </is>
      </c>
      <c r="B14" s="16" t="inlineStr">
        <is>
          <t>RNT-3604</t>
        </is>
      </c>
      <c r="C14" s="95" t="n">
        <v>46042</v>
      </c>
      <c r="D14" s="16" t="inlineStr">
        <is>
          <t>النظام القديم</t>
        </is>
      </c>
      <c r="E14" s="16" t="inlineStr">
        <is>
          <t>RN-OD694</t>
        </is>
      </c>
      <c r="F14" s="16" t="inlineStr">
        <is>
          <t>كالنشو هولندى مركن12 سم</t>
        </is>
      </c>
      <c r="G14" s="16" t="n">
        <v>1500</v>
      </c>
      <c r="H14" s="16" t="inlineStr">
        <is>
          <t>EA</t>
        </is>
      </c>
      <c r="I14" s="17" t="n">
        <v>3</v>
      </c>
      <c r="J14" s="17" t="n">
        <v>5175</v>
      </c>
    </row>
    <row r="15">
      <c r="A15" s="16" t="inlineStr">
        <is>
          <t>RNT</t>
        </is>
      </c>
      <c r="B15" s="16" t="inlineStr">
        <is>
          <t>RNT-3604</t>
        </is>
      </c>
      <c r="C15" s="95" t="n">
        <v>46042</v>
      </c>
      <c r="D15" s="16" t="inlineStr">
        <is>
          <t>النظام القديم</t>
        </is>
      </c>
      <c r="E15" s="16" t="inlineStr">
        <is>
          <t>RN-OD641</t>
        </is>
      </c>
      <c r="F15" s="16" t="inlineStr">
        <is>
          <t>زهور قرنفل صيني مركن9 سم</t>
        </is>
      </c>
      <c r="G15" s="16" t="n">
        <v>1000</v>
      </c>
      <c r="H15" s="16" t="inlineStr">
        <is>
          <t>EA</t>
        </is>
      </c>
      <c r="I15" s="17" t="n">
        <v>0.6</v>
      </c>
      <c r="J15" s="17" t="n">
        <v>690</v>
      </c>
    </row>
    <row r="16">
      <c r="A16" s="9" t="n"/>
      <c r="B16" s="9" t="inlineStr">
        <is>
          <t>إجمالي RNT-3604</t>
        </is>
      </c>
      <c r="C16" s="9" t="n"/>
      <c r="D16" s="9" t="n"/>
      <c r="E16" s="9" t="n"/>
      <c r="F16" s="9" t="n"/>
      <c r="G16" s="9">
        <f>SUM(G13:G15)</f>
        <v/>
      </c>
      <c r="H16" s="9" t="n"/>
      <c r="I16" s="9" t="n"/>
      <c r="J16" s="10">
        <f>SUM(J13:J15)</f>
        <v/>
      </c>
    </row>
    <row r="17">
      <c r="A17" s="16" t="inlineStr">
        <is>
          <t>RNT</t>
        </is>
      </c>
      <c r="B17" s="16" t="inlineStr">
        <is>
          <t>RNT-3805</t>
        </is>
      </c>
      <c r="C17" s="95" t="n">
        <v>46064</v>
      </c>
      <c r="D17" s="16" t="inlineStr">
        <is>
          <t>النظام القديم</t>
        </is>
      </c>
      <c r="E17" s="16" t="inlineStr">
        <is>
          <t>RN-OD696</t>
        </is>
      </c>
      <c r="F17" s="16" t="inlineStr">
        <is>
          <t>زهور اقحوان افريقي مركن9 سم</t>
        </is>
      </c>
      <c r="G17" s="16" t="n">
        <v>150</v>
      </c>
      <c r="H17" s="16" t="inlineStr">
        <is>
          <t>EA</t>
        </is>
      </c>
      <c r="I17" s="17" t="n">
        <v>1.5</v>
      </c>
      <c r="J17" s="17" t="n">
        <v>258.75</v>
      </c>
    </row>
    <row r="18">
      <c r="A18" s="16" t="inlineStr">
        <is>
          <t>RNT</t>
        </is>
      </c>
      <c r="B18" s="16" t="inlineStr">
        <is>
          <t>RNT-3805</t>
        </is>
      </c>
      <c r="C18" s="95" t="n">
        <v>46064</v>
      </c>
      <c r="D18" s="16" t="inlineStr">
        <is>
          <t>النظام القديم</t>
        </is>
      </c>
      <c r="E18" s="16" t="inlineStr">
        <is>
          <t>RN-OD695</t>
        </is>
      </c>
      <c r="F18" s="16" t="inlineStr">
        <is>
          <t>زهور اقحوان افريقي هولندى مركن12 سم</t>
        </is>
      </c>
      <c r="G18" s="16" t="n">
        <v>90</v>
      </c>
      <c r="H18" s="16" t="inlineStr">
        <is>
          <t>EA</t>
        </is>
      </c>
      <c r="I18" s="17" t="n">
        <v>3</v>
      </c>
      <c r="J18" s="17" t="n">
        <v>310.5</v>
      </c>
    </row>
    <row r="19">
      <c r="A19" s="16" t="inlineStr">
        <is>
          <t>RNT</t>
        </is>
      </c>
      <c r="B19" s="16" t="inlineStr">
        <is>
          <t>RNT-3805</t>
        </is>
      </c>
      <c r="C19" s="95" t="n">
        <v>46064</v>
      </c>
      <c r="D19" s="16" t="inlineStr">
        <is>
          <t>النظام القديم</t>
        </is>
      </c>
      <c r="E19" s="16" t="inlineStr">
        <is>
          <t>RN-OD636</t>
        </is>
      </c>
      <c r="F19" s="16" t="inlineStr">
        <is>
          <t>زهور منثور مركن9 سم</t>
        </is>
      </c>
      <c r="G19" s="16" t="n">
        <v>150</v>
      </c>
      <c r="H19" s="16" t="inlineStr">
        <is>
          <t>EA</t>
        </is>
      </c>
      <c r="I19" s="17" t="n">
        <v>0.55</v>
      </c>
      <c r="J19" s="17" t="n">
        <v>94.875</v>
      </c>
    </row>
    <row r="20">
      <c r="A20" s="16" t="inlineStr">
        <is>
          <t>RNT</t>
        </is>
      </c>
      <c r="B20" s="16" t="inlineStr">
        <is>
          <t>RNT-3805</t>
        </is>
      </c>
      <c r="C20" s="95" t="n">
        <v>46064</v>
      </c>
      <c r="D20" s="16" t="inlineStr">
        <is>
          <t>النظام القديم</t>
        </is>
      </c>
      <c r="E20" s="16" t="inlineStr">
        <is>
          <t>RN-OD693</t>
        </is>
      </c>
      <c r="F20" s="16" t="inlineStr">
        <is>
          <t>زهور جيرانيوم هولندى مركن12 سم</t>
        </is>
      </c>
      <c r="G20" s="16" t="n">
        <v>180</v>
      </c>
      <c r="H20" s="16" t="inlineStr">
        <is>
          <t>EA</t>
        </is>
      </c>
      <c r="I20" s="17" t="n">
        <v>3</v>
      </c>
      <c r="J20" s="17" t="n">
        <v>621</v>
      </c>
    </row>
    <row r="21">
      <c r="A21" s="16" t="inlineStr">
        <is>
          <t>RNT</t>
        </is>
      </c>
      <c r="B21" s="16" t="inlineStr">
        <is>
          <t>RNT-3805</t>
        </is>
      </c>
      <c r="C21" s="95" t="n">
        <v>46064</v>
      </c>
      <c r="D21" s="16" t="inlineStr">
        <is>
          <t>النظام القديم</t>
        </is>
      </c>
      <c r="E21" s="16" t="inlineStr">
        <is>
          <t>RN-OD639</t>
        </is>
      </c>
      <c r="F21" s="16" t="inlineStr">
        <is>
          <t>زهور قرنفل امريكي مركن12 سم</t>
        </is>
      </c>
      <c r="G21" s="16" t="n">
        <v>90</v>
      </c>
      <c r="H21" s="16" t="inlineStr">
        <is>
          <t>EA</t>
        </is>
      </c>
      <c r="I21" s="17" t="n">
        <v>2.5</v>
      </c>
      <c r="J21" s="17" t="n">
        <v>258.75</v>
      </c>
    </row>
    <row r="22">
      <c r="A22" s="16" t="inlineStr">
        <is>
          <t>RNT</t>
        </is>
      </c>
      <c r="B22" s="16" t="inlineStr">
        <is>
          <t>RNT-3805</t>
        </is>
      </c>
      <c r="C22" s="95" t="n">
        <v>46064</v>
      </c>
      <c r="D22" s="16" t="inlineStr">
        <is>
          <t>النظام القديم</t>
        </is>
      </c>
      <c r="E22" s="16" t="inlineStr">
        <is>
          <t>RN-OD643</t>
        </is>
      </c>
      <c r="F22" s="16" t="inlineStr">
        <is>
          <t>زهور سينيراريا مركن12 سم</t>
        </is>
      </c>
      <c r="G22" s="16" t="n">
        <v>48</v>
      </c>
      <c r="H22" s="16" t="inlineStr">
        <is>
          <t>EA</t>
        </is>
      </c>
      <c r="I22" s="17" t="n">
        <v>2.5</v>
      </c>
      <c r="J22" s="17" t="n">
        <v>138</v>
      </c>
    </row>
    <row r="23">
      <c r="A23" s="9" t="n"/>
      <c r="B23" s="9" t="inlineStr">
        <is>
          <t>إجمالي RNT-3805</t>
        </is>
      </c>
      <c r="C23" s="9" t="n"/>
      <c r="D23" s="9" t="n"/>
      <c r="E23" s="9" t="n"/>
      <c r="F23" s="9" t="n"/>
      <c r="G23" s="9">
        <f>SUM(G17:G22)</f>
        <v/>
      </c>
      <c r="H23" s="9" t="n"/>
      <c r="I23" s="9" t="n"/>
      <c r="J23" s="10">
        <f>SUM(J17:J22)</f>
        <v/>
      </c>
    </row>
    <row r="24">
      <c r="A24" s="16" t="inlineStr">
        <is>
          <t>RNT</t>
        </is>
      </c>
      <c r="B24" s="16" t="inlineStr">
        <is>
          <t>RNT-180</t>
        </is>
      </c>
      <c r="C24" s="95" t="n">
        <v>46104</v>
      </c>
      <c r="D24" s="16" t="inlineStr">
        <is>
          <t>سجل صرف المخزن</t>
        </is>
      </c>
      <c r="E24" s="16" t="inlineStr">
        <is>
          <t>RN-FR368</t>
        </is>
      </c>
      <c r="F24" s="16" t="inlineStr">
        <is>
          <t>بيرلايت 100 لتر</t>
        </is>
      </c>
      <c r="G24" s="16" t="n">
        <v>100</v>
      </c>
      <c r="H24" s="16" t="inlineStr">
        <is>
          <t>EA</t>
        </is>
      </c>
      <c r="I24" s="17" t="n">
        <v>32.5</v>
      </c>
      <c r="J24" s="17" t="n">
        <v>3250</v>
      </c>
    </row>
    <row r="25">
      <c r="A25" s="16" t="inlineStr">
        <is>
          <t>RNT</t>
        </is>
      </c>
      <c r="B25" s="16" t="inlineStr">
        <is>
          <t>RNT-180</t>
        </is>
      </c>
      <c r="C25" s="95" t="n">
        <v>46104</v>
      </c>
      <c r="D25" s="16" t="inlineStr">
        <is>
          <t>سجل صرف المخزن</t>
        </is>
      </c>
      <c r="E25" s="16" t="inlineStr">
        <is>
          <t>RN-OD694</t>
        </is>
      </c>
      <c r="F25" s="16" t="inlineStr">
        <is>
          <t>كلانشو هولندى مركن 12 سم</t>
        </is>
      </c>
      <c r="G25" s="16" t="n">
        <v>420</v>
      </c>
      <c r="H25" s="16" t="inlineStr">
        <is>
          <t>EA</t>
        </is>
      </c>
      <c r="I25" s="17" t="n">
        <v>3</v>
      </c>
      <c r="J25" s="17" t="n">
        <v>1260</v>
      </c>
    </row>
    <row r="26">
      <c r="A26" s="16" t="inlineStr">
        <is>
          <t>RNT</t>
        </is>
      </c>
      <c r="B26" s="16" t="inlineStr">
        <is>
          <t>RNT-180</t>
        </is>
      </c>
      <c r="C26" s="95" t="n">
        <v>46104</v>
      </c>
      <c r="D26" s="16" t="inlineStr">
        <is>
          <t>سجل صرف المخزن</t>
        </is>
      </c>
      <c r="E26" s="16" t="inlineStr">
        <is>
          <t>RN-OD638</t>
        </is>
      </c>
      <c r="F26" s="16" t="inlineStr">
        <is>
          <t>زهور هيبوستس مركن 9 سم</t>
        </is>
      </c>
      <c r="G26" s="16" t="n">
        <v>1575</v>
      </c>
      <c r="H26" s="16" t="inlineStr">
        <is>
          <t>EA</t>
        </is>
      </c>
      <c r="I26" s="17" t="n">
        <v>0.6</v>
      </c>
      <c r="J26" s="17" t="n">
        <v>945</v>
      </c>
    </row>
    <row r="27">
      <c r="A27" s="16" t="inlineStr">
        <is>
          <t>RNT</t>
        </is>
      </c>
      <c r="B27" s="16" t="inlineStr">
        <is>
          <t>RNT-180</t>
        </is>
      </c>
      <c r="C27" s="95" t="n">
        <v>46104</v>
      </c>
      <c r="D27" s="16" t="inlineStr">
        <is>
          <t>سجل صرف المخزن</t>
        </is>
      </c>
      <c r="E27" s="16" t="inlineStr">
        <is>
          <t>RN-OD696</t>
        </is>
      </c>
      <c r="F27" s="16" t="inlineStr">
        <is>
          <t>زهور اقحوان افريقي مركن 9 سم</t>
        </is>
      </c>
      <c r="G27" s="16" t="n">
        <v>1000</v>
      </c>
      <c r="H27" s="16" t="inlineStr">
        <is>
          <t>EA</t>
        </is>
      </c>
      <c r="I27" s="17" t="n">
        <v>1.5</v>
      </c>
      <c r="J27" s="17" t="n">
        <v>1500</v>
      </c>
    </row>
    <row r="28">
      <c r="A28" s="9" t="n"/>
      <c r="B28" s="9" t="inlineStr">
        <is>
          <t>إجمالي RNT-180</t>
        </is>
      </c>
      <c r="C28" s="9" t="n"/>
      <c r="D28" s="9" t="n"/>
      <c r="E28" s="9" t="n"/>
      <c r="F28" s="9" t="n"/>
      <c r="G28" s="9">
        <f>SUM(G24:G27)</f>
        <v/>
      </c>
      <c r="H28" s="9" t="n"/>
      <c r="I28" s="9" t="n"/>
      <c r="J28" s="10">
        <f>SUM(J24:J27)</f>
        <v/>
      </c>
    </row>
    <row r="29">
      <c r="A29" s="16" t="inlineStr">
        <is>
          <t>RNT</t>
        </is>
      </c>
      <c r="B29" s="16" t="inlineStr">
        <is>
          <t>RNT-211</t>
        </is>
      </c>
      <c r="C29" s="95" t="n">
        <v>46121</v>
      </c>
      <c r="D29" s="16" t="inlineStr">
        <is>
          <t>سجل صرف المخزن</t>
        </is>
      </c>
      <c r="E29" s="16" t="inlineStr">
        <is>
          <t>RN-OD696</t>
        </is>
      </c>
      <c r="F29" s="16" t="inlineStr">
        <is>
          <t>زهور اقحوان افريقي مركن 9 سم</t>
        </is>
      </c>
      <c r="G29" s="16" t="n">
        <v>1650</v>
      </c>
      <c r="H29" s="16" t="inlineStr">
        <is>
          <t>EA</t>
        </is>
      </c>
      <c r="I29" s="17" t="n">
        <v>1.5</v>
      </c>
      <c r="J29" s="17" t="n">
        <v>2475</v>
      </c>
    </row>
    <row r="30">
      <c r="A30" s="16" t="inlineStr">
        <is>
          <t>RNT</t>
        </is>
      </c>
      <c r="B30" s="16" t="inlineStr">
        <is>
          <t>RNT-211</t>
        </is>
      </c>
      <c r="C30" s="95" t="n">
        <v>46121</v>
      </c>
      <c r="D30" s="16" t="inlineStr">
        <is>
          <t>سجل صرف المخزن</t>
        </is>
      </c>
      <c r="E30" s="16" t="inlineStr">
        <is>
          <t>RN-OD569</t>
        </is>
      </c>
      <c r="F30" s="16" t="inlineStr">
        <is>
          <t>زهور فينكا روزا</t>
        </is>
      </c>
      <c r="G30" s="16" t="n">
        <v>750</v>
      </c>
      <c r="H30" s="16" t="inlineStr">
        <is>
          <t>EA</t>
        </is>
      </c>
      <c r="I30" s="17" t="n">
        <v>0.55</v>
      </c>
      <c r="J30" s="17" t="n">
        <v>412.5</v>
      </c>
    </row>
    <row r="31">
      <c r="A31" s="9" t="n"/>
      <c r="B31" s="9" t="inlineStr">
        <is>
          <t>إجمالي RNT-211</t>
        </is>
      </c>
      <c r="C31" s="9" t="n"/>
      <c r="D31" s="9" t="n"/>
      <c r="E31" s="9" t="n"/>
      <c r="F31" s="9" t="n"/>
      <c r="G31" s="9">
        <f>SUM(G29:G30)</f>
        <v/>
      </c>
      <c r="H31" s="9" t="n"/>
      <c r="I31" s="9" t="n"/>
      <c r="J31" s="10">
        <f>SUM(J29:J30)</f>
        <v/>
      </c>
    </row>
    <row r="32">
      <c r="A32" s="16" t="inlineStr">
        <is>
          <t>RNT</t>
        </is>
      </c>
      <c r="B32" s="16" t="inlineStr">
        <is>
          <t>TRF-0107</t>
        </is>
      </c>
      <c r="C32" s="95" t="n">
        <v>46214</v>
      </c>
      <c r="D32" s="16" t="inlineStr">
        <is>
          <t>النظام الجديد</t>
        </is>
      </c>
      <c r="E32" s="16" t="inlineStr">
        <is>
          <t>ID1500</t>
        </is>
      </c>
      <c r="F32" s="16" t="inlineStr">
        <is>
          <t>سكندابسس ان اس مركن 19 سم علاقي</t>
        </is>
      </c>
      <c r="G32" s="16" t="n">
        <v>300</v>
      </c>
      <c r="H32" s="16" t="inlineStr">
        <is>
          <t>EA</t>
        </is>
      </c>
      <c r="I32" s="17" t="n">
        <v>9.5</v>
      </c>
      <c r="J32" s="17" t="n">
        <v>3277.5</v>
      </c>
    </row>
    <row r="33">
      <c r="A33" s="16" t="inlineStr">
        <is>
          <t>RNT</t>
        </is>
      </c>
      <c r="B33" s="16" t="inlineStr">
        <is>
          <t>TRF-0107</t>
        </is>
      </c>
      <c r="C33" s="95" t="n">
        <v>46214</v>
      </c>
      <c r="D33" s="16" t="inlineStr">
        <is>
          <t>النظام الجديد</t>
        </is>
      </c>
      <c r="E33" s="16" t="inlineStr">
        <is>
          <t>ID1504</t>
        </is>
      </c>
      <c r="F33" s="16" t="inlineStr">
        <is>
          <t>هيدرا علاقي ان اس مركن 19 سم</t>
        </is>
      </c>
      <c r="G33" s="16" t="n">
        <v>100</v>
      </c>
      <c r="H33" s="16" t="inlineStr">
        <is>
          <t>EA</t>
        </is>
      </c>
      <c r="I33" s="17" t="n">
        <v>7</v>
      </c>
      <c r="J33" s="17" t="n">
        <v>805</v>
      </c>
    </row>
    <row r="34">
      <c r="A34" s="16" t="inlineStr">
        <is>
          <t>RNT</t>
        </is>
      </c>
      <c r="B34" s="16" t="inlineStr">
        <is>
          <t>TRF-0107</t>
        </is>
      </c>
      <c r="C34" s="95" t="n">
        <v>46214</v>
      </c>
      <c r="D34" s="16" t="inlineStr">
        <is>
          <t>النظام الجديد</t>
        </is>
      </c>
      <c r="E34" s="16" t="inlineStr">
        <is>
          <t>OD373</t>
        </is>
      </c>
      <c r="F34" s="16" t="inlineStr">
        <is>
          <t>سيسبانيا 1-2 متر</t>
        </is>
      </c>
      <c r="G34" s="16" t="n">
        <v>250</v>
      </c>
      <c r="H34" s="16" t="inlineStr">
        <is>
          <t>EA</t>
        </is>
      </c>
      <c r="I34" s="17" t="n">
        <v>25.5</v>
      </c>
      <c r="J34" s="17" t="n">
        <v>7331.25</v>
      </c>
    </row>
    <row r="35">
      <c r="A35" s="16" t="inlineStr">
        <is>
          <t>RNT</t>
        </is>
      </c>
      <c r="B35" s="16" t="inlineStr">
        <is>
          <t>TRF-0107</t>
        </is>
      </c>
      <c r="C35" s="95" t="n">
        <v>46214</v>
      </c>
      <c r="D35" s="16" t="inlineStr">
        <is>
          <t>النظام الجديد</t>
        </is>
      </c>
      <c r="E35" s="16" t="inlineStr">
        <is>
          <t>OD456</t>
        </is>
      </c>
      <c r="F35" s="16" t="inlineStr">
        <is>
          <t>دورانتا أخضر</t>
        </is>
      </c>
      <c r="G35" s="16" t="n">
        <v>1290</v>
      </c>
      <c r="H35" s="16" t="inlineStr">
        <is>
          <t>EA</t>
        </is>
      </c>
      <c r="I35" s="17" t="n">
        <v>2.5</v>
      </c>
      <c r="J35" s="17" t="n">
        <v>3708.75</v>
      </c>
    </row>
    <row r="36">
      <c r="A36" s="16" t="inlineStr">
        <is>
          <t>RNT</t>
        </is>
      </c>
      <c r="B36" s="16" t="inlineStr">
        <is>
          <t>TRF-0107</t>
        </is>
      </c>
      <c r="C36" s="95" t="n">
        <v>46214</v>
      </c>
      <c r="D36" s="16" t="inlineStr">
        <is>
          <t>النظام الجديد</t>
        </is>
      </c>
      <c r="E36" s="16" t="inlineStr">
        <is>
          <t>OD458</t>
        </is>
      </c>
      <c r="F36" s="16" t="inlineStr">
        <is>
          <t>اكاليفا</t>
        </is>
      </c>
      <c r="G36" s="16" t="n">
        <v>60</v>
      </c>
      <c r="H36" s="16" t="inlineStr">
        <is>
          <t>EA</t>
        </is>
      </c>
      <c r="I36" s="17" t="n">
        <v>2.5</v>
      </c>
      <c r="J36" s="17" t="n">
        <v>172.5</v>
      </c>
    </row>
    <row r="37">
      <c r="A37" s="16" t="inlineStr">
        <is>
          <t>RNT</t>
        </is>
      </c>
      <c r="B37" s="16" t="inlineStr">
        <is>
          <t>TRF-0107</t>
        </is>
      </c>
      <c r="C37" s="95" t="n">
        <v>46214</v>
      </c>
      <c r="D37" s="16" t="inlineStr">
        <is>
          <t>النظام الجديد</t>
        </is>
      </c>
      <c r="E37" s="16" t="inlineStr">
        <is>
          <t>OD467</t>
        </is>
      </c>
      <c r="F37" s="16" t="inlineStr">
        <is>
          <t>فل بلدي</t>
        </is>
      </c>
      <c r="G37" s="16" t="n">
        <v>450</v>
      </c>
      <c r="H37" s="16" t="inlineStr">
        <is>
          <t>EA</t>
        </is>
      </c>
      <c r="I37" s="17" t="n">
        <v>2.5</v>
      </c>
      <c r="J37" s="17" t="n">
        <v>1293.75</v>
      </c>
    </row>
    <row r="38">
      <c r="A38" s="16" t="inlineStr">
        <is>
          <t>RNT</t>
        </is>
      </c>
      <c r="B38" s="16" t="inlineStr">
        <is>
          <t>TRF-0107</t>
        </is>
      </c>
      <c r="C38" s="95" t="n">
        <v>46214</v>
      </c>
      <c r="D38" s="16" t="inlineStr">
        <is>
          <t>النظام الجديد</t>
        </is>
      </c>
      <c r="E38" s="16" t="inlineStr">
        <is>
          <t>OD454</t>
        </is>
      </c>
      <c r="F38" s="16" t="inlineStr">
        <is>
          <t>تيكوماريا 50 سم</t>
        </is>
      </c>
      <c r="G38" s="16" t="n">
        <v>2384</v>
      </c>
      <c r="H38" s="16" t="inlineStr">
        <is>
          <t>EA</t>
        </is>
      </c>
      <c r="I38" s="17" t="n">
        <v>2.5</v>
      </c>
      <c r="J38" s="17" t="n">
        <v>6854</v>
      </c>
    </row>
    <row r="39">
      <c r="A39" s="16" t="inlineStr">
        <is>
          <t>RNT</t>
        </is>
      </c>
      <c r="B39" s="16" t="inlineStr">
        <is>
          <t>TRF-0107</t>
        </is>
      </c>
      <c r="C39" s="95" t="n">
        <v>46214</v>
      </c>
      <c r="D39" s="16" t="inlineStr">
        <is>
          <t>النظام الجديد</t>
        </is>
      </c>
      <c r="E39" s="16" t="inlineStr">
        <is>
          <t>OD491</t>
        </is>
      </c>
      <c r="F39" s="16" t="inlineStr">
        <is>
          <t>ياسمين أزرق</t>
        </is>
      </c>
      <c r="G39" s="16" t="n">
        <v>580</v>
      </c>
      <c r="H39" s="16" t="inlineStr">
        <is>
          <t>EA</t>
        </is>
      </c>
      <c r="I39" s="17" t="n">
        <v>2.5</v>
      </c>
      <c r="J39" s="17" t="n">
        <v>1667.5</v>
      </c>
    </row>
    <row r="40">
      <c r="A40" s="16" t="inlineStr">
        <is>
          <t>RNT</t>
        </is>
      </c>
      <c r="B40" s="16" t="inlineStr">
        <is>
          <t>TRF-0107</t>
        </is>
      </c>
      <c r="C40" s="95" t="n">
        <v>46214</v>
      </c>
      <c r="D40" s="16" t="inlineStr">
        <is>
          <t>النظام الجديد</t>
        </is>
      </c>
      <c r="E40" s="16" t="inlineStr">
        <is>
          <t>OD703</t>
        </is>
      </c>
      <c r="F40" s="16" t="inlineStr">
        <is>
          <t>تجيل كروي مركن 9 سم</t>
        </is>
      </c>
      <c r="G40" s="16" t="n">
        <v>2400</v>
      </c>
      <c r="H40" s="16" t="inlineStr">
        <is>
          <t>EA</t>
        </is>
      </c>
      <c r="I40" s="17" t="n">
        <v>1.1</v>
      </c>
      <c r="J40" s="17" t="n">
        <v>3036</v>
      </c>
    </row>
    <row r="41">
      <c r="A41" s="9" t="n"/>
      <c r="B41" s="9" t="inlineStr">
        <is>
          <t>إجمالي TRF-0107</t>
        </is>
      </c>
      <c r="C41" s="9" t="n"/>
      <c r="D41" s="9" t="n"/>
      <c r="E41" s="9" t="n"/>
      <c r="F41" s="9" t="n"/>
      <c r="G41" s="9">
        <f>SUM(G32:G40)</f>
        <v/>
      </c>
      <c r="H41" s="9" t="n"/>
      <c r="I41" s="9" t="n"/>
      <c r="J41" s="10">
        <f>SUM(J32:J40)</f>
        <v/>
      </c>
    </row>
    <row r="42">
      <c r="A42" s="16" t="inlineStr">
        <is>
          <t>RNT</t>
        </is>
      </c>
      <c r="B42" s="16" t="inlineStr">
        <is>
          <t>TRF-0122</t>
        </is>
      </c>
      <c r="C42" s="95" t="n">
        <v>46217</v>
      </c>
      <c r="D42" s="16" t="inlineStr">
        <is>
          <t>النظام الجديد</t>
        </is>
      </c>
      <c r="E42" s="16" t="inlineStr">
        <is>
          <t>OD373</t>
        </is>
      </c>
      <c r="F42" s="16" t="inlineStr">
        <is>
          <t>سيسبانيا 1-2 متر</t>
        </is>
      </c>
      <c r="G42" s="16" t="n">
        <v>240</v>
      </c>
      <c r="H42" s="16" t="inlineStr">
        <is>
          <t>EA</t>
        </is>
      </c>
      <c r="I42" s="17" t="n">
        <v>25.5</v>
      </c>
      <c r="J42" s="17" t="n">
        <v>7038</v>
      </c>
    </row>
    <row r="43">
      <c r="A43" s="9" t="n"/>
      <c r="B43" s="9" t="inlineStr">
        <is>
          <t>إجمالي TRF-0122</t>
        </is>
      </c>
      <c r="C43" s="9" t="n"/>
      <c r="D43" s="9" t="n"/>
      <c r="E43" s="9" t="n"/>
      <c r="F43" s="9" t="n"/>
      <c r="G43" s="9">
        <f>SUM(G42:G42)</f>
        <v/>
      </c>
      <c r="H43" s="9" t="n"/>
      <c r="I43" s="9" t="n"/>
      <c r="J43" s="10">
        <f>SUM(J42:J42)</f>
        <v/>
      </c>
    </row>
    <row r="44">
      <c r="A44" s="16" t="inlineStr">
        <is>
          <t>RNP</t>
        </is>
      </c>
      <c r="B44" s="16" t="inlineStr">
        <is>
          <t>RNP-3432</t>
        </is>
      </c>
      <c r="C44" s="95" t="n">
        <v>46026</v>
      </c>
      <c r="D44" s="16" t="inlineStr">
        <is>
          <t>النظام القديم</t>
        </is>
      </c>
      <c r="E44" s="16" t="inlineStr">
        <is>
          <t>RN-OD620</t>
        </is>
      </c>
      <c r="F44" s="16" t="inlineStr">
        <is>
          <t>زهور جيرانيوم مركن12 سم</t>
        </is>
      </c>
      <c r="G44" s="16" t="n">
        <v>17900</v>
      </c>
      <c r="H44" s="16" t="inlineStr">
        <is>
          <t>EA</t>
        </is>
      </c>
      <c r="I44" s="17" t="n">
        <v>2</v>
      </c>
      <c r="J44" s="17" t="n">
        <v>41170</v>
      </c>
    </row>
    <row r="45">
      <c r="A45" s="16" t="inlineStr">
        <is>
          <t>RNP</t>
        </is>
      </c>
      <c r="B45" s="16" t="inlineStr">
        <is>
          <t>RNP-3432</t>
        </is>
      </c>
      <c r="C45" s="95" t="n">
        <v>46026</v>
      </c>
      <c r="D45" s="16" t="inlineStr">
        <is>
          <t>النظام القديم</t>
        </is>
      </c>
      <c r="E45" s="16" t="inlineStr">
        <is>
          <t>RN-OD642</t>
        </is>
      </c>
      <c r="F45" s="16" t="inlineStr">
        <is>
          <t>زهور اليسوم مركن9 سم</t>
        </is>
      </c>
      <c r="G45" s="16" t="n">
        <v>2000</v>
      </c>
      <c r="H45" s="16" t="inlineStr">
        <is>
          <t>EA</t>
        </is>
      </c>
      <c r="I45" s="17" t="n">
        <v>0.55</v>
      </c>
      <c r="J45" s="17" t="n">
        <v>1265</v>
      </c>
    </row>
    <row r="46">
      <c r="A46" s="9" t="n"/>
      <c r="B46" s="9" t="inlineStr">
        <is>
          <t>إجمالي RNP-3432</t>
        </is>
      </c>
      <c r="C46" s="9" t="n"/>
      <c r="D46" s="9" t="n"/>
      <c r="E46" s="9" t="n"/>
      <c r="F46" s="9" t="n"/>
      <c r="G46" s="9">
        <f>SUM(G44:G45)</f>
        <v/>
      </c>
      <c r="H46" s="9" t="n"/>
      <c r="I46" s="9" t="n"/>
      <c r="J46" s="10">
        <f>SUM(J44:J45)</f>
        <v/>
      </c>
    </row>
    <row r="47">
      <c r="A47" s="16" t="inlineStr">
        <is>
          <t>RNP</t>
        </is>
      </c>
      <c r="B47" s="16" t="inlineStr">
        <is>
          <t>RNP-3433</t>
        </is>
      </c>
      <c r="C47" s="95" t="n">
        <v>46026</v>
      </c>
      <c r="D47" s="16" t="inlineStr">
        <is>
          <t>النظام القديم</t>
        </is>
      </c>
      <c r="E47" s="16" t="inlineStr">
        <is>
          <t>RN-OD603</t>
        </is>
      </c>
      <c r="F47" s="16" t="inlineStr">
        <is>
          <t>زهور جرانيوم مركن9 سم</t>
        </is>
      </c>
      <c r="G47" s="16" t="n">
        <v>1400</v>
      </c>
      <c r="H47" s="16" t="inlineStr">
        <is>
          <t>EA</t>
        </is>
      </c>
      <c r="I47" s="17" t="n">
        <v>0.9</v>
      </c>
      <c r="J47" s="17" t="n">
        <v>1449</v>
      </c>
    </row>
    <row r="48">
      <c r="A48" s="16" t="inlineStr">
        <is>
          <t>RNP</t>
        </is>
      </c>
      <c r="B48" s="16" t="inlineStr">
        <is>
          <t>RNP-3433</t>
        </is>
      </c>
      <c r="C48" s="95" t="n">
        <v>46026</v>
      </c>
      <c r="D48" s="16" t="inlineStr">
        <is>
          <t>النظام القديم</t>
        </is>
      </c>
      <c r="E48" s="16" t="inlineStr">
        <is>
          <t>RN-OD560</t>
        </is>
      </c>
      <c r="F48" s="16" t="inlineStr">
        <is>
          <t>زهور بيتونيا</t>
        </is>
      </c>
      <c r="G48" s="16" t="n">
        <v>1000</v>
      </c>
      <c r="H48" s="16" t="inlineStr">
        <is>
          <t>EA</t>
        </is>
      </c>
      <c r="I48" s="17" t="n">
        <v>0.55</v>
      </c>
      <c r="J48" s="17" t="n">
        <v>632.5</v>
      </c>
    </row>
    <row r="49">
      <c r="A49" s="16" t="inlineStr">
        <is>
          <t>RNP</t>
        </is>
      </c>
      <c r="B49" s="16" t="inlineStr">
        <is>
          <t>RNP-3433</t>
        </is>
      </c>
      <c r="C49" s="95" t="n">
        <v>46026</v>
      </c>
      <c r="D49" s="16" t="inlineStr">
        <is>
          <t>النظام القديم</t>
        </is>
      </c>
      <c r="E49" s="16" t="inlineStr">
        <is>
          <t>RN-OD561</t>
        </is>
      </c>
      <c r="F49" s="16" t="inlineStr">
        <is>
          <t>زهور مارى جولد</t>
        </is>
      </c>
      <c r="G49" s="16" t="n">
        <v>600</v>
      </c>
      <c r="H49" s="16" t="inlineStr">
        <is>
          <t>EA</t>
        </is>
      </c>
      <c r="I49" s="17" t="n">
        <v>0.6</v>
      </c>
      <c r="J49" s="17" t="n">
        <v>414</v>
      </c>
    </row>
    <row r="50">
      <c r="A50" s="16" t="inlineStr">
        <is>
          <t>RNP</t>
        </is>
      </c>
      <c r="B50" s="16" t="inlineStr">
        <is>
          <t>RNP-3433</t>
        </is>
      </c>
      <c r="C50" s="95" t="n">
        <v>46026</v>
      </c>
      <c r="D50" s="16" t="inlineStr">
        <is>
          <t>النظام القديم</t>
        </is>
      </c>
      <c r="E50" s="16" t="inlineStr">
        <is>
          <t>RN-OD642</t>
        </is>
      </c>
      <c r="F50" s="16" t="inlineStr">
        <is>
          <t>زهور اليسوم مركن9 سم</t>
        </is>
      </c>
      <c r="G50" s="16" t="n">
        <v>2000</v>
      </c>
      <c r="H50" s="16" t="inlineStr">
        <is>
          <t>EA</t>
        </is>
      </c>
      <c r="I50" s="17" t="n">
        <v>0.55</v>
      </c>
      <c r="J50" s="17" t="n">
        <v>1265</v>
      </c>
    </row>
    <row r="51">
      <c r="A51" s="9" t="n"/>
      <c r="B51" s="9" t="inlineStr">
        <is>
          <t>إجمالي RNP-3433</t>
        </is>
      </c>
      <c r="C51" s="9" t="n"/>
      <c r="D51" s="9" t="n"/>
      <c r="E51" s="9" t="n"/>
      <c r="F51" s="9" t="n"/>
      <c r="G51" s="9">
        <f>SUM(G47:G50)</f>
        <v/>
      </c>
      <c r="H51" s="9" t="n"/>
      <c r="I51" s="9" t="n"/>
      <c r="J51" s="10">
        <f>SUM(J47:J50)</f>
        <v/>
      </c>
    </row>
    <row r="52">
      <c r="A52" s="16" t="inlineStr">
        <is>
          <t>RNP</t>
        </is>
      </c>
      <c r="B52" s="16" t="inlineStr">
        <is>
          <t>RNP-3491</t>
        </is>
      </c>
      <c r="C52" s="95" t="n">
        <v>46029</v>
      </c>
      <c r="D52" s="16" t="inlineStr">
        <is>
          <t>النظام القديم</t>
        </is>
      </c>
      <c r="E52" s="16" t="inlineStr">
        <is>
          <t>RN-OD560</t>
        </is>
      </c>
      <c r="F52" s="16" t="inlineStr">
        <is>
          <t>زهور بيتونيا</t>
        </is>
      </c>
      <c r="G52" s="16" t="n">
        <v>2200</v>
      </c>
      <c r="H52" s="16" t="inlineStr">
        <is>
          <t>EA</t>
        </is>
      </c>
      <c r="I52" s="17" t="n">
        <v>0.55</v>
      </c>
      <c r="J52" s="17" t="n">
        <v>1391.5</v>
      </c>
    </row>
    <row r="53">
      <c r="A53" s="16" t="inlineStr">
        <is>
          <t>RNP</t>
        </is>
      </c>
      <c r="B53" s="16" t="inlineStr">
        <is>
          <t>RNP-3491</t>
        </is>
      </c>
      <c r="C53" s="95" t="n">
        <v>46029</v>
      </c>
      <c r="D53" s="16" t="inlineStr">
        <is>
          <t>النظام القديم</t>
        </is>
      </c>
      <c r="E53" s="16" t="inlineStr">
        <is>
          <t>RN-OD642</t>
        </is>
      </c>
      <c r="F53" s="16" t="inlineStr">
        <is>
          <t>زهور اليسوم مركن9 سم</t>
        </is>
      </c>
      <c r="G53" s="16" t="n">
        <v>700</v>
      </c>
      <c r="H53" s="16" t="inlineStr">
        <is>
          <t>EA</t>
        </is>
      </c>
      <c r="I53" s="17" t="n">
        <v>0.55</v>
      </c>
      <c r="J53" s="17" t="n">
        <v>442.75</v>
      </c>
    </row>
    <row r="54">
      <c r="A54" s="16" t="inlineStr">
        <is>
          <t>RNP</t>
        </is>
      </c>
      <c r="B54" s="16" t="inlineStr">
        <is>
          <t>RNP-3491</t>
        </is>
      </c>
      <c r="C54" s="95" t="n">
        <v>46029</v>
      </c>
      <c r="D54" s="16" t="inlineStr">
        <is>
          <t>النظام القديم</t>
        </is>
      </c>
      <c r="E54" s="16" t="inlineStr">
        <is>
          <t>RN-OD456</t>
        </is>
      </c>
      <c r="F54" s="16" t="inlineStr">
        <is>
          <t>دورانتا اخضر</t>
        </is>
      </c>
      <c r="G54" s="16" t="n">
        <v>1200</v>
      </c>
      <c r="H54" s="16" t="inlineStr">
        <is>
          <t>EA</t>
        </is>
      </c>
      <c r="I54" s="17" t="n">
        <v>2.5</v>
      </c>
      <c r="J54" s="17" t="n">
        <v>3450</v>
      </c>
    </row>
    <row r="55">
      <c r="A55" s="9" t="n"/>
      <c r="B55" s="9" t="inlineStr">
        <is>
          <t>إجمالي RNP-3491</t>
        </is>
      </c>
      <c r="C55" s="9" t="n"/>
      <c r="D55" s="9" t="n"/>
      <c r="E55" s="9" t="n"/>
      <c r="F55" s="9" t="n"/>
      <c r="G55" s="9">
        <f>SUM(G52:G54)</f>
        <v/>
      </c>
      <c r="H55" s="9" t="n"/>
      <c r="I55" s="9" t="n"/>
      <c r="J55" s="10">
        <f>SUM(J52:J54)</f>
        <v/>
      </c>
    </row>
    <row r="56">
      <c r="A56" s="16" t="inlineStr">
        <is>
          <t>RNP</t>
        </is>
      </c>
      <c r="B56" s="16" t="inlineStr">
        <is>
          <t>RNP-3520</t>
        </is>
      </c>
      <c r="C56" s="95" t="n">
        <v>46033</v>
      </c>
      <c r="D56" s="16" t="inlineStr">
        <is>
          <t>النظام القديم</t>
        </is>
      </c>
      <c r="E56" s="16" t="inlineStr">
        <is>
          <t>RN-OD560</t>
        </is>
      </c>
      <c r="F56" s="16" t="inlineStr">
        <is>
          <t>زهور بيتونيا</t>
        </is>
      </c>
      <c r="G56" s="16" t="n">
        <v>6000</v>
      </c>
      <c r="H56" s="16" t="inlineStr">
        <is>
          <t>EA</t>
        </is>
      </c>
      <c r="I56" s="17" t="n">
        <v>0.55</v>
      </c>
      <c r="J56" s="17" t="n">
        <v>3795</v>
      </c>
    </row>
    <row r="57">
      <c r="A57" s="9" t="n"/>
      <c r="B57" s="9" t="inlineStr">
        <is>
          <t>إجمالي RNP-3520</t>
        </is>
      </c>
      <c r="C57" s="9" t="n"/>
      <c r="D57" s="9" t="n"/>
      <c r="E57" s="9" t="n"/>
      <c r="F57" s="9" t="n"/>
      <c r="G57" s="9">
        <f>SUM(G56:G56)</f>
        <v/>
      </c>
      <c r="H57" s="9" t="n"/>
      <c r="I57" s="9" t="n"/>
      <c r="J57" s="10">
        <f>SUM(J56:J56)</f>
        <v/>
      </c>
    </row>
    <row r="58">
      <c r="A58" s="16" t="inlineStr">
        <is>
          <t>RNP</t>
        </is>
      </c>
      <c r="B58" s="16" t="inlineStr">
        <is>
          <t>RNP-3756</t>
        </is>
      </c>
      <c r="C58" s="95" t="n">
        <v>46057</v>
      </c>
      <c r="D58" s="16" t="inlineStr">
        <is>
          <t>النظام القديم</t>
        </is>
      </c>
      <c r="E58" s="16" t="inlineStr">
        <is>
          <t>RN-OD411</t>
        </is>
      </c>
      <c r="F58" s="16" t="inlineStr">
        <is>
          <t>ياسمين هندي كبير</t>
        </is>
      </c>
      <c r="G58" s="16" t="n">
        <v>20</v>
      </c>
      <c r="H58" s="16" t="inlineStr">
        <is>
          <t>EA</t>
        </is>
      </c>
      <c r="I58" s="17" t="n">
        <v>32.5</v>
      </c>
      <c r="J58" s="17" t="n">
        <v>747.5</v>
      </c>
    </row>
    <row r="59">
      <c r="A59" s="9" t="n"/>
      <c r="B59" s="9" t="inlineStr">
        <is>
          <t>إجمالي RNP-3756</t>
        </is>
      </c>
      <c r="C59" s="9" t="n"/>
      <c r="D59" s="9" t="n"/>
      <c r="E59" s="9" t="n"/>
      <c r="F59" s="9" t="n"/>
      <c r="G59" s="9">
        <f>SUM(G58:G58)</f>
        <v/>
      </c>
      <c r="H59" s="9" t="n"/>
      <c r="I59" s="9" t="n"/>
      <c r="J59" s="10">
        <f>SUM(J58:J58)</f>
        <v/>
      </c>
    </row>
    <row r="60">
      <c r="A60" s="16" t="inlineStr">
        <is>
          <t>RNP</t>
        </is>
      </c>
      <c r="B60" s="16" t="inlineStr">
        <is>
          <t>RNP-3767</t>
        </is>
      </c>
      <c r="C60" s="95" t="n">
        <v>46059</v>
      </c>
      <c r="D60" s="16" t="inlineStr">
        <is>
          <t>النظام القديم</t>
        </is>
      </c>
      <c r="E60" s="16" t="inlineStr">
        <is>
          <t>RN-OD695</t>
        </is>
      </c>
      <c r="F60" s="16" t="inlineStr">
        <is>
          <t>زهور اقحوان افريقي هولندى مركن12 سم</t>
        </is>
      </c>
      <c r="G60" s="16" t="n">
        <v>1785</v>
      </c>
      <c r="H60" s="16" t="inlineStr">
        <is>
          <t>EA</t>
        </is>
      </c>
      <c r="I60" s="17" t="n">
        <v>3</v>
      </c>
      <c r="J60" s="17" t="n">
        <v>6158.25</v>
      </c>
    </row>
    <row r="61">
      <c r="A61" s="16" t="inlineStr">
        <is>
          <t>RNP</t>
        </is>
      </c>
      <c r="B61" s="16" t="inlineStr">
        <is>
          <t>RNP-3767</t>
        </is>
      </c>
      <c r="C61" s="95" t="n">
        <v>46059</v>
      </c>
      <c r="D61" s="16" t="inlineStr">
        <is>
          <t>النظام القديم</t>
        </is>
      </c>
      <c r="E61" s="16" t="inlineStr">
        <is>
          <t>RN-OD634</t>
        </is>
      </c>
      <c r="F61" s="16" t="inlineStr">
        <is>
          <t>زهور ملفوف براسيكا مركن9 سم</t>
        </is>
      </c>
      <c r="G61" s="16" t="n">
        <v>2000</v>
      </c>
      <c r="H61" s="16" t="inlineStr">
        <is>
          <t>EA</t>
        </is>
      </c>
      <c r="I61" s="17" t="n">
        <v>0.55</v>
      </c>
      <c r="J61" s="17" t="n">
        <v>1265</v>
      </c>
    </row>
    <row r="62">
      <c r="A62" s="9" t="n"/>
      <c r="B62" s="9" t="inlineStr">
        <is>
          <t>إجمالي RNP-3767</t>
        </is>
      </c>
      <c r="C62" s="9" t="n"/>
      <c r="D62" s="9" t="n"/>
      <c r="E62" s="9" t="n"/>
      <c r="F62" s="9" t="n"/>
      <c r="G62" s="9">
        <f>SUM(G60:G61)</f>
        <v/>
      </c>
      <c r="H62" s="9" t="n"/>
      <c r="I62" s="9" t="n"/>
      <c r="J62" s="10">
        <f>SUM(J60:J61)</f>
        <v/>
      </c>
    </row>
    <row r="63">
      <c r="A63" s="16" t="inlineStr">
        <is>
          <t>RNP</t>
        </is>
      </c>
      <c r="B63" s="16" t="inlineStr">
        <is>
          <t>RNP-3839</t>
        </is>
      </c>
      <c r="C63" s="95" t="n">
        <v>46068</v>
      </c>
      <c r="D63" s="16" t="inlineStr">
        <is>
          <t>النظام القديم</t>
        </is>
      </c>
      <c r="E63" s="16" t="inlineStr">
        <is>
          <t>RN-OD560</t>
        </is>
      </c>
      <c r="F63" s="16" t="inlineStr">
        <is>
          <t>زهور بيتونيا</t>
        </is>
      </c>
      <c r="G63" s="16" t="n">
        <v>312</v>
      </c>
      <c r="H63" s="16" t="inlineStr">
        <is>
          <t>EA</t>
        </is>
      </c>
      <c r="I63" s="17" t="n">
        <v>0.55</v>
      </c>
      <c r="J63" s="17" t="n">
        <v>197.34</v>
      </c>
    </row>
    <row r="64">
      <c r="A64" s="16" t="inlineStr">
        <is>
          <t>RNP</t>
        </is>
      </c>
      <c r="B64" s="16" t="inlineStr">
        <is>
          <t>RNP-3839</t>
        </is>
      </c>
      <c r="C64" s="95" t="n">
        <v>46068</v>
      </c>
      <c r="D64" s="16" t="inlineStr">
        <is>
          <t>النظام القديم</t>
        </is>
      </c>
      <c r="E64" s="16" t="inlineStr">
        <is>
          <t>RN-OD636</t>
        </is>
      </c>
      <c r="F64" s="16" t="inlineStr">
        <is>
          <t>زهور منثور مركن9 سم</t>
        </is>
      </c>
      <c r="G64" s="16" t="n">
        <v>312</v>
      </c>
      <c r="H64" s="16" t="inlineStr">
        <is>
          <t>EA</t>
        </is>
      </c>
      <c r="I64" s="17" t="n">
        <v>0.55</v>
      </c>
      <c r="J64" s="17" t="n">
        <v>197.34</v>
      </c>
    </row>
    <row r="65">
      <c r="A65" s="16" t="inlineStr">
        <is>
          <t>RNP</t>
        </is>
      </c>
      <c r="B65" s="16" t="inlineStr">
        <is>
          <t>RNP-3839</t>
        </is>
      </c>
      <c r="C65" s="95" t="n">
        <v>46068</v>
      </c>
      <c r="D65" s="16" t="inlineStr">
        <is>
          <t>النظام القديم</t>
        </is>
      </c>
      <c r="E65" s="16" t="inlineStr">
        <is>
          <t>RN-OD637</t>
        </is>
      </c>
      <c r="F65" s="16" t="inlineStr">
        <is>
          <t>زهور سالفيا مركن9 سم</t>
        </is>
      </c>
      <c r="G65" s="16" t="n">
        <v>312</v>
      </c>
      <c r="H65" s="16" t="inlineStr">
        <is>
          <t>EA</t>
        </is>
      </c>
      <c r="I65" s="17" t="n">
        <v>0.55</v>
      </c>
      <c r="J65" s="17" t="n">
        <v>197.34</v>
      </c>
    </row>
    <row r="66">
      <c r="A66" s="16" t="inlineStr">
        <is>
          <t>RNP</t>
        </is>
      </c>
      <c r="B66" s="16" t="inlineStr">
        <is>
          <t>RNP-3839</t>
        </is>
      </c>
      <c r="C66" s="95" t="n">
        <v>46068</v>
      </c>
      <c r="D66" s="16" t="inlineStr">
        <is>
          <t>النظام القديم</t>
        </is>
      </c>
      <c r="E66" s="16" t="inlineStr">
        <is>
          <t>RN-OD634</t>
        </is>
      </c>
      <c r="F66" s="16" t="inlineStr">
        <is>
          <t>زهور ملفوف براسيكا مركن9 سم</t>
        </is>
      </c>
      <c r="G66" s="16" t="n">
        <v>312</v>
      </c>
      <c r="H66" s="16" t="inlineStr">
        <is>
          <t>EA</t>
        </is>
      </c>
      <c r="I66" s="17" t="n">
        <v>0.55</v>
      </c>
      <c r="J66" s="17" t="n">
        <v>197.34</v>
      </c>
    </row>
    <row r="67">
      <c r="A67" s="9" t="n"/>
      <c r="B67" s="9" t="inlineStr">
        <is>
          <t>إجمالي RNP-3839</t>
        </is>
      </c>
      <c r="C67" s="9" t="n"/>
      <c r="D67" s="9" t="n"/>
      <c r="E67" s="9" t="n"/>
      <c r="F67" s="9" t="n"/>
      <c r="G67" s="9">
        <f>SUM(G63:G66)</f>
        <v/>
      </c>
      <c r="H67" s="9" t="n"/>
      <c r="I67" s="9" t="n"/>
      <c r="J67" s="10">
        <f>SUM(J63:J66)</f>
        <v/>
      </c>
    </row>
    <row r="68">
      <c r="A68" s="16" t="inlineStr">
        <is>
          <t>RNP</t>
        </is>
      </c>
      <c r="B68" s="16" t="inlineStr">
        <is>
          <t>RNP-208</t>
        </is>
      </c>
      <c r="C68" s="95" t="n">
        <v>46120</v>
      </c>
      <c r="D68" s="16" t="inlineStr">
        <is>
          <t>سجل صرف المخزن</t>
        </is>
      </c>
      <c r="E68" s="16" t="inlineStr">
        <is>
          <t>RN-OD562</t>
        </is>
      </c>
      <c r="F68" s="16" t="inlineStr">
        <is>
          <t>زهور زينيا</t>
        </is>
      </c>
      <c r="G68" s="16" t="n">
        <v>4000</v>
      </c>
      <c r="H68" s="16" t="inlineStr">
        <is>
          <t>EA</t>
        </is>
      </c>
      <c r="I68" s="17" t="n">
        <v>0.55</v>
      </c>
      <c r="J68" s="17" t="n">
        <v>2200</v>
      </c>
    </row>
    <row r="69">
      <c r="A69" s="9" t="n"/>
      <c r="B69" s="9" t="inlineStr">
        <is>
          <t>إجمالي RNP-208</t>
        </is>
      </c>
      <c r="C69" s="9" t="n"/>
      <c r="D69" s="9" t="n"/>
      <c r="E69" s="9" t="n"/>
      <c r="F69" s="9" t="n"/>
      <c r="G69" s="9">
        <f>SUM(G68:G68)</f>
        <v/>
      </c>
      <c r="H69" s="9" t="n"/>
      <c r="I69" s="9" t="n"/>
      <c r="J69" s="10">
        <f>SUM(J68:J68)</f>
        <v/>
      </c>
    </row>
    <row r="70">
      <c r="A70" s="16" t="inlineStr">
        <is>
          <t>RNP</t>
        </is>
      </c>
      <c r="B70" s="16" t="inlineStr">
        <is>
          <t>RNP-213</t>
        </is>
      </c>
      <c r="C70" s="95" t="n">
        <v>46121</v>
      </c>
      <c r="D70" s="16" t="inlineStr">
        <is>
          <t>سجل صرف المخزن</t>
        </is>
      </c>
      <c r="E70" s="16" t="inlineStr">
        <is>
          <t>RN-OD564</t>
        </is>
      </c>
      <c r="F70" s="16" t="inlineStr">
        <is>
          <t>زهور امرانتس</t>
        </is>
      </c>
      <c r="G70" s="16" t="n">
        <v>700</v>
      </c>
      <c r="H70" s="16" t="inlineStr">
        <is>
          <t>EA</t>
        </is>
      </c>
      <c r="I70" s="17" t="n">
        <v>0.55</v>
      </c>
      <c r="J70" s="17" t="n">
        <v>385</v>
      </c>
    </row>
    <row r="71">
      <c r="A71" s="16" t="inlineStr">
        <is>
          <t>RNP</t>
        </is>
      </c>
      <c r="B71" s="16" t="inlineStr">
        <is>
          <t>RNP-213</t>
        </is>
      </c>
      <c r="C71" s="95" t="n">
        <v>46121</v>
      </c>
      <c r="D71" s="16" t="inlineStr">
        <is>
          <t>سجل صرف المخزن</t>
        </is>
      </c>
      <c r="E71" s="16" t="inlineStr">
        <is>
          <t>RN-OD569</t>
        </is>
      </c>
      <c r="F71" s="16" t="inlineStr">
        <is>
          <t>زهور فينكا روزا</t>
        </is>
      </c>
      <c r="G71" s="16" t="n">
        <v>700</v>
      </c>
      <c r="H71" s="16" t="inlineStr">
        <is>
          <t>EA</t>
        </is>
      </c>
      <c r="I71" s="17" t="n">
        <v>0.55</v>
      </c>
      <c r="J71" s="17" t="n">
        <v>385</v>
      </c>
    </row>
    <row r="72">
      <c r="A72" s="9" t="n"/>
      <c r="B72" s="9" t="inlineStr">
        <is>
          <t>إجمالي RNP-213</t>
        </is>
      </c>
      <c r="C72" s="9" t="n"/>
      <c r="D72" s="9" t="n"/>
      <c r="E72" s="9" t="n"/>
      <c r="F72" s="9" t="n"/>
      <c r="G72" s="9">
        <f>SUM(G70:G71)</f>
        <v/>
      </c>
      <c r="H72" s="9" t="n"/>
      <c r="I72" s="9" t="n"/>
      <c r="J72" s="10">
        <f>SUM(J70:J71)</f>
        <v/>
      </c>
    </row>
    <row r="73">
      <c r="A73" s="16" t="inlineStr">
        <is>
          <t>RNP</t>
        </is>
      </c>
      <c r="B73" s="16" t="inlineStr">
        <is>
          <t>RNP-216</t>
        </is>
      </c>
      <c r="C73" s="95" t="n">
        <v>46123</v>
      </c>
      <c r="D73" s="16" t="inlineStr">
        <is>
          <t>سجل صرف المخزن</t>
        </is>
      </c>
      <c r="E73" s="16" t="inlineStr">
        <is>
          <t>RN-OD565</t>
        </is>
      </c>
      <c r="F73" s="16" t="inlineStr">
        <is>
          <t>زهور جازانيا</t>
        </is>
      </c>
      <c r="G73" s="16" t="n">
        <v>50</v>
      </c>
      <c r="H73" s="16" t="inlineStr">
        <is>
          <t>EA</t>
        </is>
      </c>
      <c r="I73" s="17" t="n">
        <v>0.55</v>
      </c>
      <c r="J73" s="17" t="n">
        <v>27.5</v>
      </c>
    </row>
    <row r="74">
      <c r="A74" s="16" t="inlineStr">
        <is>
          <t>RNP</t>
        </is>
      </c>
      <c r="B74" s="16" t="inlineStr">
        <is>
          <t>RNP-216</t>
        </is>
      </c>
      <c r="C74" s="95" t="n">
        <v>46123</v>
      </c>
      <c r="D74" s="16" t="inlineStr">
        <is>
          <t>سجل صرف المخزن</t>
        </is>
      </c>
      <c r="E74" s="16" t="inlineStr">
        <is>
          <t>RN-OD562</t>
        </is>
      </c>
      <c r="F74" s="16" t="inlineStr">
        <is>
          <t>زهور زينيا</t>
        </is>
      </c>
      <c r="G74" s="16" t="n">
        <v>50</v>
      </c>
      <c r="H74" s="16" t="inlineStr">
        <is>
          <t>EA</t>
        </is>
      </c>
      <c r="I74" s="17" t="n">
        <v>0.55</v>
      </c>
      <c r="J74" s="17" t="n">
        <v>27.5</v>
      </c>
    </row>
    <row r="75">
      <c r="A75" s="9" t="n"/>
      <c r="B75" s="9" t="inlineStr">
        <is>
          <t>إجمالي RNP-216</t>
        </is>
      </c>
      <c r="C75" s="9" t="n"/>
      <c r="D75" s="9" t="n"/>
      <c r="E75" s="9" t="n"/>
      <c r="F75" s="9" t="n"/>
      <c r="G75" s="9">
        <f>SUM(G73:G74)</f>
        <v/>
      </c>
      <c r="H75" s="9" t="n"/>
      <c r="I75" s="9" t="n"/>
      <c r="J75" s="10">
        <f>SUM(J73:J74)</f>
        <v/>
      </c>
    </row>
    <row r="76">
      <c r="A76" s="16" t="inlineStr">
        <is>
          <t>RNP</t>
        </is>
      </c>
      <c r="B76" s="16" t="inlineStr">
        <is>
          <t>RNP-224</t>
        </is>
      </c>
      <c r="C76" s="95" t="n">
        <v>46127</v>
      </c>
      <c r="D76" s="16" t="inlineStr">
        <is>
          <t>سجل صرف المخزن</t>
        </is>
      </c>
      <c r="E76" s="16" t="inlineStr">
        <is>
          <t>RN-OD569</t>
        </is>
      </c>
      <c r="F76" s="16" t="inlineStr">
        <is>
          <t>زهور فينكا روزا</t>
        </is>
      </c>
      <c r="G76" s="16" t="n">
        <v>1000</v>
      </c>
      <c r="H76" s="16" t="inlineStr">
        <is>
          <t>EA</t>
        </is>
      </c>
      <c r="I76" s="17" t="n">
        <v>0.55</v>
      </c>
      <c r="J76" s="17" t="n">
        <v>550</v>
      </c>
    </row>
    <row r="77">
      <c r="A77" s="9" t="n"/>
      <c r="B77" s="9" t="inlineStr">
        <is>
          <t>إجمالي RNP-224</t>
        </is>
      </c>
      <c r="C77" s="9" t="n"/>
      <c r="D77" s="9" t="n"/>
      <c r="E77" s="9" t="n"/>
      <c r="F77" s="9" t="n"/>
      <c r="G77" s="9">
        <f>SUM(G76:G76)</f>
        <v/>
      </c>
      <c r="H77" s="9" t="n"/>
      <c r="I77" s="9" t="n"/>
      <c r="J77" s="10">
        <f>SUM(J76:J76)</f>
        <v/>
      </c>
    </row>
    <row r="78">
      <c r="A78" s="16" t="inlineStr">
        <is>
          <t>RNP</t>
        </is>
      </c>
      <c r="B78" s="16" t="inlineStr">
        <is>
          <t>RNP-243</t>
        </is>
      </c>
      <c r="C78" s="95" t="n">
        <v>46138</v>
      </c>
      <c r="D78" s="16" t="inlineStr">
        <is>
          <t>سجل صرف المخزن</t>
        </is>
      </c>
      <c r="E78" s="16" t="inlineStr">
        <is>
          <t>RN-OD562</t>
        </is>
      </c>
      <c r="F78" s="16" t="inlineStr">
        <is>
          <t>زهور زينيا</t>
        </is>
      </c>
      <c r="G78" s="16" t="n">
        <v>7000</v>
      </c>
      <c r="H78" s="16" t="inlineStr">
        <is>
          <t>EA</t>
        </is>
      </c>
      <c r="I78" s="17" t="n">
        <v>0.55</v>
      </c>
      <c r="J78" s="17" t="n">
        <v>3850</v>
      </c>
    </row>
    <row r="79">
      <c r="A79" s="16" t="inlineStr">
        <is>
          <t>RNP</t>
        </is>
      </c>
      <c r="B79" s="16" t="inlineStr">
        <is>
          <t>RNP-243</t>
        </is>
      </c>
      <c r="C79" s="95" t="n">
        <v>46138</v>
      </c>
      <c r="D79" s="16" t="inlineStr">
        <is>
          <t>سجل صرف المخزن</t>
        </is>
      </c>
      <c r="E79" s="16" t="inlineStr">
        <is>
          <t>RN-OD564</t>
        </is>
      </c>
      <c r="F79" s="16" t="inlineStr">
        <is>
          <t>زهور امرانتس</t>
        </is>
      </c>
      <c r="G79" s="16" t="n">
        <v>1000</v>
      </c>
      <c r="H79" s="16" t="inlineStr">
        <is>
          <t>EA</t>
        </is>
      </c>
      <c r="I79" s="17" t="n">
        <v>0.55</v>
      </c>
      <c r="J79" s="17" t="n">
        <v>550</v>
      </c>
    </row>
    <row r="80">
      <c r="A80" s="9" t="n"/>
      <c r="B80" s="9" t="inlineStr">
        <is>
          <t>إجمالي RNP-243</t>
        </is>
      </c>
      <c r="C80" s="9" t="n"/>
      <c r="D80" s="9" t="n"/>
      <c r="E80" s="9" t="n"/>
      <c r="F80" s="9" t="n"/>
      <c r="G80" s="9">
        <f>SUM(G78:G79)</f>
        <v/>
      </c>
      <c r="H80" s="9" t="n"/>
      <c r="I80" s="9" t="n"/>
      <c r="J80" s="10">
        <f>SUM(J78:J79)</f>
        <v/>
      </c>
    </row>
    <row r="81">
      <c r="A81" s="16" t="inlineStr">
        <is>
          <t>RNP</t>
        </is>
      </c>
      <c r="B81" s="16" t="inlineStr">
        <is>
          <t>RNP-260</t>
        </is>
      </c>
      <c r="C81" s="95" t="n">
        <v>46144</v>
      </c>
      <c r="D81" s="16" t="inlineStr">
        <is>
          <t>سجل صرف المخزن</t>
        </is>
      </c>
      <c r="E81" s="16" t="inlineStr">
        <is>
          <t>RN-OD569</t>
        </is>
      </c>
      <c r="F81" s="16" t="inlineStr">
        <is>
          <t>زهور فينكا روزا</t>
        </is>
      </c>
      <c r="G81" s="16" t="n">
        <v>400</v>
      </c>
      <c r="H81" s="16" t="inlineStr">
        <is>
          <t>EA</t>
        </is>
      </c>
      <c r="I81" s="17" t="n">
        <v>0.55</v>
      </c>
      <c r="J81" s="17" t="n">
        <v>220</v>
      </c>
    </row>
    <row r="82">
      <c r="A82" s="16" t="inlineStr">
        <is>
          <t>RNP</t>
        </is>
      </c>
      <c r="B82" s="16" t="inlineStr">
        <is>
          <t>RNP-260</t>
        </is>
      </c>
      <c r="C82" s="95" t="n">
        <v>46144</v>
      </c>
      <c r="D82" s="16" t="inlineStr">
        <is>
          <t>سجل صرف المخزن</t>
        </is>
      </c>
      <c r="E82" s="16" t="inlineStr">
        <is>
          <t>RN-OD562</t>
        </is>
      </c>
      <c r="F82" s="16" t="inlineStr">
        <is>
          <t>زهور زينيا</t>
        </is>
      </c>
      <c r="G82" s="16" t="n">
        <v>400</v>
      </c>
      <c r="H82" s="16" t="inlineStr">
        <is>
          <t>EA</t>
        </is>
      </c>
      <c r="I82" s="17" t="n">
        <v>0.55</v>
      </c>
      <c r="J82" s="17" t="n">
        <v>220</v>
      </c>
    </row>
    <row r="83">
      <c r="A83" s="9" t="n"/>
      <c r="B83" s="9" t="inlineStr">
        <is>
          <t>إجمالي RNP-260</t>
        </is>
      </c>
      <c r="C83" s="9" t="n"/>
      <c r="D83" s="9" t="n"/>
      <c r="E83" s="9" t="n"/>
      <c r="F83" s="9" t="n"/>
      <c r="G83" s="9">
        <f>SUM(G81:G82)</f>
        <v/>
      </c>
      <c r="H83" s="9" t="n"/>
      <c r="I83" s="9" t="n"/>
      <c r="J83" s="10">
        <f>SUM(J81:J82)</f>
        <v/>
      </c>
    </row>
    <row r="84">
      <c r="A84" s="16" t="inlineStr">
        <is>
          <t>RNP</t>
        </is>
      </c>
      <c r="B84" s="16" t="inlineStr">
        <is>
          <t>RNP-266</t>
        </is>
      </c>
      <c r="C84" s="95" t="n">
        <v>46147</v>
      </c>
      <c r="D84" s="16" t="inlineStr">
        <is>
          <t>سجل صرف المخزن</t>
        </is>
      </c>
      <c r="E84" s="16" t="inlineStr">
        <is>
          <t>RN-OD565</t>
        </is>
      </c>
      <c r="F84" s="16" t="inlineStr">
        <is>
          <t>زهور جازانيا</t>
        </is>
      </c>
      <c r="G84" s="16" t="n">
        <v>1000</v>
      </c>
      <c r="H84" s="16" t="inlineStr">
        <is>
          <t>EA</t>
        </is>
      </c>
      <c r="I84" s="17" t="n">
        <v>0.55</v>
      </c>
      <c r="J84" s="17" t="n">
        <v>550</v>
      </c>
    </row>
    <row r="85">
      <c r="A85" s="16" t="inlineStr">
        <is>
          <t>RNP</t>
        </is>
      </c>
      <c r="B85" s="16" t="inlineStr">
        <is>
          <t>RNP-266</t>
        </is>
      </c>
      <c r="C85" s="95" t="n">
        <v>46147</v>
      </c>
      <c r="D85" s="16" t="inlineStr">
        <is>
          <t>سجل صرف المخزن</t>
        </is>
      </c>
      <c r="E85" s="16" t="inlineStr">
        <is>
          <t>RN-OD569</t>
        </is>
      </c>
      <c r="F85" s="16" t="inlineStr">
        <is>
          <t>زهور فينكا روزا</t>
        </is>
      </c>
      <c r="G85" s="16" t="n">
        <v>1720</v>
      </c>
      <c r="H85" s="16" t="inlineStr">
        <is>
          <t>EA</t>
        </is>
      </c>
      <c r="I85" s="17" t="n">
        <v>0.55</v>
      </c>
      <c r="J85" s="17" t="n">
        <v>946</v>
      </c>
    </row>
    <row r="86">
      <c r="A86" s="9" t="n"/>
      <c r="B86" s="9" t="inlineStr">
        <is>
          <t>إجمالي RNP-266</t>
        </is>
      </c>
      <c r="C86" s="9" t="n"/>
      <c r="D86" s="9" t="n"/>
      <c r="E86" s="9" t="n"/>
      <c r="F86" s="9" t="n"/>
      <c r="G86" s="9">
        <f>SUM(G84:G85)</f>
        <v/>
      </c>
      <c r="H86" s="9" t="n"/>
      <c r="I86" s="9" t="n"/>
      <c r="J86" s="10">
        <f>SUM(J84:J85)</f>
        <v/>
      </c>
    </row>
    <row r="87">
      <c r="A87" s="16" t="inlineStr">
        <is>
          <t>RNP</t>
        </is>
      </c>
      <c r="B87" s="16" t="inlineStr">
        <is>
          <t>RNP-299</t>
        </is>
      </c>
      <c r="C87" s="95" t="n">
        <v>46161</v>
      </c>
      <c r="D87" s="16" t="inlineStr">
        <is>
          <t>سجل صرف المخزن</t>
        </is>
      </c>
      <c r="E87" s="16" t="inlineStr">
        <is>
          <t>RN-OD569</t>
        </is>
      </c>
      <c r="F87" s="16" t="inlineStr">
        <is>
          <t>زهور فينكا روزا</t>
        </is>
      </c>
      <c r="G87" s="16" t="n">
        <v>26000</v>
      </c>
      <c r="H87" s="16" t="inlineStr">
        <is>
          <t>EA</t>
        </is>
      </c>
      <c r="I87" s="17" t="n">
        <v>0.55</v>
      </c>
      <c r="J87" s="17" t="n">
        <v>14300</v>
      </c>
    </row>
    <row r="88">
      <c r="A88" s="9" t="n"/>
      <c r="B88" s="9" t="inlineStr">
        <is>
          <t>إجمالي RNP-299</t>
        </is>
      </c>
      <c r="C88" s="9" t="n"/>
      <c r="D88" s="9" t="n"/>
      <c r="E88" s="9" t="n"/>
      <c r="F88" s="9" t="n"/>
      <c r="G88" s="9">
        <f>SUM(G87:G87)</f>
        <v/>
      </c>
      <c r="H88" s="9" t="n"/>
      <c r="I88" s="9" t="n"/>
      <c r="J88" s="10">
        <f>SUM(J87:J87)</f>
        <v/>
      </c>
    </row>
    <row r="89">
      <c r="A89" s="16" t="inlineStr">
        <is>
          <t>RNP</t>
        </is>
      </c>
      <c r="B89" s="16" t="inlineStr">
        <is>
          <t>RNP-301</t>
        </is>
      </c>
      <c r="C89" s="95" t="n">
        <v>46163</v>
      </c>
      <c r="D89" s="16" t="inlineStr">
        <is>
          <t>سجل صرف المخزن</t>
        </is>
      </c>
      <c r="E89" s="16" t="inlineStr">
        <is>
          <t>RN-OD562</t>
        </is>
      </c>
      <c r="F89" s="16" t="inlineStr">
        <is>
          <t>زهور زينيا</t>
        </is>
      </c>
      <c r="G89" s="16" t="n">
        <v>24000</v>
      </c>
      <c r="H89" s="16" t="inlineStr">
        <is>
          <t>EA</t>
        </is>
      </c>
      <c r="I89" s="17" t="n">
        <v>0.55</v>
      </c>
      <c r="J89" s="17" t="n">
        <v>13200</v>
      </c>
    </row>
    <row r="90">
      <c r="A90" s="16" t="inlineStr">
        <is>
          <t>RNP</t>
        </is>
      </c>
      <c r="B90" s="16" t="inlineStr">
        <is>
          <t>RNP-301</t>
        </is>
      </c>
      <c r="C90" s="95" t="n">
        <v>46163</v>
      </c>
      <c r="D90" s="16" t="inlineStr">
        <is>
          <t>سجل صرف المخزن</t>
        </is>
      </c>
      <c r="E90" s="16" t="inlineStr">
        <is>
          <t>RN-OD569</t>
        </is>
      </c>
      <c r="F90" s="16" t="inlineStr">
        <is>
          <t>زهور فينكا روزا</t>
        </is>
      </c>
      <c r="G90" s="16" t="n">
        <v>15500</v>
      </c>
      <c r="H90" s="16" t="inlineStr">
        <is>
          <t>EA</t>
        </is>
      </c>
      <c r="I90" s="17" t="n">
        <v>0.55</v>
      </c>
      <c r="J90" s="17" t="n">
        <v>8525</v>
      </c>
    </row>
    <row r="91">
      <c r="A91" s="9" t="n"/>
      <c r="B91" s="9" t="inlineStr">
        <is>
          <t>إجمالي RNP-301</t>
        </is>
      </c>
      <c r="C91" s="9" t="n"/>
      <c r="D91" s="9" t="n"/>
      <c r="E91" s="9" t="n"/>
      <c r="F91" s="9" t="n"/>
      <c r="G91" s="9">
        <f>SUM(G89:G90)</f>
        <v/>
      </c>
      <c r="H91" s="9" t="n"/>
      <c r="I91" s="9" t="n"/>
      <c r="J91" s="10">
        <f>SUM(J89:J90)</f>
        <v/>
      </c>
    </row>
    <row r="92">
      <c r="A92" s="16" t="inlineStr">
        <is>
          <t>RNP</t>
        </is>
      </c>
      <c r="B92" s="16" t="inlineStr">
        <is>
          <t>ISV-0004</t>
        </is>
      </c>
      <c r="C92" s="95" t="n">
        <v>46186</v>
      </c>
      <c r="D92" s="16" t="inlineStr">
        <is>
          <t>النظام الجديد</t>
        </is>
      </c>
      <c r="E92" s="16" t="inlineStr">
        <is>
          <t>SF144</t>
        </is>
      </c>
      <c r="F92" s="16" t="inlineStr">
        <is>
          <t>زهور امرانتس مركن 9 سم أحمر</t>
        </is>
      </c>
      <c r="G92" s="16" t="n">
        <v>500</v>
      </c>
      <c r="H92" s="16" t="inlineStr">
        <is>
          <t>EA</t>
        </is>
      </c>
      <c r="I92" s="17" t="n">
        <v>0.55</v>
      </c>
      <c r="J92" s="17" t="n">
        <v>275</v>
      </c>
    </row>
    <row r="93">
      <c r="A93" s="16" t="inlineStr">
        <is>
          <t>RNP</t>
        </is>
      </c>
      <c r="B93" s="16" t="inlineStr">
        <is>
          <t>ISV-0004</t>
        </is>
      </c>
      <c r="C93" s="95" t="n">
        <v>46186</v>
      </c>
      <c r="D93" s="16" t="inlineStr">
        <is>
          <t>النظام الجديد</t>
        </is>
      </c>
      <c r="E93" s="16" t="inlineStr">
        <is>
          <t>SF149</t>
        </is>
      </c>
      <c r="F93" s="16" t="inlineStr">
        <is>
          <t>زهور فضية مركن 9 سم فضي</t>
        </is>
      </c>
      <c r="G93" s="16" t="n">
        <v>300</v>
      </c>
      <c r="H93" s="16" t="inlineStr">
        <is>
          <t>EA</t>
        </is>
      </c>
      <c r="I93" s="17" t="n">
        <v>0.55</v>
      </c>
      <c r="J93" s="17" t="n">
        <v>165</v>
      </c>
    </row>
    <row r="94">
      <c r="A94" s="16" t="inlineStr">
        <is>
          <t>RNP</t>
        </is>
      </c>
      <c r="B94" s="16" t="inlineStr">
        <is>
          <t>ISV-0004</t>
        </is>
      </c>
      <c r="C94" s="95" t="n">
        <v>46186</v>
      </c>
      <c r="D94" s="16" t="inlineStr">
        <is>
          <t>النظام الجديد</t>
        </is>
      </c>
      <c r="E94" s="16" t="inlineStr">
        <is>
          <t>SF123</t>
        </is>
      </c>
      <c r="F94" s="16" t="inlineStr">
        <is>
          <t>زهور زينيا سنجل مركن 9 سم أبيض</t>
        </is>
      </c>
      <c r="G94" s="16" t="n">
        <v>400</v>
      </c>
      <c r="H94" s="16" t="inlineStr">
        <is>
          <t>EA</t>
        </is>
      </c>
      <c r="I94" s="17" t="n">
        <v>0.55</v>
      </c>
      <c r="J94" s="17" t="n">
        <v>220</v>
      </c>
    </row>
    <row r="95">
      <c r="A95" s="16" t="inlineStr">
        <is>
          <t>RNP</t>
        </is>
      </c>
      <c r="B95" s="16" t="inlineStr">
        <is>
          <t>ISV-0004</t>
        </is>
      </c>
      <c r="C95" s="95" t="n">
        <v>46186</v>
      </c>
      <c r="D95" s="16" t="inlineStr">
        <is>
          <t>النظام الجديد</t>
        </is>
      </c>
      <c r="E95" s="16" t="inlineStr">
        <is>
          <t>SF125</t>
        </is>
      </c>
      <c r="F95" s="16" t="inlineStr">
        <is>
          <t>زهور زينيا سنجل مركن 9 سم أصفر</t>
        </is>
      </c>
      <c r="G95" s="16" t="n">
        <v>400</v>
      </c>
      <c r="H95" s="16" t="inlineStr">
        <is>
          <t>EA</t>
        </is>
      </c>
      <c r="I95" s="17" t="n">
        <v>0.55</v>
      </c>
      <c r="J95" s="17" t="n">
        <v>220</v>
      </c>
    </row>
    <row r="96">
      <c r="A96" s="16" t="inlineStr">
        <is>
          <t>RNP</t>
        </is>
      </c>
      <c r="B96" s="16" t="inlineStr">
        <is>
          <t>ISV-0004</t>
        </is>
      </c>
      <c r="C96" s="95" t="n">
        <v>46186</v>
      </c>
      <c r="D96" s="16" t="inlineStr">
        <is>
          <t>النظام الجديد</t>
        </is>
      </c>
      <c r="E96" s="16" t="inlineStr">
        <is>
          <t>SF124</t>
        </is>
      </c>
      <c r="F96" s="16" t="inlineStr">
        <is>
          <t>زهور زينيا سنجل مركن 9 سم أحمر</t>
        </is>
      </c>
      <c r="G96" s="16" t="n">
        <v>400</v>
      </c>
      <c r="H96" s="16" t="inlineStr">
        <is>
          <t>EA</t>
        </is>
      </c>
      <c r="I96" s="17" t="n">
        <v>0.55</v>
      </c>
      <c r="J96" s="17" t="n">
        <v>220</v>
      </c>
    </row>
    <row r="97">
      <c r="A97" s="9" t="n"/>
      <c r="B97" s="9" t="inlineStr">
        <is>
          <t>إجمالي ISV-0004</t>
        </is>
      </c>
      <c r="C97" s="9" t="n"/>
      <c r="D97" s="9" t="n"/>
      <c r="E97" s="9" t="n"/>
      <c r="F97" s="9" t="n"/>
      <c r="G97" s="9">
        <f>SUM(G92:G96)</f>
        <v/>
      </c>
      <c r="H97" s="9" t="n"/>
      <c r="I97" s="9" t="n"/>
      <c r="J97" s="10">
        <f>SUM(J92:J96)</f>
        <v/>
      </c>
    </row>
    <row r="98">
      <c r="A98" s="16" t="inlineStr">
        <is>
          <t>RNP</t>
        </is>
      </c>
      <c r="B98" s="16" t="inlineStr">
        <is>
          <t>ISV-0005</t>
        </is>
      </c>
      <c r="C98" s="95" t="n">
        <v>46186</v>
      </c>
      <c r="D98" s="16" t="inlineStr">
        <is>
          <t>النظام الجديد</t>
        </is>
      </c>
      <c r="E98" s="16" t="inlineStr">
        <is>
          <t>SF97</t>
        </is>
      </c>
      <c r="F98" s="16" t="inlineStr">
        <is>
          <t>فينكا روزا مركن 9 سم أبيض</t>
        </is>
      </c>
      <c r="G98" s="16" t="n">
        <v>650</v>
      </c>
      <c r="H98" s="16" t="inlineStr">
        <is>
          <t>EA</t>
        </is>
      </c>
      <c r="I98" s="17" t="n">
        <v>0.55</v>
      </c>
      <c r="J98" s="17" t="n">
        <v>357.5</v>
      </c>
    </row>
    <row r="99">
      <c r="A99" s="16" t="inlineStr">
        <is>
          <t>RNP</t>
        </is>
      </c>
      <c r="B99" s="16" t="inlineStr">
        <is>
          <t>ISV-0005</t>
        </is>
      </c>
      <c r="C99" s="95" t="n">
        <v>46186</v>
      </c>
      <c r="D99" s="16" t="inlineStr">
        <is>
          <t>النظام الجديد</t>
        </is>
      </c>
      <c r="E99" s="16" t="inlineStr">
        <is>
          <t>SF98</t>
        </is>
      </c>
      <c r="F99" s="16" t="inlineStr">
        <is>
          <t>فينكا روزا مركن 9 سم أحمر</t>
        </is>
      </c>
      <c r="G99" s="16" t="n">
        <v>650</v>
      </c>
      <c r="H99" s="16" t="inlineStr">
        <is>
          <t>EA</t>
        </is>
      </c>
      <c r="I99" s="17" t="n">
        <v>0.55</v>
      </c>
      <c r="J99" s="17" t="n">
        <v>357.5</v>
      </c>
    </row>
    <row r="100">
      <c r="A100" s="16" t="inlineStr">
        <is>
          <t>RNP</t>
        </is>
      </c>
      <c r="B100" s="16" t="inlineStr">
        <is>
          <t>ISV-0005</t>
        </is>
      </c>
      <c r="C100" s="95" t="n">
        <v>46186</v>
      </c>
      <c r="D100" s="16" t="inlineStr">
        <is>
          <t>النظام الجديد</t>
        </is>
      </c>
      <c r="E100" s="16" t="inlineStr">
        <is>
          <t>SF99</t>
        </is>
      </c>
      <c r="F100" s="16" t="inlineStr">
        <is>
          <t>فينكا روزا مركن 9 سم أحمر نقطة بيضاء</t>
        </is>
      </c>
      <c r="G100" s="16" t="n">
        <v>650</v>
      </c>
      <c r="H100" s="16" t="inlineStr">
        <is>
          <t>EA</t>
        </is>
      </c>
      <c r="I100" s="17" t="n">
        <v>0.55</v>
      </c>
      <c r="J100" s="17" t="n">
        <v>357.5</v>
      </c>
    </row>
    <row r="101">
      <c r="A101" s="16" t="inlineStr">
        <is>
          <t>RNP</t>
        </is>
      </c>
      <c r="B101" s="16" t="inlineStr">
        <is>
          <t>ISV-0005</t>
        </is>
      </c>
      <c r="C101" s="95" t="n">
        <v>46186</v>
      </c>
      <c r="D101" s="16" t="inlineStr">
        <is>
          <t>النظام الجديد</t>
        </is>
      </c>
      <c r="E101" s="16" t="inlineStr">
        <is>
          <t>SF100</t>
        </is>
      </c>
      <c r="F101" s="16" t="inlineStr">
        <is>
          <t>فينكا روزا مركن 9 سم أبيض نقطة حمراء</t>
        </is>
      </c>
      <c r="G101" s="16" t="n">
        <v>650</v>
      </c>
      <c r="H101" s="16" t="inlineStr">
        <is>
          <t>EA</t>
        </is>
      </c>
      <c r="I101" s="17" t="n">
        <v>0.55</v>
      </c>
      <c r="J101" s="17" t="n">
        <v>357.5</v>
      </c>
    </row>
    <row r="102">
      <c r="A102" s="16" t="inlineStr">
        <is>
          <t>RNP</t>
        </is>
      </c>
      <c r="B102" s="16" t="inlineStr">
        <is>
          <t>ISV-0005</t>
        </is>
      </c>
      <c r="C102" s="95" t="n">
        <v>46186</v>
      </c>
      <c r="D102" s="16" t="inlineStr">
        <is>
          <t>النظام الجديد</t>
        </is>
      </c>
      <c r="E102" s="16" t="inlineStr">
        <is>
          <t>SF105</t>
        </is>
      </c>
      <c r="F102" s="16" t="inlineStr">
        <is>
          <t>فينكا روزا مركن 9 سم برغندي</t>
        </is>
      </c>
      <c r="G102" s="16" t="n">
        <v>750</v>
      </c>
      <c r="H102" s="16" t="inlineStr">
        <is>
          <t>EA</t>
        </is>
      </c>
      <c r="I102" s="17" t="n">
        <v>0.55</v>
      </c>
      <c r="J102" s="17" t="n">
        <v>412.5</v>
      </c>
    </row>
    <row r="103">
      <c r="A103" s="16" t="inlineStr">
        <is>
          <t>RNP</t>
        </is>
      </c>
      <c r="B103" s="16" t="inlineStr">
        <is>
          <t>ISV-0005</t>
        </is>
      </c>
      <c r="C103" s="95" t="n">
        <v>46186</v>
      </c>
      <c r="D103" s="16" t="inlineStr">
        <is>
          <t>النظام الجديد</t>
        </is>
      </c>
      <c r="E103" s="16" t="inlineStr">
        <is>
          <t>SF106</t>
        </is>
      </c>
      <c r="F103" s="16" t="inlineStr">
        <is>
          <t>فينكا روزا مركن 9 سم برغندي هالو</t>
        </is>
      </c>
      <c r="G103" s="16" t="n">
        <v>650</v>
      </c>
      <c r="H103" s="16" t="inlineStr">
        <is>
          <t>EA</t>
        </is>
      </c>
      <c r="I103" s="17" t="n">
        <v>0.55</v>
      </c>
      <c r="J103" s="17" t="n">
        <v>357.5</v>
      </c>
    </row>
    <row r="104">
      <c r="A104" s="9" t="n"/>
      <c r="B104" s="9" t="inlineStr">
        <is>
          <t>إجمالي ISV-0005</t>
        </is>
      </c>
      <c r="C104" s="9" t="n"/>
      <c r="D104" s="9" t="n"/>
      <c r="E104" s="9" t="n"/>
      <c r="F104" s="9" t="n"/>
      <c r="G104" s="9">
        <f>SUM(G98:G103)</f>
        <v/>
      </c>
      <c r="H104" s="9" t="n"/>
      <c r="I104" s="9" t="n"/>
      <c r="J104" s="10">
        <f>SUM(J98:J103)</f>
        <v/>
      </c>
    </row>
    <row r="105">
      <c r="A105" s="16" t="inlineStr">
        <is>
          <t>RNP</t>
        </is>
      </c>
      <c r="B105" s="16" t="inlineStr">
        <is>
          <t>ISV-0010</t>
        </is>
      </c>
      <c r="C105" s="95" t="n">
        <v>46187</v>
      </c>
      <c r="D105" s="16" t="inlineStr">
        <is>
          <t>النظام الجديد</t>
        </is>
      </c>
      <c r="E105" s="16" t="inlineStr">
        <is>
          <t>SF126</t>
        </is>
      </c>
      <c r="F105" s="16" t="inlineStr">
        <is>
          <t>زهور زينيا سنجل مركن 9 سم برتقالي</t>
        </is>
      </c>
      <c r="G105" s="16" t="n">
        <v>700</v>
      </c>
      <c r="H105" s="16" t="inlineStr">
        <is>
          <t>EA</t>
        </is>
      </c>
      <c r="I105" s="17" t="n">
        <v>0.55</v>
      </c>
      <c r="J105" s="17" t="n">
        <v>385</v>
      </c>
    </row>
    <row r="106">
      <c r="A106" s="16" t="inlineStr">
        <is>
          <t>RNP</t>
        </is>
      </c>
      <c r="B106" s="16" t="inlineStr">
        <is>
          <t>ISV-0010</t>
        </is>
      </c>
      <c r="C106" s="95" t="n">
        <v>46187</v>
      </c>
      <c r="D106" s="16" t="inlineStr">
        <is>
          <t>النظام الجديد</t>
        </is>
      </c>
      <c r="E106" s="16" t="inlineStr">
        <is>
          <t>SF128</t>
        </is>
      </c>
      <c r="F106" s="16" t="inlineStr">
        <is>
          <t>زهور زينيا سنجل مركن 9 سم ليموني</t>
        </is>
      </c>
      <c r="G106" s="16" t="n">
        <v>700</v>
      </c>
      <c r="H106" s="16" t="inlineStr">
        <is>
          <t>EA</t>
        </is>
      </c>
      <c r="I106" s="17" t="n">
        <v>0.55</v>
      </c>
      <c r="J106" s="17" t="n">
        <v>385</v>
      </c>
    </row>
    <row r="107">
      <c r="A107" s="16" t="inlineStr">
        <is>
          <t>RNP</t>
        </is>
      </c>
      <c r="B107" s="16" t="inlineStr">
        <is>
          <t>ISV-0010</t>
        </is>
      </c>
      <c r="C107" s="95" t="n">
        <v>46187</v>
      </c>
      <c r="D107" s="16" t="inlineStr">
        <is>
          <t>النظام الجديد</t>
        </is>
      </c>
      <c r="E107" s="16" t="inlineStr">
        <is>
          <t>SF129</t>
        </is>
      </c>
      <c r="F107" s="16" t="inlineStr">
        <is>
          <t>زهور زينيا سنجل مركن 9 سم كرزي</t>
        </is>
      </c>
      <c r="G107" s="16" t="n">
        <v>700</v>
      </c>
      <c r="H107" s="16" t="inlineStr">
        <is>
          <t>EA</t>
        </is>
      </c>
      <c r="I107" s="17" t="n">
        <v>0.55</v>
      </c>
      <c r="J107" s="17" t="n">
        <v>385</v>
      </c>
    </row>
    <row r="108">
      <c r="A108" s="16" t="inlineStr">
        <is>
          <t>RNP</t>
        </is>
      </c>
      <c r="B108" s="16" t="inlineStr">
        <is>
          <t>ISV-0010</t>
        </is>
      </c>
      <c r="C108" s="95" t="n">
        <v>46187</v>
      </c>
      <c r="D108" s="16" t="inlineStr">
        <is>
          <t>النظام الجديد</t>
        </is>
      </c>
      <c r="E108" s="16" t="inlineStr">
        <is>
          <t>SF123</t>
        </is>
      </c>
      <c r="F108" s="16" t="inlineStr">
        <is>
          <t>زهور زينيا سنجل مركن 9 سم أبيض</t>
        </is>
      </c>
      <c r="G108" s="16" t="n">
        <v>900</v>
      </c>
      <c r="H108" s="16" t="inlineStr">
        <is>
          <t>EA</t>
        </is>
      </c>
      <c r="I108" s="17" t="n">
        <v>0.55</v>
      </c>
      <c r="J108" s="17" t="n">
        <v>495</v>
      </c>
    </row>
    <row r="109">
      <c r="A109" s="16" t="inlineStr">
        <is>
          <t>RNP</t>
        </is>
      </c>
      <c r="B109" s="16" t="inlineStr">
        <is>
          <t>ISV-0010</t>
        </is>
      </c>
      <c r="C109" s="95" t="n">
        <v>46187</v>
      </c>
      <c r="D109" s="16" t="inlineStr">
        <is>
          <t>النظام الجديد</t>
        </is>
      </c>
      <c r="E109" s="16" t="inlineStr">
        <is>
          <t>SF124</t>
        </is>
      </c>
      <c r="F109" s="16" t="inlineStr">
        <is>
          <t>زهور زينيا سنجل مركن 9 سم أحمر</t>
        </is>
      </c>
      <c r="G109" s="16" t="n">
        <v>500</v>
      </c>
      <c r="H109" s="16" t="inlineStr">
        <is>
          <t>EA</t>
        </is>
      </c>
      <c r="I109" s="17" t="n">
        <v>0.55</v>
      </c>
      <c r="J109" s="17" t="n">
        <v>275</v>
      </c>
    </row>
    <row r="110">
      <c r="A110" s="16" t="inlineStr">
        <is>
          <t>RNP</t>
        </is>
      </c>
      <c r="B110" s="16" t="inlineStr">
        <is>
          <t>ISV-0010</t>
        </is>
      </c>
      <c r="C110" s="95" t="n">
        <v>46187</v>
      </c>
      <c r="D110" s="16" t="inlineStr">
        <is>
          <t>النظام الجديد</t>
        </is>
      </c>
      <c r="E110" s="16" t="inlineStr">
        <is>
          <t>SF108</t>
        </is>
      </c>
      <c r="F110" s="16" t="inlineStr">
        <is>
          <t>فينكا روزا مركن 9 سم أوركيد عميق</t>
        </is>
      </c>
      <c r="G110" s="16" t="n">
        <v>2500</v>
      </c>
      <c r="H110" s="16" t="inlineStr">
        <is>
          <t>EA</t>
        </is>
      </c>
      <c r="I110" s="17" t="n">
        <v>0.55</v>
      </c>
      <c r="J110" s="17" t="n">
        <v>1375</v>
      </c>
    </row>
    <row r="111">
      <c r="A111" s="16" t="inlineStr">
        <is>
          <t>RNP</t>
        </is>
      </c>
      <c r="B111" s="16" t="inlineStr">
        <is>
          <t>ISV-0010</t>
        </is>
      </c>
      <c r="C111" s="95" t="n">
        <v>46187</v>
      </c>
      <c r="D111" s="16" t="inlineStr">
        <is>
          <t>النظام الجديد</t>
        </is>
      </c>
      <c r="E111" s="16" t="inlineStr">
        <is>
          <t>SF102</t>
        </is>
      </c>
      <c r="F111" s="16" t="inlineStr">
        <is>
          <t>فينكا روزا مركن 9 سم مشمشي</t>
        </is>
      </c>
      <c r="G111" s="16" t="n">
        <v>1000</v>
      </c>
      <c r="H111" s="16" t="inlineStr">
        <is>
          <t>EA</t>
        </is>
      </c>
      <c r="I111" s="17" t="n">
        <v>0.55</v>
      </c>
      <c r="J111" s="17" t="n">
        <v>550</v>
      </c>
    </row>
    <row r="112">
      <c r="A112" s="16" t="inlineStr">
        <is>
          <t>RNP</t>
        </is>
      </c>
      <c r="B112" s="16" t="inlineStr">
        <is>
          <t>ISV-0010</t>
        </is>
      </c>
      <c r="C112" s="95" t="n">
        <v>46187</v>
      </c>
      <c r="D112" s="16" t="inlineStr">
        <is>
          <t>النظام الجديد</t>
        </is>
      </c>
      <c r="E112" s="16" t="inlineStr">
        <is>
          <t>OD462</t>
        </is>
      </c>
      <c r="F112" s="16" t="inlineStr">
        <is>
          <t>رويليا</t>
        </is>
      </c>
      <c r="G112" s="16" t="n">
        <v>94</v>
      </c>
      <c r="H112" s="16" t="inlineStr">
        <is>
          <t>EA</t>
        </is>
      </c>
      <c r="I112" s="17" t="n">
        <v>2.5</v>
      </c>
      <c r="J112" s="17" t="n">
        <v>235</v>
      </c>
    </row>
    <row r="113">
      <c r="A113" s="16" t="inlineStr">
        <is>
          <t>RNP</t>
        </is>
      </c>
      <c r="B113" s="16" t="inlineStr">
        <is>
          <t>ISV-0010</t>
        </is>
      </c>
      <c r="C113" s="95" t="n">
        <v>46187</v>
      </c>
      <c r="D113" s="16" t="inlineStr">
        <is>
          <t>النظام الجديد</t>
        </is>
      </c>
      <c r="E113" s="16" t="inlineStr">
        <is>
          <t>OD371</t>
        </is>
      </c>
      <c r="F113" s="16" t="inlineStr">
        <is>
          <t>اكاسيا جلوكا 1-2 متر</t>
        </is>
      </c>
      <c r="G113" s="16" t="n">
        <v>6</v>
      </c>
      <c r="H113" s="16" t="inlineStr">
        <is>
          <t>EA</t>
        </is>
      </c>
      <c r="I113" s="17" t="n">
        <v>25.5</v>
      </c>
      <c r="J113" s="17" t="n">
        <v>153</v>
      </c>
    </row>
    <row r="114">
      <c r="A114" s="16" t="inlineStr">
        <is>
          <t>RNP</t>
        </is>
      </c>
      <c r="B114" s="16" t="inlineStr">
        <is>
          <t>ISV-0010</t>
        </is>
      </c>
      <c r="C114" s="95" t="n">
        <v>46187</v>
      </c>
      <c r="D114" s="16" t="inlineStr">
        <is>
          <t>النظام الجديد</t>
        </is>
      </c>
      <c r="E114" s="16" t="inlineStr">
        <is>
          <t>OD630</t>
        </is>
      </c>
      <c r="F114" s="16" t="inlineStr">
        <is>
          <t>كف مريم 1.5 : 2 م</t>
        </is>
      </c>
      <c r="G114" s="16" t="n">
        <v>6</v>
      </c>
      <c r="H114" s="16" t="inlineStr">
        <is>
          <t>EA</t>
        </is>
      </c>
      <c r="I114" s="17" t="n">
        <v>5.5</v>
      </c>
      <c r="J114" s="17" t="n">
        <v>33</v>
      </c>
    </row>
    <row r="115">
      <c r="A115" s="9" t="n"/>
      <c r="B115" s="9" t="inlineStr">
        <is>
          <t>إجمالي ISV-0010</t>
        </is>
      </c>
      <c r="C115" s="9" t="n"/>
      <c r="D115" s="9" t="n"/>
      <c r="E115" s="9" t="n"/>
      <c r="F115" s="9" t="n"/>
      <c r="G115" s="9">
        <f>SUM(G105:G114)</f>
        <v/>
      </c>
      <c r="H115" s="9" t="n"/>
      <c r="I115" s="9" t="n"/>
      <c r="J115" s="10">
        <f>SUM(J105:J114)</f>
        <v/>
      </c>
    </row>
    <row r="116">
      <c r="A116" s="16" t="inlineStr">
        <is>
          <t>RNP</t>
        </is>
      </c>
      <c r="B116" s="16" t="inlineStr">
        <is>
          <t>ISV-0011</t>
        </is>
      </c>
      <c r="C116" s="95" t="n">
        <v>46187</v>
      </c>
      <c r="D116" s="16" t="inlineStr">
        <is>
          <t>النظام الجديد</t>
        </is>
      </c>
      <c r="E116" s="16" t="inlineStr">
        <is>
          <t>SF131</t>
        </is>
      </c>
      <c r="F116" s="16" t="inlineStr">
        <is>
          <t>زهور زينيا سنجل مركن 9 سم أحمر وأصفر ثنائي</t>
        </is>
      </c>
      <c r="G116" s="16" t="n">
        <v>2000</v>
      </c>
      <c r="H116" s="16" t="inlineStr">
        <is>
          <t>EA</t>
        </is>
      </c>
      <c r="I116" s="17" t="n">
        <v>0.55</v>
      </c>
      <c r="J116" s="17" t="n">
        <v>1100</v>
      </c>
    </row>
    <row r="117">
      <c r="A117" s="9" t="n"/>
      <c r="B117" s="9" t="inlineStr">
        <is>
          <t>إجمالي ISV-0011</t>
        </is>
      </c>
      <c r="C117" s="9" t="n"/>
      <c r="D117" s="9" t="n"/>
      <c r="E117" s="9" t="n"/>
      <c r="F117" s="9" t="n"/>
      <c r="G117" s="9">
        <f>SUM(G116:G116)</f>
        <v/>
      </c>
      <c r="H117" s="9" t="n"/>
      <c r="I117" s="9" t="n"/>
      <c r="J117" s="10">
        <f>SUM(J116:J116)</f>
        <v/>
      </c>
    </row>
    <row r="118">
      <c r="A118" s="16" t="inlineStr">
        <is>
          <t>RNP</t>
        </is>
      </c>
      <c r="B118" s="16" t="inlineStr">
        <is>
          <t>ISV-0016</t>
        </is>
      </c>
      <c r="C118" s="95" t="n">
        <v>46190</v>
      </c>
      <c r="D118" s="16" t="inlineStr">
        <is>
          <t>النظام الجديد</t>
        </is>
      </c>
      <c r="E118" s="16" t="inlineStr">
        <is>
          <t>SF131</t>
        </is>
      </c>
      <c r="F118" s="16" t="inlineStr">
        <is>
          <t>زهور زينيا سنجل مركن 9 سم أحمر وأصفر ثنائي</t>
        </is>
      </c>
      <c r="G118" s="16" t="n">
        <v>1500</v>
      </c>
      <c r="H118" s="16" t="inlineStr">
        <is>
          <t>EA</t>
        </is>
      </c>
      <c r="I118" s="17" t="n">
        <v>0.55</v>
      </c>
      <c r="J118" s="17" t="n">
        <v>825</v>
      </c>
    </row>
    <row r="119">
      <c r="A119" s="9" t="n"/>
      <c r="B119" s="9" t="inlineStr">
        <is>
          <t>إجمالي ISV-0016</t>
        </is>
      </c>
      <c r="C119" s="9" t="n"/>
      <c r="D119" s="9" t="n"/>
      <c r="E119" s="9" t="n"/>
      <c r="F119" s="9" t="n"/>
      <c r="G119" s="9">
        <f>SUM(G118:G118)</f>
        <v/>
      </c>
      <c r="H119" s="9" t="n"/>
      <c r="I119" s="9" t="n"/>
      <c r="J119" s="10">
        <f>SUM(J118:J118)</f>
        <v/>
      </c>
    </row>
    <row r="120">
      <c r="A120" s="16" t="inlineStr">
        <is>
          <t>RNP</t>
        </is>
      </c>
      <c r="B120" s="16" t="inlineStr">
        <is>
          <t>ISV-0017</t>
        </is>
      </c>
      <c r="C120" s="95" t="n">
        <v>46190</v>
      </c>
      <c r="D120" s="16" t="inlineStr">
        <is>
          <t>النظام الجديد</t>
        </is>
      </c>
      <c r="E120" s="16" t="inlineStr">
        <is>
          <t>OD486</t>
        </is>
      </c>
      <c r="F120" s="16" t="inlineStr">
        <is>
          <t>جهنمية كروية تايلندى صغير</t>
        </is>
      </c>
      <c r="G120" s="16" t="n">
        <v>2</v>
      </c>
      <c r="H120" s="16" t="inlineStr">
        <is>
          <t>EA</t>
        </is>
      </c>
      <c r="I120" s="17" t="n">
        <v>231.5</v>
      </c>
      <c r="J120" s="17" t="n">
        <v>463</v>
      </c>
    </row>
    <row r="121">
      <c r="A121" s="9" t="n"/>
      <c r="B121" s="9" t="inlineStr">
        <is>
          <t>إجمالي ISV-0017</t>
        </is>
      </c>
      <c r="C121" s="9" t="n"/>
      <c r="D121" s="9" t="n"/>
      <c r="E121" s="9" t="n"/>
      <c r="F121" s="9" t="n"/>
      <c r="G121" s="9">
        <f>SUM(G120:G120)</f>
        <v/>
      </c>
      <c r="H121" s="9" t="n"/>
      <c r="I121" s="9" t="n"/>
      <c r="J121" s="10">
        <f>SUM(J120:J120)</f>
        <v/>
      </c>
    </row>
    <row r="122">
      <c r="A122" s="16" t="inlineStr">
        <is>
          <t>RNP</t>
        </is>
      </c>
      <c r="B122" s="16" t="inlineStr">
        <is>
          <t>ISV-0026</t>
        </is>
      </c>
      <c r="C122" s="95" t="n">
        <v>46195</v>
      </c>
      <c r="D122" s="16" t="inlineStr">
        <is>
          <t>النظام الجديد</t>
        </is>
      </c>
      <c r="E122" s="16" t="inlineStr">
        <is>
          <t>OD371</t>
        </is>
      </c>
      <c r="F122" s="16" t="inlineStr">
        <is>
          <t>اكاسيا جلوكا 1-2 متر</t>
        </is>
      </c>
      <c r="G122" s="16" t="n">
        <v>150</v>
      </c>
      <c r="H122" s="16" t="inlineStr">
        <is>
          <t>EA</t>
        </is>
      </c>
      <c r="I122" s="17" t="n">
        <v>25.5</v>
      </c>
      <c r="J122" s="17" t="n">
        <v>3825</v>
      </c>
    </row>
    <row r="123">
      <c r="A123" s="9" t="n"/>
      <c r="B123" s="9" t="inlineStr">
        <is>
          <t>إجمالي ISV-0026</t>
        </is>
      </c>
      <c r="C123" s="9" t="n"/>
      <c r="D123" s="9" t="n"/>
      <c r="E123" s="9" t="n"/>
      <c r="F123" s="9" t="n"/>
      <c r="G123" s="9">
        <f>SUM(G122:G122)</f>
        <v/>
      </c>
      <c r="H123" s="9" t="n"/>
      <c r="I123" s="9" t="n"/>
      <c r="J123" s="10">
        <f>SUM(J122:J122)</f>
        <v/>
      </c>
    </row>
    <row r="124">
      <c r="A124" s="16" t="inlineStr">
        <is>
          <t>RNP</t>
        </is>
      </c>
      <c r="B124" s="16" t="inlineStr">
        <is>
          <t>ISV-0038</t>
        </is>
      </c>
      <c r="C124" s="95" t="n">
        <v>46197</v>
      </c>
      <c r="D124" s="16" t="inlineStr">
        <is>
          <t>النظام الجديد</t>
        </is>
      </c>
      <c r="E124" s="16" t="inlineStr">
        <is>
          <t>OD487</t>
        </is>
      </c>
      <c r="F124" s="16" t="inlineStr">
        <is>
          <t>جهنمية كروية تايلندى كبير</t>
        </is>
      </c>
      <c r="G124" s="16" t="n">
        <v>5</v>
      </c>
      <c r="H124" s="16" t="inlineStr">
        <is>
          <t>EA</t>
        </is>
      </c>
      <c r="I124" s="17" t="n">
        <v>262.5</v>
      </c>
      <c r="J124" s="17" t="n">
        <v>1312.5</v>
      </c>
    </row>
    <row r="125">
      <c r="A125" s="9" t="n"/>
      <c r="B125" s="9" t="inlineStr">
        <is>
          <t>إجمالي ISV-0038</t>
        </is>
      </c>
      <c r="C125" s="9" t="n"/>
      <c r="D125" s="9" t="n"/>
      <c r="E125" s="9" t="n"/>
      <c r="F125" s="9" t="n"/>
      <c r="G125" s="9">
        <f>SUM(G124:G124)</f>
        <v/>
      </c>
      <c r="H125" s="9" t="n"/>
      <c r="I125" s="9" t="n"/>
      <c r="J125" s="10">
        <f>SUM(J124:J124)</f>
        <v/>
      </c>
    </row>
    <row r="126">
      <c r="A126" s="16" t="inlineStr">
        <is>
          <t>RNP</t>
        </is>
      </c>
      <c r="B126" s="16" t="inlineStr">
        <is>
          <t>ISV-0048</t>
        </is>
      </c>
      <c r="C126" s="95" t="n">
        <v>46200</v>
      </c>
      <c r="D126" s="16" t="inlineStr">
        <is>
          <t>النظام الجديد</t>
        </is>
      </c>
      <c r="E126" s="16" t="inlineStr">
        <is>
          <t>SF98</t>
        </is>
      </c>
      <c r="F126" s="16" t="inlineStr">
        <is>
          <t>فينكا روزا مركن 9 سم أحمر</t>
        </is>
      </c>
      <c r="G126" s="16" t="n">
        <v>4000</v>
      </c>
      <c r="H126" s="16" t="inlineStr">
        <is>
          <t>EA</t>
        </is>
      </c>
      <c r="I126" s="17" t="n">
        <v>0.55</v>
      </c>
      <c r="J126" s="17" t="n">
        <v>2200</v>
      </c>
    </row>
    <row r="127">
      <c r="A127" s="16" t="inlineStr">
        <is>
          <t>RNP</t>
        </is>
      </c>
      <c r="B127" s="16" t="inlineStr">
        <is>
          <t>ISV-0048</t>
        </is>
      </c>
      <c r="C127" s="95" t="n">
        <v>46200</v>
      </c>
      <c r="D127" s="16" t="inlineStr">
        <is>
          <t>النظام الجديد</t>
        </is>
      </c>
      <c r="E127" s="16" t="inlineStr">
        <is>
          <t>SF97</t>
        </is>
      </c>
      <c r="F127" s="16" t="inlineStr">
        <is>
          <t>فينكا روزا مركن 9 سم أبيض</t>
        </is>
      </c>
      <c r="G127" s="16" t="n">
        <v>4000</v>
      </c>
      <c r="H127" s="16" t="inlineStr">
        <is>
          <t>EA</t>
        </is>
      </c>
      <c r="I127" s="17" t="n">
        <v>0.55</v>
      </c>
      <c r="J127" s="17" t="n">
        <v>2200</v>
      </c>
    </row>
    <row r="128">
      <c r="A128" s="9" t="n"/>
      <c r="B128" s="9" t="inlineStr">
        <is>
          <t>إجمالي ISV-0048</t>
        </is>
      </c>
      <c r="C128" s="9" t="n"/>
      <c r="D128" s="9" t="n"/>
      <c r="E128" s="9" t="n"/>
      <c r="F128" s="9" t="n"/>
      <c r="G128" s="9">
        <f>SUM(G126:G127)</f>
        <v/>
      </c>
      <c r="H128" s="9" t="n"/>
      <c r="I128" s="9" t="n"/>
      <c r="J128" s="10">
        <f>SUM(J126:J127)</f>
        <v/>
      </c>
    </row>
    <row r="129">
      <c r="A129" s="16" t="inlineStr">
        <is>
          <t>RNP</t>
        </is>
      </c>
      <c r="B129" s="16" t="inlineStr">
        <is>
          <t>ISV-0054</t>
        </is>
      </c>
      <c r="C129" s="95" t="n">
        <v>46201</v>
      </c>
      <c r="D129" s="16" t="inlineStr">
        <is>
          <t>النظام الجديد</t>
        </is>
      </c>
      <c r="E129" s="16" t="inlineStr">
        <is>
          <t>SF97</t>
        </is>
      </c>
      <c r="F129" s="16" t="inlineStr">
        <is>
          <t>فينكا روزا مركن 9 سم أبيض</t>
        </is>
      </c>
      <c r="G129" s="16" t="n">
        <v>15000</v>
      </c>
      <c r="H129" s="16" t="inlineStr">
        <is>
          <t>EA</t>
        </is>
      </c>
      <c r="I129" s="17" t="n">
        <v>0.55</v>
      </c>
      <c r="J129" s="17" t="n">
        <v>8250</v>
      </c>
    </row>
    <row r="130">
      <c r="A130" s="16" t="inlineStr">
        <is>
          <t>RNP</t>
        </is>
      </c>
      <c r="B130" s="16" t="inlineStr">
        <is>
          <t>ISV-0054</t>
        </is>
      </c>
      <c r="C130" s="95" t="n">
        <v>46201</v>
      </c>
      <c r="D130" s="16" t="inlineStr">
        <is>
          <t>النظام الجديد</t>
        </is>
      </c>
      <c r="E130" s="16" t="inlineStr">
        <is>
          <t>SF108</t>
        </is>
      </c>
      <c r="F130" s="16" t="inlineStr">
        <is>
          <t>فينكا روزا مركن 9 سم أوركيد عميق</t>
        </is>
      </c>
      <c r="G130" s="16" t="n">
        <v>15000</v>
      </c>
      <c r="H130" s="16" t="inlineStr">
        <is>
          <t>EA</t>
        </is>
      </c>
      <c r="I130" s="17" t="n">
        <v>0.55</v>
      </c>
      <c r="J130" s="17" t="n">
        <v>8250</v>
      </c>
    </row>
    <row r="131">
      <c r="A131" s="16" t="inlineStr">
        <is>
          <t>RNP</t>
        </is>
      </c>
      <c r="B131" s="16" t="inlineStr">
        <is>
          <t>ISV-0054</t>
        </is>
      </c>
      <c r="C131" s="95" t="n">
        <v>46201</v>
      </c>
      <c r="D131" s="16" t="inlineStr">
        <is>
          <t>النظام الجديد</t>
        </is>
      </c>
      <c r="E131" s="16" t="inlineStr">
        <is>
          <t>SF105</t>
        </is>
      </c>
      <c r="F131" s="16" t="inlineStr">
        <is>
          <t>فينكا روزا مركن 9 سم برغندي</t>
        </is>
      </c>
      <c r="G131" s="16" t="n">
        <v>5500</v>
      </c>
      <c r="H131" s="16" t="inlineStr">
        <is>
          <t>EA</t>
        </is>
      </c>
      <c r="I131" s="17" t="n">
        <v>0.55</v>
      </c>
      <c r="J131" s="17" t="n">
        <v>3025</v>
      </c>
    </row>
    <row r="132">
      <c r="A132" s="9" t="n"/>
      <c r="B132" s="9" t="inlineStr">
        <is>
          <t>إجمالي ISV-0054</t>
        </is>
      </c>
      <c r="C132" s="9" t="n"/>
      <c r="D132" s="9" t="n"/>
      <c r="E132" s="9" t="n"/>
      <c r="F132" s="9" t="n"/>
      <c r="G132" s="9">
        <f>SUM(G129:G131)</f>
        <v/>
      </c>
      <c r="H132" s="9" t="n"/>
      <c r="I132" s="9" t="n"/>
      <c r="J132" s="10">
        <f>SUM(J129:J131)</f>
        <v/>
      </c>
    </row>
    <row r="133">
      <c r="A133" s="16" t="inlineStr">
        <is>
          <t>RNP</t>
        </is>
      </c>
      <c r="B133" s="16" t="inlineStr">
        <is>
          <t>ISV-0066</t>
        </is>
      </c>
      <c r="C133" s="95" t="n">
        <v>46203</v>
      </c>
      <c r="D133" s="16" t="inlineStr">
        <is>
          <t>النظام الجديد</t>
        </is>
      </c>
      <c r="E133" s="16" t="inlineStr">
        <is>
          <t>SF100</t>
        </is>
      </c>
      <c r="F133" s="16" t="inlineStr">
        <is>
          <t>فينكا روزا مركن 9 سم أبيض نقطة حمراء</t>
        </is>
      </c>
      <c r="G133" s="16" t="n">
        <v>21500</v>
      </c>
      <c r="H133" s="16" t="inlineStr">
        <is>
          <t>EA</t>
        </is>
      </c>
      <c r="I133" s="17" t="n">
        <v>0.55</v>
      </c>
      <c r="J133" s="17" t="n">
        <v>11825</v>
      </c>
    </row>
    <row r="134">
      <c r="A134" s="16" t="inlineStr">
        <is>
          <t>RNP</t>
        </is>
      </c>
      <c r="B134" s="16" t="inlineStr">
        <is>
          <t>ISV-0066</t>
        </is>
      </c>
      <c r="C134" s="95" t="n">
        <v>46203</v>
      </c>
      <c r="D134" s="16" t="inlineStr">
        <is>
          <t>النظام الجديد</t>
        </is>
      </c>
      <c r="E134" s="16" t="inlineStr">
        <is>
          <t>SF98</t>
        </is>
      </c>
      <c r="F134" s="16" t="inlineStr">
        <is>
          <t>فينكا روزا مركن 9 سم أحمر</t>
        </is>
      </c>
      <c r="G134" s="16" t="n">
        <v>18500</v>
      </c>
      <c r="H134" s="16" t="inlineStr">
        <is>
          <t>EA</t>
        </is>
      </c>
      <c r="I134" s="17" t="n">
        <v>0.55</v>
      </c>
      <c r="J134" s="17" t="n">
        <v>10175</v>
      </c>
    </row>
    <row r="135">
      <c r="A135" s="9" t="n"/>
      <c r="B135" s="9" t="inlineStr">
        <is>
          <t>إجمالي ISV-0066</t>
        </is>
      </c>
      <c r="C135" s="9" t="n"/>
      <c r="D135" s="9" t="n"/>
      <c r="E135" s="9" t="n"/>
      <c r="F135" s="9" t="n"/>
      <c r="G135" s="9">
        <f>SUM(G133:G134)</f>
        <v/>
      </c>
      <c r="H135" s="9" t="n"/>
      <c r="I135" s="9" t="n"/>
      <c r="J135" s="10">
        <f>SUM(J133:J134)</f>
        <v/>
      </c>
    </row>
    <row r="136">
      <c r="A136" s="16" t="inlineStr">
        <is>
          <t>RNP</t>
        </is>
      </c>
      <c r="B136" s="16" t="inlineStr">
        <is>
          <t>ISV-0073</t>
        </is>
      </c>
      <c r="C136" s="95" t="n">
        <v>46205</v>
      </c>
      <c r="D136" s="16" t="inlineStr">
        <is>
          <t>النظام الجديد</t>
        </is>
      </c>
      <c r="E136" s="16" t="inlineStr">
        <is>
          <t>SF97</t>
        </is>
      </c>
      <c r="F136" s="16" t="inlineStr">
        <is>
          <t>فينكا روزا مركن 9 سم أبيض</t>
        </is>
      </c>
      <c r="G136" s="16" t="n">
        <v>6000</v>
      </c>
      <c r="H136" s="16" t="inlineStr">
        <is>
          <t>EA</t>
        </is>
      </c>
      <c r="I136" s="17" t="n">
        <v>0.55</v>
      </c>
      <c r="J136" s="17" t="n">
        <v>3300</v>
      </c>
    </row>
    <row r="137">
      <c r="A137" s="16" t="inlineStr">
        <is>
          <t>RNP</t>
        </is>
      </c>
      <c r="B137" s="16" t="inlineStr">
        <is>
          <t>ISV-0073</t>
        </is>
      </c>
      <c r="C137" s="95" t="n">
        <v>46205</v>
      </c>
      <c r="D137" s="16" t="inlineStr">
        <is>
          <t>النظام الجديد</t>
        </is>
      </c>
      <c r="E137" s="16" t="inlineStr">
        <is>
          <t>SF98</t>
        </is>
      </c>
      <c r="F137" s="16" t="inlineStr">
        <is>
          <t>فينكا روزا مركن 9 سم أحمر</t>
        </is>
      </c>
      <c r="G137" s="16" t="n">
        <v>4000</v>
      </c>
      <c r="H137" s="16" t="inlineStr">
        <is>
          <t>EA</t>
        </is>
      </c>
      <c r="I137" s="17" t="n">
        <v>0.55</v>
      </c>
      <c r="J137" s="17" t="n">
        <v>2200</v>
      </c>
    </row>
    <row r="138">
      <c r="A138" s="9" t="n"/>
      <c r="B138" s="9" t="inlineStr">
        <is>
          <t>إجمالي ISV-0073</t>
        </is>
      </c>
      <c r="C138" s="9" t="n"/>
      <c r="D138" s="9" t="n"/>
      <c r="E138" s="9" t="n"/>
      <c r="F138" s="9" t="n"/>
      <c r="G138" s="9">
        <f>SUM(G136:G137)</f>
        <v/>
      </c>
      <c r="H138" s="9" t="n"/>
      <c r="I138" s="9" t="n"/>
      <c r="J138" s="10">
        <f>SUM(J136:J137)</f>
        <v/>
      </c>
    </row>
    <row r="139">
      <c r="A139" s="16" t="inlineStr">
        <is>
          <t>RNP</t>
        </is>
      </c>
      <c r="B139" s="16" t="inlineStr">
        <is>
          <t>ISV-0081</t>
        </is>
      </c>
      <c r="C139" s="95" t="n">
        <v>46209</v>
      </c>
      <c r="D139" s="16" t="inlineStr">
        <is>
          <t>النظام الجديد</t>
        </is>
      </c>
      <c r="E139" s="16" t="inlineStr">
        <is>
          <t>SF108</t>
        </is>
      </c>
      <c r="F139" s="16" t="inlineStr">
        <is>
          <t>فينكا روزا مركن 9 سم أوركيد عميق</t>
        </is>
      </c>
      <c r="G139" s="16" t="n">
        <v>400</v>
      </c>
      <c r="H139" s="16" t="inlineStr">
        <is>
          <t>EA</t>
        </is>
      </c>
      <c r="I139" s="17" t="n">
        <v>0.55</v>
      </c>
      <c r="J139" s="17" t="n">
        <v>220</v>
      </c>
    </row>
    <row r="140">
      <c r="A140" s="16" t="inlineStr">
        <is>
          <t>RNP</t>
        </is>
      </c>
      <c r="B140" s="16" t="inlineStr">
        <is>
          <t>ISV-0081</t>
        </is>
      </c>
      <c r="C140" s="95" t="n">
        <v>46209</v>
      </c>
      <c r="D140" s="16" t="inlineStr">
        <is>
          <t>النظام الجديد</t>
        </is>
      </c>
      <c r="E140" s="16" t="inlineStr">
        <is>
          <t>SF102</t>
        </is>
      </c>
      <c r="F140" s="16" t="inlineStr">
        <is>
          <t>فينكا روزا مركن 9 سم مشمشي</t>
        </is>
      </c>
      <c r="G140" s="16" t="n">
        <v>250</v>
      </c>
      <c r="H140" s="16" t="inlineStr">
        <is>
          <t>EA</t>
        </is>
      </c>
      <c r="I140" s="17" t="n">
        <v>0.55</v>
      </c>
      <c r="J140" s="17" t="n">
        <v>137.5</v>
      </c>
    </row>
    <row r="141">
      <c r="A141" s="16" t="inlineStr">
        <is>
          <t>RNP</t>
        </is>
      </c>
      <c r="B141" s="16" t="inlineStr">
        <is>
          <t>ISV-0081</t>
        </is>
      </c>
      <c r="C141" s="95" t="n">
        <v>46209</v>
      </c>
      <c r="D141" s="16" t="inlineStr">
        <is>
          <t>النظام الجديد</t>
        </is>
      </c>
      <c r="E141" s="16" t="inlineStr">
        <is>
          <t>SF106</t>
        </is>
      </c>
      <c r="F141" s="16" t="inlineStr">
        <is>
          <t>فينكا روزا مركن 9 سم برغندي هالو</t>
        </is>
      </c>
      <c r="G141" s="16" t="n">
        <v>250</v>
      </c>
      <c r="H141" s="16" t="inlineStr">
        <is>
          <t>EA</t>
        </is>
      </c>
      <c r="I141" s="17" t="n">
        <v>0.55</v>
      </c>
      <c r="J141" s="17" t="n">
        <v>137.5</v>
      </c>
    </row>
    <row r="142">
      <c r="A142" s="16" t="inlineStr">
        <is>
          <t>RNP</t>
        </is>
      </c>
      <c r="B142" s="16" t="inlineStr">
        <is>
          <t>ISV-0081</t>
        </is>
      </c>
      <c r="C142" s="95" t="n">
        <v>46209</v>
      </c>
      <c r="D142" s="16" t="inlineStr">
        <is>
          <t>النظام الجديد</t>
        </is>
      </c>
      <c r="E142" s="16" t="inlineStr">
        <is>
          <t>SF100</t>
        </is>
      </c>
      <c r="F142" s="16" t="inlineStr">
        <is>
          <t>فينكا روزا مركن 9 سم أبيض نقطة حمراء</t>
        </is>
      </c>
      <c r="G142" s="16" t="n">
        <v>200</v>
      </c>
      <c r="H142" s="16" t="inlineStr">
        <is>
          <t>EA</t>
        </is>
      </c>
      <c r="I142" s="17" t="n">
        <v>0.55</v>
      </c>
      <c r="J142" s="17" t="n">
        <v>110</v>
      </c>
    </row>
    <row r="143">
      <c r="A143" s="16" t="inlineStr">
        <is>
          <t>RNP</t>
        </is>
      </c>
      <c r="B143" s="16" t="inlineStr">
        <is>
          <t>ISV-0081</t>
        </is>
      </c>
      <c r="C143" s="95" t="n">
        <v>46209</v>
      </c>
      <c r="D143" s="16" t="inlineStr">
        <is>
          <t>النظام الجديد</t>
        </is>
      </c>
      <c r="E143" s="16" t="inlineStr">
        <is>
          <t>SF99</t>
        </is>
      </c>
      <c r="F143" s="16" t="inlineStr">
        <is>
          <t>فينكا روزا مركن 9 سم أحمر نقطة بيضاء</t>
        </is>
      </c>
      <c r="G143" s="16" t="n">
        <v>200</v>
      </c>
      <c r="H143" s="16" t="inlineStr">
        <is>
          <t>EA</t>
        </is>
      </c>
      <c r="I143" s="17" t="n">
        <v>0.55</v>
      </c>
      <c r="J143" s="17" t="n">
        <v>110</v>
      </c>
    </row>
    <row r="144">
      <c r="A144" s="16" t="inlineStr">
        <is>
          <t>RNP</t>
        </is>
      </c>
      <c r="B144" s="16" t="inlineStr">
        <is>
          <t>ISV-0081</t>
        </is>
      </c>
      <c r="C144" s="95" t="n">
        <v>46209</v>
      </c>
      <c r="D144" s="16" t="inlineStr">
        <is>
          <t>النظام الجديد</t>
        </is>
      </c>
      <c r="E144" s="16" t="inlineStr">
        <is>
          <t>OD454</t>
        </is>
      </c>
      <c r="F144" s="16" t="inlineStr">
        <is>
          <t>تيكوماريا 50 سم</t>
        </is>
      </c>
      <c r="G144" s="16" t="n">
        <v>250</v>
      </c>
      <c r="H144" s="16" t="inlineStr">
        <is>
          <t>EA</t>
        </is>
      </c>
      <c r="I144" s="17" t="n">
        <v>2.5</v>
      </c>
      <c r="J144" s="17" t="n">
        <v>625</v>
      </c>
    </row>
    <row r="145">
      <c r="A145" s="16" t="inlineStr">
        <is>
          <t>RNP</t>
        </is>
      </c>
      <c r="B145" s="16" t="inlineStr">
        <is>
          <t>ISV-0081</t>
        </is>
      </c>
      <c r="C145" s="95" t="n">
        <v>46209</v>
      </c>
      <c r="D145" s="16" t="inlineStr">
        <is>
          <t>النظام الجديد</t>
        </is>
      </c>
      <c r="E145" s="16" t="inlineStr">
        <is>
          <t>ID1501</t>
        </is>
      </c>
      <c r="F145" s="16" t="inlineStr">
        <is>
          <t>ترادسكانتيا ان اس مركن 19 سم علاقى</t>
        </is>
      </c>
      <c r="G145" s="16" t="n">
        <v>25</v>
      </c>
      <c r="H145" s="16" t="inlineStr">
        <is>
          <t>EA</t>
        </is>
      </c>
      <c r="I145" s="17" t="n">
        <v>9.5</v>
      </c>
      <c r="J145" s="17" t="n">
        <v>237.5</v>
      </c>
    </row>
    <row r="146">
      <c r="A146" s="16" t="inlineStr">
        <is>
          <t>RNP</t>
        </is>
      </c>
      <c r="B146" s="16" t="inlineStr">
        <is>
          <t>ISV-0081</t>
        </is>
      </c>
      <c r="C146" s="95" t="n">
        <v>46209</v>
      </c>
      <c r="D146" s="16" t="inlineStr">
        <is>
          <t>النظام الجديد</t>
        </is>
      </c>
      <c r="E146" s="16" t="inlineStr">
        <is>
          <t>OD501</t>
        </is>
      </c>
      <c r="F146" s="16" t="inlineStr">
        <is>
          <t>نخيل سايكس 40 سم</t>
        </is>
      </c>
      <c r="G146" s="16" t="n">
        <v>3</v>
      </c>
      <c r="H146" s="16" t="inlineStr">
        <is>
          <t>EA</t>
        </is>
      </c>
      <c r="I146" s="17" t="n">
        <v>397</v>
      </c>
      <c r="J146" s="17" t="n">
        <v>1191</v>
      </c>
    </row>
    <row r="147">
      <c r="A147" s="9" t="n"/>
      <c r="B147" s="9" t="inlineStr">
        <is>
          <t>إجمالي ISV-0081</t>
        </is>
      </c>
      <c r="C147" s="9" t="n"/>
      <c r="D147" s="9" t="n"/>
      <c r="E147" s="9" t="n"/>
      <c r="F147" s="9" t="n"/>
      <c r="G147" s="9">
        <f>SUM(G139:G146)</f>
        <v/>
      </c>
      <c r="H147" s="9" t="n"/>
      <c r="I147" s="9" t="n"/>
      <c r="J147" s="10">
        <f>SUM(J139:J146)</f>
        <v/>
      </c>
    </row>
    <row r="148">
      <c r="A148" s="16" t="inlineStr">
        <is>
          <t>RNP</t>
        </is>
      </c>
      <c r="B148" s="16" t="inlineStr">
        <is>
          <t>ISV-0090</t>
        </is>
      </c>
      <c r="C148" s="95" t="n">
        <v>46214</v>
      </c>
      <c r="D148" s="16" t="inlineStr">
        <is>
          <t>النظام الجديد</t>
        </is>
      </c>
      <c r="E148" s="16" t="inlineStr">
        <is>
          <t>SF98</t>
        </is>
      </c>
      <c r="F148" s="16" t="inlineStr">
        <is>
          <t>فينكا روزا مركن 9 سم أحمر</t>
        </is>
      </c>
      <c r="G148" s="16" t="n">
        <v>450</v>
      </c>
      <c r="H148" s="16" t="inlineStr">
        <is>
          <t>EA</t>
        </is>
      </c>
      <c r="I148" s="17" t="n">
        <v>0.55</v>
      </c>
      <c r="J148" s="17" t="n">
        <v>247.5</v>
      </c>
    </row>
    <row r="149">
      <c r="A149" s="16" t="inlineStr">
        <is>
          <t>RNP</t>
        </is>
      </c>
      <c r="B149" s="16" t="inlineStr">
        <is>
          <t>ISV-0090</t>
        </is>
      </c>
      <c r="C149" s="95" t="n">
        <v>46214</v>
      </c>
      <c r="D149" s="16" t="inlineStr">
        <is>
          <t>النظام الجديد</t>
        </is>
      </c>
      <c r="E149" s="16" t="inlineStr">
        <is>
          <t>SF105</t>
        </is>
      </c>
      <c r="F149" s="16" t="inlineStr">
        <is>
          <t>فينكا روزا مركن 9 سم برغندي</t>
        </is>
      </c>
      <c r="G149" s="16" t="n">
        <v>450</v>
      </c>
      <c r="H149" s="16" t="inlineStr">
        <is>
          <t>EA</t>
        </is>
      </c>
      <c r="I149" s="17" t="n">
        <v>0.55</v>
      </c>
      <c r="J149" s="17" t="n">
        <v>247.5</v>
      </c>
    </row>
    <row r="150">
      <c r="A150" s="16" t="inlineStr">
        <is>
          <t>RNP</t>
        </is>
      </c>
      <c r="B150" s="16" t="inlineStr">
        <is>
          <t>ISV-0090</t>
        </is>
      </c>
      <c r="C150" s="95" t="n">
        <v>46214</v>
      </c>
      <c r="D150" s="16" t="inlineStr">
        <is>
          <t>النظام الجديد</t>
        </is>
      </c>
      <c r="E150" s="16" t="inlineStr">
        <is>
          <t>SF108</t>
        </is>
      </c>
      <c r="F150" s="16" t="inlineStr">
        <is>
          <t>فينكا روزا مركن 9 سم أوركيد عميق</t>
        </is>
      </c>
      <c r="G150" s="16" t="n">
        <v>450</v>
      </c>
      <c r="H150" s="16" t="inlineStr">
        <is>
          <t>EA</t>
        </is>
      </c>
      <c r="I150" s="17" t="n">
        <v>0.55</v>
      </c>
      <c r="J150" s="17" t="n">
        <v>247.5</v>
      </c>
    </row>
    <row r="151">
      <c r="A151" s="16" t="inlineStr">
        <is>
          <t>RNP</t>
        </is>
      </c>
      <c r="B151" s="16" t="inlineStr">
        <is>
          <t>ISV-0090</t>
        </is>
      </c>
      <c r="C151" s="95" t="n">
        <v>46214</v>
      </c>
      <c r="D151" s="16" t="inlineStr">
        <is>
          <t>النظام الجديد</t>
        </is>
      </c>
      <c r="E151" s="16" t="inlineStr">
        <is>
          <t>SF102</t>
        </is>
      </c>
      <c r="F151" s="16" t="inlineStr">
        <is>
          <t>فينكا روزا مركن 9 سم مشمشي</t>
        </is>
      </c>
      <c r="G151" s="16" t="n">
        <v>450</v>
      </c>
      <c r="H151" s="16" t="inlineStr">
        <is>
          <t>EA</t>
        </is>
      </c>
      <c r="I151" s="17" t="n">
        <v>0.55</v>
      </c>
      <c r="J151" s="17" t="n">
        <v>247.5</v>
      </c>
    </row>
    <row r="152">
      <c r="A152" s="9" t="n"/>
      <c r="B152" s="9" t="inlineStr">
        <is>
          <t>إجمالي ISV-0090</t>
        </is>
      </c>
      <c r="C152" s="9" t="n"/>
      <c r="D152" s="9" t="n"/>
      <c r="E152" s="9" t="n"/>
      <c r="F152" s="9" t="n"/>
      <c r="G152" s="9">
        <f>SUM(G148:G151)</f>
        <v/>
      </c>
      <c r="H152" s="9" t="n"/>
      <c r="I152" s="9" t="n"/>
      <c r="J152" s="10">
        <f>SUM(J148:J151)</f>
        <v/>
      </c>
    </row>
    <row r="153">
      <c r="A153" s="16" t="inlineStr">
        <is>
          <t>RNP</t>
        </is>
      </c>
      <c r="B153" s="16" t="inlineStr">
        <is>
          <t>ISV-0091</t>
        </is>
      </c>
      <c r="C153" s="95" t="n">
        <v>46214</v>
      </c>
      <c r="D153" s="16" t="inlineStr">
        <is>
          <t>النظام الجديد</t>
        </is>
      </c>
      <c r="E153" s="16" t="inlineStr">
        <is>
          <t>SF98</t>
        </is>
      </c>
      <c r="F153" s="16" t="inlineStr">
        <is>
          <t>فينكا روزا مركن 9 سم أحمر</t>
        </is>
      </c>
      <c r="G153" s="16" t="n">
        <v>150</v>
      </c>
      <c r="H153" s="16" t="inlineStr">
        <is>
          <t>EA</t>
        </is>
      </c>
      <c r="I153" s="17" t="n">
        <v>0.55</v>
      </c>
      <c r="J153" s="17" t="n">
        <v>82.5</v>
      </c>
    </row>
    <row r="154">
      <c r="A154" s="16" t="inlineStr">
        <is>
          <t>RNP</t>
        </is>
      </c>
      <c r="B154" s="16" t="inlineStr">
        <is>
          <t>ISV-0091</t>
        </is>
      </c>
      <c r="C154" s="95" t="n">
        <v>46214</v>
      </c>
      <c r="D154" s="16" t="inlineStr">
        <is>
          <t>النظام الجديد</t>
        </is>
      </c>
      <c r="E154" s="16" t="inlineStr">
        <is>
          <t>SF105</t>
        </is>
      </c>
      <c r="F154" s="16" t="inlineStr">
        <is>
          <t>فينكا روزا مركن 9 سم برغندي</t>
        </is>
      </c>
      <c r="G154" s="16" t="n">
        <v>150</v>
      </c>
      <c r="H154" s="16" t="inlineStr">
        <is>
          <t>EA</t>
        </is>
      </c>
      <c r="I154" s="17" t="n">
        <v>0.55</v>
      </c>
      <c r="J154" s="17" t="n">
        <v>82.5</v>
      </c>
    </row>
    <row r="155">
      <c r="A155" s="16" t="inlineStr">
        <is>
          <t>RNP</t>
        </is>
      </c>
      <c r="B155" s="16" t="inlineStr">
        <is>
          <t>ISV-0091</t>
        </is>
      </c>
      <c r="C155" s="95" t="n">
        <v>46214</v>
      </c>
      <c r="D155" s="16" t="inlineStr">
        <is>
          <t>النظام الجديد</t>
        </is>
      </c>
      <c r="E155" s="16" t="inlineStr">
        <is>
          <t>SF102</t>
        </is>
      </c>
      <c r="F155" s="16" t="inlineStr">
        <is>
          <t>فينكا روزا مركن 9 سم مشمشي</t>
        </is>
      </c>
      <c r="G155" s="16" t="n">
        <v>150</v>
      </c>
      <c r="H155" s="16" t="inlineStr">
        <is>
          <t>EA</t>
        </is>
      </c>
      <c r="I155" s="17" t="n">
        <v>0.55</v>
      </c>
      <c r="J155" s="17" t="n">
        <v>82.5</v>
      </c>
    </row>
    <row r="156">
      <c r="A156" s="16" t="inlineStr">
        <is>
          <t>RNP</t>
        </is>
      </c>
      <c r="B156" s="16" t="inlineStr">
        <is>
          <t>ISV-0091</t>
        </is>
      </c>
      <c r="C156" s="95" t="n">
        <v>46214</v>
      </c>
      <c r="D156" s="16" t="inlineStr">
        <is>
          <t>النظام الجديد</t>
        </is>
      </c>
      <c r="E156" s="16" t="inlineStr">
        <is>
          <t>SF108</t>
        </is>
      </c>
      <c r="F156" s="16" t="inlineStr">
        <is>
          <t>فينكا روزا مركن 9 سم أوركيد عميق</t>
        </is>
      </c>
      <c r="G156" s="16" t="n">
        <v>150</v>
      </c>
      <c r="H156" s="16" t="inlineStr">
        <is>
          <t>EA</t>
        </is>
      </c>
      <c r="I156" s="17" t="n">
        <v>0.55</v>
      </c>
      <c r="J156" s="17" t="n">
        <v>82.5</v>
      </c>
    </row>
    <row r="157">
      <c r="A157" s="9" t="n"/>
      <c r="B157" s="9" t="inlineStr">
        <is>
          <t>إجمالي ISV-0091</t>
        </is>
      </c>
      <c r="C157" s="9" t="n"/>
      <c r="D157" s="9" t="n"/>
      <c r="E157" s="9" t="n"/>
      <c r="F157" s="9" t="n"/>
      <c r="G157" s="9">
        <f>SUM(G153:G156)</f>
        <v/>
      </c>
      <c r="H157" s="9" t="n"/>
      <c r="I157" s="9" t="n"/>
      <c r="J157" s="10">
        <f>SUM(J153:J156)</f>
        <v/>
      </c>
    </row>
    <row r="158">
      <c r="A158" s="16" t="inlineStr">
        <is>
          <t>RNP</t>
        </is>
      </c>
      <c r="B158" s="16" t="inlineStr">
        <is>
          <t>ISV-0092</t>
        </is>
      </c>
      <c r="C158" s="95" t="n">
        <v>46214</v>
      </c>
      <c r="D158" s="16" t="inlineStr">
        <is>
          <t>النظام الجديد</t>
        </is>
      </c>
      <c r="E158" s="16" t="inlineStr">
        <is>
          <t>SF100</t>
        </is>
      </c>
      <c r="F158" s="16" t="inlineStr">
        <is>
          <t>فينكا روزا مركن 9 سم أبيض نقطة حمراء</t>
        </is>
      </c>
      <c r="G158" s="16" t="n">
        <v>1500</v>
      </c>
      <c r="H158" s="16" t="inlineStr">
        <is>
          <t>EA</t>
        </is>
      </c>
      <c r="I158" s="17" t="n">
        <v>0.55</v>
      </c>
      <c r="J158" s="17" t="n">
        <v>825</v>
      </c>
    </row>
    <row r="159">
      <c r="A159" s="9" t="n"/>
      <c r="B159" s="9" t="inlineStr">
        <is>
          <t>إجمالي ISV-0092</t>
        </is>
      </c>
      <c r="C159" s="9" t="n"/>
      <c r="D159" s="9" t="n"/>
      <c r="E159" s="9" t="n"/>
      <c r="F159" s="9" t="n"/>
      <c r="G159" s="9">
        <f>SUM(G158:G158)</f>
        <v/>
      </c>
      <c r="H159" s="9" t="n"/>
      <c r="I159" s="9" t="n"/>
      <c r="J159" s="10">
        <f>SUM(J158:J158)</f>
        <v/>
      </c>
    </row>
    <row r="160">
      <c r="A160" s="16" t="inlineStr">
        <is>
          <t>RNP</t>
        </is>
      </c>
      <c r="B160" s="16" t="inlineStr">
        <is>
          <t>ISV-0127</t>
        </is>
      </c>
      <c r="C160" s="95" t="n">
        <v>46229</v>
      </c>
      <c r="D160" s="16" t="inlineStr">
        <is>
          <t>النظام الجديد</t>
        </is>
      </c>
      <c r="E160" s="16" t="inlineStr">
        <is>
          <t>SF100</t>
        </is>
      </c>
      <c r="F160" s="16" t="inlineStr">
        <is>
          <t>فينكا روزا مركن 9 سم أبيض نقطة حمراء</t>
        </is>
      </c>
      <c r="G160" s="16" t="n">
        <v>400</v>
      </c>
      <c r="H160" s="16" t="inlineStr">
        <is>
          <t>EA</t>
        </is>
      </c>
      <c r="I160" s="17" t="n">
        <v>0.55</v>
      </c>
      <c r="J160" s="17" t="n">
        <v>220</v>
      </c>
    </row>
    <row r="161">
      <c r="A161" s="16" t="inlineStr">
        <is>
          <t>RNP</t>
        </is>
      </c>
      <c r="B161" s="16" t="inlineStr">
        <is>
          <t>ISV-0127</t>
        </is>
      </c>
      <c r="C161" s="95" t="n">
        <v>46229</v>
      </c>
      <c r="D161" s="16" t="inlineStr">
        <is>
          <t>النظام الجديد</t>
        </is>
      </c>
      <c r="E161" s="16" t="inlineStr">
        <is>
          <t>SF105</t>
        </is>
      </c>
      <c r="F161" s="16" t="inlineStr">
        <is>
          <t>فينكا روزا مركن 9 سم برغندي</t>
        </is>
      </c>
      <c r="G161" s="16" t="n">
        <v>600</v>
      </c>
      <c r="H161" s="16" t="inlineStr">
        <is>
          <t>EA</t>
        </is>
      </c>
      <c r="I161" s="17" t="n">
        <v>0.55</v>
      </c>
      <c r="J161" s="17" t="n">
        <v>330</v>
      </c>
    </row>
    <row r="162">
      <c r="A162" s="16" t="inlineStr">
        <is>
          <t>RNP</t>
        </is>
      </c>
      <c r="B162" s="16" t="inlineStr">
        <is>
          <t>ISV-0127</t>
        </is>
      </c>
      <c r="C162" s="95" t="n">
        <v>46229</v>
      </c>
      <c r="D162" s="16" t="inlineStr">
        <is>
          <t>النظام الجديد</t>
        </is>
      </c>
      <c r="E162" s="16" t="inlineStr">
        <is>
          <t>SF108</t>
        </is>
      </c>
      <c r="F162" s="16" t="inlineStr">
        <is>
          <t>فينكا روزا مركن 9 سم أوركيد عميق</t>
        </is>
      </c>
      <c r="G162" s="16" t="n">
        <v>720</v>
      </c>
      <c r="H162" s="16" t="inlineStr">
        <is>
          <t>EA</t>
        </is>
      </c>
      <c r="I162" s="17" t="n">
        <v>0.55</v>
      </c>
      <c r="J162" s="17" t="n">
        <v>396</v>
      </c>
    </row>
    <row r="163">
      <c r="A163" s="16" t="inlineStr">
        <is>
          <t>RNP</t>
        </is>
      </c>
      <c r="B163" s="16" t="inlineStr">
        <is>
          <t>ISV-0127</t>
        </is>
      </c>
      <c r="C163" s="95" t="n">
        <v>46229</v>
      </c>
      <c r="D163" s="16" t="inlineStr">
        <is>
          <t>النظام الجديد</t>
        </is>
      </c>
      <c r="E163" s="16" t="inlineStr">
        <is>
          <t>SF99</t>
        </is>
      </c>
      <c r="F163" s="16" t="inlineStr">
        <is>
          <t>فينكا روزا مركن 9 سم أحمر نقطة بيضاء</t>
        </is>
      </c>
      <c r="G163" s="16" t="n">
        <v>500</v>
      </c>
      <c r="H163" s="16" t="inlineStr">
        <is>
          <t>EA</t>
        </is>
      </c>
      <c r="I163" s="17" t="n">
        <v>0.55</v>
      </c>
      <c r="J163" s="17" t="n">
        <v>275</v>
      </c>
    </row>
    <row r="164">
      <c r="A164" s="16" t="inlineStr">
        <is>
          <t>RNP</t>
        </is>
      </c>
      <c r="B164" s="16" t="inlineStr">
        <is>
          <t>ISV-0127</t>
        </is>
      </c>
      <c r="C164" s="95" t="n">
        <v>46229</v>
      </c>
      <c r="D164" s="16" t="inlineStr">
        <is>
          <t>النظام الجديد</t>
        </is>
      </c>
      <c r="E164" s="16" t="inlineStr">
        <is>
          <t>SF106</t>
        </is>
      </c>
      <c r="F164" s="16" t="inlineStr">
        <is>
          <t>فينكا روزا مركن 9 سم برغندي هالو</t>
        </is>
      </c>
      <c r="G164" s="16" t="n">
        <v>500</v>
      </c>
      <c r="H164" s="16" t="inlineStr">
        <is>
          <t>EA</t>
        </is>
      </c>
      <c r="I164" s="17" t="n">
        <v>0.55</v>
      </c>
      <c r="J164" s="17" t="n">
        <v>275</v>
      </c>
    </row>
    <row r="165">
      <c r="A165" s="9" t="n"/>
      <c r="B165" s="9" t="inlineStr">
        <is>
          <t>إجمالي ISV-0127</t>
        </is>
      </c>
      <c r="C165" s="9" t="n"/>
      <c r="D165" s="9" t="n"/>
      <c r="E165" s="9" t="n"/>
      <c r="F165" s="9" t="n"/>
      <c r="G165" s="9">
        <f>SUM(G160:G164)</f>
        <v/>
      </c>
      <c r="H165" s="9" t="n"/>
      <c r="I165" s="9" t="n"/>
      <c r="J165" s="10">
        <f>SUM(J160:J164)</f>
        <v/>
      </c>
    </row>
    <row r="166">
      <c r="A166" s="16" t="inlineStr">
        <is>
          <t>RNP</t>
        </is>
      </c>
      <c r="B166" s="16" t="inlineStr">
        <is>
          <t>ISV-0128</t>
        </is>
      </c>
      <c r="C166" s="95" t="n">
        <v>46229</v>
      </c>
      <c r="D166" s="16" t="inlineStr">
        <is>
          <t>النظام الجديد</t>
        </is>
      </c>
      <c r="E166" s="16" t="inlineStr">
        <is>
          <t>SF100</t>
        </is>
      </c>
      <c r="F166" s="16" t="inlineStr">
        <is>
          <t>فينكا روزا مركن 9 سم أبيض نقطة حمراء</t>
        </is>
      </c>
      <c r="G166" s="16" t="n">
        <v>500</v>
      </c>
      <c r="H166" s="16" t="inlineStr">
        <is>
          <t>EA</t>
        </is>
      </c>
      <c r="I166" s="17" t="n">
        <v>0.55</v>
      </c>
      <c r="J166" s="17" t="n">
        <v>275</v>
      </c>
    </row>
    <row r="167">
      <c r="A167" s="16" t="inlineStr">
        <is>
          <t>RNP</t>
        </is>
      </c>
      <c r="B167" s="16" t="inlineStr">
        <is>
          <t>ISV-0128</t>
        </is>
      </c>
      <c r="C167" s="95" t="n">
        <v>46229</v>
      </c>
      <c r="D167" s="16" t="inlineStr">
        <is>
          <t>النظام الجديد</t>
        </is>
      </c>
      <c r="E167" s="16" t="inlineStr">
        <is>
          <t>SF105</t>
        </is>
      </c>
      <c r="F167" s="16" t="inlineStr">
        <is>
          <t>فينكا روزا مركن 9 سم برغندي</t>
        </is>
      </c>
      <c r="G167" s="16" t="n">
        <v>900</v>
      </c>
      <c r="H167" s="16" t="inlineStr">
        <is>
          <t>EA</t>
        </is>
      </c>
      <c r="I167" s="17" t="n">
        <v>0.55</v>
      </c>
      <c r="J167" s="17" t="n">
        <v>495</v>
      </c>
    </row>
    <row r="168">
      <c r="A168" s="16" t="inlineStr">
        <is>
          <t>RNP</t>
        </is>
      </c>
      <c r="B168" s="16" t="inlineStr">
        <is>
          <t>ISV-0128</t>
        </is>
      </c>
      <c r="C168" s="95" t="n">
        <v>46229</v>
      </c>
      <c r="D168" s="16" t="inlineStr">
        <is>
          <t>النظام الجديد</t>
        </is>
      </c>
      <c r="E168" s="16" t="inlineStr">
        <is>
          <t>SF106</t>
        </is>
      </c>
      <c r="F168" s="16" t="inlineStr">
        <is>
          <t>فينكا روزا مركن 9 سم برغندي هالو</t>
        </is>
      </c>
      <c r="G168" s="16" t="n">
        <v>500</v>
      </c>
      <c r="H168" s="16" t="inlineStr">
        <is>
          <t>EA</t>
        </is>
      </c>
      <c r="I168" s="17" t="n">
        <v>0.55</v>
      </c>
      <c r="J168" s="17" t="n">
        <v>275</v>
      </c>
    </row>
    <row r="169">
      <c r="A169" s="16" t="inlineStr">
        <is>
          <t>RNP</t>
        </is>
      </c>
      <c r="B169" s="16" t="inlineStr">
        <is>
          <t>ISV-0128</t>
        </is>
      </c>
      <c r="C169" s="95" t="n">
        <v>46229</v>
      </c>
      <c r="D169" s="16" t="inlineStr">
        <is>
          <t>النظام الجديد</t>
        </is>
      </c>
      <c r="E169" s="16" t="inlineStr">
        <is>
          <t>SF99</t>
        </is>
      </c>
      <c r="F169" s="16" t="inlineStr">
        <is>
          <t>فينكا روزا مركن 9 سم أحمر نقطة بيضاء</t>
        </is>
      </c>
      <c r="G169" s="16" t="n">
        <v>1100</v>
      </c>
      <c r="H169" s="16" t="inlineStr">
        <is>
          <t>EA</t>
        </is>
      </c>
      <c r="I169" s="17" t="n">
        <v>0.55</v>
      </c>
      <c r="J169" s="17" t="n">
        <v>605</v>
      </c>
    </row>
    <row r="170">
      <c r="A170" s="16" t="inlineStr">
        <is>
          <t>RNP</t>
        </is>
      </c>
      <c r="B170" s="16" t="inlineStr">
        <is>
          <t>ISV-0128</t>
        </is>
      </c>
      <c r="C170" s="95" t="n">
        <v>46229</v>
      </c>
      <c r="D170" s="16" t="inlineStr">
        <is>
          <t>النظام الجديد</t>
        </is>
      </c>
      <c r="E170" s="16" t="inlineStr">
        <is>
          <t>SF108</t>
        </is>
      </c>
      <c r="F170" s="16" t="inlineStr">
        <is>
          <t>فينكا روزا مركن 9 سم أوركيد عميق</t>
        </is>
      </c>
      <c r="G170" s="16" t="n">
        <v>1700</v>
      </c>
      <c r="H170" s="16" t="inlineStr">
        <is>
          <t>EA</t>
        </is>
      </c>
      <c r="I170" s="17" t="n">
        <v>0.55</v>
      </c>
      <c r="J170" s="17" t="n">
        <v>935</v>
      </c>
    </row>
    <row r="171">
      <c r="A171" s="16" t="inlineStr">
        <is>
          <t>RNP</t>
        </is>
      </c>
      <c r="B171" s="16" t="inlineStr">
        <is>
          <t>ISV-0128</t>
        </is>
      </c>
      <c r="C171" s="95" t="n">
        <v>46229</v>
      </c>
      <c r="D171" s="16" t="inlineStr">
        <is>
          <t>النظام الجديد</t>
        </is>
      </c>
      <c r="E171" s="16" t="inlineStr">
        <is>
          <t>OD479</t>
        </is>
      </c>
      <c r="F171" s="16" t="inlineStr">
        <is>
          <t>جهنمية بلدى واحد عود 1 متر</t>
        </is>
      </c>
      <c r="G171" s="16" t="n">
        <v>10</v>
      </c>
      <c r="H171" s="16" t="inlineStr">
        <is>
          <t>EA</t>
        </is>
      </c>
      <c r="I171" s="17" t="n">
        <v>6</v>
      </c>
      <c r="J171" s="17" t="n">
        <v>60</v>
      </c>
    </row>
    <row r="172">
      <c r="A172" s="16" t="inlineStr">
        <is>
          <t>RNP</t>
        </is>
      </c>
      <c r="B172" s="16" t="inlineStr">
        <is>
          <t>ISV-0128</t>
        </is>
      </c>
      <c r="C172" s="95" t="n">
        <v>46229</v>
      </c>
      <c r="D172" s="16" t="inlineStr">
        <is>
          <t>النظام الجديد</t>
        </is>
      </c>
      <c r="E172" s="16" t="inlineStr">
        <is>
          <t>OD404</t>
        </is>
      </c>
      <c r="F172" s="16" t="inlineStr">
        <is>
          <t>فيكس بندا 50 سم</t>
        </is>
      </c>
      <c r="G172" s="16" t="n">
        <v>10</v>
      </c>
      <c r="H172" s="16" t="inlineStr">
        <is>
          <t>EA</t>
        </is>
      </c>
      <c r="I172" s="17" t="n">
        <v>2.5</v>
      </c>
      <c r="J172" s="17" t="n">
        <v>25</v>
      </c>
    </row>
    <row r="173">
      <c r="A173" s="9" t="n"/>
      <c r="B173" s="9" t="inlineStr">
        <is>
          <t>إجمالي ISV-0128</t>
        </is>
      </c>
      <c r="C173" s="9" t="n"/>
      <c r="D173" s="9" t="n"/>
      <c r="E173" s="9" t="n"/>
      <c r="F173" s="9" t="n"/>
      <c r="G173" s="9">
        <f>SUM(G166:G172)</f>
        <v/>
      </c>
      <c r="H173" s="9" t="n"/>
      <c r="I173" s="9" t="n"/>
      <c r="J173" s="10">
        <f>SUM(J166:J172)</f>
        <v/>
      </c>
    </row>
    <row r="174">
      <c r="A174" s="16" t="inlineStr">
        <is>
          <t>RNO</t>
        </is>
      </c>
      <c r="B174" s="16" t="inlineStr">
        <is>
          <t>RNO-3525</t>
        </is>
      </c>
      <c r="C174" s="95" t="n">
        <v>46033</v>
      </c>
      <c r="D174" s="16" t="inlineStr">
        <is>
          <t>النظام القديم</t>
        </is>
      </c>
      <c r="E174" s="16" t="inlineStr">
        <is>
          <t>RN-PL1</t>
        </is>
      </c>
      <c r="F174" s="16" t="inlineStr">
        <is>
          <t>مركن زراعي خفيف ملون 9 سم</t>
        </is>
      </c>
      <c r="G174" s="16" t="n">
        <v>2000</v>
      </c>
      <c r="H174" s="16" t="inlineStr">
        <is>
          <t>EA</t>
        </is>
      </c>
      <c r="I174" s="17" t="n">
        <v>0.06</v>
      </c>
      <c r="J174" s="17" t="n">
        <v>138</v>
      </c>
    </row>
    <row r="175">
      <c r="A175" s="16" t="inlineStr">
        <is>
          <t>RNO</t>
        </is>
      </c>
      <c r="B175" s="16" t="inlineStr">
        <is>
          <t>RNO-3525</t>
        </is>
      </c>
      <c r="C175" s="95" t="n">
        <v>46033</v>
      </c>
      <c r="D175" s="16" t="inlineStr">
        <is>
          <t>النظام القديم</t>
        </is>
      </c>
      <c r="E175" s="16" t="inlineStr">
        <is>
          <t>RN-PL9</t>
        </is>
      </c>
      <c r="F175" s="16" t="inlineStr">
        <is>
          <t>مركن زراعي 40 سم</t>
        </is>
      </c>
      <c r="G175" s="16" t="n">
        <v>180</v>
      </c>
      <c r="H175" s="16" t="inlineStr">
        <is>
          <t>EA</t>
        </is>
      </c>
      <c r="I175" s="17" t="n">
        <v>4.5</v>
      </c>
      <c r="J175" s="17" t="n">
        <v>931.5</v>
      </c>
    </row>
    <row r="176">
      <c r="A176" s="9" t="n"/>
      <c r="B176" s="9" t="inlineStr">
        <is>
          <t>إجمالي RNO-3525</t>
        </is>
      </c>
      <c r="C176" s="9" t="n"/>
      <c r="D176" s="9" t="n"/>
      <c r="E176" s="9" t="n"/>
      <c r="F176" s="9" t="n"/>
      <c r="G176" s="9">
        <f>SUM(G174:G175)</f>
        <v/>
      </c>
      <c r="H176" s="9" t="n"/>
      <c r="I176" s="9" t="n"/>
      <c r="J176" s="10">
        <f>SUM(J174:J175)</f>
        <v/>
      </c>
    </row>
    <row r="177">
      <c r="A177" s="16" t="inlineStr">
        <is>
          <t>RNO</t>
        </is>
      </c>
      <c r="B177" s="16" t="inlineStr">
        <is>
          <t>RNO-3558</t>
        </is>
      </c>
      <c r="C177" s="95" t="n">
        <v>46036</v>
      </c>
      <c r="D177" s="16" t="inlineStr">
        <is>
          <t>النظام القديم</t>
        </is>
      </c>
      <c r="E177" s="16" t="inlineStr">
        <is>
          <t>RN-FR1004</t>
        </is>
      </c>
      <c r="F177" s="16" t="inlineStr">
        <is>
          <t>حديد مخلبي 16 كجم</t>
        </is>
      </c>
      <c r="G177" s="16" t="n">
        <v>1</v>
      </c>
      <c r="H177" s="16" t="inlineStr">
        <is>
          <t>EA</t>
        </is>
      </c>
      <c r="I177" s="17" t="n">
        <v>60</v>
      </c>
      <c r="J177" s="17" t="n">
        <v>69</v>
      </c>
    </row>
    <row r="178">
      <c r="A178" s="16" t="inlineStr">
        <is>
          <t>RNO</t>
        </is>
      </c>
      <c r="B178" s="16" t="inlineStr">
        <is>
          <t>RNO-3558</t>
        </is>
      </c>
      <c r="C178" s="95" t="n">
        <v>46036</v>
      </c>
      <c r="D178" s="16" t="inlineStr">
        <is>
          <t>النظام القديم</t>
        </is>
      </c>
      <c r="E178" s="16" t="inlineStr">
        <is>
          <t>RN-PL12</t>
        </is>
      </c>
      <c r="F178" s="16" t="inlineStr">
        <is>
          <t>صندوق - فلين للزهور</t>
        </is>
      </c>
      <c r="G178" s="16" t="n">
        <v>400</v>
      </c>
      <c r="H178" s="16" t="inlineStr">
        <is>
          <t>EA</t>
        </is>
      </c>
      <c r="I178" s="17" t="n">
        <v>4</v>
      </c>
      <c r="J178" s="17" t="n">
        <v>1840</v>
      </c>
    </row>
    <row r="179">
      <c r="A179" s="9" t="n"/>
      <c r="B179" s="9" t="inlineStr">
        <is>
          <t>إجمالي RNO-3558</t>
        </is>
      </c>
      <c r="C179" s="9" t="n"/>
      <c r="D179" s="9" t="n"/>
      <c r="E179" s="9" t="n"/>
      <c r="F179" s="9" t="n"/>
      <c r="G179" s="9">
        <f>SUM(G177:G178)</f>
        <v/>
      </c>
      <c r="H179" s="9" t="n"/>
      <c r="I179" s="9" t="n"/>
      <c r="J179" s="10">
        <f>SUM(J177:J178)</f>
        <v/>
      </c>
    </row>
    <row r="180">
      <c r="A180" s="16" t="inlineStr">
        <is>
          <t>RNO</t>
        </is>
      </c>
      <c r="B180" s="16" t="inlineStr">
        <is>
          <t>RNO-3624</t>
        </is>
      </c>
      <c r="C180" s="95" t="n">
        <v>46046</v>
      </c>
      <c r="D180" s="16" t="inlineStr">
        <is>
          <t>النظام القديم</t>
        </is>
      </c>
      <c r="E180" s="16" t="inlineStr">
        <is>
          <t>RN-FR1004</t>
        </is>
      </c>
      <c r="F180" s="16" t="inlineStr">
        <is>
          <t>حديد مخلبي 16 كجم</t>
        </is>
      </c>
      <c r="G180" s="16" t="n">
        <v>1</v>
      </c>
      <c r="H180" s="16" t="inlineStr">
        <is>
          <t>EA</t>
        </is>
      </c>
      <c r="I180" s="17" t="n">
        <v>60</v>
      </c>
      <c r="J180" s="17" t="n">
        <v>69</v>
      </c>
    </row>
    <row r="181">
      <c r="A181" s="16" t="inlineStr">
        <is>
          <t>RNO</t>
        </is>
      </c>
      <c r="B181" s="16" t="inlineStr">
        <is>
          <t>RNO-3624</t>
        </is>
      </c>
      <c r="C181" s="95" t="n">
        <v>46046</v>
      </c>
      <c r="D181" s="16" t="inlineStr">
        <is>
          <t>النظام القديم</t>
        </is>
      </c>
      <c r="E181" s="16" t="inlineStr">
        <is>
          <t>RN-PL12</t>
        </is>
      </c>
      <c r="F181" s="16" t="inlineStr">
        <is>
          <t>صندوق - فلين للزهور</t>
        </is>
      </c>
      <c r="G181" s="16" t="n">
        <v>1150</v>
      </c>
      <c r="H181" s="16" t="inlineStr">
        <is>
          <t>EA</t>
        </is>
      </c>
      <c r="I181" s="17" t="n">
        <v>4</v>
      </c>
      <c r="J181" s="17" t="n">
        <v>5290</v>
      </c>
    </row>
    <row r="182">
      <c r="A182" s="9" t="n"/>
      <c r="B182" s="9" t="inlineStr">
        <is>
          <t>إجمالي RNO-3624</t>
        </is>
      </c>
      <c r="C182" s="9" t="n"/>
      <c r="D182" s="9" t="n"/>
      <c r="E182" s="9" t="n"/>
      <c r="F182" s="9" t="n"/>
      <c r="G182" s="9">
        <f>SUM(G180:G181)</f>
        <v/>
      </c>
      <c r="H182" s="9" t="n"/>
      <c r="I182" s="9" t="n"/>
      <c r="J182" s="10">
        <f>SUM(J180:J181)</f>
        <v/>
      </c>
    </row>
    <row r="183">
      <c r="A183" s="16" t="inlineStr">
        <is>
          <t>RNO</t>
        </is>
      </c>
      <c r="B183" s="16" t="inlineStr">
        <is>
          <t>RNO-3637</t>
        </is>
      </c>
      <c r="C183" s="95" t="n">
        <v>46048</v>
      </c>
      <c r="D183" s="16" t="inlineStr">
        <is>
          <t>النظام القديم</t>
        </is>
      </c>
      <c r="E183" s="16" t="inlineStr">
        <is>
          <t>RN-FR1017</t>
        </is>
      </c>
      <c r="F183" s="16" t="inlineStr">
        <is>
          <t>بوتنج سويل 70 لتر (KLAS)</t>
        </is>
      </c>
      <c r="G183" s="16" t="n">
        <v>20</v>
      </c>
      <c r="H183" s="16" t="inlineStr">
        <is>
          <t>EA</t>
        </is>
      </c>
      <c r="I183" s="17" t="n">
        <v>46</v>
      </c>
      <c r="J183" s="17" t="n">
        <v>1058</v>
      </c>
    </row>
    <row r="184">
      <c r="A184" s="16" t="inlineStr">
        <is>
          <t>RNO</t>
        </is>
      </c>
      <c r="B184" s="16" t="inlineStr">
        <is>
          <t>RNO-3637</t>
        </is>
      </c>
      <c r="C184" s="95" t="n">
        <v>46048</v>
      </c>
      <c r="D184" s="16" t="inlineStr">
        <is>
          <t>النظام القديم</t>
        </is>
      </c>
      <c r="E184" s="16" t="inlineStr">
        <is>
          <t>RN-FR1018</t>
        </is>
      </c>
      <c r="F184" s="16" t="inlineStr">
        <is>
          <t>فيرموكلايت 100 لتر</t>
        </is>
      </c>
      <c r="G184" s="16" t="n">
        <v>2</v>
      </c>
      <c r="H184" s="16" t="inlineStr">
        <is>
          <t>EA</t>
        </is>
      </c>
      <c r="I184" s="17" t="n">
        <v>75</v>
      </c>
      <c r="J184" s="17" t="n">
        <v>172.5</v>
      </c>
    </row>
    <row r="185">
      <c r="A185" s="9" t="n"/>
      <c r="B185" s="9" t="inlineStr">
        <is>
          <t>إجمالي RNO-3637</t>
        </is>
      </c>
      <c r="C185" s="9" t="n"/>
      <c r="D185" s="9" t="n"/>
      <c r="E185" s="9" t="n"/>
      <c r="F185" s="9" t="n"/>
      <c r="G185" s="9">
        <f>SUM(G183:G184)</f>
        <v/>
      </c>
      <c r="H185" s="9" t="n"/>
      <c r="I185" s="9" t="n"/>
      <c r="J185" s="10">
        <f>SUM(J183:J184)</f>
        <v/>
      </c>
    </row>
    <row r="186">
      <c r="A186" s="16" t="inlineStr">
        <is>
          <t>RNO</t>
        </is>
      </c>
      <c r="B186" s="16" t="inlineStr">
        <is>
          <t>RNO-3673</t>
        </is>
      </c>
      <c r="C186" s="95" t="n">
        <v>46049</v>
      </c>
      <c r="D186" s="16" t="inlineStr">
        <is>
          <t>النظام القديم</t>
        </is>
      </c>
      <c r="E186" s="16" t="inlineStr">
        <is>
          <t>RN-FR1017</t>
        </is>
      </c>
      <c r="F186" s="16" t="inlineStr">
        <is>
          <t>بوتنج سويل 70 لتر (KLAS)</t>
        </is>
      </c>
      <c r="G186" s="16" t="n">
        <v>4</v>
      </c>
      <c r="H186" s="16" t="inlineStr">
        <is>
          <t>EA</t>
        </is>
      </c>
      <c r="I186" s="17" t="n">
        <v>46</v>
      </c>
      <c r="J186" s="17" t="n">
        <v>211.6</v>
      </c>
    </row>
    <row r="187">
      <c r="A187" s="16" t="inlineStr">
        <is>
          <t>RNO</t>
        </is>
      </c>
      <c r="B187" s="16" t="inlineStr">
        <is>
          <t>RNO-3673</t>
        </is>
      </c>
      <c r="C187" s="95" t="n">
        <v>46049</v>
      </c>
      <c r="D187" s="16" t="inlineStr">
        <is>
          <t>النظام القديم</t>
        </is>
      </c>
      <c r="E187" s="16" t="inlineStr">
        <is>
          <t>RN-PL12</t>
        </is>
      </c>
      <c r="F187" s="16" t="inlineStr">
        <is>
          <t>صندوق فلين للزهور</t>
        </is>
      </c>
      <c r="G187" s="16" t="n">
        <v>520</v>
      </c>
      <c r="H187" s="16" t="inlineStr">
        <is>
          <t>EA</t>
        </is>
      </c>
      <c r="I187" s="17" t="n">
        <v>4</v>
      </c>
      <c r="J187" s="17" t="n">
        <v>2392</v>
      </c>
    </row>
    <row r="188">
      <c r="A188" s="9" t="n"/>
      <c r="B188" s="9" t="inlineStr">
        <is>
          <t>إجمالي RNO-3673</t>
        </is>
      </c>
      <c r="C188" s="9" t="n"/>
      <c r="D188" s="9" t="n"/>
      <c r="E188" s="9" t="n"/>
      <c r="F188" s="9" t="n"/>
      <c r="G188" s="9">
        <f>SUM(G186:G187)</f>
        <v/>
      </c>
      <c r="H188" s="9" t="n"/>
      <c r="I188" s="9" t="n"/>
      <c r="J188" s="10">
        <f>SUM(J186:J187)</f>
        <v/>
      </c>
    </row>
    <row r="189">
      <c r="A189" s="16" t="inlineStr">
        <is>
          <t>RNO</t>
        </is>
      </c>
      <c r="B189" s="16" t="inlineStr">
        <is>
          <t>RNO-3684</t>
        </is>
      </c>
      <c r="C189" s="95" t="n">
        <v>46050</v>
      </c>
      <c r="D189" s="16" t="inlineStr">
        <is>
          <t>النظام القديم</t>
        </is>
      </c>
      <c r="E189" s="16" t="inlineStr">
        <is>
          <t>RN-SE100</t>
        </is>
      </c>
      <c r="F189" s="16" t="inlineStr">
        <is>
          <t>- بذور فينكا فيكتوري أبيض</t>
        </is>
      </c>
      <c r="G189" s="16" t="n">
        <v>30000</v>
      </c>
      <c r="H189" s="16" t="inlineStr">
        <is>
          <t>EA</t>
        </is>
      </c>
      <c r="I189" s="17" t="n">
        <v>0.035</v>
      </c>
      <c r="J189" s="17" t="n">
        <v>1207.5</v>
      </c>
    </row>
    <row r="190">
      <c r="A190" s="16" t="inlineStr">
        <is>
          <t>RNO</t>
        </is>
      </c>
      <c r="B190" s="16" t="inlineStr">
        <is>
          <t>RNO-3684</t>
        </is>
      </c>
      <c r="C190" s="95" t="n">
        <v>46050</v>
      </c>
      <c r="D190" s="16" t="inlineStr">
        <is>
          <t>النظام القديم</t>
        </is>
      </c>
      <c r="E190" s="16" t="inlineStr">
        <is>
          <t>RN-SE101</t>
        </is>
      </c>
      <c r="F190" s="16" t="inlineStr">
        <is>
          <t>جذور فينكا باسيفيكا أحمر داكن</t>
        </is>
      </c>
      <c r="G190" s="16" t="n">
        <v>30000</v>
      </c>
      <c r="H190" s="16" t="inlineStr">
        <is>
          <t>EA</t>
        </is>
      </c>
      <c r="I190" s="17" t="n">
        <v>0.035</v>
      </c>
      <c r="J190" s="17" t="n">
        <v>1207.5</v>
      </c>
    </row>
    <row r="191">
      <c r="A191" s="16" t="inlineStr">
        <is>
          <t>RNO</t>
        </is>
      </c>
      <c r="B191" s="16" t="inlineStr">
        <is>
          <t>RNO-3684</t>
        </is>
      </c>
      <c r="C191" s="95" t="n">
        <v>46050</v>
      </c>
      <c r="D191" s="16" t="inlineStr">
        <is>
          <t>النظام القديم</t>
        </is>
      </c>
      <c r="E191" s="16" t="inlineStr">
        <is>
          <t>RN-SE103</t>
        </is>
      </c>
      <c r="F191" s="16" t="inlineStr">
        <is>
          <t>جذور - فينكا باسيفيكا أوركيد عميق</t>
        </is>
      </c>
      <c r="G191" s="16" t="n">
        <v>20000</v>
      </c>
      <c r="H191" s="16" t="inlineStr">
        <is>
          <t>EA</t>
        </is>
      </c>
      <c r="I191" s="17" t="n">
        <v>0.035</v>
      </c>
      <c r="J191" s="17" t="n">
        <v>805</v>
      </c>
    </row>
    <row r="192">
      <c r="A192" s="16" t="inlineStr">
        <is>
          <t>RNO</t>
        </is>
      </c>
      <c r="B192" s="16" t="inlineStr">
        <is>
          <t>RNO-3684</t>
        </is>
      </c>
      <c r="C192" s="95" t="n">
        <v>46050</v>
      </c>
      <c r="D192" s="16" t="inlineStr">
        <is>
          <t>النظام القديم</t>
        </is>
      </c>
      <c r="E192" s="16" t="inlineStr">
        <is>
          <t>RN-SE104</t>
        </is>
      </c>
      <c r="F192" s="16" t="inlineStr">
        <is>
          <t>جذور فينكا باسيفيكا برغندي</t>
        </is>
      </c>
      <c r="G192" s="16" t="n">
        <v>10000</v>
      </c>
      <c r="H192" s="16" t="inlineStr">
        <is>
          <t>EA</t>
        </is>
      </c>
      <c r="I192" s="17" t="n">
        <v>0.035</v>
      </c>
      <c r="J192" s="17" t="n">
        <v>402.5</v>
      </c>
    </row>
    <row r="193">
      <c r="A193" s="16" t="inlineStr">
        <is>
          <t>RNO</t>
        </is>
      </c>
      <c r="B193" s="16" t="inlineStr">
        <is>
          <t>RNO-3684</t>
        </is>
      </c>
      <c r="C193" s="95" t="n">
        <v>46050</v>
      </c>
      <c r="D193" s="16" t="inlineStr">
        <is>
          <t>النظام القديم</t>
        </is>
      </c>
      <c r="E193" s="16" t="inlineStr">
        <is>
          <t>RN-SE105</t>
        </is>
      </c>
      <c r="F193" s="16" t="inlineStr">
        <is>
          <t>جذور فينكا باسيفيكا برغندي هالو</t>
        </is>
      </c>
      <c r="G193" s="16" t="n">
        <v>10000</v>
      </c>
      <c r="H193" s="16" t="inlineStr">
        <is>
          <t>EA</t>
        </is>
      </c>
      <c r="I193" s="17" t="n">
        <v>0.035</v>
      </c>
      <c r="J193" s="17" t="n">
        <v>402.5</v>
      </c>
    </row>
    <row r="194">
      <c r="A194" s="16" t="inlineStr">
        <is>
          <t>RNO</t>
        </is>
      </c>
      <c r="B194" s="16" t="inlineStr">
        <is>
          <t>RNO-3684</t>
        </is>
      </c>
      <c r="C194" s="95" t="n">
        <v>46050</v>
      </c>
      <c r="D194" s="16" t="inlineStr">
        <is>
          <t>النظام القديم</t>
        </is>
      </c>
      <c r="E194" s="16" t="inlineStr">
        <is>
          <t>RN-SE106</t>
        </is>
      </c>
      <c r="F194" s="16" t="inlineStr">
        <is>
          <t>- بذور فينكا باسيفيكا أحمر</t>
        </is>
      </c>
      <c r="G194" s="16" t="n">
        <v>10000</v>
      </c>
      <c r="H194" s="16" t="inlineStr">
        <is>
          <t>EA</t>
        </is>
      </c>
      <c r="I194" s="17" t="n">
        <v>0.035</v>
      </c>
      <c r="J194" s="17" t="n">
        <v>402.5</v>
      </c>
    </row>
    <row r="195">
      <c r="A195" s="16" t="inlineStr">
        <is>
          <t>RNO</t>
        </is>
      </c>
      <c r="B195" s="16" t="inlineStr">
        <is>
          <t>RNO-3684</t>
        </is>
      </c>
      <c r="C195" s="95" t="n">
        <v>46050</v>
      </c>
      <c r="D195" s="16" t="inlineStr">
        <is>
          <t>النظام القديم</t>
        </is>
      </c>
      <c r="E195" s="16" t="inlineStr">
        <is>
          <t>RN-SE107</t>
        </is>
      </c>
      <c r="F195" s="16" t="inlineStr">
        <is>
          <t>بذور فينكا باسيفيكا مشمشي</t>
        </is>
      </c>
      <c r="G195" s="16" t="n">
        <v>10000</v>
      </c>
      <c r="H195" s="16" t="inlineStr">
        <is>
          <t>EA</t>
        </is>
      </c>
      <c r="I195" s="17" t="n">
        <v>0.035</v>
      </c>
      <c r="J195" s="17" t="n">
        <v>402.5</v>
      </c>
    </row>
    <row r="196">
      <c r="A196" s="16" t="inlineStr">
        <is>
          <t>RNO</t>
        </is>
      </c>
      <c r="B196" s="16" t="inlineStr">
        <is>
          <t>RNO-3684</t>
        </is>
      </c>
      <c r="C196" s="95" t="n">
        <v>46050</v>
      </c>
      <c r="D196" s="16" t="inlineStr">
        <is>
          <t>النظام القديم</t>
        </is>
      </c>
      <c r="E196" s="16" t="inlineStr">
        <is>
          <t>RN-SE109</t>
        </is>
      </c>
      <c r="F196" s="16" t="inlineStr">
        <is>
          <t>جذور فينكا باسيفيكا بولكا دوت</t>
        </is>
      </c>
      <c r="G196" s="16" t="n">
        <v>10000</v>
      </c>
      <c r="H196" s="16" t="inlineStr">
        <is>
          <t>EA</t>
        </is>
      </c>
      <c r="I196" s="17" t="n">
        <v>0.035</v>
      </c>
      <c r="J196" s="17" t="n">
        <v>402.5</v>
      </c>
    </row>
    <row r="197">
      <c r="A197" s="16" t="inlineStr">
        <is>
          <t>RNO</t>
        </is>
      </c>
      <c r="B197" s="16" t="inlineStr">
        <is>
          <t>RNO-3684</t>
        </is>
      </c>
      <c r="C197" s="95" t="n">
        <v>46050</v>
      </c>
      <c r="D197" s="16" t="inlineStr">
        <is>
          <t>النظام القديم</t>
        </is>
      </c>
      <c r="E197" s="16" t="inlineStr">
        <is>
          <t>RN-SE20</t>
        </is>
      </c>
      <c r="F197" s="16" t="inlineStr">
        <is>
          <t>جذور فضية</t>
        </is>
      </c>
      <c r="G197" s="16" t="n">
        <v>20000</v>
      </c>
      <c r="H197" s="16" t="inlineStr">
        <is>
          <t>EA</t>
        </is>
      </c>
      <c r="I197" s="17" t="n">
        <v>0.015</v>
      </c>
      <c r="J197" s="17" t="n">
        <v>345</v>
      </c>
    </row>
    <row r="198">
      <c r="A198" s="9" t="n"/>
      <c r="B198" s="9" t="inlineStr">
        <is>
          <t>إجمالي RNO-3684</t>
        </is>
      </c>
      <c r="C198" s="9" t="n"/>
      <c r="D198" s="9" t="n"/>
      <c r="E198" s="9" t="n"/>
      <c r="F198" s="9" t="n"/>
      <c r="G198" s="9">
        <f>SUM(G189:G197)</f>
        <v/>
      </c>
      <c r="H198" s="9" t="n"/>
      <c r="I198" s="9" t="n"/>
      <c r="J198" s="10">
        <f>SUM(J189:J197)</f>
        <v/>
      </c>
    </row>
    <row r="199">
      <c r="A199" s="16" t="inlineStr">
        <is>
          <t>RNO</t>
        </is>
      </c>
      <c r="B199" s="16" t="inlineStr">
        <is>
          <t>RNO-3707</t>
        </is>
      </c>
      <c r="C199" s="95" t="n">
        <v>46054</v>
      </c>
      <c r="D199" s="16" t="inlineStr">
        <is>
          <t>النظام القديم</t>
        </is>
      </c>
      <c r="E199" s="16" t="inlineStr">
        <is>
          <t>RN-FR1017</t>
        </is>
      </c>
      <c r="F199" s="16" t="inlineStr">
        <is>
          <t>بوتنج سويل 70 لتر (KLAS)</t>
        </is>
      </c>
      <c r="G199" s="16" t="n">
        <v>12</v>
      </c>
      <c r="H199" s="16" t="inlineStr">
        <is>
          <t>EA</t>
        </is>
      </c>
      <c r="I199" s="17" t="n">
        <v>46</v>
      </c>
      <c r="J199" s="17" t="n">
        <v>634.8</v>
      </c>
    </row>
    <row r="200">
      <c r="A200" s="16" t="inlineStr">
        <is>
          <t>RNO</t>
        </is>
      </c>
      <c r="B200" s="16" t="inlineStr">
        <is>
          <t>RNO-3707</t>
        </is>
      </c>
      <c r="C200" s="95" t="n">
        <v>46054</v>
      </c>
      <c r="D200" s="16" t="inlineStr">
        <is>
          <t>النظام القديم</t>
        </is>
      </c>
      <c r="E200" s="16" t="inlineStr">
        <is>
          <t>RN-FR1018</t>
        </is>
      </c>
      <c r="F200" s="16" t="inlineStr">
        <is>
          <t>فيرموكلايت 100 لتر</t>
        </is>
      </c>
      <c r="G200" s="16" t="n">
        <v>2</v>
      </c>
      <c r="H200" s="16" t="inlineStr">
        <is>
          <t>EA</t>
        </is>
      </c>
      <c r="I200" s="17" t="n">
        <v>75</v>
      </c>
      <c r="J200" s="17" t="n">
        <v>172.5</v>
      </c>
    </row>
    <row r="201">
      <c r="A201" s="16" t="inlineStr">
        <is>
          <t>RNO</t>
        </is>
      </c>
      <c r="B201" s="16" t="inlineStr">
        <is>
          <t>RNO-3707</t>
        </is>
      </c>
      <c r="C201" s="95" t="n">
        <v>46054</v>
      </c>
      <c r="D201" s="16" t="inlineStr">
        <is>
          <t>النظام القديم</t>
        </is>
      </c>
      <c r="E201" s="16" t="inlineStr">
        <is>
          <t>RN-SE112</t>
        </is>
      </c>
      <c r="F201" s="16" t="inlineStr">
        <is>
          <t>بذور زينيا بروفيوجن أبيض</t>
        </is>
      </c>
      <c r="G201" s="16" t="n">
        <v>5000</v>
      </c>
      <c r="H201" s="16" t="inlineStr">
        <is>
          <t>EA</t>
        </is>
      </c>
      <c r="I201" s="17" t="n">
        <v>0.15</v>
      </c>
      <c r="J201" s="17" t="n">
        <v>862.5</v>
      </c>
    </row>
    <row r="202">
      <c r="A202" s="16" t="inlineStr">
        <is>
          <t>RNO</t>
        </is>
      </c>
      <c r="B202" s="16" t="inlineStr">
        <is>
          <t>RNO-3707</t>
        </is>
      </c>
      <c r="C202" s="95" t="n">
        <v>46054</v>
      </c>
      <c r="D202" s="16" t="inlineStr">
        <is>
          <t>النظام القديم</t>
        </is>
      </c>
      <c r="E202" s="16" t="inlineStr">
        <is>
          <t>RN-SE113</t>
        </is>
      </c>
      <c r="F202" s="16" t="inlineStr">
        <is>
          <t>بذور زينيا بروفيوجن أحمر</t>
        </is>
      </c>
      <c r="G202" s="16" t="n">
        <v>5000</v>
      </c>
      <c r="H202" s="16" t="inlineStr">
        <is>
          <t>EA</t>
        </is>
      </c>
      <c r="I202" s="17" t="n">
        <v>0.15</v>
      </c>
      <c r="J202" s="17" t="n">
        <v>862.5</v>
      </c>
    </row>
    <row r="203">
      <c r="A203" s="16" t="inlineStr">
        <is>
          <t>RNO</t>
        </is>
      </c>
      <c r="B203" s="16" t="inlineStr">
        <is>
          <t>RNO-3707</t>
        </is>
      </c>
      <c r="C203" s="95" t="n">
        <v>46054</v>
      </c>
      <c r="D203" s="16" t="inlineStr">
        <is>
          <t>النظام القديم</t>
        </is>
      </c>
      <c r="E203" s="16" t="inlineStr">
        <is>
          <t>RN-SE114</t>
        </is>
      </c>
      <c r="F203" s="16" t="inlineStr">
        <is>
          <t>بذور زينيا بروفيوجن أصفر</t>
        </is>
      </c>
      <c r="G203" s="16" t="n">
        <v>5000</v>
      </c>
      <c r="H203" s="16" t="inlineStr">
        <is>
          <t>EA</t>
        </is>
      </c>
      <c r="I203" s="17" t="n">
        <v>0.15</v>
      </c>
      <c r="J203" s="17" t="n">
        <v>862.5</v>
      </c>
    </row>
    <row r="204">
      <c r="A204" s="16" t="inlineStr">
        <is>
          <t>RNO</t>
        </is>
      </c>
      <c r="B204" s="16" t="inlineStr">
        <is>
          <t>RNO-3707</t>
        </is>
      </c>
      <c r="C204" s="95" t="n">
        <v>46054</v>
      </c>
      <c r="D204" s="16" t="inlineStr">
        <is>
          <t>النظام القديم</t>
        </is>
      </c>
      <c r="E204" s="16" t="inlineStr">
        <is>
          <t>RN-SE115</t>
        </is>
      </c>
      <c r="F204" s="16" t="inlineStr">
        <is>
          <t>- بذور زينيا بروفيوجن برتقالي</t>
        </is>
      </c>
      <c r="G204" s="16" t="n">
        <v>5000</v>
      </c>
      <c r="H204" s="16" t="inlineStr">
        <is>
          <t>EA</t>
        </is>
      </c>
      <c r="I204" s="17" t="n">
        <v>0.15</v>
      </c>
      <c r="J204" s="17" t="n">
        <v>862.5</v>
      </c>
    </row>
    <row r="205">
      <c r="A205" s="16" t="inlineStr">
        <is>
          <t>RNO</t>
        </is>
      </c>
      <c r="B205" s="16" t="inlineStr">
        <is>
          <t>RNO-3707</t>
        </is>
      </c>
      <c r="C205" s="95" t="n">
        <v>46054</v>
      </c>
      <c r="D205" s="16" t="inlineStr">
        <is>
          <t>النظام القديم</t>
        </is>
      </c>
      <c r="E205" s="16" t="inlineStr">
        <is>
          <t>RN-SE116</t>
        </is>
      </c>
      <c r="F205" s="16" t="inlineStr">
        <is>
          <t>بذور زينيا بروفيوجن ناري</t>
        </is>
      </c>
      <c r="G205" s="16" t="n">
        <v>5000</v>
      </c>
      <c r="H205" s="16" t="inlineStr">
        <is>
          <t>EA</t>
        </is>
      </c>
      <c r="I205" s="17" t="n">
        <v>0.15</v>
      </c>
      <c r="J205" s="17" t="n">
        <v>862.5</v>
      </c>
    </row>
    <row r="206">
      <c r="A206" s="16" t="inlineStr">
        <is>
          <t>RNO</t>
        </is>
      </c>
      <c r="B206" s="16" t="inlineStr">
        <is>
          <t>RNO-3707</t>
        </is>
      </c>
      <c r="C206" s="95" t="n">
        <v>46054</v>
      </c>
      <c r="D206" s="16" t="inlineStr">
        <is>
          <t>النظام القديم</t>
        </is>
      </c>
      <c r="E206" s="16" t="inlineStr">
        <is>
          <t>RN-SE117</t>
        </is>
      </c>
      <c r="F206" s="16" t="inlineStr">
        <is>
          <t>- بذور زينيا بروفيوجن ليموني</t>
        </is>
      </c>
      <c r="G206" s="16" t="n">
        <v>5000</v>
      </c>
      <c r="H206" s="16" t="inlineStr">
        <is>
          <t>EA</t>
        </is>
      </c>
      <c r="I206" s="17" t="n">
        <v>0.15</v>
      </c>
      <c r="J206" s="17" t="n">
        <v>862.5</v>
      </c>
    </row>
    <row r="207">
      <c r="A207" s="16" t="inlineStr">
        <is>
          <t>RNO</t>
        </is>
      </c>
      <c r="B207" s="16" t="inlineStr">
        <is>
          <t>RNO-3707</t>
        </is>
      </c>
      <c r="C207" s="95" t="n">
        <v>46054</v>
      </c>
      <c r="D207" s="16" t="inlineStr">
        <is>
          <t>النظام القديم</t>
        </is>
      </c>
      <c r="E207" s="16" t="inlineStr">
        <is>
          <t>RN-SE118</t>
        </is>
      </c>
      <c r="F207" s="16" t="inlineStr">
        <is>
          <t>بذور زينيا بروفيوجن كرزي</t>
        </is>
      </c>
      <c r="G207" s="16" t="n">
        <v>5000</v>
      </c>
      <c r="H207" s="16" t="inlineStr">
        <is>
          <t>EA</t>
        </is>
      </c>
      <c r="I207" s="17" t="n">
        <v>0.15</v>
      </c>
      <c r="J207" s="17" t="n">
        <v>862.5</v>
      </c>
    </row>
    <row r="208">
      <c r="A208" s="16" t="inlineStr">
        <is>
          <t>RNO</t>
        </is>
      </c>
      <c r="B208" s="16" t="inlineStr">
        <is>
          <t>RNO-3707</t>
        </is>
      </c>
      <c r="C208" s="95" t="n">
        <v>46054</v>
      </c>
      <c r="D208" s="16" t="inlineStr">
        <is>
          <t>النظام القديم</t>
        </is>
      </c>
      <c r="E208" s="16" t="inlineStr">
        <is>
          <t>RN-SE119</t>
        </is>
      </c>
      <c r="F208" s="16" t="inlineStr">
        <is>
          <t>- بذور زينيا بروفيوجن كرزي ثنائي اللون</t>
        </is>
      </c>
      <c r="G208" s="16" t="n">
        <v>5000</v>
      </c>
      <c r="H208" s="16" t="inlineStr">
        <is>
          <t>EA</t>
        </is>
      </c>
      <c r="I208" s="17" t="n">
        <v>0.15</v>
      </c>
      <c r="J208" s="17" t="n">
        <v>862.5</v>
      </c>
    </row>
    <row r="209">
      <c r="A209" s="16" t="inlineStr">
        <is>
          <t>RNO</t>
        </is>
      </c>
      <c r="B209" s="16" t="inlineStr">
        <is>
          <t>RNO-3707</t>
        </is>
      </c>
      <c r="C209" s="95" t="n">
        <v>46054</v>
      </c>
      <c r="D209" s="16" t="inlineStr">
        <is>
          <t>النظام القديم</t>
        </is>
      </c>
      <c r="E209" s="16" t="inlineStr">
        <is>
          <t>RN-SE120</t>
        </is>
      </c>
      <c r="F209" s="16" t="inlineStr">
        <is>
          <t>بذور زينيا بروفيوجن أحمر وأأصفر ثنائي اللون</t>
        </is>
      </c>
      <c r="G209" s="16" t="n">
        <v>5000</v>
      </c>
      <c r="H209" s="16" t="inlineStr">
        <is>
          <t>EA</t>
        </is>
      </c>
      <c r="I209" s="17" t="n">
        <v>0.15</v>
      </c>
      <c r="J209" s="17" t="n">
        <v>862.5</v>
      </c>
    </row>
    <row r="210">
      <c r="A210" s="16" t="inlineStr">
        <is>
          <t>RNO</t>
        </is>
      </c>
      <c r="B210" s="16" t="inlineStr">
        <is>
          <t>RNO-3707</t>
        </is>
      </c>
      <c r="C210" s="95" t="n">
        <v>46054</v>
      </c>
      <c r="D210" s="16" t="inlineStr">
        <is>
          <t>النظام القديم</t>
        </is>
      </c>
      <c r="E210" s="16" t="inlineStr">
        <is>
          <t>RN-SE121</t>
        </is>
      </c>
      <c r="F210" s="16" t="inlineStr">
        <is>
          <t>- بذور زينيا بروفيوجن مزدوج أبيض</t>
        </is>
      </c>
      <c r="G210" s="16" t="n">
        <v>5000</v>
      </c>
      <c r="H210" s="16" t="inlineStr">
        <is>
          <t>EA</t>
        </is>
      </c>
      <c r="I210" s="17" t="n">
        <v>0.15</v>
      </c>
      <c r="J210" s="17" t="n">
        <v>862.5</v>
      </c>
    </row>
    <row r="211">
      <c r="A211" s="16" t="inlineStr">
        <is>
          <t>RNO</t>
        </is>
      </c>
      <c r="B211" s="16" t="inlineStr">
        <is>
          <t>RNO-3707</t>
        </is>
      </c>
      <c r="C211" s="95" t="n">
        <v>46054</v>
      </c>
      <c r="D211" s="16" t="inlineStr">
        <is>
          <t>النظام القديم</t>
        </is>
      </c>
      <c r="E211" s="16" t="inlineStr">
        <is>
          <t>RN-SE122</t>
        </is>
      </c>
      <c r="F211" s="16" t="inlineStr">
        <is>
          <t>- بذور زينيا بروفيوجن مزدوج أحمر</t>
        </is>
      </c>
      <c r="G211" s="16" t="n">
        <v>5000</v>
      </c>
      <c r="H211" s="16" t="inlineStr">
        <is>
          <t>EA</t>
        </is>
      </c>
      <c r="I211" s="17" t="n">
        <v>0.15</v>
      </c>
      <c r="J211" s="17" t="n">
        <v>862.5</v>
      </c>
    </row>
    <row r="212">
      <c r="A212" s="16" t="inlineStr">
        <is>
          <t>RNO</t>
        </is>
      </c>
      <c r="B212" s="16" t="inlineStr">
        <is>
          <t>RNO-3707</t>
        </is>
      </c>
      <c r="C212" s="95" t="n">
        <v>46054</v>
      </c>
      <c r="D212" s="16" t="inlineStr">
        <is>
          <t>النظام القديم</t>
        </is>
      </c>
      <c r="E212" s="16" t="inlineStr">
        <is>
          <t>RN-SE123</t>
        </is>
      </c>
      <c r="F212" s="16" t="inlineStr">
        <is>
          <t>- بذور زينيا بروفيوجن مزدوج أصفر</t>
        </is>
      </c>
      <c r="G212" s="16" t="n">
        <v>5000</v>
      </c>
      <c r="H212" s="16" t="inlineStr">
        <is>
          <t>EA</t>
        </is>
      </c>
      <c r="I212" s="17" t="n">
        <v>0.15</v>
      </c>
      <c r="J212" s="17" t="n">
        <v>862.5</v>
      </c>
    </row>
    <row r="213">
      <c r="A213" s="16" t="inlineStr">
        <is>
          <t>RNO</t>
        </is>
      </c>
      <c r="B213" s="16" t="inlineStr">
        <is>
          <t>RNO-3707</t>
        </is>
      </c>
      <c r="C213" s="95" t="n">
        <v>46054</v>
      </c>
      <c r="D213" s="16" t="inlineStr">
        <is>
          <t>النظام القديم</t>
        </is>
      </c>
      <c r="E213" s="16" t="inlineStr">
        <is>
          <t>RN-SE124</t>
        </is>
      </c>
      <c r="F213" s="16" t="inlineStr">
        <is>
          <t>بذور زينيا بروفيوجن مزدوج ناري</t>
        </is>
      </c>
      <c r="G213" s="16" t="n">
        <v>5000</v>
      </c>
      <c r="H213" s="16" t="inlineStr">
        <is>
          <t>EA</t>
        </is>
      </c>
      <c r="I213" s="17" t="n">
        <v>0.15</v>
      </c>
      <c r="J213" s="17" t="n">
        <v>862.5</v>
      </c>
    </row>
    <row r="214">
      <c r="A214" s="16" t="inlineStr">
        <is>
          <t>RNO</t>
        </is>
      </c>
      <c r="B214" s="16" t="inlineStr">
        <is>
          <t>RNO-3707</t>
        </is>
      </c>
      <c r="C214" s="95" t="n">
        <v>46054</v>
      </c>
      <c r="D214" s="16" t="inlineStr">
        <is>
          <t>النظام القديم</t>
        </is>
      </c>
      <c r="E214" s="16" t="inlineStr">
        <is>
          <t>RN-SE125</t>
        </is>
      </c>
      <c r="F214" s="16" t="inlineStr">
        <is>
          <t>بذور زينيا بروفيوجن مزدوج كرزي حار</t>
        </is>
      </c>
      <c r="G214" s="16" t="n">
        <v>5000</v>
      </c>
      <c r="H214" s="16" t="inlineStr">
        <is>
          <t>EA</t>
        </is>
      </c>
      <c r="I214" s="17" t="n">
        <v>0.15</v>
      </c>
      <c r="J214" s="17" t="n">
        <v>862.5</v>
      </c>
    </row>
    <row r="215">
      <c r="A215" s="9" t="n"/>
      <c r="B215" s="9" t="inlineStr">
        <is>
          <t>إجمالي RNO-3707</t>
        </is>
      </c>
      <c r="C215" s="9" t="n"/>
      <c r="D215" s="9" t="n"/>
      <c r="E215" s="9" t="n"/>
      <c r="F215" s="9" t="n"/>
      <c r="G215" s="9">
        <f>SUM(G199:G214)</f>
        <v/>
      </c>
      <c r="H215" s="9" t="n"/>
      <c r="I215" s="9" t="n"/>
      <c r="J215" s="10">
        <f>SUM(J199:J214)</f>
        <v/>
      </c>
    </row>
    <row r="216">
      <c r="A216" s="16" t="inlineStr">
        <is>
          <t>RNO</t>
        </is>
      </c>
      <c r="B216" s="16" t="inlineStr">
        <is>
          <t>RNO-3762</t>
        </is>
      </c>
      <c r="C216" s="95" t="n">
        <v>46058</v>
      </c>
      <c r="D216" s="16" t="inlineStr">
        <is>
          <t>النظام القديم</t>
        </is>
      </c>
      <c r="E216" s="16" t="inlineStr">
        <is>
          <t>RN-FR1033</t>
        </is>
      </c>
      <c r="F216" s="16" t="inlineStr">
        <is>
          <t>بيتموس تي اس مخصب 210 لتر</t>
        </is>
      </c>
      <c r="G216" s="16" t="n">
        <v>5</v>
      </c>
      <c r="H216" s="16" t="inlineStr">
        <is>
          <t>EA</t>
        </is>
      </c>
      <c r="I216" s="17" t="n">
        <v>101.5</v>
      </c>
      <c r="J216" s="17" t="n">
        <v>583.625</v>
      </c>
    </row>
    <row r="217">
      <c r="A217" s="16" t="inlineStr">
        <is>
          <t>RNO</t>
        </is>
      </c>
      <c r="B217" s="16" t="inlineStr">
        <is>
          <t>RNO-3762</t>
        </is>
      </c>
      <c r="C217" s="95" t="n">
        <v>46058</v>
      </c>
      <c r="D217" s="16" t="inlineStr">
        <is>
          <t>النظام القديم</t>
        </is>
      </c>
      <c r="E217" s="16" t="inlineStr">
        <is>
          <t>RN-FR368</t>
        </is>
      </c>
      <c r="F217" s="16" t="inlineStr">
        <is>
          <t>بيرلايت 100 لتر</t>
        </is>
      </c>
      <c r="G217" s="16" t="n">
        <v>2</v>
      </c>
      <c r="H217" s="16" t="inlineStr">
        <is>
          <t>EA</t>
        </is>
      </c>
      <c r="I217" s="17" t="n">
        <v>32.5</v>
      </c>
      <c r="J217" s="17" t="n">
        <v>74.75</v>
      </c>
    </row>
    <row r="218">
      <c r="A218" s="16" t="inlineStr">
        <is>
          <t>RNO</t>
        </is>
      </c>
      <c r="B218" s="16" t="inlineStr">
        <is>
          <t>RNO-3762</t>
        </is>
      </c>
      <c r="C218" s="95" t="n">
        <v>46058</v>
      </c>
      <c r="D218" s="16" t="inlineStr">
        <is>
          <t>النظام القديم</t>
        </is>
      </c>
      <c r="E218" s="16" t="inlineStr">
        <is>
          <t>RN-PL12</t>
        </is>
      </c>
      <c r="F218" s="16" t="inlineStr">
        <is>
          <t>صندوق فلين للزهور</t>
        </is>
      </c>
      <c r="G218" s="16" t="n">
        <v>5560</v>
      </c>
      <c r="H218" s="16" t="inlineStr">
        <is>
          <t>EA</t>
        </is>
      </c>
      <c r="I218" s="17" t="n">
        <v>4</v>
      </c>
      <c r="J218" s="17" t="n">
        <v>25576</v>
      </c>
    </row>
    <row r="219">
      <c r="A219" s="9" t="n"/>
      <c r="B219" s="9" t="inlineStr">
        <is>
          <t>إجمالي RNO-3762</t>
        </is>
      </c>
      <c r="C219" s="9" t="n"/>
      <c r="D219" s="9" t="n"/>
      <c r="E219" s="9" t="n"/>
      <c r="F219" s="9" t="n"/>
      <c r="G219" s="9">
        <f>SUM(G216:G218)</f>
        <v/>
      </c>
      <c r="H219" s="9" t="n"/>
      <c r="I219" s="9" t="n"/>
      <c r="J219" s="10">
        <f>SUM(J216:J218)</f>
        <v/>
      </c>
    </row>
    <row r="220">
      <c r="A220" s="16" t="inlineStr">
        <is>
          <t>RNO</t>
        </is>
      </c>
      <c r="B220" s="16" t="inlineStr">
        <is>
          <t>RNO-3777</t>
        </is>
      </c>
      <c r="C220" s="95" t="n">
        <v>46061</v>
      </c>
      <c r="D220" s="16" t="inlineStr">
        <is>
          <t>النظام القديم</t>
        </is>
      </c>
      <c r="E220" s="16" t="inlineStr">
        <is>
          <t>RN-SE126</t>
        </is>
      </c>
      <c r="F220" s="16" t="inlineStr">
        <is>
          <t>جذور جازانيا كيس أبيض</t>
        </is>
      </c>
      <c r="G220" s="16" t="n">
        <v>5000</v>
      </c>
      <c r="H220" s="16" t="inlineStr">
        <is>
          <t>EA</t>
        </is>
      </c>
      <c r="I220" s="17" t="n">
        <v>0.095</v>
      </c>
      <c r="J220" s="17" t="n">
        <v>546.25</v>
      </c>
    </row>
    <row r="221">
      <c r="A221" s="16" t="inlineStr">
        <is>
          <t>RNO</t>
        </is>
      </c>
      <c r="B221" s="16" t="inlineStr">
        <is>
          <t>RNO-3777</t>
        </is>
      </c>
      <c r="C221" s="95" t="n">
        <v>46061</v>
      </c>
      <c r="D221" s="16" t="inlineStr">
        <is>
          <t>النظام القديم</t>
        </is>
      </c>
      <c r="E221" s="16" t="inlineStr">
        <is>
          <t>RN-SE127</t>
        </is>
      </c>
      <c r="F221" s="16" t="inlineStr">
        <is>
          <t>- بذور جازانيا كيس برتقالي</t>
        </is>
      </c>
      <c r="G221" s="16" t="n">
        <v>5000</v>
      </c>
      <c r="H221" s="16" t="inlineStr">
        <is>
          <t>EA</t>
        </is>
      </c>
      <c r="I221" s="17" t="n">
        <v>0.095</v>
      </c>
      <c r="J221" s="17" t="n">
        <v>546.25</v>
      </c>
    </row>
    <row r="222">
      <c r="A222" s="16" t="inlineStr">
        <is>
          <t>RNO</t>
        </is>
      </c>
      <c r="B222" s="16" t="inlineStr">
        <is>
          <t>RNO-3777</t>
        </is>
      </c>
      <c r="C222" s="95" t="n">
        <v>46061</v>
      </c>
      <c r="D222" s="16" t="inlineStr">
        <is>
          <t>النظام القديم</t>
        </is>
      </c>
      <c r="E222" s="16" t="inlineStr">
        <is>
          <t>RN-SE128</t>
        </is>
      </c>
      <c r="F222" s="16" t="inlineStr">
        <is>
          <t>- بذور جازانيا كيس أصفر</t>
        </is>
      </c>
      <c r="G222" s="16" t="n">
        <v>5000</v>
      </c>
      <c r="H222" s="16" t="inlineStr">
        <is>
          <t>EA</t>
        </is>
      </c>
      <c r="I222" s="17" t="n">
        <v>0.095</v>
      </c>
      <c r="J222" s="17" t="n">
        <v>546.25</v>
      </c>
    </row>
    <row r="223">
      <c r="A223" s="16" t="inlineStr">
        <is>
          <t>RNO</t>
        </is>
      </c>
      <c r="B223" s="16" t="inlineStr">
        <is>
          <t>RNO-3777</t>
        </is>
      </c>
      <c r="C223" s="95" t="n">
        <v>46061</v>
      </c>
      <c r="D223" s="16" t="inlineStr">
        <is>
          <t>النظام القديم</t>
        </is>
      </c>
      <c r="E223" s="16" t="inlineStr">
        <is>
          <t>RN-FR1033</t>
        </is>
      </c>
      <c r="F223" s="16" t="inlineStr">
        <is>
          <t>بيتموس تي اس مخصب 210 لتر</t>
        </is>
      </c>
      <c r="G223" s="16" t="n">
        <v>2</v>
      </c>
      <c r="H223" s="16" t="inlineStr">
        <is>
          <t>EA</t>
        </is>
      </c>
      <c r="I223" s="17" t="n">
        <v>101.5</v>
      </c>
      <c r="J223" s="17" t="n">
        <v>233.45</v>
      </c>
    </row>
    <row r="224">
      <c r="A224" s="16" t="inlineStr">
        <is>
          <t>RNO</t>
        </is>
      </c>
      <c r="B224" s="16" t="inlineStr">
        <is>
          <t>RNO-3777</t>
        </is>
      </c>
      <c r="C224" s="95" t="n">
        <v>46061</v>
      </c>
      <c r="D224" s="16" t="inlineStr">
        <is>
          <t>النظام القديم</t>
        </is>
      </c>
      <c r="E224" s="16" t="inlineStr">
        <is>
          <t>RN-FR368</t>
        </is>
      </c>
      <c r="F224" s="16" t="inlineStr">
        <is>
          <t>بيرلايت 100 لتر</t>
        </is>
      </c>
      <c r="G224" s="16" t="n">
        <v>1</v>
      </c>
      <c r="H224" s="16" t="inlineStr">
        <is>
          <t>EA</t>
        </is>
      </c>
      <c r="I224" s="17" t="n">
        <v>32.5</v>
      </c>
      <c r="J224" s="17" t="n">
        <v>37.375</v>
      </c>
    </row>
    <row r="225">
      <c r="A225" s="16" t="inlineStr">
        <is>
          <t>RNO</t>
        </is>
      </c>
      <c r="B225" s="16" t="inlineStr">
        <is>
          <t>RNO-3777</t>
        </is>
      </c>
      <c r="C225" s="95" t="n">
        <v>46061</v>
      </c>
      <c r="D225" s="16" t="inlineStr">
        <is>
          <t>النظام القديم</t>
        </is>
      </c>
      <c r="E225" s="16" t="inlineStr">
        <is>
          <t>RN-FR1017</t>
        </is>
      </c>
      <c r="F225" s="16" t="inlineStr">
        <is>
          <t>بوتنج سويل 70 لتر (KLAS)</t>
        </is>
      </c>
      <c r="G225" s="16" t="n">
        <v>12</v>
      </c>
      <c r="H225" s="16" t="inlineStr">
        <is>
          <t>EA</t>
        </is>
      </c>
      <c r="I225" s="17" t="n">
        <v>46</v>
      </c>
      <c r="J225" s="17" t="n">
        <v>634.8</v>
      </c>
    </row>
    <row r="226">
      <c r="A226" s="16" t="inlineStr">
        <is>
          <t>RNO</t>
        </is>
      </c>
      <c r="B226" s="16" t="inlineStr">
        <is>
          <t>RNO-3777</t>
        </is>
      </c>
      <c r="C226" s="95" t="n">
        <v>46061</v>
      </c>
      <c r="D226" s="16" t="inlineStr">
        <is>
          <t>النظام القديم</t>
        </is>
      </c>
      <c r="E226" s="16" t="inlineStr">
        <is>
          <t>RN-PL12</t>
        </is>
      </c>
      <c r="F226" s="16" t="inlineStr">
        <is>
          <t>صندوق فلين للزهور</t>
        </is>
      </c>
      <c r="G226" s="16" t="n">
        <v>1550</v>
      </c>
      <c r="H226" s="16" t="inlineStr">
        <is>
          <t>EA</t>
        </is>
      </c>
      <c r="I226" s="17" t="n">
        <v>4</v>
      </c>
      <c r="J226" s="17" t="n">
        <v>7130</v>
      </c>
    </row>
    <row r="227">
      <c r="A227" s="9" t="n"/>
      <c r="B227" s="9" t="inlineStr">
        <is>
          <t>إجمالي RNO-3777</t>
        </is>
      </c>
      <c r="C227" s="9" t="n"/>
      <c r="D227" s="9" t="n"/>
      <c r="E227" s="9" t="n"/>
      <c r="F227" s="9" t="n"/>
      <c r="G227" s="9">
        <f>SUM(G220:G226)</f>
        <v/>
      </c>
      <c r="H227" s="9" t="n"/>
      <c r="I227" s="9" t="n"/>
      <c r="J227" s="10">
        <f>SUM(J220:J226)</f>
        <v/>
      </c>
    </row>
    <row r="228">
      <c r="A228" s="16" t="inlineStr">
        <is>
          <t>RNO</t>
        </is>
      </c>
      <c r="B228" s="16" t="inlineStr">
        <is>
          <t>RNO-3800</t>
        </is>
      </c>
      <c r="C228" s="95" t="n">
        <v>46063</v>
      </c>
      <c r="D228" s="16" t="inlineStr">
        <is>
          <t>النظام القديم</t>
        </is>
      </c>
      <c r="E228" s="16" t="inlineStr">
        <is>
          <t>RN-SE100</t>
        </is>
      </c>
      <c r="F228" s="16" t="inlineStr">
        <is>
          <t>- بذور فينكا فيكتوري أبيض</t>
        </is>
      </c>
      <c r="G228" s="16" t="n">
        <v>30000</v>
      </c>
      <c r="H228" s="16" t="inlineStr">
        <is>
          <t>EA</t>
        </is>
      </c>
      <c r="I228" s="17" t="n">
        <v>0.035</v>
      </c>
      <c r="J228" s="17" t="n">
        <v>1207.5</v>
      </c>
    </row>
    <row r="229">
      <c r="A229" s="16" t="inlineStr">
        <is>
          <t>RNO</t>
        </is>
      </c>
      <c r="B229" s="16" t="inlineStr">
        <is>
          <t>RNO-3800</t>
        </is>
      </c>
      <c r="C229" s="95" t="n">
        <v>46063</v>
      </c>
      <c r="D229" s="16" t="inlineStr">
        <is>
          <t>النظام القديم</t>
        </is>
      </c>
      <c r="E229" s="16" t="inlineStr">
        <is>
          <t>RN-SE102</t>
        </is>
      </c>
      <c r="F229" s="16" t="inlineStr">
        <is>
          <t>جذور فينكا فيكتوري أحمر</t>
        </is>
      </c>
      <c r="G229" s="16" t="n">
        <v>30000</v>
      </c>
      <c r="H229" s="16" t="inlineStr">
        <is>
          <t>EA</t>
        </is>
      </c>
      <c r="I229" s="17" t="n">
        <v>0.035</v>
      </c>
      <c r="J229" s="17" t="n">
        <v>1207.5</v>
      </c>
    </row>
    <row r="230">
      <c r="A230" s="16" t="inlineStr">
        <is>
          <t>RNO</t>
        </is>
      </c>
      <c r="B230" s="16" t="inlineStr">
        <is>
          <t>RNO-3800</t>
        </is>
      </c>
      <c r="C230" s="95" t="n">
        <v>46063</v>
      </c>
      <c r="D230" s="16" t="inlineStr">
        <is>
          <t>النظام القديم</t>
        </is>
      </c>
      <c r="E230" s="16" t="inlineStr">
        <is>
          <t>RN-SE103</t>
        </is>
      </c>
      <c r="F230" s="16" t="inlineStr">
        <is>
          <t>- جذور فينكا باسيفيكا أوركيد عميق</t>
        </is>
      </c>
      <c r="G230" s="16" t="n">
        <v>20000</v>
      </c>
      <c r="H230" s="16" t="inlineStr">
        <is>
          <t>EA</t>
        </is>
      </c>
      <c r="I230" s="17" t="n">
        <v>0.035</v>
      </c>
      <c r="J230" s="17" t="n">
        <v>805</v>
      </c>
    </row>
    <row r="231">
      <c r="A231" s="16" t="inlineStr">
        <is>
          <t>RNO</t>
        </is>
      </c>
      <c r="B231" s="16" t="inlineStr">
        <is>
          <t>RNO-3800</t>
        </is>
      </c>
      <c r="C231" s="95" t="n">
        <v>46063</v>
      </c>
      <c r="D231" s="16" t="inlineStr">
        <is>
          <t>النظام القديم</t>
        </is>
      </c>
      <c r="E231" s="16" t="inlineStr">
        <is>
          <t>RN-SE104</t>
        </is>
      </c>
      <c r="F231" s="16" t="inlineStr">
        <is>
          <t>- جذور فينكا باسيفيكا برغندي</t>
        </is>
      </c>
      <c r="G231" s="16" t="n">
        <v>10000</v>
      </c>
      <c r="H231" s="16" t="inlineStr">
        <is>
          <t>EA</t>
        </is>
      </c>
      <c r="I231" s="17" t="n">
        <v>0.035</v>
      </c>
      <c r="J231" s="17" t="n">
        <v>402.5</v>
      </c>
    </row>
    <row r="232">
      <c r="A232" s="16" t="inlineStr">
        <is>
          <t>RNO</t>
        </is>
      </c>
      <c r="B232" s="16" t="inlineStr">
        <is>
          <t>RNO-3800</t>
        </is>
      </c>
      <c r="C232" s="95" t="n">
        <v>46063</v>
      </c>
      <c r="D232" s="16" t="inlineStr">
        <is>
          <t>النظام القديم</t>
        </is>
      </c>
      <c r="E232" s="16" t="inlineStr">
        <is>
          <t>RN-SE105</t>
        </is>
      </c>
      <c r="F232" s="16" t="inlineStr">
        <is>
          <t>جذور فينكا باسيفيكا برغندي هالو</t>
        </is>
      </c>
      <c r="G232" s="16" t="n">
        <v>10000</v>
      </c>
      <c r="H232" s="16" t="inlineStr">
        <is>
          <t>EA</t>
        </is>
      </c>
      <c r="I232" s="17" t="n">
        <v>0.035</v>
      </c>
      <c r="J232" s="17" t="n">
        <v>402.5</v>
      </c>
    </row>
    <row r="233">
      <c r="A233" s="16" t="inlineStr">
        <is>
          <t>RNO</t>
        </is>
      </c>
      <c r="B233" s="16" t="inlineStr">
        <is>
          <t>RNO-3800</t>
        </is>
      </c>
      <c r="C233" s="95" t="n">
        <v>46063</v>
      </c>
      <c r="D233" s="16" t="inlineStr">
        <is>
          <t>النظام القديم</t>
        </is>
      </c>
      <c r="E233" s="16" t="inlineStr">
        <is>
          <t>RN-SE106</t>
        </is>
      </c>
      <c r="F233" s="16" t="inlineStr">
        <is>
          <t>بذور فينكا باسيفيكا أحمر</t>
        </is>
      </c>
      <c r="G233" s="16" t="n">
        <v>10000</v>
      </c>
      <c r="H233" s="16" t="inlineStr">
        <is>
          <t>EA</t>
        </is>
      </c>
      <c r="I233" s="17" t="n">
        <v>0.035</v>
      </c>
      <c r="J233" s="17" t="n">
        <v>402.5</v>
      </c>
    </row>
    <row r="234">
      <c r="A234" s="16" t="inlineStr">
        <is>
          <t>RNO</t>
        </is>
      </c>
      <c r="B234" s="16" t="inlineStr">
        <is>
          <t>RNO-3800</t>
        </is>
      </c>
      <c r="C234" s="95" t="n">
        <v>46063</v>
      </c>
      <c r="D234" s="16" t="inlineStr">
        <is>
          <t>النظام القديم</t>
        </is>
      </c>
      <c r="E234" s="16" t="inlineStr">
        <is>
          <t>RN-SE107</t>
        </is>
      </c>
      <c r="F234" s="16" t="inlineStr">
        <is>
          <t>بذور فينكا باسيفيكا مشمشي</t>
        </is>
      </c>
      <c r="G234" s="16" t="n">
        <v>10000</v>
      </c>
      <c r="H234" s="16" t="inlineStr">
        <is>
          <t>EA</t>
        </is>
      </c>
      <c r="I234" s="17" t="n">
        <v>0.035</v>
      </c>
      <c r="J234" s="17" t="n">
        <v>402.5</v>
      </c>
    </row>
    <row r="235">
      <c r="A235" s="16" t="inlineStr">
        <is>
          <t>RNO</t>
        </is>
      </c>
      <c r="B235" s="16" t="inlineStr">
        <is>
          <t>RNO-3800</t>
        </is>
      </c>
      <c r="C235" s="95" t="n">
        <v>46063</v>
      </c>
      <c r="D235" s="16" t="inlineStr">
        <is>
          <t>النظام القديم</t>
        </is>
      </c>
      <c r="E235" s="16" t="inlineStr">
        <is>
          <t>RN-SE108</t>
        </is>
      </c>
      <c r="F235" s="16" t="inlineStr">
        <is>
          <t>- جذور فينكا من ستورم مشمشي</t>
        </is>
      </c>
      <c r="G235" s="16" t="n">
        <v>10000</v>
      </c>
      <c r="H235" s="16" t="inlineStr">
        <is>
          <t>EA</t>
        </is>
      </c>
      <c r="I235" s="17" t="n">
        <v>0.03</v>
      </c>
      <c r="J235" s="17" t="n">
        <v>345</v>
      </c>
    </row>
    <row r="236">
      <c r="A236" s="16" t="inlineStr">
        <is>
          <t>RNO</t>
        </is>
      </c>
      <c r="B236" s="16" t="inlineStr">
        <is>
          <t>RNO-3800</t>
        </is>
      </c>
      <c r="C236" s="95" t="n">
        <v>46063</v>
      </c>
      <c r="D236" s="16" t="inlineStr">
        <is>
          <t>النظام القديم</t>
        </is>
      </c>
      <c r="E236" s="16" t="inlineStr">
        <is>
          <t>RN-FR1017</t>
        </is>
      </c>
      <c r="F236" s="16" t="inlineStr">
        <is>
          <t>بوتنج سويل 70 لتر (KLAS)</t>
        </is>
      </c>
      <c r="G236" s="16" t="n">
        <v>7</v>
      </c>
      <c r="H236" s="16" t="inlineStr">
        <is>
          <t>EA</t>
        </is>
      </c>
      <c r="I236" s="17" t="n">
        <v>46</v>
      </c>
      <c r="J236" s="17" t="n">
        <v>370.3</v>
      </c>
    </row>
    <row r="237">
      <c r="A237" s="16" t="inlineStr">
        <is>
          <t>RNO</t>
        </is>
      </c>
      <c r="B237" s="16" t="inlineStr">
        <is>
          <t>RNO-3800</t>
        </is>
      </c>
      <c r="C237" s="95" t="n">
        <v>46063</v>
      </c>
      <c r="D237" s="16" t="inlineStr">
        <is>
          <t>النظام القديم</t>
        </is>
      </c>
      <c r="E237" s="16" t="inlineStr">
        <is>
          <t>RN-FR1018</t>
        </is>
      </c>
      <c r="F237" s="16" t="inlineStr">
        <is>
          <t>فيرموكلايت 100 لتر</t>
        </is>
      </c>
      <c r="G237" s="16" t="n">
        <v>2</v>
      </c>
      <c r="H237" s="16" t="inlineStr">
        <is>
          <t>EA</t>
        </is>
      </c>
      <c r="I237" s="17" t="n">
        <v>75</v>
      </c>
      <c r="J237" s="17" t="n">
        <v>172.5</v>
      </c>
    </row>
    <row r="238">
      <c r="A238" s="16" t="inlineStr">
        <is>
          <t>RNO</t>
        </is>
      </c>
      <c r="B238" s="16" t="inlineStr">
        <is>
          <t>RNO-3800</t>
        </is>
      </c>
      <c r="C238" s="95" t="n">
        <v>46063</v>
      </c>
      <c r="D238" s="16" t="inlineStr">
        <is>
          <t>النظام القديم</t>
        </is>
      </c>
      <c r="E238" s="16" t="inlineStr">
        <is>
          <t>RN-FR1023</t>
        </is>
      </c>
      <c r="F238" s="16" t="inlineStr">
        <is>
          <t>سماد سنجر 20-20-20 + ع ن (25 كجم)</t>
        </is>
      </c>
      <c r="G238" s="16" t="n">
        <v>1</v>
      </c>
      <c r="H238" s="16" t="inlineStr">
        <is>
          <t>EA</t>
        </is>
      </c>
      <c r="I238" s="17" t="n">
        <v>280</v>
      </c>
      <c r="J238" s="17" t="n">
        <v>322</v>
      </c>
    </row>
    <row r="239">
      <c r="A239" s="9" t="n"/>
      <c r="B239" s="9" t="inlineStr">
        <is>
          <t>إجمالي RNO-3800</t>
        </is>
      </c>
      <c r="C239" s="9" t="n"/>
      <c r="D239" s="9" t="n"/>
      <c r="E239" s="9" t="n"/>
      <c r="F239" s="9" t="n"/>
      <c r="G239" s="9">
        <f>SUM(G228:G238)</f>
        <v/>
      </c>
      <c r="H239" s="9" t="n"/>
      <c r="I239" s="9" t="n"/>
      <c r="J239" s="10">
        <f>SUM(J228:J238)</f>
        <v/>
      </c>
    </row>
    <row r="240">
      <c r="A240" s="16" t="inlineStr">
        <is>
          <t>RNO</t>
        </is>
      </c>
      <c r="B240" s="16" t="inlineStr">
        <is>
          <t>RNO-3829</t>
        </is>
      </c>
      <c r="C240" s="95" t="n">
        <v>46065</v>
      </c>
      <c r="D240" s="16" t="inlineStr">
        <is>
          <t>النظام القديم</t>
        </is>
      </c>
      <c r="E240" s="16" t="inlineStr">
        <is>
          <t>RN-FR1033</t>
        </is>
      </c>
      <c r="F240" s="16" t="inlineStr">
        <is>
          <t>بيتموس تي اس مخصب 210 لتر</t>
        </is>
      </c>
      <c r="G240" s="16" t="n">
        <v>2</v>
      </c>
      <c r="H240" s="16" t="inlineStr">
        <is>
          <t>EA</t>
        </is>
      </c>
      <c r="I240" s="17" t="n">
        <v>101.5</v>
      </c>
      <c r="J240" s="17" t="n">
        <v>233.45</v>
      </c>
    </row>
    <row r="241">
      <c r="A241" s="16" t="inlineStr">
        <is>
          <t>RNO</t>
        </is>
      </c>
      <c r="B241" s="16" t="inlineStr">
        <is>
          <t>RNO-3829</t>
        </is>
      </c>
      <c r="C241" s="95" t="n">
        <v>46065</v>
      </c>
      <c r="D241" s="16" t="inlineStr">
        <is>
          <t>النظام القديم</t>
        </is>
      </c>
      <c r="E241" s="16" t="inlineStr">
        <is>
          <t>RN-FR368</t>
        </is>
      </c>
      <c r="F241" s="16" t="inlineStr">
        <is>
          <t>بيرلايت 100 لتر</t>
        </is>
      </c>
      <c r="G241" s="16" t="n">
        <v>1</v>
      </c>
      <c r="H241" s="16" t="inlineStr">
        <is>
          <t>EA</t>
        </is>
      </c>
      <c r="I241" s="17" t="n">
        <v>32.5</v>
      </c>
      <c r="J241" s="17" t="n">
        <v>37.375</v>
      </c>
    </row>
    <row r="242">
      <c r="A242" s="16" t="inlineStr">
        <is>
          <t>RNO</t>
        </is>
      </c>
      <c r="B242" s="16" t="inlineStr">
        <is>
          <t>RNO-3829</t>
        </is>
      </c>
      <c r="C242" s="95" t="n">
        <v>46065</v>
      </c>
      <c r="D242" s="16" t="inlineStr">
        <is>
          <t>النظام القديم</t>
        </is>
      </c>
      <c r="E242" s="16" t="inlineStr">
        <is>
          <t>RN-PL14</t>
        </is>
      </c>
      <c r="F242" s="16" t="inlineStr">
        <is>
          <t>مركن زراعي علاقي 19 سم</t>
        </is>
      </c>
      <c r="G242" s="16" t="n">
        <v>750</v>
      </c>
      <c r="H242" s="16" t="inlineStr">
        <is>
          <t>EA</t>
        </is>
      </c>
      <c r="I242" s="17" t="n">
        <v>2.5</v>
      </c>
      <c r="J242" s="17" t="n">
        <v>2156.25</v>
      </c>
    </row>
    <row r="243">
      <c r="A243" s="16" t="inlineStr">
        <is>
          <t>RNO</t>
        </is>
      </c>
      <c r="B243" s="16" t="inlineStr">
        <is>
          <t>RNO-3829</t>
        </is>
      </c>
      <c r="C243" s="95" t="n">
        <v>46065</v>
      </c>
      <c r="D243" s="16" t="inlineStr">
        <is>
          <t>النظام القديم</t>
        </is>
      </c>
      <c r="E243" s="16" t="inlineStr">
        <is>
          <t>RN-PL12</t>
        </is>
      </c>
      <c r="F243" s="16" t="inlineStr">
        <is>
          <t>صندوق فلين للزهور</t>
        </is>
      </c>
      <c r="G243" s="16" t="n">
        <v>650</v>
      </c>
      <c r="H243" s="16" t="inlineStr">
        <is>
          <t>EA</t>
        </is>
      </c>
      <c r="I243" s="17" t="n">
        <v>4</v>
      </c>
      <c r="J243" s="17" t="n">
        <v>2990</v>
      </c>
    </row>
    <row r="244">
      <c r="A244" s="9" t="n"/>
      <c r="B244" s="9" t="inlineStr">
        <is>
          <t>إجمالي RNO-3829</t>
        </is>
      </c>
      <c r="C244" s="9" t="n"/>
      <c r="D244" s="9" t="n"/>
      <c r="E244" s="9" t="n"/>
      <c r="F244" s="9" t="n"/>
      <c r="G244" s="9">
        <f>SUM(G240:G243)</f>
        <v/>
      </c>
      <c r="H244" s="9" t="n"/>
      <c r="I244" s="9" t="n"/>
      <c r="J244" s="10">
        <f>SUM(J240:J243)</f>
        <v/>
      </c>
    </row>
    <row r="245">
      <c r="A245" s="16" t="inlineStr">
        <is>
          <t>RNO</t>
        </is>
      </c>
      <c r="B245" s="16" t="inlineStr">
        <is>
          <t>RNO-3832</t>
        </is>
      </c>
      <c r="C245" s="95" t="n">
        <v>46066</v>
      </c>
      <c r="D245" s="16" t="inlineStr">
        <is>
          <t>النظام القديم</t>
        </is>
      </c>
      <c r="E245" s="16" t="inlineStr">
        <is>
          <t>RN-FR1033</t>
        </is>
      </c>
      <c r="F245" s="16" t="inlineStr">
        <is>
          <t>بيتموس تي اس مخصب 210 لتر</t>
        </is>
      </c>
      <c r="G245" s="16" t="n">
        <v>21</v>
      </c>
      <c r="H245" s="16" t="inlineStr">
        <is>
          <t>EA</t>
        </is>
      </c>
      <c r="I245" s="17" t="n">
        <v>101.5</v>
      </c>
      <c r="J245" s="17" t="n">
        <v>2451.225</v>
      </c>
    </row>
    <row r="246">
      <c r="A246" s="16" t="inlineStr">
        <is>
          <t>RNO</t>
        </is>
      </c>
      <c r="B246" s="16" t="inlineStr">
        <is>
          <t>RNO-3832</t>
        </is>
      </c>
      <c r="C246" s="95" t="n">
        <v>46066</v>
      </c>
      <c r="D246" s="16" t="inlineStr">
        <is>
          <t>النظام القديم</t>
        </is>
      </c>
      <c r="E246" s="16" t="inlineStr">
        <is>
          <t>RN-FR368</t>
        </is>
      </c>
      <c r="F246" s="16" t="inlineStr">
        <is>
          <t>بيرلايت 100 لتر</t>
        </is>
      </c>
      <c r="G246" s="16" t="n">
        <v>6</v>
      </c>
      <c r="H246" s="16" t="inlineStr">
        <is>
          <t>EA</t>
        </is>
      </c>
      <c r="I246" s="17" t="n">
        <v>32.5</v>
      </c>
      <c r="J246" s="17" t="n">
        <v>224.25</v>
      </c>
    </row>
    <row r="247">
      <c r="A247" s="16" t="inlineStr">
        <is>
          <t>RNO</t>
        </is>
      </c>
      <c r="B247" s="16" t="inlineStr">
        <is>
          <t>RNO-3832</t>
        </is>
      </c>
      <c r="C247" s="95" t="n">
        <v>46066</v>
      </c>
      <c r="D247" s="16" t="inlineStr">
        <is>
          <t>النظام القديم</t>
        </is>
      </c>
      <c r="E247" s="16" t="inlineStr">
        <is>
          <t>RN-PL1</t>
        </is>
      </c>
      <c r="F247" s="16" t="inlineStr">
        <is>
          <t>مركن - زراعي خفيف ملون 9 سم</t>
        </is>
      </c>
      <c r="G247" s="16" t="n">
        <v>30000</v>
      </c>
      <c r="H247" s="16" t="inlineStr">
        <is>
          <t>EA</t>
        </is>
      </c>
      <c r="I247" s="17" t="n">
        <v>0.06</v>
      </c>
      <c r="J247" s="17" t="n">
        <v>1794</v>
      </c>
    </row>
    <row r="248">
      <c r="A248" s="16" t="inlineStr">
        <is>
          <t>RNO</t>
        </is>
      </c>
      <c r="B248" s="16" t="inlineStr">
        <is>
          <t>RNO-3832</t>
        </is>
      </c>
      <c r="C248" s="95" t="n">
        <v>46066</v>
      </c>
      <c r="D248" s="16" t="inlineStr">
        <is>
          <t>النظام القديم</t>
        </is>
      </c>
      <c r="E248" s="16" t="inlineStr">
        <is>
          <t>RN-ID1503</t>
        </is>
      </c>
      <c r="F248" s="16" t="inlineStr">
        <is>
          <t>هيدرا  ان اس مركن9 سم</t>
        </is>
      </c>
      <c r="G248" s="16" t="n">
        <v>350</v>
      </c>
      <c r="H248" s="16" t="inlineStr">
        <is>
          <t>EA</t>
        </is>
      </c>
      <c r="I248" s="17" t="n">
        <v>2</v>
      </c>
      <c r="J248" s="17" t="n">
        <v>805</v>
      </c>
    </row>
    <row r="249">
      <c r="A249" s="9" t="n"/>
      <c r="B249" s="9" t="inlineStr">
        <is>
          <t>إجمالي RNO-3832</t>
        </is>
      </c>
      <c r="C249" s="9" t="n"/>
      <c r="D249" s="9" t="n"/>
      <c r="E249" s="9" t="n"/>
      <c r="F249" s="9" t="n"/>
      <c r="G249" s="9">
        <f>SUM(G245:G248)</f>
        <v/>
      </c>
      <c r="H249" s="9" t="n"/>
      <c r="I249" s="9" t="n"/>
      <c r="J249" s="10">
        <f>SUM(J245:J248)</f>
        <v/>
      </c>
    </row>
    <row r="250">
      <c r="A250" s="16" t="inlineStr">
        <is>
          <t>RNO</t>
        </is>
      </c>
      <c r="B250" s="16" t="inlineStr">
        <is>
          <t>RNO-3848</t>
        </is>
      </c>
      <c r="C250" s="95" t="n">
        <v>46068</v>
      </c>
      <c r="D250" s="16" t="inlineStr">
        <is>
          <t>النظام القديم</t>
        </is>
      </c>
      <c r="E250" s="16" t="inlineStr">
        <is>
          <t>RN-FR1033</t>
        </is>
      </c>
      <c r="F250" s="16" t="inlineStr">
        <is>
          <t>بيتموس تي اس مخصب 210 لتر</t>
        </is>
      </c>
      <c r="G250" s="16" t="n">
        <v>17</v>
      </c>
      <c r="H250" s="16" t="inlineStr">
        <is>
          <t>EA</t>
        </is>
      </c>
      <c r="I250" s="17" t="n">
        <v>101.5</v>
      </c>
      <c r="J250" s="17" t="n">
        <v>1984.325</v>
      </c>
    </row>
    <row r="251">
      <c r="A251" s="16" t="inlineStr">
        <is>
          <t>RNO</t>
        </is>
      </c>
      <c r="B251" s="16" t="inlineStr">
        <is>
          <t>RNO-3848</t>
        </is>
      </c>
      <c r="C251" s="95" t="n">
        <v>46068</v>
      </c>
      <c r="D251" s="16" t="inlineStr">
        <is>
          <t>النظام القديم</t>
        </is>
      </c>
      <c r="E251" s="16" t="inlineStr">
        <is>
          <t>RN-FR368</t>
        </is>
      </c>
      <c r="F251" s="16" t="inlineStr">
        <is>
          <t>بيرلايت 100 لتر</t>
        </is>
      </c>
      <c r="G251" s="16" t="n">
        <v>4</v>
      </c>
      <c r="H251" s="16" t="inlineStr">
        <is>
          <t>EA</t>
        </is>
      </c>
      <c r="I251" s="17" t="n">
        <v>32.5</v>
      </c>
      <c r="J251" s="17" t="n">
        <v>149.5</v>
      </c>
    </row>
    <row r="252">
      <c r="A252" s="9" t="n"/>
      <c r="B252" s="9" t="inlineStr">
        <is>
          <t>إجمالي RNO-3848</t>
        </is>
      </c>
      <c r="C252" s="9" t="n"/>
      <c r="D252" s="9" t="n"/>
      <c r="E252" s="9" t="n"/>
      <c r="F252" s="9" t="n"/>
      <c r="G252" s="9">
        <f>SUM(G250:G251)</f>
        <v/>
      </c>
      <c r="H252" s="9" t="n"/>
      <c r="I252" s="9" t="n"/>
      <c r="J252" s="10">
        <f>SUM(J250:J251)</f>
        <v/>
      </c>
    </row>
    <row r="253">
      <c r="A253" s="16" t="inlineStr">
        <is>
          <t>RNO</t>
        </is>
      </c>
      <c r="B253" s="16" t="inlineStr">
        <is>
          <t>RNO-3853</t>
        </is>
      </c>
      <c r="C253" s="95" t="n">
        <v>46069</v>
      </c>
      <c r="D253" s="16" t="inlineStr">
        <is>
          <t>النظام القديم</t>
        </is>
      </c>
      <c r="E253" s="16" t="inlineStr">
        <is>
          <t>RN-FR1004</t>
        </is>
      </c>
      <c r="F253" s="16" t="inlineStr">
        <is>
          <t>حديد مخلبي 16 كجم</t>
        </is>
      </c>
      <c r="G253" s="16" t="n">
        <v>1</v>
      </c>
      <c r="H253" s="16" t="inlineStr">
        <is>
          <t>EA</t>
        </is>
      </c>
      <c r="I253" s="17" t="n">
        <v>60</v>
      </c>
      <c r="J253" s="17" t="n">
        <v>69</v>
      </c>
    </row>
    <row r="254">
      <c r="A254" s="9" t="n"/>
      <c r="B254" s="9" t="inlineStr">
        <is>
          <t>إجمالي RNO-3853</t>
        </is>
      </c>
      <c r="C254" s="9" t="n"/>
      <c r="D254" s="9" t="n"/>
      <c r="E254" s="9" t="n"/>
      <c r="F254" s="9" t="n"/>
      <c r="G254" s="9">
        <f>SUM(G253:G253)</f>
        <v/>
      </c>
      <c r="H254" s="9" t="n"/>
      <c r="I254" s="9" t="n"/>
      <c r="J254" s="10">
        <f>SUM(J253:J253)</f>
        <v/>
      </c>
    </row>
    <row r="255">
      <c r="A255" s="16" t="inlineStr">
        <is>
          <t>RNO</t>
        </is>
      </c>
      <c r="B255" s="16" t="inlineStr">
        <is>
          <t>RNO-3862</t>
        </is>
      </c>
      <c r="C255" s="95" t="n">
        <v>46070</v>
      </c>
      <c r="D255" s="16" t="inlineStr">
        <is>
          <t>النظام القديم</t>
        </is>
      </c>
      <c r="E255" s="16" t="inlineStr">
        <is>
          <t>RN-SE21</t>
        </is>
      </c>
      <c r="F255" s="16" t="inlineStr">
        <is>
          <t>جذور سيلوزيا احمر</t>
        </is>
      </c>
      <c r="G255" s="16" t="n">
        <v>5000</v>
      </c>
      <c r="H255" s="16" t="inlineStr">
        <is>
          <t>EA</t>
        </is>
      </c>
      <c r="I255" s="17" t="n">
        <v>0.025</v>
      </c>
      <c r="J255" s="17" t="n">
        <v>143.75</v>
      </c>
    </row>
    <row r="256">
      <c r="A256" s="16" t="inlineStr">
        <is>
          <t>RNO</t>
        </is>
      </c>
      <c r="B256" s="16" t="inlineStr">
        <is>
          <t>RNO-3862</t>
        </is>
      </c>
      <c r="C256" s="95" t="n">
        <v>46070</v>
      </c>
      <c r="D256" s="16" t="inlineStr">
        <is>
          <t>النظام القديم</t>
        </is>
      </c>
      <c r="E256" s="16" t="inlineStr">
        <is>
          <t>RN-SE22</t>
        </is>
      </c>
      <c r="F256" s="16" t="inlineStr">
        <is>
          <t>جذور سيلوزيا اصفر</t>
        </is>
      </c>
      <c r="G256" s="16" t="n">
        <v>5000</v>
      </c>
      <c r="H256" s="16" t="inlineStr">
        <is>
          <t>EA</t>
        </is>
      </c>
      <c r="I256" s="17" t="n">
        <v>0.025</v>
      </c>
      <c r="J256" s="17" t="n">
        <v>143.75</v>
      </c>
    </row>
    <row r="257">
      <c r="A257" s="16" t="inlineStr">
        <is>
          <t>RNO</t>
        </is>
      </c>
      <c r="B257" s="16" t="inlineStr">
        <is>
          <t>RNO-3862</t>
        </is>
      </c>
      <c r="C257" s="95" t="n">
        <v>46070</v>
      </c>
      <c r="D257" s="16" t="inlineStr">
        <is>
          <t>النظام القديم</t>
        </is>
      </c>
      <c r="E257" s="16" t="inlineStr">
        <is>
          <t>RN-SE23</t>
        </is>
      </c>
      <c r="F257" s="16" t="inlineStr">
        <is>
          <t>- بذور سيلوزيا برتقالي</t>
        </is>
      </c>
      <c r="G257" s="16" t="n">
        <v>5000</v>
      </c>
      <c r="H257" s="16" t="inlineStr">
        <is>
          <t>EA</t>
        </is>
      </c>
      <c r="I257" s="17" t="n">
        <v>0.025</v>
      </c>
      <c r="J257" s="17" t="n">
        <v>143.75</v>
      </c>
    </row>
    <row r="258">
      <c r="A258" s="16" t="inlineStr">
        <is>
          <t>RNO</t>
        </is>
      </c>
      <c r="B258" s="16" t="inlineStr">
        <is>
          <t>RNO-3862</t>
        </is>
      </c>
      <c r="C258" s="95" t="n">
        <v>46070</v>
      </c>
      <c r="D258" s="16" t="inlineStr">
        <is>
          <t>النظام القديم</t>
        </is>
      </c>
      <c r="E258" s="16" t="inlineStr">
        <is>
          <t>RN-SE131</t>
        </is>
      </c>
      <c r="F258" s="16" t="inlineStr">
        <is>
          <t>- بذور سيلوزيا قرمزي</t>
        </is>
      </c>
      <c r="G258" s="16" t="n">
        <v>5000</v>
      </c>
      <c r="H258" s="16" t="inlineStr">
        <is>
          <t>EA</t>
        </is>
      </c>
      <c r="I258" s="17" t="n">
        <v>0.03</v>
      </c>
      <c r="J258" s="17" t="n">
        <v>172.5</v>
      </c>
    </row>
    <row r="259">
      <c r="A259" s="16" t="inlineStr">
        <is>
          <t>RNO</t>
        </is>
      </c>
      <c r="B259" s="16" t="inlineStr">
        <is>
          <t>RNO-3862</t>
        </is>
      </c>
      <c r="C259" s="95" t="n">
        <v>46070</v>
      </c>
      <c r="D259" s="16" t="inlineStr">
        <is>
          <t>النظام القديم</t>
        </is>
      </c>
      <c r="E259" s="16" t="inlineStr">
        <is>
          <t>RN-SE132</t>
        </is>
      </c>
      <c r="F259" s="16" t="inlineStr">
        <is>
          <t>جذور سيلوزيا كيمونو شيري ريد</t>
        </is>
      </c>
      <c r="G259" s="16" t="n">
        <v>5000</v>
      </c>
      <c r="H259" s="16" t="inlineStr">
        <is>
          <t>EA</t>
        </is>
      </c>
      <c r="I259" s="17" t="n">
        <v>0.03</v>
      </c>
      <c r="J259" s="17" t="n">
        <v>172.5</v>
      </c>
    </row>
    <row r="260">
      <c r="A260" s="16" t="inlineStr">
        <is>
          <t>RNO</t>
        </is>
      </c>
      <c r="B260" s="16" t="inlineStr">
        <is>
          <t>RNO-3862</t>
        </is>
      </c>
      <c r="C260" s="95" t="n">
        <v>46070</v>
      </c>
      <c r="D260" s="16" t="inlineStr">
        <is>
          <t>النظام القديم</t>
        </is>
      </c>
      <c r="E260" s="16" t="inlineStr">
        <is>
          <t>RN-SE88</t>
        </is>
      </c>
      <c r="F260" s="16" t="inlineStr">
        <is>
          <t>بذور بيلكترانثوس فير واى احمر</t>
        </is>
      </c>
      <c r="G260" s="16" t="n">
        <v>5000</v>
      </c>
      <c r="H260" s="16" t="inlineStr">
        <is>
          <t>EA</t>
        </is>
      </c>
      <c r="I260" s="17" t="n">
        <v>0.035</v>
      </c>
      <c r="J260" s="17" t="n">
        <v>201.25</v>
      </c>
    </row>
    <row r="261">
      <c r="A261" s="16" t="inlineStr">
        <is>
          <t>RNO</t>
        </is>
      </c>
      <c r="B261" s="16" t="inlineStr">
        <is>
          <t>RNO-3862</t>
        </is>
      </c>
      <c r="C261" s="95" t="n">
        <v>46070</v>
      </c>
      <c r="D261" s="16" t="inlineStr">
        <is>
          <t>النظام القديم</t>
        </is>
      </c>
      <c r="E261" s="16" t="inlineStr">
        <is>
          <t>RN-SE89</t>
        </is>
      </c>
      <c r="F261" s="16" t="inlineStr">
        <is>
          <t>- بذور بيلكترانثوس فير واى روبي</t>
        </is>
      </c>
      <c r="G261" s="16" t="n">
        <v>5000</v>
      </c>
      <c r="H261" s="16" t="inlineStr">
        <is>
          <t>EA</t>
        </is>
      </c>
      <c r="I261" s="17" t="n">
        <v>0.035</v>
      </c>
      <c r="J261" s="17" t="n">
        <v>201.25</v>
      </c>
    </row>
    <row r="262">
      <c r="A262" s="16" t="inlineStr">
        <is>
          <t>RNO</t>
        </is>
      </c>
      <c r="B262" s="16" t="inlineStr">
        <is>
          <t>RNO-3862</t>
        </is>
      </c>
      <c r="C262" s="95" t="n">
        <v>46070</v>
      </c>
      <c r="D262" s="16" t="inlineStr">
        <is>
          <t>النظام القديم</t>
        </is>
      </c>
      <c r="E262" s="16" t="inlineStr">
        <is>
          <t>RN-SE90</t>
        </is>
      </c>
      <c r="F262" s="16" t="inlineStr">
        <is>
          <t>- جذور بيلكترانثوس فير واى بينك غامق</t>
        </is>
      </c>
      <c r="G262" s="16" t="n">
        <v>5000</v>
      </c>
      <c r="H262" s="16" t="inlineStr">
        <is>
          <t>EA</t>
        </is>
      </c>
      <c r="I262" s="17" t="n">
        <v>0.035</v>
      </c>
      <c r="J262" s="17" t="n">
        <v>201.25</v>
      </c>
    </row>
    <row r="263">
      <c r="A263" s="16" t="inlineStr">
        <is>
          <t>RNO</t>
        </is>
      </c>
      <c r="B263" s="16" t="inlineStr">
        <is>
          <t>RNO-3862</t>
        </is>
      </c>
      <c r="C263" s="95" t="n">
        <v>46070</v>
      </c>
      <c r="D263" s="16" t="inlineStr">
        <is>
          <t>النظام القديم</t>
        </is>
      </c>
      <c r="E263" s="16" t="inlineStr">
        <is>
          <t>RN-SE129</t>
        </is>
      </c>
      <c r="F263" s="16" t="inlineStr">
        <is>
          <t>- بذور بيلكترانثوس فير واى برتقالى</t>
        </is>
      </c>
      <c r="G263" s="16" t="n">
        <v>5000</v>
      </c>
      <c r="H263" s="16" t="inlineStr">
        <is>
          <t>EA</t>
        </is>
      </c>
      <c r="I263" s="17" t="n">
        <v>0.035</v>
      </c>
      <c r="J263" s="17" t="n">
        <v>201.25</v>
      </c>
    </row>
    <row r="264">
      <c r="A264" s="16" t="inlineStr">
        <is>
          <t>RNO</t>
        </is>
      </c>
      <c r="B264" s="16" t="inlineStr">
        <is>
          <t>RNO-3862</t>
        </is>
      </c>
      <c r="C264" s="95" t="n">
        <v>46070</v>
      </c>
      <c r="D264" s="16" t="inlineStr">
        <is>
          <t>النظام القديم</t>
        </is>
      </c>
      <c r="E264" s="16" t="inlineStr">
        <is>
          <t>RN-SE130</t>
        </is>
      </c>
      <c r="F264" s="16" t="inlineStr">
        <is>
          <t>- بذور بيلكترانثوس فير واى موزابيك</t>
        </is>
      </c>
      <c r="G264" s="16" t="n">
        <v>5000</v>
      </c>
      <c r="H264" s="16" t="inlineStr">
        <is>
          <t>EA</t>
        </is>
      </c>
      <c r="I264" s="17" t="n">
        <v>0.035</v>
      </c>
      <c r="J264" s="17" t="n">
        <v>201.25</v>
      </c>
    </row>
    <row r="265">
      <c r="A265" s="16" t="inlineStr">
        <is>
          <t>RNO</t>
        </is>
      </c>
      <c r="B265" s="16" t="inlineStr">
        <is>
          <t>RNO-3862</t>
        </is>
      </c>
      <c r="C265" s="95" t="n">
        <v>46070</v>
      </c>
      <c r="D265" s="16" t="inlineStr">
        <is>
          <t>النظام القديم</t>
        </is>
      </c>
      <c r="E265" s="16" t="inlineStr">
        <is>
          <t>RN-SE111</t>
        </is>
      </c>
      <c r="F265" s="16" t="inlineStr">
        <is>
          <t>بذور أمارانتس</t>
        </is>
      </c>
      <c r="G265" s="16" t="n">
        <v>5000</v>
      </c>
      <c r="H265" s="16" t="inlineStr">
        <is>
          <t>EA</t>
        </is>
      </c>
      <c r="I265" s="17" t="n">
        <v>0.01</v>
      </c>
      <c r="J265" s="17" t="n">
        <v>57.5</v>
      </c>
    </row>
    <row r="266">
      <c r="A266" s="16" t="inlineStr">
        <is>
          <t>RNO</t>
        </is>
      </c>
      <c r="B266" s="16" t="inlineStr">
        <is>
          <t>RNO-3862</t>
        </is>
      </c>
      <c r="C266" s="95" t="n">
        <v>46070</v>
      </c>
      <c r="D266" s="16" t="inlineStr">
        <is>
          <t>النظام القديم</t>
        </is>
      </c>
      <c r="E266" s="16" t="inlineStr">
        <is>
          <t>RN-FR1033</t>
        </is>
      </c>
      <c r="F266" s="16" t="inlineStr">
        <is>
          <t>بيتموس تي اس مخصب 210 لتر</t>
        </is>
      </c>
      <c r="G266" s="16" t="n">
        <v>21</v>
      </c>
      <c r="H266" s="16" t="inlineStr">
        <is>
          <t>EA</t>
        </is>
      </c>
      <c r="I266" s="17" t="n">
        <v>101.5</v>
      </c>
      <c r="J266" s="17" t="n">
        <v>2451.225</v>
      </c>
    </row>
    <row r="267">
      <c r="A267" s="16" t="inlineStr">
        <is>
          <t>RNO</t>
        </is>
      </c>
      <c r="B267" s="16" t="inlineStr">
        <is>
          <t>RNO-3862</t>
        </is>
      </c>
      <c r="C267" s="95" t="n">
        <v>46070</v>
      </c>
      <c r="D267" s="16" t="inlineStr">
        <is>
          <t>النظام القديم</t>
        </is>
      </c>
      <c r="E267" s="16" t="inlineStr">
        <is>
          <t>RN-FR368</t>
        </is>
      </c>
      <c r="F267" s="16" t="inlineStr">
        <is>
          <t>بيرلايت 100 لتر</t>
        </is>
      </c>
      <c r="G267" s="16" t="n">
        <v>6</v>
      </c>
      <c r="H267" s="16" t="inlineStr">
        <is>
          <t>EA</t>
        </is>
      </c>
      <c r="I267" s="17" t="n">
        <v>32.5</v>
      </c>
      <c r="J267" s="17" t="n">
        <v>224.25</v>
      </c>
    </row>
    <row r="268">
      <c r="A268" s="16" t="inlineStr">
        <is>
          <t>RNO</t>
        </is>
      </c>
      <c r="B268" s="16" t="inlineStr">
        <is>
          <t>RNO-3862</t>
        </is>
      </c>
      <c r="C268" s="95" t="n">
        <v>46070</v>
      </c>
      <c r="D268" s="16" t="inlineStr">
        <is>
          <t>النظام القديم</t>
        </is>
      </c>
      <c r="E268" s="16" t="inlineStr">
        <is>
          <t>RN-PL1</t>
        </is>
      </c>
      <c r="F268" s="16" t="inlineStr">
        <is>
          <t>مركن زراعي خفيف ملون 9 سم</t>
        </is>
      </c>
      <c r="G268" s="16" t="n">
        <v>26000</v>
      </c>
      <c r="H268" s="16" t="inlineStr">
        <is>
          <t>EA</t>
        </is>
      </c>
      <c r="I268" s="17" t="n">
        <v>0.06</v>
      </c>
      <c r="J268" s="17" t="n">
        <v>1794</v>
      </c>
    </row>
    <row r="269">
      <c r="A269" s="16" t="inlineStr">
        <is>
          <t>RNO</t>
        </is>
      </c>
      <c r="B269" s="16" t="inlineStr">
        <is>
          <t>RNO-3862</t>
        </is>
      </c>
      <c r="C269" s="95" t="n">
        <v>46070</v>
      </c>
      <c r="D269" s="16" t="inlineStr">
        <is>
          <t>النظام القديم</t>
        </is>
      </c>
      <c r="E269" s="16" t="inlineStr">
        <is>
          <t>RN-FR1017</t>
        </is>
      </c>
      <c r="F269" s="16" t="inlineStr">
        <is>
          <t>بوتنج سويل 70 لتر (KLAS)</t>
        </is>
      </c>
      <c r="G269" s="16" t="n">
        <v>7</v>
      </c>
      <c r="H269" s="16" t="inlineStr">
        <is>
          <t>EA</t>
        </is>
      </c>
      <c r="I269" s="17" t="n">
        <v>46</v>
      </c>
      <c r="J269" s="17" t="n">
        <v>370.3</v>
      </c>
    </row>
    <row r="270">
      <c r="A270" s="16" t="inlineStr">
        <is>
          <t>RNO</t>
        </is>
      </c>
      <c r="B270" s="16" t="inlineStr">
        <is>
          <t>RNO-3862</t>
        </is>
      </c>
      <c r="C270" s="95" t="n">
        <v>46070</v>
      </c>
      <c r="D270" s="16" t="inlineStr">
        <is>
          <t>النظام القديم</t>
        </is>
      </c>
      <c r="E270" s="16" t="inlineStr">
        <is>
          <t>RN-FR1018</t>
        </is>
      </c>
      <c r="F270" s="16" t="inlineStr">
        <is>
          <t>فيرموكلايت 100 لتر</t>
        </is>
      </c>
      <c r="G270" s="16" t="n">
        <v>1</v>
      </c>
      <c r="H270" s="16" t="inlineStr">
        <is>
          <t>EA</t>
        </is>
      </c>
      <c r="I270" s="17" t="n">
        <v>75</v>
      </c>
      <c r="J270" s="17" t="n">
        <v>86.25</v>
      </c>
    </row>
    <row r="271">
      <c r="A271" s="9" t="n"/>
      <c r="B271" s="9" t="inlineStr">
        <is>
          <t>إجمالي RNO-3862</t>
        </is>
      </c>
      <c r="C271" s="9" t="n"/>
      <c r="D271" s="9" t="n"/>
      <c r="E271" s="9" t="n"/>
      <c r="F271" s="9" t="n"/>
      <c r="G271" s="9">
        <f>SUM(G255:G270)</f>
        <v/>
      </c>
      <c r="H271" s="9" t="n"/>
      <c r="I271" s="9" t="n"/>
      <c r="J271" s="10">
        <f>SUM(J255:J270)</f>
        <v/>
      </c>
    </row>
    <row r="272">
      <c r="A272" s="16" t="inlineStr">
        <is>
          <t>RNO</t>
        </is>
      </c>
      <c r="B272" s="16" t="inlineStr">
        <is>
          <t>RNO-3879</t>
        </is>
      </c>
      <c r="C272" s="95" t="n">
        <v>46072</v>
      </c>
      <c r="D272" s="16" t="inlineStr">
        <is>
          <t>النظام القديم</t>
        </is>
      </c>
      <c r="E272" s="16" t="inlineStr">
        <is>
          <t>RN-PL12</t>
        </is>
      </c>
      <c r="F272" s="16" t="inlineStr">
        <is>
          <t>RN12 - صندوق فلين للزهور</t>
        </is>
      </c>
      <c r="G272" s="16" t="n">
        <v>1425</v>
      </c>
      <c r="H272" s="16" t="inlineStr">
        <is>
          <t>EA</t>
        </is>
      </c>
      <c r="I272" s="17" t="n">
        <v>4</v>
      </c>
      <c r="J272" s="17" t="n">
        <v>6555</v>
      </c>
    </row>
    <row r="273">
      <c r="A273" s="9" t="n"/>
      <c r="B273" s="9" t="inlineStr">
        <is>
          <t>إجمالي RNO-3879</t>
        </is>
      </c>
      <c r="C273" s="9" t="n"/>
      <c r="D273" s="9" t="n"/>
      <c r="E273" s="9" t="n"/>
      <c r="F273" s="9" t="n"/>
      <c r="G273" s="9">
        <f>SUM(G272:G272)</f>
        <v/>
      </c>
      <c r="H273" s="9" t="n"/>
      <c r="I273" s="9" t="n"/>
      <c r="J273" s="10">
        <f>SUM(J272:J272)</f>
        <v/>
      </c>
    </row>
    <row r="274">
      <c r="A274" s="16" t="inlineStr">
        <is>
          <t>RNO</t>
        </is>
      </c>
      <c r="B274" s="16" t="inlineStr">
        <is>
          <t>RNO-3906</t>
        </is>
      </c>
      <c r="C274" s="95" t="n">
        <v>46075</v>
      </c>
      <c r="D274" s="16" t="inlineStr">
        <is>
          <t>النظام القديم</t>
        </is>
      </c>
      <c r="E274" s="16" t="inlineStr">
        <is>
          <t>RN-FR1033</t>
        </is>
      </c>
      <c r="F274" s="16" t="inlineStr">
        <is>
          <t>بيتموس تي اس مخصب 210 لتر</t>
        </is>
      </c>
      <c r="G274" s="16" t="n">
        <v>17</v>
      </c>
      <c r="H274" s="16" t="inlineStr">
        <is>
          <t>EA</t>
        </is>
      </c>
      <c r="I274" s="17" t="n">
        <v>101.5</v>
      </c>
      <c r="J274" s="17" t="n">
        <v>1984.325</v>
      </c>
    </row>
    <row r="275">
      <c r="A275" s="16" t="inlineStr">
        <is>
          <t>RNO</t>
        </is>
      </c>
      <c r="B275" s="16" t="inlineStr">
        <is>
          <t>RNO-3906</t>
        </is>
      </c>
      <c r="C275" s="95" t="n">
        <v>46075</v>
      </c>
      <c r="D275" s="16" t="inlineStr">
        <is>
          <t>النظام القديم</t>
        </is>
      </c>
      <c r="E275" s="16" t="inlineStr">
        <is>
          <t>RN-FR368</t>
        </is>
      </c>
      <c r="F275" s="16" t="inlineStr">
        <is>
          <t>بيرلايت 100 لتر</t>
        </is>
      </c>
      <c r="G275" s="16" t="n">
        <v>6</v>
      </c>
      <c r="H275" s="16" t="inlineStr">
        <is>
          <t>EA</t>
        </is>
      </c>
      <c r="I275" s="17" t="n">
        <v>32.5</v>
      </c>
      <c r="J275" s="17" t="n">
        <v>224.25</v>
      </c>
    </row>
    <row r="276">
      <c r="A276" s="16" t="inlineStr">
        <is>
          <t>RNO</t>
        </is>
      </c>
      <c r="B276" s="16" t="inlineStr">
        <is>
          <t>RNO-3906</t>
        </is>
      </c>
      <c r="C276" s="95" t="n">
        <v>46075</v>
      </c>
      <c r="D276" s="16" t="inlineStr">
        <is>
          <t>النظام القديم</t>
        </is>
      </c>
      <c r="E276" s="16" t="inlineStr">
        <is>
          <t>RN-PL1</t>
        </is>
      </c>
      <c r="F276" s="16" t="inlineStr">
        <is>
          <t>مركن - زراعي خفيف ملون 9 سم</t>
        </is>
      </c>
      <c r="G276" s="16" t="n">
        <v>6000</v>
      </c>
      <c r="H276" s="16" t="inlineStr">
        <is>
          <t>EA</t>
        </is>
      </c>
      <c r="I276" s="17" t="n">
        <v>0.06</v>
      </c>
      <c r="J276" s="17" t="n">
        <v>414</v>
      </c>
    </row>
    <row r="277">
      <c r="A277" s="16" t="inlineStr">
        <is>
          <t>RNO</t>
        </is>
      </c>
      <c r="B277" s="16" t="inlineStr">
        <is>
          <t>RNO-3906</t>
        </is>
      </c>
      <c r="C277" s="95" t="n">
        <v>46075</v>
      </c>
      <c r="D277" s="16" t="inlineStr">
        <is>
          <t>النظام القديم</t>
        </is>
      </c>
      <c r="E277" s="16" t="inlineStr">
        <is>
          <t>RN-PL9</t>
        </is>
      </c>
      <c r="F277" s="16" t="inlineStr">
        <is>
          <t>مركن زراعي 40 سم</t>
        </is>
      </c>
      <c r="G277" s="16" t="n">
        <v>1304</v>
      </c>
      <c r="H277" s="16" t="inlineStr">
        <is>
          <t>EA</t>
        </is>
      </c>
      <c r="I277" s="17" t="n">
        <v>4.5</v>
      </c>
      <c r="J277" s="17" t="n">
        <v>6748.2</v>
      </c>
    </row>
    <row r="278">
      <c r="A278" s="16" t="inlineStr">
        <is>
          <t>RNO</t>
        </is>
      </c>
      <c r="B278" s="16" t="inlineStr">
        <is>
          <t>RNO-3906</t>
        </is>
      </c>
      <c r="C278" s="95" t="n">
        <v>46075</v>
      </c>
      <c r="D278" s="16" t="inlineStr">
        <is>
          <t>النظام القديم</t>
        </is>
      </c>
      <c r="E278" s="16" t="inlineStr">
        <is>
          <t>RN-PL12</t>
        </is>
      </c>
      <c r="F278" s="16" t="inlineStr">
        <is>
          <t>صندوق فلين للزهور</t>
        </is>
      </c>
      <c r="G278" s="16" t="n">
        <v>450</v>
      </c>
      <c r="H278" s="16" t="inlineStr">
        <is>
          <t>EA</t>
        </is>
      </c>
      <c r="I278" s="17" t="n">
        <v>4</v>
      </c>
      <c r="J278" s="17" t="n">
        <v>2070</v>
      </c>
    </row>
    <row r="279">
      <c r="A279" s="9" t="n"/>
      <c r="B279" s="9" t="inlineStr">
        <is>
          <t>إجمالي RNO-3906</t>
        </is>
      </c>
      <c r="C279" s="9" t="n"/>
      <c r="D279" s="9" t="n"/>
      <c r="E279" s="9" t="n"/>
      <c r="F279" s="9" t="n"/>
      <c r="G279" s="9">
        <f>SUM(G274:G278)</f>
        <v/>
      </c>
      <c r="H279" s="9" t="n"/>
      <c r="I279" s="9" t="n"/>
      <c r="J279" s="10">
        <f>SUM(J274:J278)</f>
        <v/>
      </c>
    </row>
    <row r="280">
      <c r="A280" s="16" t="inlineStr">
        <is>
          <t>RNO</t>
        </is>
      </c>
      <c r="B280" s="16" t="inlineStr">
        <is>
          <t>RNO-145</t>
        </is>
      </c>
      <c r="C280" s="95" t="n">
        <v>46079</v>
      </c>
      <c r="D280" s="16" t="inlineStr">
        <is>
          <t>سجل صرف المخزن</t>
        </is>
      </c>
      <c r="E280" s="16" t="inlineStr">
        <is>
          <t>RN-FR1033</t>
        </is>
      </c>
      <c r="F280" s="16" t="inlineStr">
        <is>
          <t>بيتموس تى اس مخصب 210 لتر</t>
        </is>
      </c>
      <c r="G280" s="16" t="n">
        <v>14</v>
      </c>
      <c r="H280" s="16" t="inlineStr">
        <is>
          <t>EA</t>
        </is>
      </c>
      <c r="I280" s="17" t="n">
        <v>101.5</v>
      </c>
      <c r="J280" s="17" t="n">
        <v>1421</v>
      </c>
    </row>
    <row r="281">
      <c r="A281" s="16" t="inlineStr">
        <is>
          <t>RNO</t>
        </is>
      </c>
      <c r="B281" s="16" t="inlineStr">
        <is>
          <t>RNO-145</t>
        </is>
      </c>
      <c r="C281" s="95" t="n">
        <v>46079</v>
      </c>
      <c r="D281" s="16" t="inlineStr">
        <is>
          <t>سجل صرف المخزن</t>
        </is>
      </c>
      <c r="E281" s="16" t="inlineStr">
        <is>
          <t>RN-FR368</t>
        </is>
      </c>
      <c r="F281" s="16" t="inlineStr">
        <is>
          <t>بيرلايت 100 لتر</t>
        </is>
      </c>
      <c r="G281" s="16" t="n">
        <v>4</v>
      </c>
      <c r="H281" s="16" t="inlineStr">
        <is>
          <t>EA</t>
        </is>
      </c>
      <c r="I281" s="17" t="n">
        <v>32.5</v>
      </c>
      <c r="J281" s="17" t="n">
        <v>130</v>
      </c>
    </row>
    <row r="282">
      <c r="A282" s="16" t="inlineStr">
        <is>
          <t>RNO</t>
        </is>
      </c>
      <c r="B282" s="16" t="inlineStr">
        <is>
          <t>RNO-145</t>
        </is>
      </c>
      <c r="C282" s="95" t="n">
        <v>46079</v>
      </c>
      <c r="D282" s="16" t="inlineStr">
        <is>
          <t>سجل صرف المخزن</t>
        </is>
      </c>
      <c r="E282" s="16" t="inlineStr">
        <is>
          <t>RN-FR1018</t>
        </is>
      </c>
      <c r="F282" s="16" t="inlineStr">
        <is>
          <t>فيرموكلايت 100 لتر</t>
        </is>
      </c>
      <c r="G282" s="16" t="n">
        <v>1</v>
      </c>
      <c r="H282" s="16" t="inlineStr">
        <is>
          <t>EA</t>
        </is>
      </c>
      <c r="I282" s="17" t="n">
        <v>75</v>
      </c>
      <c r="J282" s="17" t="n">
        <v>75</v>
      </c>
    </row>
    <row r="283">
      <c r="A283" s="16" t="inlineStr">
        <is>
          <t>RNO</t>
        </is>
      </c>
      <c r="B283" s="16" t="inlineStr">
        <is>
          <t>RNO-145</t>
        </is>
      </c>
      <c r="C283" s="95" t="n">
        <v>46079</v>
      </c>
      <c r="D283" s="16" t="inlineStr">
        <is>
          <t>سجل صرف المخزن</t>
        </is>
      </c>
      <c r="E283" s="16" t="inlineStr">
        <is>
          <t>RN-FR1004</t>
        </is>
      </c>
      <c r="F283" s="16" t="inlineStr">
        <is>
          <t>حديد مخلبى 6% 1 كجم</t>
        </is>
      </c>
      <c r="G283" s="16" t="n">
        <v>2</v>
      </c>
      <c r="H283" s="16" t="inlineStr">
        <is>
          <t>EA</t>
        </is>
      </c>
      <c r="I283" s="17" t="n">
        <v>60</v>
      </c>
      <c r="J283" s="17" t="n">
        <v>120</v>
      </c>
    </row>
    <row r="284">
      <c r="A284" s="16" t="inlineStr">
        <is>
          <t>RNO</t>
        </is>
      </c>
      <c r="B284" s="16" t="inlineStr">
        <is>
          <t>RNO-145</t>
        </is>
      </c>
      <c r="C284" s="95" t="n">
        <v>46079</v>
      </c>
      <c r="D284" s="16" t="inlineStr">
        <is>
          <t>سجل صرف المخزن</t>
        </is>
      </c>
      <c r="E284" s="16" t="inlineStr">
        <is>
          <t>RN-PL12</t>
        </is>
      </c>
      <c r="F284" s="16" t="inlineStr">
        <is>
          <t>صندوق فلين للزهور</t>
        </is>
      </c>
      <c r="G284" s="16" t="n">
        <v>506</v>
      </c>
      <c r="H284" s="16" t="inlineStr">
        <is>
          <t>EA</t>
        </is>
      </c>
      <c r="I284" s="17" t="n">
        <v>4</v>
      </c>
      <c r="J284" s="17" t="n">
        <v>2024</v>
      </c>
    </row>
    <row r="285">
      <c r="A285" s="9" t="n"/>
      <c r="B285" s="9" t="inlineStr">
        <is>
          <t>إجمالي RNO-145</t>
        </is>
      </c>
      <c r="C285" s="9" t="n"/>
      <c r="D285" s="9" t="n"/>
      <c r="E285" s="9" t="n"/>
      <c r="F285" s="9" t="n"/>
      <c r="G285" s="9">
        <f>SUM(G280:G284)</f>
        <v/>
      </c>
      <c r="H285" s="9" t="n"/>
      <c r="I285" s="9" t="n"/>
      <c r="J285" s="10">
        <f>SUM(J280:J284)</f>
        <v/>
      </c>
    </row>
    <row r="286">
      <c r="A286" s="16" t="inlineStr">
        <is>
          <t>RNO</t>
        </is>
      </c>
      <c r="B286" s="16" t="inlineStr">
        <is>
          <t>RNO-147</t>
        </is>
      </c>
      <c r="C286" s="95" t="n">
        <v>46082</v>
      </c>
      <c r="D286" s="16" t="inlineStr">
        <is>
          <t>سجل صرف المخزن</t>
        </is>
      </c>
      <c r="E286" s="16" t="inlineStr">
        <is>
          <t>RN-FR1033</t>
        </is>
      </c>
      <c r="F286" s="16" t="inlineStr">
        <is>
          <t>بيتموس تى اس مخصب 210 لتر</t>
        </is>
      </c>
      <c r="G286" s="16" t="n">
        <v>18</v>
      </c>
      <c r="H286" s="16" t="inlineStr">
        <is>
          <t>EA</t>
        </is>
      </c>
      <c r="I286" s="17" t="n">
        <v>101.5</v>
      </c>
      <c r="J286" s="17" t="n">
        <v>1827</v>
      </c>
    </row>
    <row r="287">
      <c r="A287" s="16" t="inlineStr">
        <is>
          <t>RNO</t>
        </is>
      </c>
      <c r="B287" s="16" t="inlineStr">
        <is>
          <t>RNO-147</t>
        </is>
      </c>
      <c r="C287" s="95" t="n">
        <v>46082</v>
      </c>
      <c r="D287" s="16" t="inlineStr">
        <is>
          <t>سجل صرف المخزن</t>
        </is>
      </c>
      <c r="E287" s="16" t="inlineStr">
        <is>
          <t>RN-FR368</t>
        </is>
      </c>
      <c r="F287" s="16" t="inlineStr">
        <is>
          <t>بيرلايت 100 لتر</t>
        </is>
      </c>
      <c r="G287" s="16" t="n">
        <v>5</v>
      </c>
      <c r="H287" s="16" t="inlineStr">
        <is>
          <t>EA</t>
        </is>
      </c>
      <c r="I287" s="17" t="n">
        <v>32.5</v>
      </c>
      <c r="J287" s="17" t="n">
        <v>162.5</v>
      </c>
    </row>
    <row r="288">
      <c r="A288" s="16" t="inlineStr">
        <is>
          <t>RNO</t>
        </is>
      </c>
      <c r="B288" s="16" t="inlineStr">
        <is>
          <t>RNO-147</t>
        </is>
      </c>
      <c r="C288" s="95" t="n">
        <v>46082</v>
      </c>
      <c r="D288" s="16" t="inlineStr">
        <is>
          <t>سجل صرف المخزن</t>
        </is>
      </c>
      <c r="E288" s="16" t="inlineStr">
        <is>
          <t>RN-PL1</t>
        </is>
      </c>
      <c r="F288" s="16" t="inlineStr">
        <is>
          <t>مركن زراعى خفيف ملون 9 سم</t>
        </is>
      </c>
      <c r="G288" s="16" t="n">
        <v>12000</v>
      </c>
      <c r="H288" s="16" t="inlineStr">
        <is>
          <t>EA</t>
        </is>
      </c>
      <c r="I288" s="17" t="n">
        <v>0.06</v>
      </c>
      <c r="J288" s="17" t="n">
        <v>720</v>
      </c>
    </row>
    <row r="289">
      <c r="A289" s="9" t="n"/>
      <c r="B289" s="9" t="inlineStr">
        <is>
          <t>إجمالي RNO-147</t>
        </is>
      </c>
      <c r="C289" s="9" t="n"/>
      <c r="D289" s="9" t="n"/>
      <c r="E289" s="9" t="n"/>
      <c r="F289" s="9" t="n"/>
      <c r="G289" s="9">
        <f>SUM(G286:G288)</f>
        <v/>
      </c>
      <c r="H289" s="9" t="n"/>
      <c r="I289" s="9" t="n"/>
      <c r="J289" s="10">
        <f>SUM(J286:J288)</f>
        <v/>
      </c>
    </row>
    <row r="290">
      <c r="A290" s="16" t="inlineStr">
        <is>
          <t>RNO</t>
        </is>
      </c>
      <c r="B290" s="16" t="inlineStr">
        <is>
          <t>RNO-149</t>
        </is>
      </c>
      <c r="C290" s="95" t="n">
        <v>46083</v>
      </c>
      <c r="D290" s="16" t="inlineStr">
        <is>
          <t>سجل صرف المخزن</t>
        </is>
      </c>
      <c r="E290" s="16" t="inlineStr">
        <is>
          <t>RN-FR1033</t>
        </is>
      </c>
      <c r="F290" s="16" t="inlineStr">
        <is>
          <t>بيتموس تى اس مخصب 210 لتر</t>
        </is>
      </c>
      <c r="G290" s="16" t="n">
        <v>6</v>
      </c>
      <c r="H290" s="16" t="inlineStr">
        <is>
          <t>EA</t>
        </is>
      </c>
      <c r="I290" s="17" t="n">
        <v>101.5</v>
      </c>
      <c r="J290" s="17" t="n">
        <v>609</v>
      </c>
    </row>
    <row r="291">
      <c r="A291" s="16" t="inlineStr">
        <is>
          <t>RNO</t>
        </is>
      </c>
      <c r="B291" s="16" t="inlineStr">
        <is>
          <t>RNO-149</t>
        </is>
      </c>
      <c r="C291" s="95" t="n">
        <v>46083</v>
      </c>
      <c r="D291" s="16" t="inlineStr">
        <is>
          <t>سجل صرف المخزن</t>
        </is>
      </c>
      <c r="E291" s="16" t="inlineStr">
        <is>
          <t>RN-PL1</t>
        </is>
      </c>
      <c r="F291" s="16" t="inlineStr">
        <is>
          <t>مركن زراعى خفيف ملون 9 سم</t>
        </is>
      </c>
      <c r="G291" s="16" t="n">
        <v>21000</v>
      </c>
      <c r="H291" s="16" t="inlineStr">
        <is>
          <t>EA</t>
        </is>
      </c>
      <c r="I291" s="17" t="n">
        <v>0.06</v>
      </c>
      <c r="J291" s="17" t="n">
        <v>1260</v>
      </c>
    </row>
    <row r="292">
      <c r="A292" s="9" t="n"/>
      <c r="B292" s="9" t="inlineStr">
        <is>
          <t>إجمالي RNO-149</t>
        </is>
      </c>
      <c r="C292" s="9" t="n"/>
      <c r="D292" s="9" t="n"/>
      <c r="E292" s="9" t="n"/>
      <c r="F292" s="9" t="n"/>
      <c r="G292" s="9">
        <f>SUM(G290:G291)</f>
        <v/>
      </c>
      <c r="H292" s="9" t="n"/>
      <c r="I292" s="9" t="n"/>
      <c r="J292" s="10">
        <f>SUM(J290:J291)</f>
        <v/>
      </c>
    </row>
    <row r="293">
      <c r="A293" s="16" t="inlineStr">
        <is>
          <t>RNO</t>
        </is>
      </c>
      <c r="B293" s="16" t="inlineStr">
        <is>
          <t>RNO-150</t>
        </is>
      </c>
      <c r="C293" s="95" t="n">
        <v>46084</v>
      </c>
      <c r="D293" s="16" t="inlineStr">
        <is>
          <t>سجل صرف المخزن</t>
        </is>
      </c>
      <c r="E293" s="16" t="inlineStr">
        <is>
          <t>RN-FR1033</t>
        </is>
      </c>
      <c r="F293" s="16" t="inlineStr">
        <is>
          <t>بيتموس تى اس مخصب 210 لتر</t>
        </is>
      </c>
      <c r="G293" s="16" t="n">
        <v>21</v>
      </c>
      <c r="H293" s="16" t="inlineStr">
        <is>
          <t>EA</t>
        </is>
      </c>
      <c r="I293" s="17" t="n">
        <v>101.5</v>
      </c>
      <c r="J293" s="17" t="n">
        <v>2131.5</v>
      </c>
    </row>
    <row r="294">
      <c r="A294" s="16" t="inlineStr">
        <is>
          <t>RNO</t>
        </is>
      </c>
      <c r="B294" s="16" t="inlineStr">
        <is>
          <t>RNO-150</t>
        </is>
      </c>
      <c r="C294" s="95" t="n">
        <v>46084</v>
      </c>
      <c r="D294" s="16" t="inlineStr">
        <is>
          <t>سجل صرف المخزن</t>
        </is>
      </c>
      <c r="E294" s="16" t="inlineStr">
        <is>
          <t>RN-FR368</t>
        </is>
      </c>
      <c r="F294" s="16" t="inlineStr">
        <is>
          <t>بيرلايت 100 لتر</t>
        </is>
      </c>
      <c r="G294" s="16" t="n">
        <v>6</v>
      </c>
      <c r="H294" s="16" t="inlineStr">
        <is>
          <t>EA</t>
        </is>
      </c>
      <c r="I294" s="17" t="n">
        <v>32.5</v>
      </c>
      <c r="J294" s="17" t="n">
        <v>195</v>
      </c>
    </row>
    <row r="295">
      <c r="A295" s="16" t="inlineStr">
        <is>
          <t>RNO</t>
        </is>
      </c>
      <c r="B295" s="16" t="inlineStr">
        <is>
          <t>RNO-150</t>
        </is>
      </c>
      <c r="C295" s="95" t="n">
        <v>46084</v>
      </c>
      <c r="D295" s="16" t="inlineStr">
        <is>
          <t>سجل صرف المخزن</t>
        </is>
      </c>
      <c r="E295" s="16" t="inlineStr">
        <is>
          <t>RN-PL1</t>
        </is>
      </c>
      <c r="F295" s="16" t="inlineStr">
        <is>
          <t>مركن زراعى خفيف ملون 9 سم</t>
        </is>
      </c>
      <c r="G295" s="16" t="n">
        <v>6000</v>
      </c>
      <c r="H295" s="16" t="inlineStr">
        <is>
          <t>EA</t>
        </is>
      </c>
      <c r="I295" s="17" t="n">
        <v>0.06</v>
      </c>
      <c r="J295" s="17" t="n">
        <v>360</v>
      </c>
    </row>
    <row r="296">
      <c r="A296" s="16" t="inlineStr">
        <is>
          <t>RNO</t>
        </is>
      </c>
      <c r="B296" s="16" t="inlineStr">
        <is>
          <t>RNO-150</t>
        </is>
      </c>
      <c r="C296" s="95" t="n">
        <v>46084</v>
      </c>
      <c r="D296" s="16" t="inlineStr">
        <is>
          <t>سجل صرف المخزن</t>
        </is>
      </c>
      <c r="E296" s="16" t="inlineStr">
        <is>
          <t>RN-PL12</t>
        </is>
      </c>
      <c r="F296" s="16" t="inlineStr">
        <is>
          <t>صندوق فلين للزهور</t>
        </is>
      </c>
      <c r="G296" s="16" t="n">
        <v>452</v>
      </c>
      <c r="H296" s="16" t="inlineStr">
        <is>
          <t>EA</t>
        </is>
      </c>
      <c r="I296" s="17" t="n">
        <v>4</v>
      </c>
      <c r="J296" s="17" t="n">
        <v>1808</v>
      </c>
    </row>
    <row r="297">
      <c r="A297" s="9" t="n"/>
      <c r="B297" s="9" t="inlineStr">
        <is>
          <t>إجمالي RNO-150</t>
        </is>
      </c>
      <c r="C297" s="9" t="n"/>
      <c r="D297" s="9" t="n"/>
      <c r="E297" s="9" t="n"/>
      <c r="F297" s="9" t="n"/>
      <c r="G297" s="9">
        <f>SUM(G293:G296)</f>
        <v/>
      </c>
      <c r="H297" s="9" t="n"/>
      <c r="I297" s="9" t="n"/>
      <c r="J297" s="10">
        <f>SUM(J293:J296)</f>
        <v/>
      </c>
    </row>
    <row r="298">
      <c r="A298" s="16" t="inlineStr">
        <is>
          <t>RNO</t>
        </is>
      </c>
      <c r="B298" s="16" t="inlineStr">
        <is>
          <t>RNO-152</t>
        </is>
      </c>
      <c r="C298" s="95" t="n">
        <v>46084</v>
      </c>
      <c r="D298" s="16" t="inlineStr">
        <is>
          <t>سجل صرف المخزن</t>
        </is>
      </c>
      <c r="E298" s="16" t="inlineStr">
        <is>
          <t>RN-PL1</t>
        </is>
      </c>
      <c r="F298" s="16" t="inlineStr">
        <is>
          <t>مركن زراعى خفيف ملون 9 سم</t>
        </is>
      </c>
      <c r="G298" s="16" t="n">
        <v>32000</v>
      </c>
      <c r="H298" s="16" t="inlineStr">
        <is>
          <t>EA</t>
        </is>
      </c>
      <c r="I298" s="17" t="n">
        <v>0.06</v>
      </c>
      <c r="J298" s="17" t="n">
        <v>1920</v>
      </c>
    </row>
    <row r="299">
      <c r="A299" s="9" t="n"/>
      <c r="B299" s="9" t="inlineStr">
        <is>
          <t>إجمالي RNO-152</t>
        </is>
      </c>
      <c r="C299" s="9" t="n"/>
      <c r="D299" s="9" t="n"/>
      <c r="E299" s="9" t="n"/>
      <c r="F299" s="9" t="n"/>
      <c r="G299" s="9">
        <f>SUM(G298:G298)</f>
        <v/>
      </c>
      <c r="H299" s="9" t="n"/>
      <c r="I299" s="9" t="n"/>
      <c r="J299" s="10">
        <f>SUM(J298:J298)</f>
        <v/>
      </c>
    </row>
    <row r="300">
      <c r="A300" s="16" t="inlineStr">
        <is>
          <t>RNO</t>
        </is>
      </c>
      <c r="B300" s="16" t="inlineStr">
        <is>
          <t>RNO-156</t>
        </is>
      </c>
      <c r="C300" s="95" t="n">
        <v>46086</v>
      </c>
      <c r="D300" s="16" t="inlineStr">
        <is>
          <t>سجل صرف المخزن</t>
        </is>
      </c>
      <c r="E300" s="16" t="inlineStr">
        <is>
          <t>RN-FR1017</t>
        </is>
      </c>
      <c r="F300" s="16" t="inlineStr">
        <is>
          <t>بوتنج سويل 70 لتر</t>
        </is>
      </c>
      <c r="G300" s="16" t="n">
        <v>10</v>
      </c>
      <c r="H300" s="16" t="inlineStr">
        <is>
          <t>EA</t>
        </is>
      </c>
      <c r="I300" s="17" t="n">
        <v>46</v>
      </c>
      <c r="J300" s="17" t="n">
        <v>460</v>
      </c>
    </row>
    <row r="301">
      <c r="A301" s="16" t="inlineStr">
        <is>
          <t>RNO</t>
        </is>
      </c>
      <c r="B301" s="16" t="inlineStr">
        <is>
          <t>RNO-156</t>
        </is>
      </c>
      <c r="C301" s="95" t="n">
        <v>46086</v>
      </c>
      <c r="D301" s="16" t="inlineStr">
        <is>
          <t>سجل صرف المخزن</t>
        </is>
      </c>
      <c r="E301" s="16" t="inlineStr">
        <is>
          <t>RN-FR1018</t>
        </is>
      </c>
      <c r="F301" s="16" t="inlineStr">
        <is>
          <t>فيرموكلايت 100 لتر</t>
        </is>
      </c>
      <c r="G301" s="16" t="n">
        <v>2</v>
      </c>
      <c r="H301" s="16" t="inlineStr">
        <is>
          <t>EA</t>
        </is>
      </c>
      <c r="I301" s="17" t="n">
        <v>75</v>
      </c>
      <c r="J301" s="17" t="n">
        <v>150</v>
      </c>
    </row>
    <row r="302">
      <c r="A302" s="16" t="inlineStr">
        <is>
          <t>RNO</t>
        </is>
      </c>
      <c r="B302" s="16" t="inlineStr">
        <is>
          <t>RNO-156</t>
        </is>
      </c>
      <c r="C302" s="95" t="n">
        <v>46086</v>
      </c>
      <c r="D302" s="16" t="inlineStr">
        <is>
          <t>سجل صرف المخزن</t>
        </is>
      </c>
      <c r="E302" s="16" t="inlineStr">
        <is>
          <t>RN-PL1</t>
        </is>
      </c>
      <c r="F302" s="16" t="inlineStr">
        <is>
          <t>مركن زراعى خفيف ملون 9 سم</t>
        </is>
      </c>
      <c r="G302" s="16" t="n">
        <v>6000</v>
      </c>
      <c r="H302" s="16" t="inlineStr">
        <is>
          <t>EA</t>
        </is>
      </c>
      <c r="I302" s="17" t="n">
        <v>0.06</v>
      </c>
      <c r="J302" s="17" t="n">
        <v>360</v>
      </c>
    </row>
    <row r="303">
      <c r="A303" s="16" t="inlineStr">
        <is>
          <t>RNO</t>
        </is>
      </c>
      <c r="B303" s="16" t="inlineStr">
        <is>
          <t>RNO-156</t>
        </is>
      </c>
      <c r="C303" s="95" t="n">
        <v>46086</v>
      </c>
      <c r="D303" s="16" t="inlineStr">
        <is>
          <t>سجل صرف المخزن</t>
        </is>
      </c>
      <c r="E303" s="16" t="inlineStr">
        <is>
          <t>RN-SE100</t>
        </is>
      </c>
      <c r="F303" s="16" t="inlineStr">
        <is>
          <t>بذور فينكا فيكتوري أبيض</t>
        </is>
      </c>
      <c r="G303" s="16" t="n">
        <v>15000</v>
      </c>
      <c r="H303" s="16" t="inlineStr">
        <is>
          <t>EA</t>
        </is>
      </c>
      <c r="I303" s="17" t="n">
        <v>0.035</v>
      </c>
      <c r="J303" s="17" t="n">
        <v>525</v>
      </c>
    </row>
    <row r="304">
      <c r="A304" s="16" t="inlineStr">
        <is>
          <t>RNO</t>
        </is>
      </c>
      <c r="B304" s="16" t="inlineStr">
        <is>
          <t>RNO-156</t>
        </is>
      </c>
      <c r="C304" s="95" t="n">
        <v>46086</v>
      </c>
      <c r="D304" s="16" t="inlineStr">
        <is>
          <t>سجل صرف المخزن</t>
        </is>
      </c>
      <c r="E304" s="16" t="inlineStr">
        <is>
          <t>RN-SE101</t>
        </is>
      </c>
      <c r="F304" s="16" t="inlineStr">
        <is>
          <t>بذور فينكا باسيفيكا أحمر داكن</t>
        </is>
      </c>
      <c r="G304" s="16" t="n">
        <v>15000</v>
      </c>
      <c r="H304" s="16" t="inlineStr">
        <is>
          <t>EA</t>
        </is>
      </c>
      <c r="I304" s="17" t="n">
        <v>0.035</v>
      </c>
      <c r="J304" s="17" t="n">
        <v>525</v>
      </c>
    </row>
    <row r="305">
      <c r="A305" s="16" t="inlineStr">
        <is>
          <t>RNO</t>
        </is>
      </c>
      <c r="B305" s="16" t="inlineStr">
        <is>
          <t>RNO-156</t>
        </is>
      </c>
      <c r="C305" s="95" t="n">
        <v>46086</v>
      </c>
      <c r="D305" s="16" t="inlineStr">
        <is>
          <t>سجل صرف المخزن</t>
        </is>
      </c>
      <c r="E305" s="16" t="inlineStr">
        <is>
          <t>RN-SE103</t>
        </is>
      </c>
      <c r="F305" s="16" t="inlineStr">
        <is>
          <t>بذور فينكا باسيفيكا أوركيد عميق</t>
        </is>
      </c>
      <c r="G305" s="16" t="n">
        <v>10000</v>
      </c>
      <c r="H305" s="16" t="inlineStr">
        <is>
          <t>EA</t>
        </is>
      </c>
      <c r="I305" s="17" t="n">
        <v>0.035</v>
      </c>
      <c r="J305" s="17" t="n">
        <v>350</v>
      </c>
    </row>
    <row r="306">
      <c r="A306" s="16" t="inlineStr">
        <is>
          <t>RNO</t>
        </is>
      </c>
      <c r="B306" s="16" t="inlineStr">
        <is>
          <t>RNO-156</t>
        </is>
      </c>
      <c r="C306" s="95" t="n">
        <v>46086</v>
      </c>
      <c r="D306" s="16" t="inlineStr">
        <is>
          <t>سجل صرف المخزن</t>
        </is>
      </c>
      <c r="E306" s="16" t="inlineStr">
        <is>
          <t>RN-SE104</t>
        </is>
      </c>
      <c r="F306" s="16" t="inlineStr">
        <is>
          <t>بذور فينكا باسيفيكا برغندي</t>
        </is>
      </c>
      <c r="G306" s="16" t="n">
        <v>5000</v>
      </c>
      <c r="H306" s="16" t="inlineStr">
        <is>
          <t>EA</t>
        </is>
      </c>
      <c r="I306" s="17" t="n">
        <v>0.035</v>
      </c>
      <c r="J306" s="17" t="n">
        <v>175</v>
      </c>
    </row>
    <row r="307">
      <c r="A307" s="16" t="inlineStr">
        <is>
          <t>RNO</t>
        </is>
      </c>
      <c r="B307" s="16" t="inlineStr">
        <is>
          <t>RNO-156</t>
        </is>
      </c>
      <c r="C307" s="95" t="n">
        <v>46086</v>
      </c>
      <c r="D307" s="16" t="inlineStr">
        <is>
          <t>سجل صرف المخزن</t>
        </is>
      </c>
      <c r="E307" s="16" t="inlineStr">
        <is>
          <t>RN-SE105</t>
        </is>
      </c>
      <c r="F307" s="16" t="inlineStr">
        <is>
          <t>بذور فينكا باسيفيكا برغندي هالو</t>
        </is>
      </c>
      <c r="G307" s="16" t="n">
        <v>5000</v>
      </c>
      <c r="H307" s="16" t="inlineStr">
        <is>
          <t>EA</t>
        </is>
      </c>
      <c r="I307" s="17" t="n">
        <v>0.035</v>
      </c>
      <c r="J307" s="17" t="n">
        <v>175</v>
      </c>
    </row>
    <row r="308">
      <c r="A308" s="16" t="inlineStr">
        <is>
          <t>RNO</t>
        </is>
      </c>
      <c r="B308" s="16" t="inlineStr">
        <is>
          <t>RNO-156</t>
        </is>
      </c>
      <c r="C308" s="95" t="n">
        <v>46086</v>
      </c>
      <c r="D308" s="16" t="inlineStr">
        <is>
          <t>سجل صرف المخزن</t>
        </is>
      </c>
      <c r="E308" s="16" t="inlineStr">
        <is>
          <t>RN-SE106</t>
        </is>
      </c>
      <c r="F308" s="16" t="inlineStr">
        <is>
          <t>بذور فينكا باسيفيكا أحمر</t>
        </is>
      </c>
      <c r="G308" s="16" t="n">
        <v>5000</v>
      </c>
      <c r="H308" s="16" t="inlineStr">
        <is>
          <t>EA</t>
        </is>
      </c>
      <c r="I308" s="17" t="n">
        <v>0.035</v>
      </c>
      <c r="J308" s="17" t="n">
        <v>175</v>
      </c>
    </row>
    <row r="309">
      <c r="A309" s="16" t="inlineStr">
        <is>
          <t>RNO</t>
        </is>
      </c>
      <c r="B309" s="16" t="inlineStr">
        <is>
          <t>RNO-156</t>
        </is>
      </c>
      <c r="C309" s="95" t="n">
        <v>46086</v>
      </c>
      <c r="D309" s="16" t="inlineStr">
        <is>
          <t>سجل صرف المخزن</t>
        </is>
      </c>
      <c r="E309" s="16" t="inlineStr">
        <is>
          <t>RN-SE108</t>
        </is>
      </c>
      <c r="F309" s="16" t="inlineStr">
        <is>
          <t>بذور فينكا صن ستورم مشمشي</t>
        </is>
      </c>
      <c r="G309" s="16" t="n">
        <v>5000</v>
      </c>
      <c r="H309" s="16" t="inlineStr">
        <is>
          <t>EA</t>
        </is>
      </c>
      <c r="I309" s="17" t="n">
        <v>0.03</v>
      </c>
      <c r="J309" s="17" t="n">
        <v>150</v>
      </c>
    </row>
    <row r="310">
      <c r="A310" s="16" t="inlineStr">
        <is>
          <t>RNO</t>
        </is>
      </c>
      <c r="B310" s="16" t="inlineStr">
        <is>
          <t>RNO-156</t>
        </is>
      </c>
      <c r="C310" s="95" t="n">
        <v>46086</v>
      </c>
      <c r="D310" s="16" t="inlineStr">
        <is>
          <t>سجل صرف المخزن</t>
        </is>
      </c>
      <c r="E310" s="16" t="inlineStr">
        <is>
          <t>RN-SE109</t>
        </is>
      </c>
      <c r="F310" s="16" t="inlineStr">
        <is>
          <t>بذور فينكا باسيفيكا بولكا دوت</t>
        </is>
      </c>
      <c r="G310" s="16" t="n">
        <v>5000</v>
      </c>
      <c r="H310" s="16" t="inlineStr">
        <is>
          <t>EA</t>
        </is>
      </c>
      <c r="I310" s="17" t="n">
        <v>0.035</v>
      </c>
      <c r="J310" s="17" t="n">
        <v>175</v>
      </c>
    </row>
    <row r="311">
      <c r="A311" s="16" t="inlineStr">
        <is>
          <t>RNO</t>
        </is>
      </c>
      <c r="B311" s="16" t="inlineStr">
        <is>
          <t>RNO-156</t>
        </is>
      </c>
      <c r="C311" s="95" t="n">
        <v>46086</v>
      </c>
      <c r="D311" s="16" t="inlineStr">
        <is>
          <t>سجل صرف المخزن</t>
        </is>
      </c>
      <c r="E311" s="16" t="inlineStr">
        <is>
          <t>RN-SE111</t>
        </is>
      </c>
      <c r="F311" s="16" t="inlineStr">
        <is>
          <t>بذور أمارانتس</t>
        </is>
      </c>
      <c r="G311" s="16" t="n">
        <v>5000</v>
      </c>
      <c r="H311" s="16" t="inlineStr">
        <is>
          <t>EA</t>
        </is>
      </c>
      <c r="I311" s="17" t="n">
        <v>0.01</v>
      </c>
      <c r="J311" s="17" t="n">
        <v>50</v>
      </c>
    </row>
    <row r="312">
      <c r="A312" s="9" t="n"/>
      <c r="B312" s="9" t="inlineStr">
        <is>
          <t>إجمالي RNO-156</t>
        </is>
      </c>
      <c r="C312" s="9" t="n"/>
      <c r="D312" s="9" t="n"/>
      <c r="E312" s="9" t="n"/>
      <c r="F312" s="9" t="n"/>
      <c r="G312" s="9">
        <f>SUM(G300:G311)</f>
        <v/>
      </c>
      <c r="H312" s="9" t="n"/>
      <c r="I312" s="9" t="n"/>
      <c r="J312" s="10">
        <f>SUM(J300:J311)</f>
        <v/>
      </c>
    </row>
    <row r="313">
      <c r="A313" s="16" t="inlineStr">
        <is>
          <t>RNO</t>
        </is>
      </c>
      <c r="B313" s="16" t="inlineStr">
        <is>
          <t>RNO-158</t>
        </is>
      </c>
      <c r="C313" s="95" t="n">
        <v>46088</v>
      </c>
      <c r="D313" s="16" t="inlineStr">
        <is>
          <t>سجل صرف المخزن</t>
        </is>
      </c>
      <c r="E313" s="16" t="inlineStr">
        <is>
          <t>RN-FR1033</t>
        </is>
      </c>
      <c r="F313" s="16" t="inlineStr">
        <is>
          <t>بيتموس تى اس مخصب 210 لتر</t>
        </is>
      </c>
      <c r="G313" s="16" t="n">
        <v>14</v>
      </c>
      <c r="H313" s="16" t="inlineStr">
        <is>
          <t>EA</t>
        </is>
      </c>
      <c r="I313" s="17" t="n">
        <v>101.5</v>
      </c>
      <c r="J313" s="17" t="n">
        <v>1421</v>
      </c>
    </row>
    <row r="314">
      <c r="A314" s="16" t="inlineStr">
        <is>
          <t>RNO</t>
        </is>
      </c>
      <c r="B314" s="16" t="inlineStr">
        <is>
          <t>RNO-158</t>
        </is>
      </c>
      <c r="C314" s="95" t="n">
        <v>46088</v>
      </c>
      <c r="D314" s="16" t="inlineStr">
        <is>
          <t>سجل صرف المخزن</t>
        </is>
      </c>
      <c r="E314" s="16" t="inlineStr">
        <is>
          <t>RN-FR368</t>
        </is>
      </c>
      <c r="F314" s="16" t="inlineStr">
        <is>
          <t>بيرلايت 100 لتر</t>
        </is>
      </c>
      <c r="G314" s="16" t="n">
        <v>4</v>
      </c>
      <c r="H314" s="16" t="inlineStr">
        <is>
          <t>EA</t>
        </is>
      </c>
      <c r="I314" s="17" t="n">
        <v>32.5</v>
      </c>
      <c r="J314" s="17" t="n">
        <v>130</v>
      </c>
    </row>
    <row r="315">
      <c r="A315" s="9" t="n"/>
      <c r="B315" s="9" t="inlineStr">
        <is>
          <t>إجمالي RNO-158</t>
        </is>
      </c>
      <c r="C315" s="9" t="n"/>
      <c r="D315" s="9" t="n"/>
      <c r="E315" s="9" t="n"/>
      <c r="F315" s="9" t="n"/>
      <c r="G315" s="9">
        <f>SUM(G313:G314)</f>
        <v/>
      </c>
      <c r="H315" s="9" t="n"/>
      <c r="I315" s="9" t="n"/>
      <c r="J315" s="10">
        <f>SUM(J313:J314)</f>
        <v/>
      </c>
    </row>
    <row r="316">
      <c r="A316" s="16" t="inlineStr">
        <is>
          <t>RNO</t>
        </is>
      </c>
      <c r="B316" s="16" t="inlineStr">
        <is>
          <t>RNO-163</t>
        </is>
      </c>
      <c r="C316" s="95" t="n">
        <v>46090</v>
      </c>
      <c r="D316" s="16" t="inlineStr">
        <is>
          <t>سجل صرف المخزن</t>
        </is>
      </c>
      <c r="E316" s="16" t="inlineStr">
        <is>
          <t>RN-FR1033</t>
        </is>
      </c>
      <c r="F316" s="16" t="inlineStr">
        <is>
          <t>بيتموس تى اس مخصب 210 لتر</t>
        </is>
      </c>
      <c r="G316" s="16" t="n">
        <v>21</v>
      </c>
      <c r="H316" s="16" t="inlineStr">
        <is>
          <t>EA</t>
        </is>
      </c>
      <c r="I316" s="17" t="n">
        <v>101.5</v>
      </c>
      <c r="J316" s="17" t="n">
        <v>2131.5</v>
      </c>
    </row>
    <row r="317">
      <c r="A317" s="16" t="inlineStr">
        <is>
          <t>RNO</t>
        </is>
      </c>
      <c r="B317" s="16" t="inlineStr">
        <is>
          <t>RNO-163</t>
        </is>
      </c>
      <c r="C317" s="95" t="n">
        <v>46090</v>
      </c>
      <c r="D317" s="16" t="inlineStr">
        <is>
          <t>سجل صرف المخزن</t>
        </is>
      </c>
      <c r="E317" s="16" t="inlineStr">
        <is>
          <t>RN-FR368</t>
        </is>
      </c>
      <c r="F317" s="16" t="inlineStr">
        <is>
          <t>بيرلايت 100 لتر</t>
        </is>
      </c>
      <c r="G317" s="16" t="n">
        <v>6</v>
      </c>
      <c r="H317" s="16" t="inlineStr">
        <is>
          <t>EA</t>
        </is>
      </c>
      <c r="I317" s="17" t="n">
        <v>32.5</v>
      </c>
      <c r="J317" s="17" t="n">
        <v>195</v>
      </c>
    </row>
    <row r="318">
      <c r="A318" s="16" t="inlineStr">
        <is>
          <t>RNO</t>
        </is>
      </c>
      <c r="B318" s="16" t="inlineStr">
        <is>
          <t>RNO-163</t>
        </is>
      </c>
      <c r="C318" s="95" t="n">
        <v>46090</v>
      </c>
      <c r="D318" s="16" t="inlineStr">
        <is>
          <t>سجل صرف المخزن</t>
        </is>
      </c>
      <c r="E318" s="16" t="inlineStr">
        <is>
          <t>RN-PL1</t>
        </is>
      </c>
      <c r="F318" s="16" t="inlineStr">
        <is>
          <t>مركن زراعى خفيف ملون 9 سم</t>
        </is>
      </c>
      <c r="G318" s="16" t="n">
        <v>24000</v>
      </c>
      <c r="H318" s="16" t="inlineStr">
        <is>
          <t>EA</t>
        </is>
      </c>
      <c r="I318" s="17" t="n">
        <v>0.06</v>
      </c>
      <c r="J318" s="17" t="n">
        <v>1440</v>
      </c>
    </row>
    <row r="319">
      <c r="A319" s="16" t="inlineStr">
        <is>
          <t>RNO</t>
        </is>
      </c>
      <c r="B319" s="16" t="inlineStr">
        <is>
          <t>RNO-163</t>
        </is>
      </c>
      <c r="C319" s="95" t="n">
        <v>46090</v>
      </c>
      <c r="D319" s="16" t="inlineStr">
        <is>
          <t>سجل صرف المخزن</t>
        </is>
      </c>
      <c r="E319" s="16" t="inlineStr">
        <is>
          <t>RN-FR1004</t>
        </is>
      </c>
      <c r="F319" s="16" t="inlineStr">
        <is>
          <t>حديد مخلبى 6% 1 كجم</t>
        </is>
      </c>
      <c r="G319" s="16" t="n">
        <v>1</v>
      </c>
      <c r="H319" s="16" t="inlineStr">
        <is>
          <t>EA</t>
        </is>
      </c>
      <c r="I319" s="17" t="n">
        <v>60</v>
      </c>
      <c r="J319" s="17" t="n">
        <v>60</v>
      </c>
    </row>
    <row r="320">
      <c r="A320" s="16" t="inlineStr">
        <is>
          <t>RNO</t>
        </is>
      </c>
      <c r="B320" s="16" t="inlineStr">
        <is>
          <t>RNO-163</t>
        </is>
      </c>
      <c r="C320" s="95" t="n">
        <v>46090</v>
      </c>
      <c r="D320" s="16" t="inlineStr">
        <is>
          <t>سجل صرف المخزن</t>
        </is>
      </c>
      <c r="E320" s="16" t="inlineStr">
        <is>
          <t>RN-PL12</t>
        </is>
      </c>
      <c r="F320" s="16" t="inlineStr">
        <is>
          <t>صندوق فلين للزهور</t>
        </is>
      </c>
      <c r="G320" s="16" t="n">
        <v>450</v>
      </c>
      <c r="H320" s="16" t="inlineStr">
        <is>
          <t>EA</t>
        </is>
      </c>
      <c r="I320" s="17" t="n">
        <v>4</v>
      </c>
      <c r="J320" s="17" t="n">
        <v>1800</v>
      </c>
    </row>
    <row r="321">
      <c r="A321" s="9" t="n"/>
      <c r="B321" s="9" t="inlineStr">
        <is>
          <t>إجمالي RNO-163</t>
        </is>
      </c>
      <c r="C321" s="9" t="n"/>
      <c r="D321" s="9" t="n"/>
      <c r="E321" s="9" t="n"/>
      <c r="F321" s="9" t="n"/>
      <c r="G321" s="9">
        <f>SUM(G316:G320)</f>
        <v/>
      </c>
      <c r="H321" s="9" t="n"/>
      <c r="I321" s="9" t="n"/>
      <c r="J321" s="10">
        <f>SUM(J316:J320)</f>
        <v/>
      </c>
    </row>
    <row r="322">
      <c r="A322" s="16" t="inlineStr">
        <is>
          <t>RNO</t>
        </is>
      </c>
      <c r="B322" s="16" t="inlineStr">
        <is>
          <t>RNO-166</t>
        </is>
      </c>
      <c r="C322" s="95" t="n">
        <v>46092</v>
      </c>
      <c r="D322" s="16" t="inlineStr">
        <is>
          <t>سجل صرف المخزن</t>
        </is>
      </c>
      <c r="E322" s="16" t="inlineStr">
        <is>
          <t>RN-FR1004</t>
        </is>
      </c>
      <c r="F322" s="16" t="inlineStr">
        <is>
          <t>حديد مخلبى 6% 1 كجم</t>
        </is>
      </c>
      <c r="G322" s="16" t="n">
        <v>1</v>
      </c>
      <c r="H322" s="16" t="inlineStr">
        <is>
          <t>EA</t>
        </is>
      </c>
      <c r="I322" s="17" t="n">
        <v>60</v>
      </c>
      <c r="J322" s="17" t="n">
        <v>60</v>
      </c>
    </row>
    <row r="323">
      <c r="A323" s="16" t="inlineStr">
        <is>
          <t>RNO</t>
        </is>
      </c>
      <c r="B323" s="16" t="inlineStr">
        <is>
          <t>RNO-166</t>
        </is>
      </c>
      <c r="C323" s="95" t="n">
        <v>46092</v>
      </c>
      <c r="D323" s="16" t="inlineStr">
        <is>
          <t>سجل صرف المخزن</t>
        </is>
      </c>
      <c r="E323" s="16" t="inlineStr">
        <is>
          <t>RN-FR1023</t>
        </is>
      </c>
      <c r="F323" s="16" t="inlineStr">
        <is>
          <t>سنجرال 20-20-20+ع ن - 25 كجم</t>
        </is>
      </c>
      <c r="G323" s="16" t="n">
        <v>1</v>
      </c>
      <c r="H323" s="16" t="inlineStr">
        <is>
          <t>EA</t>
        </is>
      </c>
      <c r="I323" s="17" t="n">
        <v>280</v>
      </c>
      <c r="J323" s="17" t="n">
        <v>280</v>
      </c>
    </row>
    <row r="324">
      <c r="A324" s="9" t="n"/>
      <c r="B324" s="9" t="inlineStr">
        <is>
          <t>إجمالي RNO-166</t>
        </is>
      </c>
      <c r="C324" s="9" t="n"/>
      <c r="D324" s="9" t="n"/>
      <c r="E324" s="9" t="n"/>
      <c r="F324" s="9" t="n"/>
      <c r="G324" s="9">
        <f>SUM(G322:G323)</f>
        <v/>
      </c>
      <c r="H324" s="9" t="n"/>
      <c r="I324" s="9" t="n"/>
      <c r="J324" s="10">
        <f>SUM(J322:J323)</f>
        <v/>
      </c>
    </row>
    <row r="325">
      <c r="A325" s="16" t="inlineStr">
        <is>
          <t>RNO</t>
        </is>
      </c>
      <c r="B325" s="16" t="inlineStr">
        <is>
          <t>RNO-169</t>
        </is>
      </c>
      <c r="C325" s="95" t="n">
        <v>46095</v>
      </c>
      <c r="D325" s="16" t="inlineStr">
        <is>
          <t>سجل صرف المخزن</t>
        </is>
      </c>
      <c r="E325" s="16" t="inlineStr">
        <is>
          <t>RN-FR1033</t>
        </is>
      </c>
      <c r="F325" s="16" t="inlineStr">
        <is>
          <t>بيتموس تى اس مخصب 210 لتر</t>
        </is>
      </c>
      <c r="G325" s="16" t="n">
        <v>5</v>
      </c>
      <c r="H325" s="16" t="inlineStr">
        <is>
          <t>EA</t>
        </is>
      </c>
      <c r="I325" s="17" t="n">
        <v>101.5</v>
      </c>
      <c r="J325" s="17" t="n">
        <v>507.5</v>
      </c>
    </row>
    <row r="326">
      <c r="A326" s="16" t="inlineStr">
        <is>
          <t>RNO</t>
        </is>
      </c>
      <c r="B326" s="16" t="inlineStr">
        <is>
          <t>RNO-169</t>
        </is>
      </c>
      <c r="C326" s="95" t="n">
        <v>46095</v>
      </c>
      <c r="D326" s="16" t="inlineStr">
        <is>
          <t>سجل صرف المخزن</t>
        </is>
      </c>
      <c r="E326" s="16" t="inlineStr">
        <is>
          <t>RN-FR368</t>
        </is>
      </c>
      <c r="F326" s="16" t="inlineStr">
        <is>
          <t>بيرلايت 100 لتر</t>
        </is>
      </c>
      <c r="G326" s="16" t="n">
        <v>2</v>
      </c>
      <c r="H326" s="16" t="inlineStr">
        <is>
          <t>EA</t>
        </is>
      </c>
      <c r="I326" s="17" t="n">
        <v>32.5</v>
      </c>
      <c r="J326" s="17" t="n">
        <v>65</v>
      </c>
    </row>
    <row r="327">
      <c r="A327" s="16" t="inlineStr">
        <is>
          <t>RNO</t>
        </is>
      </c>
      <c r="B327" s="16" t="inlineStr">
        <is>
          <t>RNO-169</t>
        </is>
      </c>
      <c r="C327" s="95" t="n">
        <v>46095</v>
      </c>
      <c r="D327" s="16" t="inlineStr">
        <is>
          <t>سجل صرف المخزن</t>
        </is>
      </c>
      <c r="E327" s="16" t="inlineStr">
        <is>
          <t>RN-FR1004</t>
        </is>
      </c>
      <c r="F327" s="16" t="inlineStr">
        <is>
          <t>حديد مخلبى 6% 1 كجم</t>
        </is>
      </c>
      <c r="G327" s="16" t="n">
        <v>1</v>
      </c>
      <c r="H327" s="16" t="inlineStr">
        <is>
          <t>EA</t>
        </is>
      </c>
      <c r="I327" s="17" t="n">
        <v>60</v>
      </c>
      <c r="J327" s="17" t="n">
        <v>60</v>
      </c>
    </row>
    <row r="328">
      <c r="A328" s="16" t="inlineStr">
        <is>
          <t>RNO</t>
        </is>
      </c>
      <c r="B328" s="16" t="inlineStr">
        <is>
          <t>RNO-169</t>
        </is>
      </c>
      <c r="C328" s="95" t="n">
        <v>46095</v>
      </c>
      <c r="D328" s="16" t="inlineStr">
        <is>
          <t>سجل صرف المخزن</t>
        </is>
      </c>
      <c r="E328" s="16" t="inlineStr">
        <is>
          <t>RN-PL12</t>
        </is>
      </c>
      <c r="F328" s="16" t="inlineStr">
        <is>
          <t>صندوق فلين للزهور</t>
        </is>
      </c>
      <c r="G328" s="16" t="n">
        <v>550</v>
      </c>
      <c r="H328" s="16" t="inlineStr">
        <is>
          <t>EA</t>
        </is>
      </c>
      <c r="I328" s="17" t="n">
        <v>4</v>
      </c>
      <c r="J328" s="17" t="n">
        <v>2200</v>
      </c>
    </row>
    <row r="329">
      <c r="A329" s="9" t="n"/>
      <c r="B329" s="9" t="inlineStr">
        <is>
          <t>إجمالي RNO-169</t>
        </is>
      </c>
      <c r="C329" s="9" t="n"/>
      <c r="D329" s="9" t="n"/>
      <c r="E329" s="9" t="n"/>
      <c r="F329" s="9" t="n"/>
      <c r="G329" s="9">
        <f>SUM(G325:G328)</f>
        <v/>
      </c>
      <c r="H329" s="9" t="n"/>
      <c r="I329" s="9" t="n"/>
      <c r="J329" s="10">
        <f>SUM(J325:J328)</f>
        <v/>
      </c>
    </row>
    <row r="330">
      <c r="A330" s="16" t="inlineStr">
        <is>
          <t>RNO</t>
        </is>
      </c>
      <c r="B330" s="16" t="inlineStr">
        <is>
          <t>RNO-174</t>
        </is>
      </c>
      <c r="C330" s="95" t="n">
        <v>46098</v>
      </c>
      <c r="D330" s="16" t="inlineStr">
        <is>
          <t>سجل صرف المخزن</t>
        </is>
      </c>
      <c r="E330" s="16" t="inlineStr">
        <is>
          <t>RN-FR1033</t>
        </is>
      </c>
      <c r="F330" s="16" t="inlineStr">
        <is>
          <t>بيتموس تى اس مخصب 210 لتر</t>
        </is>
      </c>
      <c r="G330" s="16" t="n">
        <v>21</v>
      </c>
      <c r="H330" s="16" t="inlineStr">
        <is>
          <t>EA</t>
        </is>
      </c>
      <c r="I330" s="17" t="n">
        <v>101.5</v>
      </c>
      <c r="J330" s="17" t="n">
        <v>2131.5</v>
      </c>
    </row>
    <row r="331">
      <c r="A331" s="16" t="inlineStr">
        <is>
          <t>RNO</t>
        </is>
      </c>
      <c r="B331" s="16" t="inlineStr">
        <is>
          <t>RNO-174</t>
        </is>
      </c>
      <c r="C331" s="95" t="n">
        <v>46098</v>
      </c>
      <c r="D331" s="16" t="inlineStr">
        <is>
          <t>سجل صرف المخزن</t>
        </is>
      </c>
      <c r="E331" s="16" t="inlineStr">
        <is>
          <t>RN-FR368</t>
        </is>
      </c>
      <c r="F331" s="16" t="inlineStr">
        <is>
          <t>بيرلايت 100 لتر</t>
        </is>
      </c>
      <c r="G331" s="16" t="n">
        <v>6</v>
      </c>
      <c r="H331" s="16" t="inlineStr">
        <is>
          <t>EA</t>
        </is>
      </c>
      <c r="I331" s="17" t="n">
        <v>32.5</v>
      </c>
      <c r="J331" s="17" t="n">
        <v>195</v>
      </c>
    </row>
    <row r="332">
      <c r="A332" s="16" t="inlineStr">
        <is>
          <t>RNO</t>
        </is>
      </c>
      <c r="B332" s="16" t="inlineStr">
        <is>
          <t>RNO-174</t>
        </is>
      </c>
      <c r="C332" s="95" t="n">
        <v>46098</v>
      </c>
      <c r="D332" s="16" t="inlineStr">
        <is>
          <t>سجل صرف المخزن</t>
        </is>
      </c>
      <c r="E332" s="16" t="inlineStr">
        <is>
          <t>RN-PL1</t>
        </is>
      </c>
      <c r="F332" s="16" t="inlineStr">
        <is>
          <t>مركن زراعى خفيف ملون 9 سم</t>
        </is>
      </c>
      <c r="G332" s="16" t="n">
        <v>14000</v>
      </c>
      <c r="H332" s="16" t="inlineStr">
        <is>
          <t>EA</t>
        </is>
      </c>
      <c r="I332" s="17" t="n">
        <v>0.06</v>
      </c>
      <c r="J332" s="17" t="n">
        <v>840</v>
      </c>
    </row>
    <row r="333">
      <c r="A333" s="16" t="inlineStr">
        <is>
          <t>RNO</t>
        </is>
      </c>
      <c r="B333" s="16" t="inlineStr">
        <is>
          <t>RNO-174</t>
        </is>
      </c>
      <c r="C333" s="95" t="n">
        <v>46098</v>
      </c>
      <c r="D333" s="16" t="inlineStr">
        <is>
          <t>سجل صرف المخزن</t>
        </is>
      </c>
      <c r="E333" s="16" t="inlineStr">
        <is>
          <t>RN-PL12</t>
        </is>
      </c>
      <c r="F333" s="16" t="inlineStr">
        <is>
          <t>صندوق فلين للزهور</t>
        </is>
      </c>
      <c r="G333" s="16" t="n">
        <v>350</v>
      </c>
      <c r="H333" s="16" t="inlineStr">
        <is>
          <t>EA</t>
        </is>
      </c>
      <c r="I333" s="17" t="n">
        <v>4</v>
      </c>
      <c r="J333" s="17" t="n">
        <v>1400</v>
      </c>
    </row>
    <row r="334">
      <c r="A334" s="9" t="n"/>
      <c r="B334" s="9" t="inlineStr">
        <is>
          <t>إجمالي RNO-174</t>
        </is>
      </c>
      <c r="C334" s="9" t="n"/>
      <c r="D334" s="9" t="n"/>
      <c r="E334" s="9" t="n"/>
      <c r="F334" s="9" t="n"/>
      <c r="G334" s="9">
        <f>SUM(G330:G333)</f>
        <v/>
      </c>
      <c r="H334" s="9" t="n"/>
      <c r="I334" s="9" t="n"/>
      <c r="J334" s="10">
        <f>SUM(J330:J333)</f>
        <v/>
      </c>
    </row>
    <row r="335">
      <c r="A335" s="16" t="inlineStr">
        <is>
          <t>RNO</t>
        </is>
      </c>
      <c r="B335" s="16" t="inlineStr">
        <is>
          <t>RNO-176</t>
        </is>
      </c>
      <c r="C335" s="95" t="n">
        <v>46099</v>
      </c>
      <c r="D335" s="16" t="inlineStr">
        <is>
          <t>سجل صرف المخزن</t>
        </is>
      </c>
      <c r="E335" s="16" t="inlineStr">
        <is>
          <t>RN-FR1004</t>
        </is>
      </c>
      <c r="F335" s="16" t="inlineStr">
        <is>
          <t>حديد مخلبى 6% 1 كجم</t>
        </is>
      </c>
      <c r="G335" s="16" t="n">
        <v>1</v>
      </c>
      <c r="H335" s="16" t="inlineStr">
        <is>
          <t>EA</t>
        </is>
      </c>
      <c r="I335" s="17" t="n">
        <v>60</v>
      </c>
      <c r="J335" s="17" t="n">
        <v>60</v>
      </c>
    </row>
    <row r="336">
      <c r="A336" s="16" t="inlineStr">
        <is>
          <t>RNO</t>
        </is>
      </c>
      <c r="B336" s="16" t="inlineStr">
        <is>
          <t>RNO-176</t>
        </is>
      </c>
      <c r="C336" s="95" t="n">
        <v>46099</v>
      </c>
      <c r="D336" s="16" t="inlineStr">
        <is>
          <t>سجل صرف المخزن</t>
        </is>
      </c>
      <c r="E336" s="16" t="inlineStr">
        <is>
          <t>RN-FR1033</t>
        </is>
      </c>
      <c r="F336" s="16" t="inlineStr">
        <is>
          <t>بيتموس تى اس مخصب 210 لتر</t>
        </is>
      </c>
      <c r="G336" s="16" t="n">
        <v>15</v>
      </c>
      <c r="H336" s="16" t="inlineStr">
        <is>
          <t>EA</t>
        </is>
      </c>
      <c r="I336" s="17" t="n">
        <v>101.5</v>
      </c>
      <c r="J336" s="17" t="n">
        <v>1522.5</v>
      </c>
    </row>
    <row r="337">
      <c r="A337" s="16" t="inlineStr">
        <is>
          <t>RNO</t>
        </is>
      </c>
      <c r="B337" s="16" t="inlineStr">
        <is>
          <t>RNO-176</t>
        </is>
      </c>
      <c r="C337" s="95" t="n">
        <v>46099</v>
      </c>
      <c r="D337" s="16" t="inlineStr">
        <is>
          <t>سجل صرف المخزن</t>
        </is>
      </c>
      <c r="E337" s="16" t="inlineStr">
        <is>
          <t>RN-FR368</t>
        </is>
      </c>
      <c r="F337" s="16" t="inlineStr">
        <is>
          <t>بيرلايت 100 لتر</t>
        </is>
      </c>
      <c r="G337" s="16" t="n">
        <v>4</v>
      </c>
      <c r="H337" s="16" t="inlineStr">
        <is>
          <t>EA</t>
        </is>
      </c>
      <c r="I337" s="17" t="n">
        <v>32.5</v>
      </c>
      <c r="J337" s="17" t="n">
        <v>130</v>
      </c>
    </row>
    <row r="338">
      <c r="A338" s="16" t="inlineStr">
        <is>
          <t>RNO</t>
        </is>
      </c>
      <c r="B338" s="16" t="inlineStr">
        <is>
          <t>RNO-176</t>
        </is>
      </c>
      <c r="C338" s="95" t="n">
        <v>46099</v>
      </c>
      <c r="D338" s="16" t="inlineStr">
        <is>
          <t>سجل صرف المخزن</t>
        </is>
      </c>
      <c r="E338" s="16" t="inlineStr">
        <is>
          <t>RN-FR1017</t>
        </is>
      </c>
      <c r="F338" s="16" t="inlineStr">
        <is>
          <t>بوتنج سويل 70 لتر</t>
        </is>
      </c>
      <c r="G338" s="16" t="n">
        <v>20</v>
      </c>
      <c r="H338" s="16" t="inlineStr">
        <is>
          <t>EA</t>
        </is>
      </c>
      <c r="I338" s="17" t="n">
        <v>46</v>
      </c>
      <c r="J338" s="17" t="n">
        <v>920</v>
      </c>
    </row>
    <row r="339">
      <c r="A339" s="16" t="inlineStr">
        <is>
          <t>RNO</t>
        </is>
      </c>
      <c r="B339" s="16" t="inlineStr">
        <is>
          <t>RNO-176</t>
        </is>
      </c>
      <c r="C339" s="95" t="n">
        <v>46099</v>
      </c>
      <c r="D339" s="16" t="inlineStr">
        <is>
          <t>سجل صرف المخزن</t>
        </is>
      </c>
      <c r="E339" s="16" t="inlineStr">
        <is>
          <t>RN-FR1018</t>
        </is>
      </c>
      <c r="F339" s="16" t="inlineStr">
        <is>
          <t>فيرموكلايت 100 لتر</t>
        </is>
      </c>
      <c r="G339" s="16" t="n">
        <v>1</v>
      </c>
      <c r="H339" s="16" t="inlineStr">
        <is>
          <t>EA</t>
        </is>
      </c>
      <c r="I339" s="17" t="n">
        <v>75</v>
      </c>
      <c r="J339" s="17" t="n">
        <v>75</v>
      </c>
    </row>
    <row r="340">
      <c r="A340" s="16" t="inlineStr">
        <is>
          <t>RNO</t>
        </is>
      </c>
      <c r="B340" s="16" t="inlineStr">
        <is>
          <t>RNO-176</t>
        </is>
      </c>
      <c r="C340" s="95" t="n">
        <v>46099</v>
      </c>
      <c r="D340" s="16" t="inlineStr">
        <is>
          <t>سجل صرف المخزن</t>
        </is>
      </c>
      <c r="E340" s="16" t="inlineStr">
        <is>
          <t>RN-SE21</t>
        </is>
      </c>
      <c r="F340" s="16" t="inlineStr">
        <is>
          <t>بذور سيلوزيا احمر</t>
        </is>
      </c>
      <c r="G340" s="16" t="n">
        <v>5000</v>
      </c>
      <c r="H340" s="16" t="inlineStr">
        <is>
          <t>EA</t>
        </is>
      </c>
      <c r="I340" s="17" t="n">
        <v>0.025</v>
      </c>
      <c r="J340" s="17" t="n">
        <v>125</v>
      </c>
    </row>
    <row r="341">
      <c r="A341" s="16" t="inlineStr">
        <is>
          <t>RNO</t>
        </is>
      </c>
      <c r="B341" s="16" t="inlineStr">
        <is>
          <t>RNO-176</t>
        </is>
      </c>
      <c r="C341" s="95" t="n">
        <v>46099</v>
      </c>
      <c r="D341" s="16" t="inlineStr">
        <is>
          <t>سجل صرف المخزن</t>
        </is>
      </c>
      <c r="E341" s="16" t="inlineStr">
        <is>
          <t>RN-SE22</t>
        </is>
      </c>
      <c r="F341" s="16" t="inlineStr">
        <is>
          <t>بذور سيلوزيا اصفر</t>
        </is>
      </c>
      <c r="G341" s="16" t="n">
        <v>5000</v>
      </c>
      <c r="H341" s="16" t="inlineStr">
        <is>
          <t>EA</t>
        </is>
      </c>
      <c r="I341" s="17" t="n">
        <v>0.025</v>
      </c>
      <c r="J341" s="17" t="n">
        <v>125</v>
      </c>
    </row>
    <row r="342">
      <c r="A342" s="16" t="inlineStr">
        <is>
          <t>RNO</t>
        </is>
      </c>
      <c r="B342" s="16" t="inlineStr">
        <is>
          <t>RNO-176</t>
        </is>
      </c>
      <c r="C342" s="95" t="n">
        <v>46099</v>
      </c>
      <c r="D342" s="16" t="inlineStr">
        <is>
          <t>سجل صرف المخزن</t>
        </is>
      </c>
      <c r="E342" s="16" t="inlineStr">
        <is>
          <t>RN-SE23</t>
        </is>
      </c>
      <c r="F342" s="16" t="inlineStr">
        <is>
          <t>بذور سيلوزيا برتقالى</t>
        </is>
      </c>
      <c r="G342" s="16" t="n">
        <v>5000</v>
      </c>
      <c r="H342" s="16" t="inlineStr">
        <is>
          <t>EA</t>
        </is>
      </c>
      <c r="I342" s="17" t="n">
        <v>0.025</v>
      </c>
      <c r="J342" s="17" t="n">
        <v>125</v>
      </c>
    </row>
    <row r="343">
      <c r="A343" s="16" t="inlineStr">
        <is>
          <t>RNO</t>
        </is>
      </c>
      <c r="B343" s="16" t="inlineStr">
        <is>
          <t>RNO-176</t>
        </is>
      </c>
      <c r="C343" s="95" t="n">
        <v>46099</v>
      </c>
      <c r="D343" s="16" t="inlineStr">
        <is>
          <t>سجل صرف المخزن</t>
        </is>
      </c>
      <c r="E343" s="16" t="inlineStr">
        <is>
          <t>RN-SE131</t>
        </is>
      </c>
      <c r="F343" s="16" t="inlineStr">
        <is>
          <t>بذور سيلوزيا قرمزى</t>
        </is>
      </c>
      <c r="G343" s="16" t="n">
        <v>5000</v>
      </c>
      <c r="H343" s="16" t="inlineStr">
        <is>
          <t>EA</t>
        </is>
      </c>
      <c r="I343" s="17" t="n">
        <v>0.03</v>
      </c>
      <c r="J343" s="17" t="n">
        <v>150</v>
      </c>
    </row>
    <row r="344">
      <c r="A344" s="16" t="inlineStr">
        <is>
          <t>RNO</t>
        </is>
      </c>
      <c r="B344" s="16" t="inlineStr">
        <is>
          <t>RNO-176</t>
        </is>
      </c>
      <c r="C344" s="95" t="n">
        <v>46099</v>
      </c>
      <c r="D344" s="16" t="inlineStr">
        <is>
          <t>سجل صرف المخزن</t>
        </is>
      </c>
      <c r="E344" s="16" t="inlineStr">
        <is>
          <t>RN-SE132</t>
        </is>
      </c>
      <c r="F344" s="16" t="inlineStr">
        <is>
          <t>بذور سيلوزيا كيمونو شيري ريد</t>
        </is>
      </c>
      <c r="G344" s="16" t="n">
        <v>5000</v>
      </c>
      <c r="H344" s="16" t="inlineStr">
        <is>
          <t>EA</t>
        </is>
      </c>
      <c r="I344" s="17" t="n">
        <v>0.03</v>
      </c>
      <c r="J344" s="17" t="n">
        <v>150</v>
      </c>
    </row>
    <row r="345">
      <c r="A345" s="16" t="inlineStr">
        <is>
          <t>RNO</t>
        </is>
      </c>
      <c r="B345" s="16" t="inlineStr">
        <is>
          <t>RNO-176</t>
        </is>
      </c>
      <c r="C345" s="95" t="n">
        <v>46099</v>
      </c>
      <c r="D345" s="16" t="inlineStr">
        <is>
          <t>سجل صرف المخزن</t>
        </is>
      </c>
      <c r="E345" s="16" t="inlineStr">
        <is>
          <t>RN-SE100</t>
        </is>
      </c>
      <c r="F345" s="16" t="inlineStr">
        <is>
          <t>بذور فينكا فيكتوري أبيض</t>
        </is>
      </c>
      <c r="G345" s="16" t="n">
        <v>15000</v>
      </c>
      <c r="H345" s="16" t="inlineStr">
        <is>
          <t>EA</t>
        </is>
      </c>
      <c r="I345" s="17" t="n">
        <v>0.035</v>
      </c>
      <c r="J345" s="17" t="n">
        <v>525</v>
      </c>
    </row>
    <row r="346">
      <c r="A346" s="16" t="inlineStr">
        <is>
          <t>RNO</t>
        </is>
      </c>
      <c r="B346" s="16" t="inlineStr">
        <is>
          <t>RNO-176</t>
        </is>
      </c>
      <c r="C346" s="95" t="n">
        <v>46099</v>
      </c>
      <c r="D346" s="16" t="inlineStr">
        <is>
          <t>سجل صرف المخزن</t>
        </is>
      </c>
      <c r="E346" s="16" t="inlineStr">
        <is>
          <t>RN-SE101</t>
        </is>
      </c>
      <c r="F346" s="16" t="inlineStr">
        <is>
          <t>بذور فينكا باسيفيكا أحمر داكن</t>
        </is>
      </c>
      <c r="G346" s="16" t="n">
        <v>10000</v>
      </c>
      <c r="H346" s="16" t="inlineStr">
        <is>
          <t>EA</t>
        </is>
      </c>
      <c r="I346" s="17" t="n">
        <v>0.035</v>
      </c>
      <c r="J346" s="17" t="n">
        <v>350</v>
      </c>
    </row>
    <row r="347">
      <c r="A347" s="16" t="inlineStr">
        <is>
          <t>RNO</t>
        </is>
      </c>
      <c r="B347" s="16" t="inlineStr">
        <is>
          <t>RNO-176</t>
        </is>
      </c>
      <c r="C347" s="95" t="n">
        <v>46099</v>
      </c>
      <c r="D347" s="16" t="inlineStr">
        <is>
          <t>سجل صرف المخزن</t>
        </is>
      </c>
      <c r="E347" s="16" t="inlineStr">
        <is>
          <t>RN-SE102</t>
        </is>
      </c>
      <c r="F347" s="16" t="inlineStr">
        <is>
          <t>بذور فينكا فيكتوري أحمر</t>
        </is>
      </c>
      <c r="G347" s="16" t="n">
        <v>15000</v>
      </c>
      <c r="H347" s="16" t="inlineStr">
        <is>
          <t>EA</t>
        </is>
      </c>
      <c r="I347" s="17" t="n">
        <v>0.035</v>
      </c>
      <c r="J347" s="17" t="n">
        <v>525</v>
      </c>
    </row>
    <row r="348">
      <c r="A348" s="16" t="inlineStr">
        <is>
          <t>RNO</t>
        </is>
      </c>
      <c r="B348" s="16" t="inlineStr">
        <is>
          <t>RNO-176</t>
        </is>
      </c>
      <c r="C348" s="95" t="n">
        <v>46099</v>
      </c>
      <c r="D348" s="16" t="inlineStr">
        <is>
          <t>سجل صرف المخزن</t>
        </is>
      </c>
      <c r="E348" s="16" t="inlineStr">
        <is>
          <t>RN-SE104</t>
        </is>
      </c>
      <c r="F348" s="16" t="inlineStr">
        <is>
          <t>بذور فينكا باسيفيكا برغندي</t>
        </is>
      </c>
      <c r="G348" s="16" t="n">
        <v>5000</v>
      </c>
      <c r="H348" s="16" t="inlineStr">
        <is>
          <t>EA</t>
        </is>
      </c>
      <c r="I348" s="17" t="n">
        <v>0.035</v>
      </c>
      <c r="J348" s="17" t="n">
        <v>175</v>
      </c>
    </row>
    <row r="349">
      <c r="A349" s="16" t="inlineStr">
        <is>
          <t>RNO</t>
        </is>
      </c>
      <c r="B349" s="16" t="inlineStr">
        <is>
          <t>RNO-176</t>
        </is>
      </c>
      <c r="C349" s="95" t="n">
        <v>46099</v>
      </c>
      <c r="D349" s="16" t="inlineStr">
        <is>
          <t>سجل صرف المخزن</t>
        </is>
      </c>
      <c r="E349" s="16" t="inlineStr">
        <is>
          <t>RN-SE105</t>
        </is>
      </c>
      <c r="F349" s="16" t="inlineStr">
        <is>
          <t>بذور فينكا باسيفيكا برغندي هالو</t>
        </is>
      </c>
      <c r="G349" s="16" t="n">
        <v>10000</v>
      </c>
      <c r="H349" s="16" t="inlineStr">
        <is>
          <t>EA</t>
        </is>
      </c>
      <c r="I349" s="17" t="n">
        <v>0.035</v>
      </c>
      <c r="J349" s="17" t="n">
        <v>350</v>
      </c>
    </row>
    <row r="350">
      <c r="A350" s="16" t="inlineStr">
        <is>
          <t>RNO</t>
        </is>
      </c>
      <c r="B350" s="16" t="inlineStr">
        <is>
          <t>RNO-176</t>
        </is>
      </c>
      <c r="C350" s="95" t="n">
        <v>46099</v>
      </c>
      <c r="D350" s="16" t="inlineStr">
        <is>
          <t>سجل صرف المخزن</t>
        </is>
      </c>
      <c r="E350" s="16" t="inlineStr">
        <is>
          <t>RN-SE107</t>
        </is>
      </c>
      <c r="F350" s="16" t="inlineStr">
        <is>
          <t>بذور فينكا باسيفيكا مشمشي</t>
        </is>
      </c>
      <c r="G350" s="16" t="n">
        <v>5000</v>
      </c>
      <c r="H350" s="16" t="inlineStr">
        <is>
          <t>EA</t>
        </is>
      </c>
      <c r="I350" s="17" t="n">
        <v>0.035</v>
      </c>
      <c r="J350" s="17" t="n">
        <v>175</v>
      </c>
    </row>
    <row r="351">
      <c r="A351" s="16" t="inlineStr">
        <is>
          <t>RNO</t>
        </is>
      </c>
      <c r="B351" s="16" t="inlineStr">
        <is>
          <t>RNO-176</t>
        </is>
      </c>
      <c r="C351" s="95" t="n">
        <v>46099</v>
      </c>
      <c r="D351" s="16" t="inlineStr">
        <is>
          <t>سجل صرف المخزن</t>
        </is>
      </c>
      <c r="E351" s="16" t="inlineStr">
        <is>
          <t>RN-SE109</t>
        </is>
      </c>
      <c r="F351" s="16" t="inlineStr">
        <is>
          <t>بذور فينكا باسيفيكا بولكا دوت</t>
        </is>
      </c>
      <c r="G351" s="16" t="n">
        <v>5000</v>
      </c>
      <c r="H351" s="16" t="inlineStr">
        <is>
          <t>EA</t>
        </is>
      </c>
      <c r="I351" s="17" t="n">
        <v>0.035</v>
      </c>
      <c r="J351" s="17" t="n">
        <v>175</v>
      </c>
    </row>
    <row r="352">
      <c r="A352" s="9" t="n"/>
      <c r="B352" s="9" t="inlineStr">
        <is>
          <t>إجمالي RNO-176</t>
        </is>
      </c>
      <c r="C352" s="9" t="n"/>
      <c r="D352" s="9" t="n"/>
      <c r="E352" s="9" t="n"/>
      <c r="F352" s="9" t="n"/>
      <c r="G352" s="9">
        <f>SUM(G335:G351)</f>
        <v/>
      </c>
      <c r="H352" s="9" t="n"/>
      <c r="I352" s="9" t="n"/>
      <c r="J352" s="10">
        <f>SUM(J335:J351)</f>
        <v/>
      </c>
    </row>
    <row r="353">
      <c r="A353" s="16" t="inlineStr">
        <is>
          <t>RNO</t>
        </is>
      </c>
      <c r="B353" s="16" t="inlineStr">
        <is>
          <t>RNO-179</t>
        </is>
      </c>
      <c r="C353" s="95" t="n">
        <v>46103</v>
      </c>
      <c r="D353" s="16" t="inlineStr">
        <is>
          <t>سجل صرف المخزن</t>
        </is>
      </c>
      <c r="E353" s="16" t="inlineStr">
        <is>
          <t>RN-FR1033</t>
        </is>
      </c>
      <c r="F353" s="16" t="inlineStr">
        <is>
          <t>بيتموس تى اس مخصب 210 لتر</t>
        </is>
      </c>
      <c r="G353" s="16" t="n">
        <v>21</v>
      </c>
      <c r="H353" s="16" t="inlineStr">
        <is>
          <t>EA</t>
        </is>
      </c>
      <c r="I353" s="17" t="n">
        <v>101.5</v>
      </c>
      <c r="J353" s="17" t="n">
        <v>2131.5</v>
      </c>
    </row>
    <row r="354">
      <c r="A354" s="16" t="inlineStr">
        <is>
          <t>RNO</t>
        </is>
      </c>
      <c r="B354" s="16" t="inlineStr">
        <is>
          <t>RNO-179</t>
        </is>
      </c>
      <c r="C354" s="95" t="n">
        <v>46103</v>
      </c>
      <c r="D354" s="16" t="inlineStr">
        <is>
          <t>سجل صرف المخزن</t>
        </is>
      </c>
      <c r="E354" s="16" t="inlineStr">
        <is>
          <t>RN-FR368</t>
        </is>
      </c>
      <c r="F354" s="16" t="inlineStr">
        <is>
          <t>بيرلايت 100 لتر</t>
        </is>
      </c>
      <c r="G354" s="16" t="n">
        <v>6</v>
      </c>
      <c r="H354" s="16" t="inlineStr">
        <is>
          <t>EA</t>
        </is>
      </c>
      <c r="I354" s="17" t="n">
        <v>32.5</v>
      </c>
      <c r="J354" s="17" t="n">
        <v>195</v>
      </c>
    </row>
    <row r="355">
      <c r="A355" s="16" t="inlineStr">
        <is>
          <t>RNO</t>
        </is>
      </c>
      <c r="B355" s="16" t="inlineStr">
        <is>
          <t>RNO-179</t>
        </is>
      </c>
      <c r="C355" s="95" t="n">
        <v>46103</v>
      </c>
      <c r="D355" s="16" t="inlineStr">
        <is>
          <t>سجل صرف المخزن</t>
        </is>
      </c>
      <c r="E355" s="16" t="inlineStr">
        <is>
          <t>RN-PL1</t>
        </is>
      </c>
      <c r="F355" s="16" t="inlineStr">
        <is>
          <t>مركن زراعى خفيف ملون 9 سم</t>
        </is>
      </c>
      <c r="G355" s="16" t="n">
        <v>40000</v>
      </c>
      <c r="H355" s="16" t="inlineStr">
        <is>
          <t>EA</t>
        </is>
      </c>
      <c r="I355" s="17" t="n">
        <v>0.06</v>
      </c>
      <c r="J355" s="17" t="n">
        <v>2400</v>
      </c>
    </row>
    <row r="356">
      <c r="A356" s="9" t="n"/>
      <c r="B356" s="9" t="inlineStr">
        <is>
          <t>إجمالي RNO-179</t>
        </is>
      </c>
      <c r="C356" s="9" t="n"/>
      <c r="D356" s="9" t="n"/>
      <c r="E356" s="9" t="n"/>
      <c r="F356" s="9" t="n"/>
      <c r="G356" s="9">
        <f>SUM(G353:G355)</f>
        <v/>
      </c>
      <c r="H356" s="9" t="n"/>
      <c r="I356" s="9" t="n"/>
      <c r="J356" s="10">
        <f>SUM(J353:J355)</f>
        <v/>
      </c>
    </row>
    <row r="357">
      <c r="A357" s="16" t="inlineStr">
        <is>
          <t>RNO</t>
        </is>
      </c>
      <c r="B357" s="16" t="inlineStr">
        <is>
          <t>RNO-181</t>
        </is>
      </c>
      <c r="C357" s="95" t="n">
        <v>46105</v>
      </c>
      <c r="D357" s="16" t="inlineStr">
        <is>
          <t>سجل صرف المخزن</t>
        </is>
      </c>
      <c r="E357" s="16" t="inlineStr">
        <is>
          <t>RN-PL15</t>
        </is>
      </c>
      <c r="F357" s="16" t="inlineStr">
        <is>
          <t>سنادات شجر طول 3 متر</t>
        </is>
      </c>
      <c r="G357" s="16" t="n">
        <v>150</v>
      </c>
      <c r="H357" s="16" t="inlineStr">
        <is>
          <t>EA</t>
        </is>
      </c>
      <c r="I357" s="17" t="n">
        <v>3.5</v>
      </c>
      <c r="J357" s="17" t="n">
        <v>525</v>
      </c>
    </row>
    <row r="358">
      <c r="A358" s="16" t="inlineStr">
        <is>
          <t>RNO</t>
        </is>
      </c>
      <c r="B358" s="16" t="inlineStr">
        <is>
          <t>RNO-181</t>
        </is>
      </c>
      <c r="C358" s="95" t="n">
        <v>46105</v>
      </c>
      <c r="D358" s="16" t="inlineStr">
        <is>
          <t>سجل صرف المخزن</t>
        </is>
      </c>
      <c r="E358" s="16" t="inlineStr">
        <is>
          <t>RN-PL1</t>
        </is>
      </c>
      <c r="F358" s="16" t="inlineStr">
        <is>
          <t>مركن زراعى خفيف ملون 9 سم</t>
        </is>
      </c>
      <c r="G358" s="16" t="n">
        <v>14000</v>
      </c>
      <c r="H358" s="16" t="inlineStr">
        <is>
          <t>EA</t>
        </is>
      </c>
      <c r="I358" s="17" t="n">
        <v>0.06</v>
      </c>
      <c r="J358" s="17" t="n">
        <v>840</v>
      </c>
    </row>
    <row r="359">
      <c r="A359" s="9" t="n"/>
      <c r="B359" s="9" t="inlineStr">
        <is>
          <t>إجمالي RNO-181</t>
        </is>
      </c>
      <c r="C359" s="9" t="n"/>
      <c r="D359" s="9" t="n"/>
      <c r="E359" s="9" t="n"/>
      <c r="F359" s="9" t="n"/>
      <c r="G359" s="9">
        <f>SUM(G357:G358)</f>
        <v/>
      </c>
      <c r="H359" s="9" t="n"/>
      <c r="I359" s="9" t="n"/>
      <c r="J359" s="10">
        <f>SUM(J357:J358)</f>
        <v/>
      </c>
    </row>
    <row r="360">
      <c r="A360" s="16" t="inlineStr">
        <is>
          <t>RNO</t>
        </is>
      </c>
      <c r="B360" s="16" t="inlineStr">
        <is>
          <t>RNO-182</t>
        </is>
      </c>
      <c r="C360" s="95" t="n">
        <v>46107</v>
      </c>
      <c r="D360" s="16" t="inlineStr">
        <is>
          <t>سجل صرف المخزن</t>
        </is>
      </c>
      <c r="E360" s="16" t="inlineStr">
        <is>
          <t>RN-PL15</t>
        </is>
      </c>
      <c r="F360" s="16" t="inlineStr">
        <is>
          <t>سنادات شجر طول 3 متر</t>
        </is>
      </c>
      <c r="G360" s="16" t="n">
        <v>500</v>
      </c>
      <c r="H360" s="16" t="inlineStr">
        <is>
          <t>EA</t>
        </is>
      </c>
      <c r="I360" s="17" t="n">
        <v>3.5</v>
      </c>
      <c r="J360" s="17" t="n">
        <v>1750</v>
      </c>
    </row>
    <row r="361">
      <c r="A361" s="16" t="inlineStr">
        <is>
          <t>RNO</t>
        </is>
      </c>
      <c r="B361" s="16" t="inlineStr">
        <is>
          <t>RNO-182</t>
        </is>
      </c>
      <c r="C361" s="95" t="n">
        <v>46107</v>
      </c>
      <c r="D361" s="16" t="inlineStr">
        <is>
          <t>سجل صرف المخزن</t>
        </is>
      </c>
      <c r="E361" s="16" t="inlineStr">
        <is>
          <t>RN-FR1004</t>
        </is>
      </c>
      <c r="F361" s="16" t="inlineStr">
        <is>
          <t>حديد مخلبى 6% 1 كجم</t>
        </is>
      </c>
      <c r="G361" s="16" t="n">
        <v>2</v>
      </c>
      <c r="H361" s="16" t="inlineStr">
        <is>
          <t>EA</t>
        </is>
      </c>
      <c r="I361" s="17" t="n">
        <v>60</v>
      </c>
      <c r="J361" s="17" t="n">
        <v>120</v>
      </c>
    </row>
    <row r="362">
      <c r="A362" s="16" t="inlineStr">
        <is>
          <t>RNO</t>
        </is>
      </c>
      <c r="B362" s="16" t="inlineStr">
        <is>
          <t>RNO-182</t>
        </is>
      </c>
      <c r="C362" s="95" t="n">
        <v>46107</v>
      </c>
      <c r="D362" s="16" t="inlineStr">
        <is>
          <t>سجل صرف المخزن</t>
        </is>
      </c>
      <c r="E362" s="16" t="inlineStr">
        <is>
          <t>RN-PL12</t>
        </is>
      </c>
      <c r="F362" s="16" t="inlineStr">
        <is>
          <t>صندوق فلين للزهور</t>
        </is>
      </c>
      <c r="G362" s="16" t="n">
        <v>140</v>
      </c>
      <c r="H362" s="16" t="inlineStr">
        <is>
          <t>EA</t>
        </is>
      </c>
      <c r="I362" s="17" t="n">
        <v>4</v>
      </c>
      <c r="J362" s="17" t="n">
        <v>560</v>
      </c>
    </row>
    <row r="363">
      <c r="A363" s="9" t="n"/>
      <c r="B363" s="9" t="inlineStr">
        <is>
          <t>إجمالي RNO-182</t>
        </is>
      </c>
      <c r="C363" s="9" t="n"/>
      <c r="D363" s="9" t="n"/>
      <c r="E363" s="9" t="n"/>
      <c r="F363" s="9" t="n"/>
      <c r="G363" s="9">
        <f>SUM(G360:G362)</f>
        <v/>
      </c>
      <c r="H363" s="9" t="n"/>
      <c r="I363" s="9" t="n"/>
      <c r="J363" s="10">
        <f>SUM(J360:J362)</f>
        <v/>
      </c>
    </row>
    <row r="364">
      <c r="A364" s="16" t="inlineStr">
        <is>
          <t>RNO</t>
        </is>
      </c>
      <c r="B364" s="16" t="inlineStr">
        <is>
          <t>RNO-185</t>
        </is>
      </c>
      <c r="C364" s="95" t="n">
        <v>46107</v>
      </c>
      <c r="D364" s="16" t="inlineStr">
        <is>
          <t>سجل صرف المخزن</t>
        </is>
      </c>
      <c r="E364" s="16" t="inlineStr">
        <is>
          <t>RN-PL1</t>
        </is>
      </c>
      <c r="F364" s="16" t="inlineStr">
        <is>
          <t>مركن زراعى خفيف ملون 9 سم</t>
        </is>
      </c>
      <c r="G364" s="16" t="n">
        <v>31000</v>
      </c>
      <c r="H364" s="16" t="inlineStr">
        <is>
          <t>EA</t>
        </is>
      </c>
      <c r="I364" s="17" t="n">
        <v>0.06</v>
      </c>
      <c r="J364" s="17" t="n">
        <v>1860</v>
      </c>
    </row>
    <row r="365">
      <c r="A365" s="16" t="inlineStr">
        <is>
          <t>RNO</t>
        </is>
      </c>
      <c r="B365" s="16" t="inlineStr">
        <is>
          <t>RNO-185</t>
        </is>
      </c>
      <c r="C365" s="95" t="n">
        <v>46107</v>
      </c>
      <c r="D365" s="16" t="inlineStr">
        <is>
          <t>سجل صرف المخزن</t>
        </is>
      </c>
      <c r="E365" s="16" t="inlineStr">
        <is>
          <t>RN-FR1033</t>
        </is>
      </c>
      <c r="F365" s="16" t="inlineStr">
        <is>
          <t>بيتموس تى اس مخصب 210 لتر</t>
        </is>
      </c>
      <c r="G365" s="16" t="n">
        <v>29</v>
      </c>
      <c r="H365" s="16" t="inlineStr">
        <is>
          <t>EA</t>
        </is>
      </c>
      <c r="I365" s="17" t="n">
        <v>101.5</v>
      </c>
      <c r="J365" s="17" t="n">
        <v>2943.5</v>
      </c>
    </row>
    <row r="366">
      <c r="A366" s="16" t="inlineStr">
        <is>
          <t>RNO</t>
        </is>
      </c>
      <c r="B366" s="16" t="inlineStr">
        <is>
          <t>RNO-185</t>
        </is>
      </c>
      <c r="C366" s="95" t="n">
        <v>46107</v>
      </c>
      <c r="D366" s="16" t="inlineStr">
        <is>
          <t>سجل صرف المخزن</t>
        </is>
      </c>
      <c r="E366" s="16" t="inlineStr">
        <is>
          <t>RN-FR368</t>
        </is>
      </c>
      <c r="F366" s="16" t="inlineStr">
        <is>
          <t>بيرلايت 100 لتر</t>
        </is>
      </c>
      <c r="G366" s="16" t="n">
        <v>8</v>
      </c>
      <c r="H366" s="16" t="inlineStr">
        <is>
          <t>EA</t>
        </is>
      </c>
      <c r="I366" s="17" t="n">
        <v>32.5</v>
      </c>
      <c r="J366" s="17" t="n">
        <v>260</v>
      </c>
    </row>
    <row r="367">
      <c r="A367" s="9" t="n"/>
      <c r="B367" s="9" t="inlineStr">
        <is>
          <t>إجمالي RNO-185</t>
        </is>
      </c>
      <c r="C367" s="9" t="n"/>
      <c r="D367" s="9" t="n"/>
      <c r="E367" s="9" t="n"/>
      <c r="F367" s="9" t="n"/>
      <c r="G367" s="9">
        <f>SUM(G364:G366)</f>
        <v/>
      </c>
      <c r="H367" s="9" t="n"/>
      <c r="I367" s="9" t="n"/>
      <c r="J367" s="10">
        <f>SUM(J364:J366)</f>
        <v/>
      </c>
    </row>
    <row r="368">
      <c r="A368" s="16" t="inlineStr">
        <is>
          <t>RNO</t>
        </is>
      </c>
      <c r="B368" s="16" t="inlineStr">
        <is>
          <t>RNO-186-REV1</t>
        </is>
      </c>
      <c r="C368" s="95" t="n">
        <v>46107</v>
      </c>
      <c r="D368" s="16" t="inlineStr">
        <is>
          <t>سجل صرف المخزن</t>
        </is>
      </c>
      <c r="E368" s="16" t="inlineStr">
        <is>
          <t>RN-OD375</t>
        </is>
      </c>
      <c r="F368" s="16" t="inlineStr">
        <is>
          <t>بوانسيانا 1-2 متر</t>
        </is>
      </c>
      <c r="G368" s="16" t="n">
        <v>477</v>
      </c>
      <c r="H368" s="16" t="inlineStr">
        <is>
          <t>EA</t>
        </is>
      </c>
      <c r="I368" s="17" t="n">
        <v>25.5</v>
      </c>
      <c r="J368" s="17" t="n">
        <v>12163.5</v>
      </c>
    </row>
    <row r="369">
      <c r="A369" s="16" t="inlineStr">
        <is>
          <t>RNO</t>
        </is>
      </c>
      <c r="B369" s="16" t="inlineStr">
        <is>
          <t>RNO-186-REV1</t>
        </is>
      </c>
      <c r="C369" s="95" t="n">
        <v>46107</v>
      </c>
      <c r="D369" s="16" t="inlineStr">
        <is>
          <t>سجل صرف المخزن</t>
        </is>
      </c>
      <c r="E369" s="16" t="inlineStr">
        <is>
          <t>RN-OD385</t>
        </is>
      </c>
      <c r="F369" s="16" t="inlineStr">
        <is>
          <t>نيم 1-2 متر</t>
        </is>
      </c>
      <c r="G369" s="16" t="n">
        <v>1300</v>
      </c>
      <c r="H369" s="16" t="inlineStr">
        <is>
          <t>EA</t>
        </is>
      </c>
      <c r="I369" s="17" t="n">
        <v>25.5</v>
      </c>
      <c r="J369" s="17" t="n">
        <v>33150</v>
      </c>
    </row>
    <row r="370">
      <c r="A370" s="16" t="inlineStr">
        <is>
          <t>RNO</t>
        </is>
      </c>
      <c r="B370" s="16" t="inlineStr">
        <is>
          <t>RNO-186-REV1</t>
        </is>
      </c>
      <c r="C370" s="95" t="n">
        <v>46107</v>
      </c>
      <c r="D370" s="16" t="inlineStr">
        <is>
          <t>سجل صرف المخزن</t>
        </is>
      </c>
      <c r="E370" s="16" t="inlineStr">
        <is>
          <t>RN-OD383</t>
        </is>
      </c>
      <c r="F370" s="16" t="inlineStr">
        <is>
          <t>لبخ 1-2 متر</t>
        </is>
      </c>
      <c r="G370" s="16" t="n">
        <v>1300</v>
      </c>
      <c r="H370" s="16" t="inlineStr">
        <is>
          <t>EA</t>
        </is>
      </c>
      <c r="I370" s="17" t="n">
        <v>25.5</v>
      </c>
      <c r="J370" s="17" t="n">
        <v>33150</v>
      </c>
    </row>
    <row r="371">
      <c r="A371" s="9" t="n"/>
      <c r="B371" s="9" t="inlineStr">
        <is>
          <t>إجمالي RNO-186-REV1</t>
        </is>
      </c>
      <c r="C371" s="9" t="n"/>
      <c r="D371" s="9" t="n"/>
      <c r="E371" s="9" t="n"/>
      <c r="F371" s="9" t="n"/>
      <c r="G371" s="9">
        <f>SUM(G368:G370)</f>
        <v/>
      </c>
      <c r="H371" s="9" t="n"/>
      <c r="I371" s="9" t="n"/>
      <c r="J371" s="10">
        <f>SUM(J368:J370)</f>
        <v/>
      </c>
    </row>
    <row r="372">
      <c r="A372" s="16" t="inlineStr">
        <is>
          <t>RNO</t>
        </is>
      </c>
      <c r="B372" s="16" t="inlineStr">
        <is>
          <t>RNO-187</t>
        </is>
      </c>
      <c r="C372" s="95" t="n">
        <v>46109</v>
      </c>
      <c r="D372" s="16" t="inlineStr">
        <is>
          <t>سجل صرف المخزن</t>
        </is>
      </c>
      <c r="E372" s="16" t="inlineStr">
        <is>
          <t>RN-FR1033</t>
        </is>
      </c>
      <c r="F372" s="16" t="inlineStr">
        <is>
          <t>بيتموس تى اس مخصب 210 لتر</t>
        </is>
      </c>
      <c r="G372" s="16" t="n">
        <v>15</v>
      </c>
      <c r="H372" s="16" t="inlineStr">
        <is>
          <t>EA</t>
        </is>
      </c>
      <c r="I372" s="17" t="n">
        <v>101.5</v>
      </c>
      <c r="J372" s="17" t="n">
        <v>1522.5</v>
      </c>
    </row>
    <row r="373">
      <c r="A373" s="16" t="inlineStr">
        <is>
          <t>RNO</t>
        </is>
      </c>
      <c r="B373" s="16" t="inlineStr">
        <is>
          <t>RNO-187</t>
        </is>
      </c>
      <c r="C373" s="95" t="n">
        <v>46109</v>
      </c>
      <c r="D373" s="16" t="inlineStr">
        <is>
          <t>سجل صرف المخزن</t>
        </is>
      </c>
      <c r="E373" s="16" t="inlineStr">
        <is>
          <t>RN-FR1004</t>
        </is>
      </c>
      <c r="F373" s="16" t="inlineStr">
        <is>
          <t>حديد مخلبى 6% 1 كجم</t>
        </is>
      </c>
      <c r="G373" s="16" t="n">
        <v>1</v>
      </c>
      <c r="H373" s="16" t="inlineStr">
        <is>
          <t>EA</t>
        </is>
      </c>
      <c r="I373" s="17" t="n">
        <v>60</v>
      </c>
      <c r="J373" s="17" t="n">
        <v>60</v>
      </c>
    </row>
    <row r="374">
      <c r="A374" s="16" t="inlineStr">
        <is>
          <t>RNO</t>
        </is>
      </c>
      <c r="B374" s="16" t="inlineStr">
        <is>
          <t>RNO-187</t>
        </is>
      </c>
      <c r="C374" s="95" t="n">
        <v>46109</v>
      </c>
      <c r="D374" s="16" t="inlineStr">
        <is>
          <t>سجل صرف المخزن</t>
        </is>
      </c>
      <c r="E374" s="16" t="inlineStr">
        <is>
          <t>RN-FR368</t>
        </is>
      </c>
      <c r="F374" s="16" t="inlineStr">
        <is>
          <t>بيرلايت 100 لتر</t>
        </is>
      </c>
      <c r="G374" s="16" t="n">
        <v>4</v>
      </c>
      <c r="H374" s="16" t="inlineStr">
        <is>
          <t>EA</t>
        </is>
      </c>
      <c r="I374" s="17" t="n">
        <v>32.5</v>
      </c>
      <c r="J374" s="17" t="n">
        <v>130</v>
      </c>
    </row>
    <row r="375">
      <c r="A375" s="16" t="inlineStr">
        <is>
          <t>RNO</t>
        </is>
      </c>
      <c r="B375" s="16" t="inlineStr">
        <is>
          <t>RNO-187</t>
        </is>
      </c>
      <c r="C375" s="95" t="n">
        <v>46109</v>
      </c>
      <c r="D375" s="16" t="inlineStr">
        <is>
          <t>سجل صرف المخزن</t>
        </is>
      </c>
      <c r="E375" s="16" t="inlineStr">
        <is>
          <t>RN-FR1023</t>
        </is>
      </c>
      <c r="F375" s="16" t="inlineStr">
        <is>
          <t>سنجرال 20-20-20+ع ن - 25 كجم</t>
        </is>
      </c>
      <c r="G375" s="16" t="n">
        <v>1</v>
      </c>
      <c r="H375" s="16" t="inlineStr">
        <is>
          <t>EA</t>
        </is>
      </c>
      <c r="I375" s="17" t="n">
        <v>280</v>
      </c>
      <c r="J375" s="17" t="n">
        <v>280</v>
      </c>
    </row>
    <row r="376">
      <c r="A376" s="9" t="n"/>
      <c r="B376" s="9" t="inlineStr">
        <is>
          <t>إجمالي RNO-187</t>
        </is>
      </c>
      <c r="C376" s="9" t="n"/>
      <c r="D376" s="9" t="n"/>
      <c r="E376" s="9" t="n"/>
      <c r="F376" s="9" t="n"/>
      <c r="G376" s="9">
        <f>SUM(G372:G375)</f>
        <v/>
      </c>
      <c r="H376" s="9" t="n"/>
      <c r="I376" s="9" t="n"/>
      <c r="J376" s="10">
        <f>SUM(J372:J375)</f>
        <v/>
      </c>
    </row>
    <row r="377">
      <c r="A377" s="16" t="inlineStr">
        <is>
          <t>RNO</t>
        </is>
      </c>
      <c r="B377" s="16" t="inlineStr">
        <is>
          <t>RNO-189</t>
        </is>
      </c>
      <c r="C377" s="95" t="n">
        <v>46110</v>
      </c>
      <c r="D377" s="16" t="inlineStr">
        <is>
          <t>سجل صرف المخزن</t>
        </is>
      </c>
      <c r="E377" s="16" t="inlineStr">
        <is>
          <t>RN-PL1</t>
        </is>
      </c>
      <c r="F377" s="16" t="inlineStr">
        <is>
          <t>مركن زراعى خفيف ملون 9 سم</t>
        </is>
      </c>
      <c r="G377" s="16" t="n">
        <v>16000</v>
      </c>
      <c r="H377" s="16" t="inlineStr">
        <is>
          <t>EA</t>
        </is>
      </c>
      <c r="I377" s="17" t="n">
        <v>0.06</v>
      </c>
      <c r="J377" s="17" t="n">
        <v>960</v>
      </c>
    </row>
    <row r="378">
      <c r="A378" s="9" t="n"/>
      <c r="B378" s="9" t="inlineStr">
        <is>
          <t>إجمالي RNO-189</t>
        </is>
      </c>
      <c r="C378" s="9" t="n"/>
      <c r="D378" s="9" t="n"/>
      <c r="E378" s="9" t="n"/>
      <c r="F378" s="9" t="n"/>
      <c r="G378" s="9">
        <f>SUM(G377:G377)</f>
        <v/>
      </c>
      <c r="H378" s="9" t="n"/>
      <c r="I378" s="9" t="n"/>
      <c r="J378" s="10">
        <f>SUM(J377:J377)</f>
        <v/>
      </c>
    </row>
    <row r="379">
      <c r="A379" s="16" t="inlineStr">
        <is>
          <t>RNO</t>
        </is>
      </c>
      <c r="B379" s="16" t="inlineStr">
        <is>
          <t>RNO-191</t>
        </is>
      </c>
      <c r="C379" s="95" t="n">
        <v>46111</v>
      </c>
      <c r="D379" s="16" t="inlineStr">
        <is>
          <t>سجل صرف المخزن</t>
        </is>
      </c>
      <c r="E379" s="16" t="inlineStr">
        <is>
          <t>RN-FR1033</t>
        </is>
      </c>
      <c r="F379" s="16" t="inlineStr">
        <is>
          <t>بيتموس تى اس مخصب 210 لتر</t>
        </is>
      </c>
      <c r="G379" s="16" t="n">
        <v>20</v>
      </c>
      <c r="H379" s="16" t="inlineStr">
        <is>
          <t>EA</t>
        </is>
      </c>
      <c r="I379" s="17" t="n">
        <v>101.5</v>
      </c>
      <c r="J379" s="17" t="n">
        <v>2030</v>
      </c>
    </row>
    <row r="380">
      <c r="A380" s="16" t="inlineStr">
        <is>
          <t>RNO</t>
        </is>
      </c>
      <c r="B380" s="16" t="inlineStr">
        <is>
          <t>RNO-191</t>
        </is>
      </c>
      <c r="C380" s="95" t="n">
        <v>46111</v>
      </c>
      <c r="D380" s="16" t="inlineStr">
        <is>
          <t>سجل صرف المخزن</t>
        </is>
      </c>
      <c r="E380" s="16" t="inlineStr">
        <is>
          <t>RN-FR368</t>
        </is>
      </c>
      <c r="F380" s="16" t="inlineStr">
        <is>
          <t>بيرلايت 100 لتر</t>
        </is>
      </c>
      <c r="G380" s="16" t="n">
        <v>6</v>
      </c>
      <c r="H380" s="16" t="inlineStr">
        <is>
          <t>EA</t>
        </is>
      </c>
      <c r="I380" s="17" t="n">
        <v>32.5</v>
      </c>
      <c r="J380" s="17" t="n">
        <v>195</v>
      </c>
    </row>
    <row r="381">
      <c r="A381" s="9" t="n"/>
      <c r="B381" s="9" t="inlineStr">
        <is>
          <t>إجمالي RNO-191</t>
        </is>
      </c>
      <c r="C381" s="9" t="n"/>
      <c r="D381" s="9" t="n"/>
      <c r="E381" s="9" t="n"/>
      <c r="F381" s="9" t="n"/>
      <c r="G381" s="9">
        <f>SUM(G379:G380)</f>
        <v/>
      </c>
      <c r="H381" s="9" t="n"/>
      <c r="I381" s="9" t="n"/>
      <c r="J381" s="10">
        <f>SUM(J379:J380)</f>
        <v/>
      </c>
    </row>
    <row r="382">
      <c r="A382" s="16" t="inlineStr">
        <is>
          <t>RNO</t>
        </is>
      </c>
      <c r="B382" s="16" t="inlineStr">
        <is>
          <t>RNO-192</t>
        </is>
      </c>
      <c r="C382" s="95" t="n">
        <v>46111</v>
      </c>
      <c r="D382" s="16" t="inlineStr">
        <is>
          <t>سجل صرف المخزن</t>
        </is>
      </c>
      <c r="E382" s="16" t="inlineStr">
        <is>
          <t>RN-PL1</t>
        </is>
      </c>
      <c r="F382" s="16" t="inlineStr">
        <is>
          <t>مركن زراعى خفيف ملون 9 سم</t>
        </is>
      </c>
      <c r="G382" s="16" t="n">
        <v>20000</v>
      </c>
      <c r="H382" s="16" t="inlineStr">
        <is>
          <t>EA</t>
        </is>
      </c>
      <c r="I382" s="17" t="n">
        <v>0.06</v>
      </c>
      <c r="J382" s="17" t="n">
        <v>1200</v>
      </c>
    </row>
    <row r="383">
      <c r="A383" s="9" t="n"/>
      <c r="B383" s="9" t="inlineStr">
        <is>
          <t>إجمالي RNO-192</t>
        </is>
      </c>
      <c r="C383" s="9" t="n"/>
      <c r="D383" s="9" t="n"/>
      <c r="E383" s="9" t="n"/>
      <c r="F383" s="9" t="n"/>
      <c r="G383" s="9">
        <f>SUM(G382:G382)</f>
        <v/>
      </c>
      <c r="H383" s="9" t="n"/>
      <c r="I383" s="9" t="n"/>
      <c r="J383" s="10">
        <f>SUM(J382:J382)</f>
        <v/>
      </c>
    </row>
    <row r="384">
      <c r="A384" s="16" t="inlineStr">
        <is>
          <t>RNO</t>
        </is>
      </c>
      <c r="B384" s="16" t="inlineStr">
        <is>
          <t>RNO-195</t>
        </is>
      </c>
      <c r="C384" s="95" t="n">
        <v>46112</v>
      </c>
      <c r="D384" s="16" t="inlineStr">
        <is>
          <t>سجل صرف المخزن</t>
        </is>
      </c>
      <c r="E384" s="16" t="inlineStr">
        <is>
          <t>RN-FR1033</t>
        </is>
      </c>
      <c r="F384" s="16" t="inlineStr">
        <is>
          <t>بيتموس تى اس مخصب 210 لتر</t>
        </is>
      </c>
      <c r="G384" s="16" t="n">
        <v>18</v>
      </c>
      <c r="H384" s="16" t="inlineStr">
        <is>
          <t>EA</t>
        </is>
      </c>
      <c r="I384" s="17" t="n">
        <v>101.5</v>
      </c>
      <c r="J384" s="17" t="n">
        <v>1827</v>
      </c>
    </row>
    <row r="385">
      <c r="A385" s="16" t="inlineStr">
        <is>
          <t>RNO</t>
        </is>
      </c>
      <c r="B385" s="16" t="inlineStr">
        <is>
          <t>RNO-195</t>
        </is>
      </c>
      <c r="C385" s="95" t="n">
        <v>46112</v>
      </c>
      <c r="D385" s="16" t="inlineStr">
        <is>
          <t>سجل صرف المخزن</t>
        </is>
      </c>
      <c r="E385" s="16" t="inlineStr">
        <is>
          <t>RN-FR368</t>
        </is>
      </c>
      <c r="F385" s="16" t="inlineStr">
        <is>
          <t>بيرلايت 100 لتر</t>
        </is>
      </c>
      <c r="G385" s="16" t="n">
        <v>5</v>
      </c>
      <c r="H385" s="16" t="inlineStr">
        <is>
          <t>EA</t>
        </is>
      </c>
      <c r="I385" s="17" t="n">
        <v>32.5</v>
      </c>
      <c r="J385" s="17" t="n">
        <v>162.5</v>
      </c>
    </row>
    <row r="386">
      <c r="A386" s="16" t="inlineStr">
        <is>
          <t>RNO</t>
        </is>
      </c>
      <c r="B386" s="16" t="inlineStr">
        <is>
          <t>RNO-195</t>
        </is>
      </c>
      <c r="C386" s="95" t="n">
        <v>46112</v>
      </c>
      <c r="D386" s="16" t="inlineStr">
        <is>
          <t>سجل صرف المخزن</t>
        </is>
      </c>
      <c r="E386" s="16" t="inlineStr">
        <is>
          <t>RN-PL1</t>
        </is>
      </c>
      <c r="F386" s="16" t="inlineStr">
        <is>
          <t>مركن زراعى خفيف ملون 9 سم</t>
        </is>
      </c>
      <c r="G386" s="16" t="n">
        <v>4000</v>
      </c>
      <c r="H386" s="16" t="inlineStr">
        <is>
          <t>EA</t>
        </is>
      </c>
      <c r="I386" s="17" t="n">
        <v>0.06</v>
      </c>
      <c r="J386" s="17" t="n">
        <v>240</v>
      </c>
    </row>
    <row r="387">
      <c r="A387" s="9" t="n"/>
      <c r="B387" s="9" t="inlineStr">
        <is>
          <t>إجمالي RNO-195</t>
        </is>
      </c>
      <c r="C387" s="9" t="n"/>
      <c r="D387" s="9" t="n"/>
      <c r="E387" s="9" t="n"/>
      <c r="F387" s="9" t="n"/>
      <c r="G387" s="9">
        <f>SUM(G384:G386)</f>
        <v/>
      </c>
      <c r="H387" s="9" t="n"/>
      <c r="I387" s="9" t="n"/>
      <c r="J387" s="10">
        <f>SUM(J384:J386)</f>
        <v/>
      </c>
    </row>
    <row r="388">
      <c r="A388" s="16" t="inlineStr">
        <is>
          <t>RNO</t>
        </is>
      </c>
      <c r="B388" s="16" t="inlineStr">
        <is>
          <t>RNO-197</t>
        </is>
      </c>
      <c r="C388" s="95" t="n">
        <v>46113</v>
      </c>
      <c r="D388" s="16" t="inlineStr">
        <is>
          <t>سجل صرف المخزن</t>
        </is>
      </c>
      <c r="E388" s="16" t="inlineStr">
        <is>
          <t>RN-PL1</t>
        </is>
      </c>
      <c r="F388" s="16" t="inlineStr">
        <is>
          <t>مركن زراعى خفيف ملون 9 سم</t>
        </is>
      </c>
      <c r="G388" s="16" t="n">
        <v>10000</v>
      </c>
      <c r="H388" s="16" t="inlineStr">
        <is>
          <t>EA</t>
        </is>
      </c>
      <c r="I388" s="17" t="n">
        <v>0.06</v>
      </c>
      <c r="J388" s="17" t="n">
        <v>600</v>
      </c>
    </row>
    <row r="389">
      <c r="A389" s="16" t="inlineStr">
        <is>
          <t>RNO</t>
        </is>
      </c>
      <c r="B389" s="16" t="inlineStr">
        <is>
          <t>RNO-197</t>
        </is>
      </c>
      <c r="C389" s="95" t="n">
        <v>46113</v>
      </c>
      <c r="D389" s="16" t="inlineStr">
        <is>
          <t>سجل صرف المخزن</t>
        </is>
      </c>
      <c r="E389" s="16" t="inlineStr">
        <is>
          <t>RN-PL12</t>
        </is>
      </c>
      <c r="F389" s="16" t="inlineStr">
        <is>
          <t>صندوق فلين للزهور</t>
        </is>
      </c>
      <c r="G389" s="16" t="n">
        <v>250</v>
      </c>
      <c r="H389" s="16" t="inlineStr">
        <is>
          <t>EA</t>
        </is>
      </c>
      <c r="I389" s="17" t="n">
        <v>4</v>
      </c>
      <c r="J389" s="17" t="n">
        <v>1000</v>
      </c>
    </row>
    <row r="390">
      <c r="A390" s="16" t="inlineStr">
        <is>
          <t>RNO</t>
        </is>
      </c>
      <c r="B390" s="16" t="inlineStr">
        <is>
          <t>RNO-197</t>
        </is>
      </c>
      <c r="C390" s="95" t="n">
        <v>46113</v>
      </c>
      <c r="D390" s="16" t="inlineStr">
        <is>
          <t>سجل صرف المخزن</t>
        </is>
      </c>
      <c r="E390" s="16" t="inlineStr">
        <is>
          <t>RN-FR1004</t>
        </is>
      </c>
      <c r="F390" s="16" t="inlineStr">
        <is>
          <t>حديد مخلبى 6% 1 كجم</t>
        </is>
      </c>
      <c r="G390" s="16" t="n">
        <v>1</v>
      </c>
      <c r="H390" s="16" t="inlineStr">
        <is>
          <t>EA</t>
        </is>
      </c>
      <c r="I390" s="17" t="n">
        <v>60</v>
      </c>
      <c r="J390" s="17" t="n">
        <v>60</v>
      </c>
    </row>
    <row r="391">
      <c r="A391" s="9" t="n"/>
      <c r="B391" s="9" t="inlineStr">
        <is>
          <t>إجمالي RNO-197</t>
        </is>
      </c>
      <c r="C391" s="9" t="n"/>
      <c r="D391" s="9" t="n"/>
      <c r="E391" s="9" t="n"/>
      <c r="F391" s="9" t="n"/>
      <c r="G391" s="9">
        <f>SUM(G388:G390)</f>
        <v/>
      </c>
      <c r="H391" s="9" t="n"/>
      <c r="I391" s="9" t="n"/>
      <c r="J391" s="10">
        <f>SUM(J388:J390)</f>
        <v/>
      </c>
    </row>
    <row r="392">
      <c r="A392" s="16" t="inlineStr">
        <is>
          <t>RNO</t>
        </is>
      </c>
      <c r="B392" s="16" t="inlineStr">
        <is>
          <t>RNO-199</t>
        </is>
      </c>
      <c r="C392" s="95" t="n">
        <v>46114</v>
      </c>
      <c r="D392" s="16" t="inlineStr">
        <is>
          <t>سجل صرف المخزن</t>
        </is>
      </c>
      <c r="E392" s="16" t="inlineStr">
        <is>
          <t>RN-FR1033</t>
        </is>
      </c>
      <c r="F392" s="16" t="inlineStr">
        <is>
          <t>بيتموس تى اس مخصب 210 لتر</t>
        </is>
      </c>
      <c r="G392" s="16" t="n">
        <v>20</v>
      </c>
      <c r="H392" s="16" t="inlineStr">
        <is>
          <t>EA</t>
        </is>
      </c>
      <c r="I392" s="17" t="n">
        <v>101.5</v>
      </c>
      <c r="J392" s="17" t="n">
        <v>2030</v>
      </c>
    </row>
    <row r="393">
      <c r="A393" s="16" t="inlineStr">
        <is>
          <t>RNO</t>
        </is>
      </c>
      <c r="B393" s="16" t="inlineStr">
        <is>
          <t>RNO-199</t>
        </is>
      </c>
      <c r="C393" s="95" t="n">
        <v>46114</v>
      </c>
      <c r="D393" s="16" t="inlineStr">
        <is>
          <t>سجل صرف المخزن</t>
        </is>
      </c>
      <c r="E393" s="16" t="inlineStr">
        <is>
          <t>RN-FR368</t>
        </is>
      </c>
      <c r="F393" s="16" t="inlineStr">
        <is>
          <t>بيرلايت 100 لتر</t>
        </is>
      </c>
      <c r="G393" s="16" t="n">
        <v>6</v>
      </c>
      <c r="H393" s="16" t="inlineStr">
        <is>
          <t>EA</t>
        </is>
      </c>
      <c r="I393" s="17" t="n">
        <v>32.5</v>
      </c>
      <c r="J393" s="17" t="n">
        <v>195</v>
      </c>
    </row>
    <row r="394">
      <c r="A394" s="16" t="inlineStr">
        <is>
          <t>RNO</t>
        </is>
      </c>
      <c r="B394" s="16" t="inlineStr">
        <is>
          <t>RNO-199</t>
        </is>
      </c>
      <c r="C394" s="95" t="n">
        <v>46114</v>
      </c>
      <c r="D394" s="16" t="inlineStr">
        <is>
          <t>سجل صرف المخزن</t>
        </is>
      </c>
      <c r="E394" s="16" t="inlineStr">
        <is>
          <t>RN-PL1</t>
        </is>
      </c>
      <c r="F394" s="16" t="inlineStr">
        <is>
          <t>مركن زراعى خفيف ملون 9 سم</t>
        </is>
      </c>
      <c r="G394" s="16" t="n">
        <v>10000</v>
      </c>
      <c r="H394" s="16" t="inlineStr">
        <is>
          <t>EA</t>
        </is>
      </c>
      <c r="I394" s="17" t="n">
        <v>0.06</v>
      </c>
      <c r="J394" s="17" t="n">
        <v>600</v>
      </c>
    </row>
    <row r="395">
      <c r="A395" s="9" t="n"/>
      <c r="B395" s="9" t="inlineStr">
        <is>
          <t>إجمالي RNO-199</t>
        </is>
      </c>
      <c r="C395" s="9" t="n"/>
      <c r="D395" s="9" t="n"/>
      <c r="E395" s="9" t="n"/>
      <c r="F395" s="9" t="n"/>
      <c r="G395" s="9">
        <f>SUM(G392:G394)</f>
        <v/>
      </c>
      <c r="H395" s="9" t="n"/>
      <c r="I395" s="9" t="n"/>
      <c r="J395" s="10">
        <f>SUM(J392:J394)</f>
        <v/>
      </c>
    </row>
    <row r="396">
      <c r="A396" s="16" t="inlineStr">
        <is>
          <t>RNO</t>
        </is>
      </c>
      <c r="B396" s="16" t="inlineStr">
        <is>
          <t>RNO-201</t>
        </is>
      </c>
      <c r="C396" s="95" t="n">
        <v>46116</v>
      </c>
      <c r="D396" s="16" t="inlineStr">
        <is>
          <t>سجل صرف المخزن</t>
        </is>
      </c>
      <c r="E396" s="16" t="inlineStr">
        <is>
          <t>RN-FR1004</t>
        </is>
      </c>
      <c r="F396" s="16" t="inlineStr">
        <is>
          <t>حديد مخلبى 6% 1 كجم</t>
        </is>
      </c>
      <c r="G396" s="16" t="n">
        <v>1</v>
      </c>
      <c r="H396" s="16" t="inlineStr">
        <is>
          <t>EA</t>
        </is>
      </c>
      <c r="I396" s="17" t="n">
        <v>60</v>
      </c>
      <c r="J396" s="17" t="n">
        <v>60</v>
      </c>
    </row>
    <row r="397">
      <c r="A397" s="16" t="inlineStr">
        <is>
          <t>RNO</t>
        </is>
      </c>
      <c r="B397" s="16" t="inlineStr">
        <is>
          <t>RNO-201</t>
        </is>
      </c>
      <c r="C397" s="95" t="n">
        <v>46116</v>
      </c>
      <c r="D397" s="16" t="inlineStr">
        <is>
          <t>سجل صرف المخزن</t>
        </is>
      </c>
      <c r="E397" s="16" t="inlineStr">
        <is>
          <t>RN-PL1</t>
        </is>
      </c>
      <c r="F397" s="16" t="inlineStr">
        <is>
          <t>مركن زراعى خفيف ملون 9 سم</t>
        </is>
      </c>
      <c r="G397" s="16" t="n">
        <v>10000</v>
      </c>
      <c r="H397" s="16" t="inlineStr">
        <is>
          <t>EA</t>
        </is>
      </c>
      <c r="I397" s="17" t="n">
        <v>0.06</v>
      </c>
      <c r="J397" s="17" t="n">
        <v>600</v>
      </c>
    </row>
    <row r="398">
      <c r="A398" s="9" t="n"/>
      <c r="B398" s="9" t="inlineStr">
        <is>
          <t>إجمالي RNO-201</t>
        </is>
      </c>
      <c r="C398" s="9" t="n"/>
      <c r="D398" s="9" t="n"/>
      <c r="E398" s="9" t="n"/>
      <c r="F398" s="9" t="n"/>
      <c r="G398" s="9">
        <f>SUM(G396:G397)</f>
        <v/>
      </c>
      <c r="H398" s="9" t="n"/>
      <c r="I398" s="9" t="n"/>
      <c r="J398" s="10">
        <f>SUM(J396:J397)</f>
        <v/>
      </c>
    </row>
    <row r="399">
      <c r="A399" s="16" t="inlineStr">
        <is>
          <t>RNO</t>
        </is>
      </c>
      <c r="B399" s="16" t="inlineStr">
        <is>
          <t>RNO-204-REV1</t>
        </is>
      </c>
      <c r="C399" s="95" t="n">
        <v>46117</v>
      </c>
      <c r="D399" s="16" t="inlineStr">
        <is>
          <t>سجل صرف المخزن</t>
        </is>
      </c>
      <c r="E399" s="16" t="inlineStr">
        <is>
          <t>RN-FR1017</t>
        </is>
      </c>
      <c r="F399" s="16" t="inlineStr">
        <is>
          <t>بوتنج سويل 70 لتر</t>
        </is>
      </c>
      <c r="G399" s="16" t="n">
        <v>1</v>
      </c>
      <c r="H399" s="16" t="inlineStr">
        <is>
          <t>EA</t>
        </is>
      </c>
      <c r="I399" s="17" t="n">
        <v>46</v>
      </c>
      <c r="J399" s="17" t="n">
        <v>46</v>
      </c>
    </row>
    <row r="400">
      <c r="A400" s="16" t="inlineStr">
        <is>
          <t>RNO</t>
        </is>
      </c>
      <c r="B400" s="16" t="inlineStr">
        <is>
          <t>RNO-204-REV1</t>
        </is>
      </c>
      <c r="C400" s="95" t="n">
        <v>46117</v>
      </c>
      <c r="D400" s="16" t="inlineStr">
        <is>
          <t>سجل صرف المخزن</t>
        </is>
      </c>
      <c r="E400" s="16" t="inlineStr">
        <is>
          <t>RN-PL12</t>
        </is>
      </c>
      <c r="F400" s="16" t="inlineStr">
        <is>
          <t>صندوق فلين للزهور</t>
        </is>
      </c>
      <c r="G400" s="16" t="n">
        <v>450</v>
      </c>
      <c r="H400" s="16" t="inlineStr">
        <is>
          <t>EA</t>
        </is>
      </c>
      <c r="I400" s="17" t="n">
        <v>4</v>
      </c>
      <c r="J400" s="17" t="n">
        <v>1800</v>
      </c>
    </row>
    <row r="401">
      <c r="A401" s="16" t="inlineStr">
        <is>
          <t>RNO</t>
        </is>
      </c>
      <c r="B401" s="16" t="inlineStr">
        <is>
          <t>RNO-204-REV1</t>
        </is>
      </c>
      <c r="C401" s="95" t="n">
        <v>46117</v>
      </c>
      <c r="D401" s="16" t="inlineStr">
        <is>
          <t>سجل صرف المخزن</t>
        </is>
      </c>
      <c r="E401" s="16" t="inlineStr">
        <is>
          <t>RN-SE111</t>
        </is>
      </c>
      <c r="F401" s="16" t="inlineStr">
        <is>
          <t>بذور أمارانتس</t>
        </is>
      </c>
      <c r="G401" s="16" t="n">
        <v>5000</v>
      </c>
      <c r="H401" s="16" t="inlineStr">
        <is>
          <t>EA</t>
        </is>
      </c>
      <c r="I401" s="17" t="n">
        <v>0.01</v>
      </c>
      <c r="J401" s="17" t="n">
        <v>50</v>
      </c>
    </row>
    <row r="402">
      <c r="A402" s="9" t="n"/>
      <c r="B402" s="9" t="inlineStr">
        <is>
          <t>إجمالي RNO-204-REV1</t>
        </is>
      </c>
      <c r="C402" s="9" t="n"/>
      <c r="D402" s="9" t="n"/>
      <c r="E402" s="9" t="n"/>
      <c r="F402" s="9" t="n"/>
      <c r="G402" s="9">
        <f>SUM(G399:G401)</f>
        <v/>
      </c>
      <c r="H402" s="9" t="n"/>
      <c r="I402" s="9" t="n"/>
      <c r="J402" s="10">
        <f>SUM(J399:J401)</f>
        <v/>
      </c>
    </row>
    <row r="403">
      <c r="A403" s="16" t="inlineStr">
        <is>
          <t>RNO</t>
        </is>
      </c>
      <c r="B403" s="16" t="inlineStr">
        <is>
          <t>RNO-209</t>
        </is>
      </c>
      <c r="C403" s="95" t="n">
        <v>46120</v>
      </c>
      <c r="D403" s="16" t="inlineStr">
        <is>
          <t>سجل صرف المخزن</t>
        </is>
      </c>
      <c r="E403" s="16" t="inlineStr">
        <is>
          <t>RN-FR1004</t>
        </is>
      </c>
      <c r="F403" s="16" t="inlineStr">
        <is>
          <t>حديد مخلبى 6% 1 كجم</t>
        </is>
      </c>
      <c r="G403" s="16" t="n">
        <v>1</v>
      </c>
      <c r="H403" s="16" t="inlineStr">
        <is>
          <t>EA</t>
        </is>
      </c>
      <c r="I403" s="17" t="n">
        <v>60</v>
      </c>
      <c r="J403" s="17" t="n">
        <v>60</v>
      </c>
    </row>
    <row r="404">
      <c r="A404" s="16" t="inlineStr">
        <is>
          <t>RNO</t>
        </is>
      </c>
      <c r="B404" s="16" t="inlineStr">
        <is>
          <t>RNO-209</t>
        </is>
      </c>
      <c r="C404" s="95" t="n">
        <v>46120</v>
      </c>
      <c r="D404" s="16" t="inlineStr">
        <is>
          <t>سجل صرف المخزن</t>
        </is>
      </c>
      <c r="E404" s="16" t="inlineStr">
        <is>
          <t>RN-FR1023</t>
        </is>
      </c>
      <c r="F404" s="16" t="inlineStr">
        <is>
          <t>سنجرال 20-20-20+ع ن - 25 كجم</t>
        </is>
      </c>
      <c r="G404" s="16" t="n">
        <v>1</v>
      </c>
      <c r="H404" s="16" t="inlineStr">
        <is>
          <t>EA</t>
        </is>
      </c>
      <c r="I404" s="17" t="n">
        <v>280</v>
      </c>
      <c r="J404" s="17" t="n">
        <v>280</v>
      </c>
    </row>
    <row r="405">
      <c r="A405" s="16" t="inlineStr">
        <is>
          <t>RNO</t>
        </is>
      </c>
      <c r="B405" s="16" t="inlineStr">
        <is>
          <t>RNO-209</t>
        </is>
      </c>
      <c r="C405" s="95" t="n">
        <v>46120</v>
      </c>
      <c r="D405" s="16" t="inlineStr">
        <is>
          <t>سجل صرف المخزن</t>
        </is>
      </c>
      <c r="E405" s="16" t="inlineStr">
        <is>
          <t>RN-PL12</t>
        </is>
      </c>
      <c r="F405" s="16" t="inlineStr">
        <is>
          <t>صندوق فلين للزهور</t>
        </is>
      </c>
      <c r="G405" s="16" t="n">
        <v>160</v>
      </c>
      <c r="H405" s="16" t="inlineStr">
        <is>
          <t>EA</t>
        </is>
      </c>
      <c r="I405" s="17" t="n">
        <v>4</v>
      </c>
      <c r="J405" s="17" t="n">
        <v>640</v>
      </c>
    </row>
    <row r="406">
      <c r="A406" s="9" t="n"/>
      <c r="B406" s="9" t="inlineStr">
        <is>
          <t>إجمالي RNO-209</t>
        </is>
      </c>
      <c r="C406" s="9" t="n"/>
      <c r="D406" s="9" t="n"/>
      <c r="E406" s="9" t="n"/>
      <c r="F406" s="9" t="n"/>
      <c r="G406" s="9">
        <f>SUM(G403:G405)</f>
        <v/>
      </c>
      <c r="H406" s="9" t="n"/>
      <c r="I406" s="9" t="n"/>
      <c r="J406" s="10">
        <f>SUM(J403:J405)</f>
        <v/>
      </c>
    </row>
    <row r="407">
      <c r="A407" s="16" t="inlineStr">
        <is>
          <t>RNO</t>
        </is>
      </c>
      <c r="B407" s="16" t="inlineStr">
        <is>
          <t>RNO-217</t>
        </is>
      </c>
      <c r="C407" s="95" t="n">
        <v>46123</v>
      </c>
      <c r="D407" s="16" t="inlineStr">
        <is>
          <t>سجل صرف المخزن</t>
        </is>
      </c>
      <c r="E407" s="16" t="inlineStr">
        <is>
          <t>RN-SE112</t>
        </is>
      </c>
      <c r="F407" s="16" t="inlineStr">
        <is>
          <t>بذور زينيا بروفيوجن أبيض</t>
        </is>
      </c>
      <c r="G407" s="16" t="n">
        <v>5000</v>
      </c>
      <c r="H407" s="16" t="inlineStr">
        <is>
          <t>EA</t>
        </is>
      </c>
      <c r="I407" s="17" t="n">
        <v>0.15</v>
      </c>
      <c r="J407" s="17" t="n">
        <v>750</v>
      </c>
    </row>
    <row r="408">
      <c r="A408" s="16" t="inlineStr">
        <is>
          <t>RNO</t>
        </is>
      </c>
      <c r="B408" s="16" t="inlineStr">
        <is>
          <t>RNO-217</t>
        </is>
      </c>
      <c r="C408" s="95" t="n">
        <v>46123</v>
      </c>
      <c r="D408" s="16" t="inlineStr">
        <is>
          <t>سجل صرف المخزن</t>
        </is>
      </c>
      <c r="E408" s="16" t="inlineStr">
        <is>
          <t>RN-SE113</t>
        </is>
      </c>
      <c r="F408" s="16" t="inlineStr">
        <is>
          <t>بذور زينيا بروفيوجن أحمر</t>
        </is>
      </c>
      <c r="G408" s="16" t="n">
        <v>5000</v>
      </c>
      <c r="H408" s="16" t="inlineStr">
        <is>
          <t>EA</t>
        </is>
      </c>
      <c r="I408" s="17" t="n">
        <v>0.15</v>
      </c>
      <c r="J408" s="17" t="n">
        <v>750</v>
      </c>
    </row>
    <row r="409">
      <c r="A409" s="16" t="inlineStr">
        <is>
          <t>RNO</t>
        </is>
      </c>
      <c r="B409" s="16" t="inlineStr">
        <is>
          <t>RNO-217</t>
        </is>
      </c>
      <c r="C409" s="95" t="n">
        <v>46123</v>
      </c>
      <c r="D409" s="16" t="inlineStr">
        <is>
          <t>سجل صرف المخزن</t>
        </is>
      </c>
      <c r="E409" s="16" t="inlineStr">
        <is>
          <t>RN-SE114</t>
        </is>
      </c>
      <c r="F409" s="16" t="inlineStr">
        <is>
          <t>بذور زينيا بروفيوجن أصفر</t>
        </is>
      </c>
      <c r="G409" s="16" t="n">
        <v>5000</v>
      </c>
      <c r="H409" s="16" t="inlineStr">
        <is>
          <t>EA</t>
        </is>
      </c>
      <c r="I409" s="17" t="n">
        <v>0.15</v>
      </c>
      <c r="J409" s="17" t="n">
        <v>750</v>
      </c>
    </row>
    <row r="410">
      <c r="A410" s="16" t="inlineStr">
        <is>
          <t>RNO</t>
        </is>
      </c>
      <c r="B410" s="16" t="inlineStr">
        <is>
          <t>RNO-217</t>
        </is>
      </c>
      <c r="C410" s="95" t="n">
        <v>46123</v>
      </c>
      <c r="D410" s="16" t="inlineStr">
        <is>
          <t>سجل صرف المخزن</t>
        </is>
      </c>
      <c r="E410" s="16" t="inlineStr">
        <is>
          <t>RN-SE115</t>
        </is>
      </c>
      <c r="F410" s="16" t="inlineStr">
        <is>
          <t>بذور زينيا بروفيوجن برتقالي</t>
        </is>
      </c>
      <c r="G410" s="16" t="n">
        <v>5000</v>
      </c>
      <c r="H410" s="16" t="inlineStr">
        <is>
          <t>EA</t>
        </is>
      </c>
      <c r="I410" s="17" t="n">
        <v>0.15</v>
      </c>
      <c r="J410" s="17" t="n">
        <v>750</v>
      </c>
    </row>
    <row r="411">
      <c r="A411" s="16" t="inlineStr">
        <is>
          <t>RNO</t>
        </is>
      </c>
      <c r="B411" s="16" t="inlineStr">
        <is>
          <t>RNO-217</t>
        </is>
      </c>
      <c r="C411" s="95" t="n">
        <v>46123</v>
      </c>
      <c r="D411" s="16" t="inlineStr">
        <is>
          <t>سجل صرف المخزن</t>
        </is>
      </c>
      <c r="E411" s="16" t="inlineStr">
        <is>
          <t>RN-SE116</t>
        </is>
      </c>
      <c r="F411" s="16" t="inlineStr">
        <is>
          <t>بذور زينيا بروفيوجن ناري</t>
        </is>
      </c>
      <c r="G411" s="16" t="n">
        <v>5000</v>
      </c>
      <c r="H411" s="16" t="inlineStr">
        <is>
          <t>EA</t>
        </is>
      </c>
      <c r="I411" s="17" t="n">
        <v>0.15</v>
      </c>
      <c r="J411" s="17" t="n">
        <v>750</v>
      </c>
    </row>
    <row r="412">
      <c r="A412" s="16" t="inlineStr">
        <is>
          <t>RNO</t>
        </is>
      </c>
      <c r="B412" s="16" t="inlineStr">
        <is>
          <t>RNO-217</t>
        </is>
      </c>
      <c r="C412" s="95" t="n">
        <v>46123</v>
      </c>
      <c r="D412" s="16" t="inlineStr">
        <is>
          <t>سجل صرف المخزن</t>
        </is>
      </c>
      <c r="E412" s="16" t="inlineStr">
        <is>
          <t>RN-SE117</t>
        </is>
      </c>
      <c r="F412" s="16" t="inlineStr">
        <is>
          <t>بذور زينيا بروفيوجن ليموني</t>
        </is>
      </c>
      <c r="G412" s="16" t="n">
        <v>5000</v>
      </c>
      <c r="H412" s="16" t="inlineStr">
        <is>
          <t>EA</t>
        </is>
      </c>
      <c r="I412" s="17" t="n">
        <v>0.15</v>
      </c>
      <c r="J412" s="17" t="n">
        <v>750</v>
      </c>
    </row>
    <row r="413">
      <c r="A413" s="16" t="inlineStr">
        <is>
          <t>RNO</t>
        </is>
      </c>
      <c r="B413" s="16" t="inlineStr">
        <is>
          <t>RNO-217</t>
        </is>
      </c>
      <c r="C413" s="95" t="n">
        <v>46123</v>
      </c>
      <c r="D413" s="16" t="inlineStr">
        <is>
          <t>سجل صرف المخزن</t>
        </is>
      </c>
      <c r="E413" s="16" t="inlineStr">
        <is>
          <t>RN-SE118</t>
        </is>
      </c>
      <c r="F413" s="16" t="inlineStr">
        <is>
          <t>بذور زينيا بروفيوجن كرزي</t>
        </is>
      </c>
      <c r="G413" s="16" t="n">
        <v>5000</v>
      </c>
      <c r="H413" s="16" t="inlineStr">
        <is>
          <t>EA</t>
        </is>
      </c>
      <c r="I413" s="17" t="n">
        <v>0.15</v>
      </c>
      <c r="J413" s="17" t="n">
        <v>750</v>
      </c>
    </row>
    <row r="414">
      <c r="A414" s="16" t="inlineStr">
        <is>
          <t>RNO</t>
        </is>
      </c>
      <c r="B414" s="16" t="inlineStr">
        <is>
          <t>RNO-217</t>
        </is>
      </c>
      <c r="C414" s="95" t="n">
        <v>46123</v>
      </c>
      <c r="D414" s="16" t="inlineStr">
        <is>
          <t>سجل صرف المخزن</t>
        </is>
      </c>
      <c r="E414" s="16" t="inlineStr">
        <is>
          <t>RN-SE119</t>
        </is>
      </c>
      <c r="F414" s="16" t="inlineStr">
        <is>
          <t>بذور زينيا بروفيوجن كرزي ثنائي اللون</t>
        </is>
      </c>
      <c r="G414" s="16" t="n">
        <v>5000</v>
      </c>
      <c r="H414" s="16" t="inlineStr">
        <is>
          <t>EA</t>
        </is>
      </c>
      <c r="I414" s="17" t="n">
        <v>0.15</v>
      </c>
      <c r="J414" s="17" t="n">
        <v>750</v>
      </c>
    </row>
    <row r="415">
      <c r="A415" s="16" t="inlineStr">
        <is>
          <t>RNO</t>
        </is>
      </c>
      <c r="B415" s="16" t="inlineStr">
        <is>
          <t>RNO-217</t>
        </is>
      </c>
      <c r="C415" s="95" t="n">
        <v>46123</v>
      </c>
      <c r="D415" s="16" t="inlineStr">
        <is>
          <t>سجل صرف المخزن</t>
        </is>
      </c>
      <c r="E415" s="16" t="inlineStr">
        <is>
          <t>RN-SE120</t>
        </is>
      </c>
      <c r="F415" s="16" t="inlineStr">
        <is>
          <t>بذور زينيا بروفيوجن أحمر وأصفر ثنائي اللون</t>
        </is>
      </c>
      <c r="G415" s="16" t="n">
        <v>5000</v>
      </c>
      <c r="H415" s="16" t="inlineStr">
        <is>
          <t>EA</t>
        </is>
      </c>
      <c r="I415" s="17" t="n">
        <v>0.15</v>
      </c>
      <c r="J415" s="17" t="n">
        <v>750</v>
      </c>
    </row>
    <row r="416">
      <c r="A416" s="16" t="inlineStr">
        <is>
          <t>RNO</t>
        </is>
      </c>
      <c r="B416" s="16" t="inlineStr">
        <is>
          <t>RNO-217</t>
        </is>
      </c>
      <c r="C416" s="95" t="n">
        <v>46123</v>
      </c>
      <c r="D416" s="16" t="inlineStr">
        <is>
          <t>سجل صرف المخزن</t>
        </is>
      </c>
      <c r="E416" s="16" t="inlineStr">
        <is>
          <t>RN-FR1017</t>
        </is>
      </c>
      <c r="F416" s="16" t="inlineStr">
        <is>
          <t>بوتنج سويل 70 لتر</t>
        </is>
      </c>
      <c r="G416" s="16" t="n">
        <v>15</v>
      </c>
      <c r="H416" s="16" t="inlineStr">
        <is>
          <t>EA</t>
        </is>
      </c>
      <c r="I416" s="17" t="n">
        <v>46</v>
      </c>
      <c r="J416" s="17" t="n">
        <v>690</v>
      </c>
    </row>
    <row r="417">
      <c r="A417" s="16" t="inlineStr">
        <is>
          <t>RNO</t>
        </is>
      </c>
      <c r="B417" s="16" t="inlineStr">
        <is>
          <t>RNO-217</t>
        </is>
      </c>
      <c r="C417" s="95" t="n">
        <v>46123</v>
      </c>
      <c r="D417" s="16" t="inlineStr">
        <is>
          <t>سجل صرف المخزن</t>
        </is>
      </c>
      <c r="E417" s="16" t="inlineStr">
        <is>
          <t>RN-FR1018</t>
        </is>
      </c>
      <c r="F417" s="16" t="inlineStr">
        <is>
          <t>فيرموكلايت 100 لتر</t>
        </is>
      </c>
      <c r="G417" s="16" t="n">
        <v>4</v>
      </c>
      <c r="H417" s="16" t="inlineStr">
        <is>
          <t>EA</t>
        </is>
      </c>
      <c r="I417" s="17" t="n">
        <v>75</v>
      </c>
      <c r="J417" s="17" t="n">
        <v>300</v>
      </c>
    </row>
    <row r="418">
      <c r="A418" s="16" t="inlineStr">
        <is>
          <t>RNO</t>
        </is>
      </c>
      <c r="B418" s="16" t="inlineStr">
        <is>
          <t>RNO-217</t>
        </is>
      </c>
      <c r="C418" s="95" t="n">
        <v>46123</v>
      </c>
      <c r="D418" s="16" t="inlineStr">
        <is>
          <t>سجل صرف المخزن</t>
        </is>
      </c>
      <c r="E418" s="16" t="inlineStr">
        <is>
          <t>RN-PL12</t>
        </is>
      </c>
      <c r="F418" s="16" t="inlineStr">
        <is>
          <t>صندوق فلين للزهور</t>
        </is>
      </c>
      <c r="G418" s="16" t="n">
        <v>1500</v>
      </c>
      <c r="H418" s="16" t="inlineStr">
        <is>
          <t>EA</t>
        </is>
      </c>
      <c r="I418" s="17" t="n">
        <v>4</v>
      </c>
      <c r="J418" s="17" t="n">
        <v>6000</v>
      </c>
    </row>
    <row r="419">
      <c r="A419" s="9" t="n"/>
      <c r="B419" s="9" t="inlineStr">
        <is>
          <t>إجمالي RNO-217</t>
        </is>
      </c>
      <c r="C419" s="9" t="n"/>
      <c r="D419" s="9" t="n"/>
      <c r="E419" s="9" t="n"/>
      <c r="F419" s="9" t="n"/>
      <c r="G419" s="9">
        <f>SUM(G407:G418)</f>
        <v/>
      </c>
      <c r="H419" s="9" t="n"/>
      <c r="I419" s="9" t="n"/>
      <c r="J419" s="10">
        <f>SUM(J407:J418)</f>
        <v/>
      </c>
    </row>
    <row r="420">
      <c r="A420" s="16" t="inlineStr">
        <is>
          <t>RNO</t>
        </is>
      </c>
      <c r="B420" s="16" t="inlineStr">
        <is>
          <t>RNO-218</t>
        </is>
      </c>
      <c r="C420" s="95" t="n">
        <v>46123</v>
      </c>
      <c r="D420" s="16" t="inlineStr">
        <is>
          <t>سجل صرف المخزن</t>
        </is>
      </c>
      <c r="E420" s="16" t="inlineStr">
        <is>
          <t>RN-SE100</t>
        </is>
      </c>
      <c r="F420" s="16" t="inlineStr">
        <is>
          <t>بذور فينكا فيكتوري أبيض</t>
        </is>
      </c>
      <c r="G420" s="16" t="n">
        <v>20000</v>
      </c>
      <c r="H420" s="16" t="inlineStr">
        <is>
          <t>EA</t>
        </is>
      </c>
      <c r="I420" s="17" t="n">
        <v>0.035</v>
      </c>
      <c r="J420" s="17" t="n">
        <v>700</v>
      </c>
    </row>
    <row r="421">
      <c r="A421" s="16" t="inlineStr">
        <is>
          <t>RNO</t>
        </is>
      </c>
      <c r="B421" s="16" t="inlineStr">
        <is>
          <t>RNO-218</t>
        </is>
      </c>
      <c r="C421" s="95" t="n">
        <v>46123</v>
      </c>
      <c r="D421" s="16" t="inlineStr">
        <is>
          <t>سجل صرف المخزن</t>
        </is>
      </c>
      <c r="E421" s="16" t="inlineStr">
        <is>
          <t>RN-SE101</t>
        </is>
      </c>
      <c r="F421" s="16" t="inlineStr">
        <is>
          <t>بذور فينكا باسيفيكا أحمر داكن</t>
        </is>
      </c>
      <c r="G421" s="16" t="n">
        <v>15000</v>
      </c>
      <c r="H421" s="16" t="inlineStr">
        <is>
          <t>EA</t>
        </is>
      </c>
      <c r="I421" s="17" t="n">
        <v>0.035</v>
      </c>
      <c r="J421" s="17" t="n">
        <v>525</v>
      </c>
    </row>
    <row r="422">
      <c r="A422" s="16" t="inlineStr">
        <is>
          <t>RNO</t>
        </is>
      </c>
      <c r="B422" s="16" t="inlineStr">
        <is>
          <t>RNO-218</t>
        </is>
      </c>
      <c r="C422" s="95" t="n">
        <v>46123</v>
      </c>
      <c r="D422" s="16" t="inlineStr">
        <is>
          <t>سجل صرف المخزن</t>
        </is>
      </c>
      <c r="E422" s="16" t="inlineStr">
        <is>
          <t>RN-SE108</t>
        </is>
      </c>
      <c r="F422" s="16" t="inlineStr">
        <is>
          <t>بذور فينكا صن ستورم مشمشي</t>
        </is>
      </c>
      <c r="G422" s="16" t="n">
        <v>5000</v>
      </c>
      <c r="H422" s="16" t="inlineStr">
        <is>
          <t>EA</t>
        </is>
      </c>
      <c r="I422" s="17" t="n">
        <v>0.03</v>
      </c>
      <c r="J422" s="17" t="n">
        <v>150</v>
      </c>
    </row>
    <row r="423">
      <c r="A423" s="16" t="inlineStr">
        <is>
          <t>RNO</t>
        </is>
      </c>
      <c r="B423" s="16" t="inlineStr">
        <is>
          <t>RNO-218</t>
        </is>
      </c>
      <c r="C423" s="95" t="n">
        <v>46123</v>
      </c>
      <c r="D423" s="16" t="inlineStr">
        <is>
          <t>سجل صرف المخزن</t>
        </is>
      </c>
      <c r="E423" s="16" t="inlineStr">
        <is>
          <t>RN-SE104</t>
        </is>
      </c>
      <c r="F423" s="16" t="inlineStr">
        <is>
          <t>بذور فينكا باسيفيكا برغندي</t>
        </is>
      </c>
      <c r="G423" s="16" t="n">
        <v>5000</v>
      </c>
      <c r="H423" s="16" t="inlineStr">
        <is>
          <t>EA</t>
        </is>
      </c>
      <c r="I423" s="17" t="n">
        <v>0.035</v>
      </c>
      <c r="J423" s="17" t="n">
        <v>175</v>
      </c>
    </row>
    <row r="424">
      <c r="A424" s="16" t="inlineStr">
        <is>
          <t>RNO</t>
        </is>
      </c>
      <c r="B424" s="16" t="inlineStr">
        <is>
          <t>RNO-218</t>
        </is>
      </c>
      <c r="C424" s="95" t="n">
        <v>46123</v>
      </c>
      <c r="D424" s="16" t="inlineStr">
        <is>
          <t>سجل صرف المخزن</t>
        </is>
      </c>
      <c r="E424" s="16" t="inlineStr">
        <is>
          <t>RN-SE105</t>
        </is>
      </c>
      <c r="F424" s="16" t="inlineStr">
        <is>
          <t>بذور فينكا باسيفيكا برغندي هالو</t>
        </is>
      </c>
      <c r="G424" s="16" t="n">
        <v>5000</v>
      </c>
      <c r="H424" s="16" t="inlineStr">
        <is>
          <t>EA</t>
        </is>
      </c>
      <c r="I424" s="17" t="n">
        <v>0.035</v>
      </c>
      <c r="J424" s="17" t="n">
        <v>175</v>
      </c>
    </row>
    <row r="425">
      <c r="A425" s="16" t="inlineStr">
        <is>
          <t>RNO</t>
        </is>
      </c>
      <c r="B425" s="16" t="inlineStr">
        <is>
          <t>RNO-218</t>
        </is>
      </c>
      <c r="C425" s="95" t="n">
        <v>46123</v>
      </c>
      <c r="D425" s="16" t="inlineStr">
        <is>
          <t>سجل صرف المخزن</t>
        </is>
      </c>
      <c r="E425" s="16" t="inlineStr">
        <is>
          <t>RN-SE106</t>
        </is>
      </c>
      <c r="F425" s="16" t="inlineStr">
        <is>
          <t>بذور فينكا باسيفيكا أحمر</t>
        </is>
      </c>
      <c r="G425" s="16" t="n">
        <v>5000</v>
      </c>
      <c r="H425" s="16" t="inlineStr">
        <is>
          <t>EA</t>
        </is>
      </c>
      <c r="I425" s="17" t="n">
        <v>0.035</v>
      </c>
      <c r="J425" s="17" t="n">
        <v>175</v>
      </c>
    </row>
    <row r="426">
      <c r="A426" s="16" t="inlineStr">
        <is>
          <t>RNO</t>
        </is>
      </c>
      <c r="B426" s="16" t="inlineStr">
        <is>
          <t>RNO-218</t>
        </is>
      </c>
      <c r="C426" s="95" t="n">
        <v>46123</v>
      </c>
      <c r="D426" s="16" t="inlineStr">
        <is>
          <t>سجل صرف المخزن</t>
        </is>
      </c>
      <c r="E426" s="16" t="inlineStr">
        <is>
          <t>RN-SE109</t>
        </is>
      </c>
      <c r="F426" s="16" t="inlineStr">
        <is>
          <t>بذور فينكا باسيفيكا بولكا دوت</t>
        </is>
      </c>
      <c r="G426" s="16" t="n">
        <v>10000</v>
      </c>
      <c r="H426" s="16" t="inlineStr">
        <is>
          <t>EA</t>
        </is>
      </c>
      <c r="I426" s="17" t="n">
        <v>0.035</v>
      </c>
      <c r="J426" s="17" t="n">
        <v>350</v>
      </c>
    </row>
    <row r="427">
      <c r="A427" s="9" t="n"/>
      <c r="B427" s="9" t="inlineStr">
        <is>
          <t>إجمالي RNO-218</t>
        </is>
      </c>
      <c r="C427" s="9" t="n"/>
      <c r="D427" s="9" t="n"/>
      <c r="E427" s="9" t="n"/>
      <c r="F427" s="9" t="n"/>
      <c r="G427" s="9">
        <f>SUM(G420:G426)</f>
        <v/>
      </c>
      <c r="H427" s="9" t="n"/>
      <c r="I427" s="9" t="n"/>
      <c r="J427" s="10">
        <f>SUM(J420:J426)</f>
        <v/>
      </c>
    </row>
    <row r="428">
      <c r="A428" s="16" t="inlineStr">
        <is>
          <t>RNO</t>
        </is>
      </c>
      <c r="B428" s="16" t="inlineStr">
        <is>
          <t>RNO-221</t>
        </is>
      </c>
      <c r="C428" s="95" t="n">
        <v>46125</v>
      </c>
      <c r="D428" s="16" t="inlineStr">
        <is>
          <t>سجل صرف المخزن</t>
        </is>
      </c>
      <c r="E428" s="16" t="inlineStr">
        <is>
          <t>RN-FR1033</t>
        </is>
      </c>
      <c r="F428" s="16" t="inlineStr">
        <is>
          <t>بيتموس تى اس مخصب 210 لتر</t>
        </is>
      </c>
      <c r="G428" s="16" t="n">
        <v>20</v>
      </c>
      <c r="H428" s="16" t="inlineStr">
        <is>
          <t>EA</t>
        </is>
      </c>
      <c r="I428" s="17" t="n">
        <v>101.5</v>
      </c>
      <c r="J428" s="17" t="n">
        <v>2030</v>
      </c>
    </row>
    <row r="429">
      <c r="A429" s="16" t="inlineStr">
        <is>
          <t>RNO</t>
        </is>
      </c>
      <c r="B429" s="16" t="inlineStr">
        <is>
          <t>RNO-221</t>
        </is>
      </c>
      <c r="C429" s="95" t="n">
        <v>46125</v>
      </c>
      <c r="D429" s="16" t="inlineStr">
        <is>
          <t>سجل صرف المخزن</t>
        </is>
      </c>
      <c r="E429" s="16" t="inlineStr">
        <is>
          <t>RN-FR368</t>
        </is>
      </c>
      <c r="F429" s="16" t="inlineStr">
        <is>
          <t>بيرلايت 100 لتر</t>
        </is>
      </c>
      <c r="G429" s="16" t="n">
        <v>6</v>
      </c>
      <c r="H429" s="16" t="inlineStr">
        <is>
          <t>EA</t>
        </is>
      </c>
      <c r="I429" s="17" t="n">
        <v>32.5</v>
      </c>
      <c r="J429" s="17" t="n">
        <v>195</v>
      </c>
    </row>
    <row r="430">
      <c r="A430" s="9" t="n"/>
      <c r="B430" s="9" t="inlineStr">
        <is>
          <t>إجمالي RNO-221</t>
        </is>
      </c>
      <c r="C430" s="9" t="n"/>
      <c r="D430" s="9" t="n"/>
      <c r="E430" s="9" t="n"/>
      <c r="F430" s="9" t="n"/>
      <c r="G430" s="9">
        <f>SUM(G428:G429)</f>
        <v/>
      </c>
      <c r="H430" s="9" t="n"/>
      <c r="I430" s="9" t="n"/>
      <c r="J430" s="10">
        <f>SUM(J428:J429)</f>
        <v/>
      </c>
    </row>
    <row r="431">
      <c r="A431" s="16" t="inlineStr">
        <is>
          <t>RNO</t>
        </is>
      </c>
      <c r="B431" s="16" t="inlineStr">
        <is>
          <t>RNO-222</t>
        </is>
      </c>
      <c r="C431" s="95" t="n">
        <v>46126</v>
      </c>
      <c r="D431" s="16" t="inlineStr">
        <is>
          <t>سجل صرف المخزن</t>
        </is>
      </c>
      <c r="E431" s="16" t="inlineStr">
        <is>
          <t>RN-PL1</t>
        </is>
      </c>
      <c r="F431" s="16" t="inlineStr">
        <is>
          <t>مركن زراعى خفيف ملون 9 سم</t>
        </is>
      </c>
      <c r="G431" s="16" t="n">
        <v>14000</v>
      </c>
      <c r="H431" s="16" t="inlineStr">
        <is>
          <t>EA</t>
        </is>
      </c>
      <c r="I431" s="17" t="n">
        <v>0.06</v>
      </c>
      <c r="J431" s="17" t="n">
        <v>840</v>
      </c>
    </row>
    <row r="432">
      <c r="A432" s="16" t="inlineStr">
        <is>
          <t>RNO</t>
        </is>
      </c>
      <c r="B432" s="16" t="inlineStr">
        <is>
          <t>RNO-222</t>
        </is>
      </c>
      <c r="C432" s="95" t="n">
        <v>46126</v>
      </c>
      <c r="D432" s="16" t="inlineStr">
        <is>
          <t>سجل صرف المخزن</t>
        </is>
      </c>
      <c r="E432" s="16" t="inlineStr">
        <is>
          <t>RN-FR1022</t>
        </is>
      </c>
      <c r="F432" s="16" t="inlineStr">
        <is>
          <t>اجري فير شيلات حديد 6% 1 كجم</t>
        </is>
      </c>
      <c r="G432" s="16" t="n">
        <v>3</v>
      </c>
      <c r="H432" s="16" t="inlineStr">
        <is>
          <t>EA</t>
        </is>
      </c>
      <c r="I432" s="17" t="n">
        <v>41.5</v>
      </c>
      <c r="J432" s="17" t="n">
        <v>124.5</v>
      </c>
    </row>
    <row r="433">
      <c r="A433" s="16" t="inlineStr">
        <is>
          <t>RNO</t>
        </is>
      </c>
      <c r="B433" s="16" t="inlineStr">
        <is>
          <t>RNO-222</t>
        </is>
      </c>
      <c r="C433" s="95" t="n">
        <v>46126</v>
      </c>
      <c r="D433" s="16" t="inlineStr">
        <is>
          <t>سجل صرف المخزن</t>
        </is>
      </c>
      <c r="E433" s="16" t="inlineStr">
        <is>
          <t>RN-PL12</t>
        </is>
      </c>
      <c r="F433" s="16" t="inlineStr">
        <is>
          <t>صندوق فلين للزهور</t>
        </is>
      </c>
      <c r="G433" s="16" t="n">
        <v>300</v>
      </c>
      <c r="H433" s="16" t="inlineStr">
        <is>
          <t>EA</t>
        </is>
      </c>
      <c r="I433" s="17" t="n">
        <v>4</v>
      </c>
      <c r="J433" s="17" t="n">
        <v>1200</v>
      </c>
    </row>
    <row r="434">
      <c r="A434" s="9" t="n"/>
      <c r="B434" s="9" t="inlineStr">
        <is>
          <t>إجمالي RNO-222</t>
        </is>
      </c>
      <c r="C434" s="9" t="n"/>
      <c r="D434" s="9" t="n"/>
      <c r="E434" s="9" t="n"/>
      <c r="F434" s="9" t="n"/>
      <c r="G434" s="9">
        <f>SUM(G431:G433)</f>
        <v/>
      </c>
      <c r="H434" s="9" t="n"/>
      <c r="I434" s="9" t="n"/>
      <c r="J434" s="10">
        <f>SUM(J431:J433)</f>
        <v/>
      </c>
    </row>
    <row r="435">
      <c r="A435" s="16" t="inlineStr">
        <is>
          <t>RNO</t>
        </is>
      </c>
      <c r="B435" s="16" t="inlineStr">
        <is>
          <t>RNO-223</t>
        </is>
      </c>
      <c r="C435" s="95" t="n">
        <v>46127</v>
      </c>
      <c r="D435" s="16" t="inlineStr">
        <is>
          <t>سجل صرف المخزن</t>
        </is>
      </c>
      <c r="E435" s="16" t="inlineStr">
        <is>
          <t>RN-FR1018</t>
        </is>
      </c>
      <c r="F435" s="16" t="inlineStr">
        <is>
          <t>فيرموكلايت 100 لتر</t>
        </is>
      </c>
      <c r="G435" s="16" t="n">
        <v>1</v>
      </c>
      <c r="H435" s="16" t="inlineStr">
        <is>
          <t>EA</t>
        </is>
      </c>
      <c r="I435" s="17" t="n">
        <v>75</v>
      </c>
      <c r="J435" s="17" t="n">
        <v>75</v>
      </c>
    </row>
    <row r="436">
      <c r="A436" s="16" t="inlineStr">
        <is>
          <t>RNO</t>
        </is>
      </c>
      <c r="B436" s="16" t="inlineStr">
        <is>
          <t>RNO-223</t>
        </is>
      </c>
      <c r="C436" s="95" t="n">
        <v>46127</v>
      </c>
      <c r="D436" s="16" t="inlineStr">
        <is>
          <t>سجل صرف المخزن</t>
        </is>
      </c>
      <c r="E436" s="16" t="inlineStr">
        <is>
          <t>RN-FR1017</t>
        </is>
      </c>
      <c r="F436" s="16" t="inlineStr">
        <is>
          <t>بوتنج سويل 70 لتر</t>
        </is>
      </c>
      <c r="G436" s="16" t="n">
        <v>10</v>
      </c>
      <c r="H436" s="16" t="inlineStr">
        <is>
          <t>EA</t>
        </is>
      </c>
      <c r="I436" s="17" t="n">
        <v>46</v>
      </c>
      <c r="J436" s="17" t="n">
        <v>460</v>
      </c>
    </row>
    <row r="437">
      <c r="A437" s="16" t="inlineStr">
        <is>
          <t>RNO</t>
        </is>
      </c>
      <c r="B437" s="16" t="inlineStr">
        <is>
          <t>RNO-223</t>
        </is>
      </c>
      <c r="C437" s="95" t="n">
        <v>46127</v>
      </c>
      <c r="D437" s="16" t="inlineStr">
        <is>
          <t>سجل صرف المخزن</t>
        </is>
      </c>
      <c r="E437" s="16" t="inlineStr">
        <is>
          <t>RN-FR1022</t>
        </is>
      </c>
      <c r="F437" s="16" t="inlineStr">
        <is>
          <t>اجري فير شيلات حديد 6% 1 كجم</t>
        </is>
      </c>
      <c r="G437" s="16" t="n">
        <v>1</v>
      </c>
      <c r="H437" s="16" t="inlineStr">
        <is>
          <t>EA</t>
        </is>
      </c>
      <c r="I437" s="17" t="n">
        <v>41.5</v>
      </c>
      <c r="J437" s="17" t="n">
        <v>41.5</v>
      </c>
    </row>
    <row r="438">
      <c r="A438" s="16" t="inlineStr">
        <is>
          <t>RNO</t>
        </is>
      </c>
      <c r="B438" s="16" t="inlineStr">
        <is>
          <t>RNO-223</t>
        </is>
      </c>
      <c r="C438" s="95" t="n">
        <v>46127</v>
      </c>
      <c r="D438" s="16" t="inlineStr">
        <is>
          <t>سجل صرف المخزن</t>
        </is>
      </c>
      <c r="E438" s="16" t="inlineStr">
        <is>
          <t>RN-FR1023</t>
        </is>
      </c>
      <c r="F438" s="16" t="inlineStr">
        <is>
          <t>سنجرال 20-20-20+ع ن - 25 كجم</t>
        </is>
      </c>
      <c r="G438" s="16" t="n">
        <v>1</v>
      </c>
      <c r="H438" s="16" t="inlineStr">
        <is>
          <t>EA</t>
        </is>
      </c>
      <c r="I438" s="17" t="n">
        <v>280</v>
      </c>
      <c r="J438" s="17" t="n">
        <v>280</v>
      </c>
    </row>
    <row r="439">
      <c r="A439" s="16" t="inlineStr">
        <is>
          <t>RNO</t>
        </is>
      </c>
      <c r="B439" s="16" t="inlineStr">
        <is>
          <t>RNO-223</t>
        </is>
      </c>
      <c r="C439" s="95" t="n">
        <v>46127</v>
      </c>
      <c r="D439" s="16" t="inlineStr">
        <is>
          <t>سجل صرف المخزن</t>
        </is>
      </c>
      <c r="E439" s="16" t="inlineStr">
        <is>
          <t>RN-PL1</t>
        </is>
      </c>
      <c r="F439" s="16" t="inlineStr">
        <is>
          <t>مركن زراعى خفيف ملون 9 سم</t>
        </is>
      </c>
      <c r="G439" s="16" t="n">
        <v>14000</v>
      </c>
      <c r="H439" s="16" t="inlineStr">
        <is>
          <t>EA</t>
        </is>
      </c>
      <c r="I439" s="17" t="n">
        <v>0.06</v>
      </c>
      <c r="J439" s="17" t="n">
        <v>840</v>
      </c>
    </row>
    <row r="440">
      <c r="A440" s="16" t="inlineStr">
        <is>
          <t>RNO</t>
        </is>
      </c>
      <c r="B440" s="16" t="inlineStr">
        <is>
          <t>RNO-223</t>
        </is>
      </c>
      <c r="C440" s="95" t="n">
        <v>46127</v>
      </c>
      <c r="D440" s="16" t="inlineStr">
        <is>
          <t>سجل صرف المخزن</t>
        </is>
      </c>
      <c r="E440" s="16" t="inlineStr">
        <is>
          <t>RN-PL12</t>
        </is>
      </c>
      <c r="F440" s="16" t="inlineStr">
        <is>
          <t>صندوق فلين للزهور</t>
        </is>
      </c>
      <c r="G440" s="16" t="n">
        <v>450</v>
      </c>
      <c r="H440" s="16" t="inlineStr">
        <is>
          <t>EA</t>
        </is>
      </c>
      <c r="I440" s="17" t="n">
        <v>4</v>
      </c>
      <c r="J440" s="17" t="n">
        <v>1800</v>
      </c>
    </row>
    <row r="441">
      <c r="A441" s="9" t="n"/>
      <c r="B441" s="9" t="inlineStr">
        <is>
          <t>إجمالي RNO-223</t>
        </is>
      </c>
      <c r="C441" s="9" t="n"/>
      <c r="D441" s="9" t="n"/>
      <c r="E441" s="9" t="n"/>
      <c r="F441" s="9" t="n"/>
      <c r="G441" s="9">
        <f>SUM(G435:G440)</f>
        <v/>
      </c>
      <c r="H441" s="9" t="n"/>
      <c r="I441" s="9" t="n"/>
      <c r="J441" s="10">
        <f>SUM(J435:J440)</f>
        <v/>
      </c>
    </row>
    <row r="442">
      <c r="A442" s="16" t="inlineStr">
        <is>
          <t>RNO</t>
        </is>
      </c>
      <c r="B442" s="16" t="inlineStr">
        <is>
          <t>RNO-226</t>
        </is>
      </c>
      <c r="C442" s="95" t="n">
        <v>46128</v>
      </c>
      <c r="D442" s="16" t="inlineStr">
        <is>
          <t>سجل صرف المخزن</t>
        </is>
      </c>
      <c r="E442" s="16" t="inlineStr">
        <is>
          <t>RN-FR1033</t>
        </is>
      </c>
      <c r="F442" s="16" t="inlineStr">
        <is>
          <t>بيتموس تى اس مخصب 210 لتر</t>
        </is>
      </c>
      <c r="G442" s="16" t="n">
        <v>15</v>
      </c>
      <c r="H442" s="16" t="inlineStr">
        <is>
          <t>EA</t>
        </is>
      </c>
      <c r="I442" s="17" t="n">
        <v>101.5</v>
      </c>
      <c r="J442" s="17" t="n">
        <v>1522.5</v>
      </c>
    </row>
    <row r="443">
      <c r="A443" s="16" t="inlineStr">
        <is>
          <t>RNO</t>
        </is>
      </c>
      <c r="B443" s="16" t="inlineStr">
        <is>
          <t>RNO-226</t>
        </is>
      </c>
      <c r="C443" s="95" t="n">
        <v>46128</v>
      </c>
      <c r="D443" s="16" t="inlineStr">
        <is>
          <t>سجل صرف المخزن</t>
        </is>
      </c>
      <c r="E443" s="16" t="inlineStr">
        <is>
          <t>RN-FR368</t>
        </is>
      </c>
      <c r="F443" s="16" t="inlineStr">
        <is>
          <t>بيرلايت 100 لتر</t>
        </is>
      </c>
      <c r="G443" s="16" t="n">
        <v>4</v>
      </c>
      <c r="H443" s="16" t="inlineStr">
        <is>
          <t>EA</t>
        </is>
      </c>
      <c r="I443" s="17" t="n">
        <v>32.5</v>
      </c>
      <c r="J443" s="17" t="n">
        <v>130</v>
      </c>
    </row>
    <row r="444">
      <c r="A444" s="16" t="inlineStr">
        <is>
          <t>RNO</t>
        </is>
      </c>
      <c r="B444" s="16" t="inlineStr">
        <is>
          <t>RNO-226</t>
        </is>
      </c>
      <c r="C444" s="95" t="n">
        <v>46128</v>
      </c>
      <c r="D444" s="16" t="inlineStr">
        <is>
          <t>سجل صرف المخزن</t>
        </is>
      </c>
      <c r="E444" s="16" t="inlineStr">
        <is>
          <t>RN-FR1022</t>
        </is>
      </c>
      <c r="F444" s="16" t="inlineStr">
        <is>
          <t>اجري فير شيلات حديد 6% 1 كجم</t>
        </is>
      </c>
      <c r="G444" s="16" t="n">
        <v>1</v>
      </c>
      <c r="H444" s="16" t="inlineStr">
        <is>
          <t>EA</t>
        </is>
      </c>
      <c r="I444" s="17" t="n">
        <v>41.5</v>
      </c>
      <c r="J444" s="17" t="n">
        <v>41.5</v>
      </c>
    </row>
    <row r="445">
      <c r="A445" s="9" t="n"/>
      <c r="B445" s="9" t="inlineStr">
        <is>
          <t>إجمالي RNO-226</t>
        </is>
      </c>
      <c r="C445" s="9" t="n"/>
      <c r="D445" s="9" t="n"/>
      <c r="E445" s="9" t="n"/>
      <c r="F445" s="9" t="n"/>
      <c r="G445" s="9">
        <f>SUM(G442:G444)</f>
        <v/>
      </c>
      <c r="H445" s="9" t="n"/>
      <c r="I445" s="9" t="n"/>
      <c r="J445" s="10">
        <f>SUM(J442:J444)</f>
        <v/>
      </c>
    </row>
    <row r="446">
      <c r="A446" s="16" t="inlineStr">
        <is>
          <t>RNO</t>
        </is>
      </c>
      <c r="B446" s="16" t="inlineStr">
        <is>
          <t>RNO-228</t>
        </is>
      </c>
      <c r="C446" s="95" t="n">
        <v>46130</v>
      </c>
      <c r="D446" s="16" t="inlineStr">
        <is>
          <t>سجل صرف المخزن</t>
        </is>
      </c>
      <c r="E446" s="16" t="inlineStr">
        <is>
          <t>RN-SE120</t>
        </is>
      </c>
      <c r="F446" s="16" t="inlineStr">
        <is>
          <t>بذور زينيا بروفيوجن أحمر وأصفر ثنائي اللون</t>
        </is>
      </c>
      <c r="G446" s="16" t="n">
        <v>30000</v>
      </c>
      <c r="H446" s="16" t="inlineStr">
        <is>
          <t>EA</t>
        </is>
      </c>
      <c r="I446" s="17" t="n">
        <v>0.15</v>
      </c>
      <c r="J446" s="17" t="n">
        <v>4500</v>
      </c>
    </row>
    <row r="447">
      <c r="A447" s="16" t="inlineStr">
        <is>
          <t>RNO</t>
        </is>
      </c>
      <c r="B447" s="16" t="inlineStr">
        <is>
          <t>RNO-228</t>
        </is>
      </c>
      <c r="C447" s="95" t="n">
        <v>46130</v>
      </c>
      <c r="D447" s="16" t="inlineStr">
        <is>
          <t>سجل صرف المخزن</t>
        </is>
      </c>
      <c r="E447" s="16" t="inlineStr">
        <is>
          <t>RN-SE103</t>
        </is>
      </c>
      <c r="F447" s="16" t="inlineStr">
        <is>
          <t>بذور فينكا باسيفيكا أوركيد عميق</t>
        </is>
      </c>
      <c r="G447" s="16" t="n">
        <v>20000</v>
      </c>
      <c r="H447" s="16" t="inlineStr">
        <is>
          <t>EA</t>
        </is>
      </c>
      <c r="I447" s="17" t="n">
        <v>0.035</v>
      </c>
      <c r="J447" s="17" t="n">
        <v>700</v>
      </c>
    </row>
    <row r="448">
      <c r="A448" s="16" t="inlineStr">
        <is>
          <t>RNO</t>
        </is>
      </c>
      <c r="B448" s="16" t="inlineStr">
        <is>
          <t>RNO-228</t>
        </is>
      </c>
      <c r="C448" s="95" t="n">
        <v>46130</v>
      </c>
      <c r="D448" s="16" t="inlineStr">
        <is>
          <t>سجل صرف المخزن</t>
        </is>
      </c>
      <c r="E448" s="16" t="inlineStr">
        <is>
          <t>RN-FR1033</t>
        </is>
      </c>
      <c r="F448" s="16" t="inlineStr">
        <is>
          <t>بيتموس تى اس مخصب 210 لتر</t>
        </is>
      </c>
      <c r="G448" s="16" t="n">
        <v>5</v>
      </c>
      <c r="H448" s="16" t="inlineStr">
        <is>
          <t>EA</t>
        </is>
      </c>
      <c r="I448" s="17" t="n">
        <v>101.5</v>
      </c>
      <c r="J448" s="17" t="n">
        <v>507.5</v>
      </c>
    </row>
    <row r="449">
      <c r="A449" s="16" t="inlineStr">
        <is>
          <t>RNO</t>
        </is>
      </c>
      <c r="B449" s="16" t="inlineStr">
        <is>
          <t>RNO-228</t>
        </is>
      </c>
      <c r="C449" s="95" t="n">
        <v>46130</v>
      </c>
      <c r="D449" s="16" t="inlineStr">
        <is>
          <t>سجل صرف المخزن</t>
        </is>
      </c>
      <c r="E449" s="16" t="inlineStr">
        <is>
          <t>RN-FR368</t>
        </is>
      </c>
      <c r="F449" s="16" t="inlineStr">
        <is>
          <t>بيرلايت 100 لتر</t>
        </is>
      </c>
      <c r="G449" s="16" t="n">
        <v>2</v>
      </c>
      <c r="H449" s="16" t="inlineStr">
        <is>
          <t>EA</t>
        </is>
      </c>
      <c r="I449" s="17" t="n">
        <v>32.5</v>
      </c>
      <c r="J449" s="17" t="n">
        <v>65</v>
      </c>
    </row>
    <row r="450">
      <c r="A450" s="16" t="inlineStr">
        <is>
          <t>RNO</t>
        </is>
      </c>
      <c r="B450" s="16" t="inlineStr">
        <is>
          <t>RNO-228</t>
        </is>
      </c>
      <c r="C450" s="95" t="n">
        <v>46130</v>
      </c>
      <c r="D450" s="16" t="inlineStr">
        <is>
          <t>سجل صرف المخزن</t>
        </is>
      </c>
      <c r="E450" s="16" t="inlineStr">
        <is>
          <t>RN-PL12</t>
        </is>
      </c>
      <c r="F450" s="16" t="inlineStr">
        <is>
          <t>صندوق فلين للزهور</t>
        </is>
      </c>
      <c r="G450" s="16" t="n">
        <v>500</v>
      </c>
      <c r="H450" s="16" t="inlineStr">
        <is>
          <t>EA</t>
        </is>
      </c>
      <c r="I450" s="17" t="n">
        <v>4</v>
      </c>
      <c r="J450" s="17" t="n">
        <v>2000</v>
      </c>
    </row>
    <row r="451">
      <c r="A451" s="9" t="n"/>
      <c r="B451" s="9" t="inlineStr">
        <is>
          <t>إجمالي RNO-228</t>
        </is>
      </c>
      <c r="C451" s="9" t="n"/>
      <c r="D451" s="9" t="n"/>
      <c r="E451" s="9" t="n"/>
      <c r="F451" s="9" t="n"/>
      <c r="G451" s="9">
        <f>SUM(G446:G450)</f>
        <v/>
      </c>
      <c r="H451" s="9" t="n"/>
      <c r="I451" s="9" t="n"/>
      <c r="J451" s="10">
        <f>SUM(J446:J450)</f>
        <v/>
      </c>
    </row>
    <row r="452">
      <c r="A452" s="16" t="inlineStr">
        <is>
          <t>RNO</t>
        </is>
      </c>
      <c r="B452" s="16" t="inlineStr">
        <is>
          <t>RNO-231</t>
        </is>
      </c>
      <c r="C452" s="95" t="n">
        <v>46131</v>
      </c>
      <c r="D452" s="16" t="inlineStr">
        <is>
          <t>سجل صرف المخزن</t>
        </is>
      </c>
      <c r="E452" s="16" t="inlineStr">
        <is>
          <t>RN-FR1033</t>
        </is>
      </c>
      <c r="F452" s="16" t="inlineStr">
        <is>
          <t>بيتموس تى اس مخصب 210 لتر</t>
        </is>
      </c>
      <c r="G452" s="16" t="n">
        <v>10</v>
      </c>
      <c r="H452" s="16" t="inlineStr">
        <is>
          <t>EA</t>
        </is>
      </c>
      <c r="I452" s="17" t="n">
        <v>101.5</v>
      </c>
      <c r="J452" s="17" t="n">
        <v>1015</v>
      </c>
    </row>
    <row r="453">
      <c r="A453" s="16" t="inlineStr">
        <is>
          <t>RNO</t>
        </is>
      </c>
      <c r="B453" s="16" t="inlineStr">
        <is>
          <t>RNO-231</t>
        </is>
      </c>
      <c r="C453" s="95" t="n">
        <v>46131</v>
      </c>
      <c r="D453" s="16" t="inlineStr">
        <is>
          <t>سجل صرف المخزن</t>
        </is>
      </c>
      <c r="E453" s="16" t="inlineStr">
        <is>
          <t>RN-FR368</t>
        </is>
      </c>
      <c r="F453" s="16" t="inlineStr">
        <is>
          <t>بيرلايت 100 لتر</t>
        </is>
      </c>
      <c r="G453" s="16" t="n">
        <v>2</v>
      </c>
      <c r="H453" s="16" t="inlineStr">
        <is>
          <t>EA</t>
        </is>
      </c>
      <c r="I453" s="17" t="n">
        <v>32.5</v>
      </c>
      <c r="J453" s="17" t="n">
        <v>65</v>
      </c>
    </row>
    <row r="454">
      <c r="A454" s="16" t="inlineStr">
        <is>
          <t>RNO</t>
        </is>
      </c>
      <c r="B454" s="16" t="inlineStr">
        <is>
          <t>RNO-231</t>
        </is>
      </c>
      <c r="C454" s="95" t="n">
        <v>46131</v>
      </c>
      <c r="D454" s="16" t="inlineStr">
        <is>
          <t>سجل صرف المخزن</t>
        </is>
      </c>
      <c r="E454" s="16" t="inlineStr">
        <is>
          <t>RN-FR1017</t>
        </is>
      </c>
      <c r="F454" s="16" t="inlineStr">
        <is>
          <t>بوتنج سويل 70 لتر</t>
        </is>
      </c>
      <c r="G454" s="16" t="n">
        <v>4</v>
      </c>
      <c r="H454" s="16" t="inlineStr">
        <is>
          <t>EA</t>
        </is>
      </c>
      <c r="I454" s="17" t="n">
        <v>46</v>
      </c>
      <c r="J454" s="17" t="n">
        <v>184</v>
      </c>
    </row>
    <row r="455">
      <c r="A455" s="16" t="inlineStr">
        <is>
          <t>RNO</t>
        </is>
      </c>
      <c r="B455" s="16" t="inlineStr">
        <is>
          <t>RNO-231</t>
        </is>
      </c>
      <c r="C455" s="95" t="n">
        <v>46131</v>
      </c>
      <c r="D455" s="16" t="inlineStr">
        <is>
          <t>سجل صرف المخزن</t>
        </is>
      </c>
      <c r="E455" s="16" t="inlineStr">
        <is>
          <t>RN-FR1018</t>
        </is>
      </c>
      <c r="F455" s="16" t="inlineStr">
        <is>
          <t>فيرموكلايت 100 لتر</t>
        </is>
      </c>
      <c r="G455" s="16" t="n">
        <v>1</v>
      </c>
      <c r="H455" s="16" t="inlineStr">
        <is>
          <t>EA</t>
        </is>
      </c>
      <c r="I455" s="17" t="n">
        <v>75</v>
      </c>
      <c r="J455" s="17" t="n">
        <v>75</v>
      </c>
    </row>
    <row r="456">
      <c r="A456" s="16" t="inlineStr">
        <is>
          <t>RNO</t>
        </is>
      </c>
      <c r="B456" s="16" t="inlineStr">
        <is>
          <t>RNO-231</t>
        </is>
      </c>
      <c r="C456" s="95" t="n">
        <v>46131</v>
      </c>
      <c r="D456" s="16" t="inlineStr">
        <is>
          <t>سجل صرف المخزن</t>
        </is>
      </c>
      <c r="E456" s="16" t="inlineStr">
        <is>
          <t>RN-PL1</t>
        </is>
      </c>
      <c r="F456" s="16" t="inlineStr">
        <is>
          <t>مركن زراعى خفيف ملون 9 سم</t>
        </is>
      </c>
      <c r="G456" s="16" t="n">
        <v>4000</v>
      </c>
      <c r="H456" s="16" t="inlineStr">
        <is>
          <t>EA</t>
        </is>
      </c>
      <c r="I456" s="17" t="n">
        <v>0.06</v>
      </c>
      <c r="J456" s="17" t="n">
        <v>240</v>
      </c>
    </row>
    <row r="457">
      <c r="A457" s="16" t="inlineStr">
        <is>
          <t>RNO</t>
        </is>
      </c>
      <c r="B457" s="16" t="inlineStr">
        <is>
          <t>RNO-231</t>
        </is>
      </c>
      <c r="C457" s="95" t="n">
        <v>46131</v>
      </c>
      <c r="D457" s="16" t="inlineStr">
        <is>
          <t>سجل صرف المخزن</t>
        </is>
      </c>
      <c r="E457" s="16" t="inlineStr">
        <is>
          <t>RN-SE100</t>
        </is>
      </c>
      <c r="F457" s="16" t="inlineStr">
        <is>
          <t>بذور فينكا فيكتوري أبيض</t>
        </is>
      </c>
      <c r="G457" s="16" t="n">
        <v>20000</v>
      </c>
      <c r="H457" s="16" t="inlineStr">
        <is>
          <t>EA</t>
        </is>
      </c>
      <c r="I457" s="17" t="n">
        <v>0.035</v>
      </c>
      <c r="J457" s="17" t="n">
        <v>700</v>
      </c>
    </row>
    <row r="458">
      <c r="A458" s="16" t="inlineStr">
        <is>
          <t>RNO</t>
        </is>
      </c>
      <c r="B458" s="16" t="inlineStr">
        <is>
          <t>RNO-231</t>
        </is>
      </c>
      <c r="C458" s="95" t="n">
        <v>46131</v>
      </c>
      <c r="D458" s="16" t="inlineStr">
        <is>
          <t>سجل صرف المخزن</t>
        </is>
      </c>
      <c r="E458" s="16" t="inlineStr">
        <is>
          <t>RN-SE101</t>
        </is>
      </c>
      <c r="F458" s="16" t="inlineStr">
        <is>
          <t>بذور فينكا باسيفيكا أحمر داكن</t>
        </is>
      </c>
      <c r="G458" s="16" t="n">
        <v>20000</v>
      </c>
      <c r="H458" s="16" t="inlineStr">
        <is>
          <t>EA</t>
        </is>
      </c>
      <c r="I458" s="17" t="n">
        <v>0.035</v>
      </c>
      <c r="J458" s="17" t="n">
        <v>700</v>
      </c>
    </row>
    <row r="459">
      <c r="A459" s="9" t="n"/>
      <c r="B459" s="9" t="inlineStr">
        <is>
          <t>إجمالي RNO-231</t>
        </is>
      </c>
      <c r="C459" s="9" t="n"/>
      <c r="D459" s="9" t="n"/>
      <c r="E459" s="9" t="n"/>
      <c r="F459" s="9" t="n"/>
      <c r="G459" s="9">
        <f>SUM(G452:G458)</f>
        <v/>
      </c>
      <c r="H459" s="9" t="n"/>
      <c r="I459" s="9" t="n"/>
      <c r="J459" s="10">
        <f>SUM(J452:J458)</f>
        <v/>
      </c>
    </row>
    <row r="460">
      <c r="A460" s="16" t="inlineStr">
        <is>
          <t>RNO</t>
        </is>
      </c>
      <c r="B460" s="16" t="inlineStr">
        <is>
          <t>RNO-236</t>
        </is>
      </c>
      <c r="C460" s="95" t="n">
        <v>46133</v>
      </c>
      <c r="D460" s="16" t="inlineStr">
        <is>
          <t>سجل صرف المخزن</t>
        </is>
      </c>
      <c r="E460" s="16" t="inlineStr">
        <is>
          <t>RN-FR1022</t>
        </is>
      </c>
      <c r="F460" s="16" t="inlineStr">
        <is>
          <t>اجري فير شيلات حديد 6% 1 كجم</t>
        </is>
      </c>
      <c r="G460" s="16" t="n">
        <v>2</v>
      </c>
      <c r="H460" s="16" t="inlineStr">
        <is>
          <t>EA</t>
        </is>
      </c>
      <c r="I460" s="17" t="n">
        <v>41.5</v>
      </c>
      <c r="J460" s="17" t="n">
        <v>83</v>
      </c>
    </row>
    <row r="461">
      <c r="A461" s="16" t="inlineStr">
        <is>
          <t>RNO</t>
        </is>
      </c>
      <c r="B461" s="16" t="inlineStr">
        <is>
          <t>RNO-236</t>
        </is>
      </c>
      <c r="C461" s="95" t="n">
        <v>46133</v>
      </c>
      <c r="D461" s="16" t="inlineStr">
        <is>
          <t>سجل صرف المخزن</t>
        </is>
      </c>
      <c r="E461" s="16" t="inlineStr">
        <is>
          <t>RN-PL1</t>
        </is>
      </c>
      <c r="F461" s="16" t="inlineStr">
        <is>
          <t>مركن زراعى خفيف ملون 9 سم</t>
        </is>
      </c>
      <c r="G461" s="16" t="n">
        <v>2000</v>
      </c>
      <c r="H461" s="16" t="inlineStr">
        <is>
          <t>EA</t>
        </is>
      </c>
      <c r="I461" s="17" t="n">
        <v>0.06</v>
      </c>
      <c r="J461" s="17" t="n">
        <v>120</v>
      </c>
    </row>
    <row r="462">
      <c r="A462" s="16" t="inlineStr">
        <is>
          <t>RNO</t>
        </is>
      </c>
      <c r="B462" s="16" t="inlineStr">
        <is>
          <t>RNO-236</t>
        </is>
      </c>
      <c r="C462" s="95" t="n">
        <v>46133</v>
      </c>
      <c r="D462" s="16" t="inlineStr">
        <is>
          <t>سجل صرف المخزن</t>
        </is>
      </c>
      <c r="E462" s="16" t="inlineStr">
        <is>
          <t>RN-PL12</t>
        </is>
      </c>
      <c r="F462" s="16" t="inlineStr">
        <is>
          <t>صندوق فلين للزهور</t>
        </is>
      </c>
      <c r="G462" s="16" t="n">
        <v>500</v>
      </c>
      <c r="H462" s="16" t="inlineStr">
        <is>
          <t>EA</t>
        </is>
      </c>
      <c r="I462" s="17" t="n">
        <v>4</v>
      </c>
      <c r="J462" s="17" t="n">
        <v>2000</v>
      </c>
    </row>
    <row r="463">
      <c r="A463" s="9" t="n"/>
      <c r="B463" s="9" t="inlineStr">
        <is>
          <t>إجمالي RNO-236</t>
        </is>
      </c>
      <c r="C463" s="9" t="n"/>
      <c r="D463" s="9" t="n"/>
      <c r="E463" s="9" t="n"/>
      <c r="F463" s="9" t="n"/>
      <c r="G463" s="9">
        <f>SUM(G460:G462)</f>
        <v/>
      </c>
      <c r="H463" s="9" t="n"/>
      <c r="I463" s="9" t="n"/>
      <c r="J463" s="10">
        <f>SUM(J460:J462)</f>
        <v/>
      </c>
    </row>
    <row r="464">
      <c r="A464" s="16" t="inlineStr">
        <is>
          <t>RNO</t>
        </is>
      </c>
      <c r="B464" s="16" t="inlineStr">
        <is>
          <t>RNO-241</t>
        </is>
      </c>
      <c r="C464" s="95" t="n">
        <v>46137</v>
      </c>
      <c r="D464" s="16" t="inlineStr">
        <is>
          <t>سجل صرف المخزن</t>
        </is>
      </c>
      <c r="E464" s="16" t="inlineStr">
        <is>
          <t>RN-FR1022</t>
        </is>
      </c>
      <c r="F464" s="16" t="inlineStr">
        <is>
          <t>اجري فير شيلات حديد 6% 1 كجم</t>
        </is>
      </c>
      <c r="G464" s="16" t="n">
        <v>1</v>
      </c>
      <c r="H464" s="16" t="inlineStr">
        <is>
          <t>EA</t>
        </is>
      </c>
      <c r="I464" s="17" t="n">
        <v>41.5</v>
      </c>
      <c r="J464" s="17" t="n">
        <v>41.5</v>
      </c>
    </row>
    <row r="465">
      <c r="A465" s="16" t="inlineStr">
        <is>
          <t>RNO</t>
        </is>
      </c>
      <c r="B465" s="16" t="inlineStr">
        <is>
          <t>RNO-241</t>
        </is>
      </c>
      <c r="C465" s="95" t="n">
        <v>46137</v>
      </c>
      <c r="D465" s="16" t="inlineStr">
        <is>
          <t>سجل صرف المخزن</t>
        </is>
      </c>
      <c r="E465" s="16" t="inlineStr">
        <is>
          <t>RN-FR1033</t>
        </is>
      </c>
      <c r="F465" s="16" t="inlineStr">
        <is>
          <t>بيتموس تى اس مخصب 210 لتر</t>
        </is>
      </c>
      <c r="G465" s="16" t="n">
        <v>20</v>
      </c>
      <c r="H465" s="16" t="inlineStr">
        <is>
          <t>EA</t>
        </is>
      </c>
      <c r="I465" s="17" t="n">
        <v>101.5</v>
      </c>
      <c r="J465" s="17" t="n">
        <v>2030</v>
      </c>
    </row>
    <row r="466">
      <c r="A466" s="16" t="inlineStr">
        <is>
          <t>RNO</t>
        </is>
      </c>
      <c r="B466" s="16" t="inlineStr">
        <is>
          <t>RNO-241</t>
        </is>
      </c>
      <c r="C466" s="95" t="n">
        <v>46137</v>
      </c>
      <c r="D466" s="16" t="inlineStr">
        <is>
          <t>سجل صرف المخزن</t>
        </is>
      </c>
      <c r="E466" s="16" t="inlineStr">
        <is>
          <t>RN-FR368</t>
        </is>
      </c>
      <c r="F466" s="16" t="inlineStr">
        <is>
          <t>بيرلايت 100 لتر</t>
        </is>
      </c>
      <c r="G466" s="16" t="n">
        <v>6</v>
      </c>
      <c r="H466" s="16" t="inlineStr">
        <is>
          <t>EA</t>
        </is>
      </c>
      <c r="I466" s="17" t="n">
        <v>32.5</v>
      </c>
      <c r="J466" s="17" t="n">
        <v>195</v>
      </c>
    </row>
    <row r="467">
      <c r="A467" s="16" t="inlineStr">
        <is>
          <t>RNO</t>
        </is>
      </c>
      <c r="B467" s="16" t="inlineStr">
        <is>
          <t>RNO-241</t>
        </is>
      </c>
      <c r="C467" s="95" t="n">
        <v>46137</v>
      </c>
      <c r="D467" s="16" t="inlineStr">
        <is>
          <t>سجل صرف المخزن</t>
        </is>
      </c>
      <c r="E467" s="16" t="inlineStr">
        <is>
          <t>RN-PL12</t>
        </is>
      </c>
      <c r="F467" s="16" t="inlineStr">
        <is>
          <t>صندوق فلين للزهور</t>
        </is>
      </c>
      <c r="G467" s="16" t="n">
        <v>1000</v>
      </c>
      <c r="H467" s="16" t="inlineStr">
        <is>
          <t>EA</t>
        </is>
      </c>
      <c r="I467" s="17" t="n">
        <v>4</v>
      </c>
      <c r="J467" s="17" t="n">
        <v>4000</v>
      </c>
    </row>
    <row r="468">
      <c r="A468" s="16" t="inlineStr">
        <is>
          <t>RNO</t>
        </is>
      </c>
      <c r="B468" s="16" t="inlineStr">
        <is>
          <t>RNO-241</t>
        </is>
      </c>
      <c r="C468" s="95" t="n">
        <v>46137</v>
      </c>
      <c r="D468" s="16" t="inlineStr">
        <is>
          <t>سجل صرف المخزن</t>
        </is>
      </c>
      <c r="E468" s="16" t="inlineStr">
        <is>
          <t>RN-PL1</t>
        </is>
      </c>
      <c r="F468" s="16" t="inlineStr">
        <is>
          <t>مركن زراعى خفيف ملون 9 سم</t>
        </is>
      </c>
      <c r="G468" s="16" t="n">
        <v>20000</v>
      </c>
      <c r="H468" s="16" t="inlineStr">
        <is>
          <t>EA</t>
        </is>
      </c>
      <c r="I468" s="17" t="n">
        <v>0.06</v>
      </c>
      <c r="J468" s="17" t="n">
        <v>1200</v>
      </c>
    </row>
    <row r="469">
      <c r="A469" s="9" t="n"/>
      <c r="B469" s="9" t="inlineStr">
        <is>
          <t>إجمالي RNO-241</t>
        </is>
      </c>
      <c r="C469" s="9" t="n"/>
      <c r="D469" s="9" t="n"/>
      <c r="E469" s="9" t="n"/>
      <c r="F469" s="9" t="n"/>
      <c r="G469" s="9">
        <f>SUM(G464:G468)</f>
        <v/>
      </c>
      <c r="H469" s="9" t="n"/>
      <c r="I469" s="9" t="n"/>
      <c r="J469" s="10">
        <f>SUM(J464:J468)</f>
        <v/>
      </c>
    </row>
    <row r="470">
      <c r="A470" s="16" t="inlineStr">
        <is>
          <t>RNO</t>
        </is>
      </c>
      <c r="B470" s="16" t="inlineStr">
        <is>
          <t>RNO-245</t>
        </is>
      </c>
      <c r="C470" s="95" t="n">
        <v>46139</v>
      </c>
      <c r="D470" s="16" t="inlineStr">
        <is>
          <t>سجل صرف المخزن</t>
        </is>
      </c>
      <c r="E470" s="16" t="inlineStr">
        <is>
          <t>RN-FR1033</t>
        </is>
      </c>
      <c r="F470" s="16" t="inlineStr">
        <is>
          <t>بيتموس تى اس مخصب 210 لتر</t>
        </is>
      </c>
      <c r="G470" s="16" t="n">
        <v>15</v>
      </c>
      <c r="H470" s="16" t="inlineStr">
        <is>
          <t>EA</t>
        </is>
      </c>
      <c r="I470" s="17" t="n">
        <v>101.5</v>
      </c>
      <c r="J470" s="17" t="n">
        <v>1522.5</v>
      </c>
    </row>
    <row r="471">
      <c r="A471" s="16" t="inlineStr">
        <is>
          <t>RNO</t>
        </is>
      </c>
      <c r="B471" s="16" t="inlineStr">
        <is>
          <t>RNO-245</t>
        </is>
      </c>
      <c r="C471" s="95" t="n">
        <v>46139</v>
      </c>
      <c r="D471" s="16" t="inlineStr">
        <is>
          <t>سجل صرف المخزن</t>
        </is>
      </c>
      <c r="E471" s="16" t="inlineStr">
        <is>
          <t>RN-FR368</t>
        </is>
      </c>
      <c r="F471" s="16" t="inlineStr">
        <is>
          <t>بيرلايت 100 لتر</t>
        </is>
      </c>
      <c r="G471" s="16" t="n">
        <v>4</v>
      </c>
      <c r="H471" s="16" t="inlineStr">
        <is>
          <t>EA</t>
        </is>
      </c>
      <c r="I471" s="17" t="n">
        <v>32.5</v>
      </c>
      <c r="J471" s="17" t="n">
        <v>130</v>
      </c>
    </row>
    <row r="472">
      <c r="A472" s="16" t="inlineStr">
        <is>
          <t>RNO</t>
        </is>
      </c>
      <c r="B472" s="16" t="inlineStr">
        <is>
          <t>RNO-245</t>
        </is>
      </c>
      <c r="C472" s="95" t="n">
        <v>46139</v>
      </c>
      <c r="D472" s="16" t="inlineStr">
        <is>
          <t>سجل صرف المخزن</t>
        </is>
      </c>
      <c r="E472" s="16" t="inlineStr">
        <is>
          <t>RN-PL1</t>
        </is>
      </c>
      <c r="F472" s="16" t="inlineStr">
        <is>
          <t>مركن زراعى خفيف ملون 9 سم</t>
        </is>
      </c>
      <c r="G472" s="16" t="n">
        <v>10000</v>
      </c>
      <c r="H472" s="16" t="inlineStr">
        <is>
          <t>EA</t>
        </is>
      </c>
      <c r="I472" s="17" t="n">
        <v>0.06</v>
      </c>
      <c r="J472" s="17" t="n">
        <v>600</v>
      </c>
    </row>
    <row r="473">
      <c r="A473" s="16" t="inlineStr">
        <is>
          <t>RNO</t>
        </is>
      </c>
      <c r="B473" s="16" t="inlineStr">
        <is>
          <t>RNO-245</t>
        </is>
      </c>
      <c r="C473" s="95" t="n">
        <v>46139</v>
      </c>
      <c r="D473" s="16" t="inlineStr">
        <is>
          <t>سجل صرف المخزن</t>
        </is>
      </c>
      <c r="E473" s="16" t="inlineStr">
        <is>
          <t>RN-PL12</t>
        </is>
      </c>
      <c r="F473" s="16" t="inlineStr">
        <is>
          <t>صندوق فلين للزهور</t>
        </is>
      </c>
      <c r="G473" s="16" t="n">
        <v>320</v>
      </c>
      <c r="H473" s="16" t="inlineStr">
        <is>
          <t>EA</t>
        </is>
      </c>
      <c r="I473" s="17" t="n">
        <v>4</v>
      </c>
      <c r="J473" s="17" t="n">
        <v>1280</v>
      </c>
    </row>
    <row r="474">
      <c r="A474" s="9" t="n"/>
      <c r="B474" s="9" t="inlineStr">
        <is>
          <t>إجمالي RNO-245</t>
        </is>
      </c>
      <c r="C474" s="9" t="n"/>
      <c r="D474" s="9" t="n"/>
      <c r="E474" s="9" t="n"/>
      <c r="F474" s="9" t="n"/>
      <c r="G474" s="9">
        <f>SUM(G470:G473)</f>
        <v/>
      </c>
      <c r="H474" s="9" t="n"/>
      <c r="I474" s="9" t="n"/>
      <c r="J474" s="10">
        <f>SUM(J470:J473)</f>
        <v/>
      </c>
    </row>
    <row r="475">
      <c r="A475" s="16" t="inlineStr">
        <is>
          <t>RNO</t>
        </is>
      </c>
      <c r="B475" s="16" t="inlineStr">
        <is>
          <t>RNO-249</t>
        </is>
      </c>
      <c r="C475" s="95" t="n">
        <v>46140</v>
      </c>
      <c r="D475" s="16" t="inlineStr">
        <is>
          <t>سجل صرف المخزن</t>
        </is>
      </c>
      <c r="E475" s="16" t="inlineStr">
        <is>
          <t>RN-FR1033</t>
        </is>
      </c>
      <c r="F475" s="16" t="inlineStr">
        <is>
          <t>بيتموس تى اس مخصب 210 لتر</t>
        </is>
      </c>
      <c r="G475" s="16" t="n">
        <v>20</v>
      </c>
      <c r="H475" s="16" t="inlineStr">
        <is>
          <t>EA</t>
        </is>
      </c>
      <c r="I475" s="17" t="n">
        <v>101.5</v>
      </c>
      <c r="J475" s="17" t="n">
        <v>2030</v>
      </c>
    </row>
    <row r="476">
      <c r="A476" s="16" t="inlineStr">
        <is>
          <t>RNO</t>
        </is>
      </c>
      <c r="B476" s="16" t="inlineStr">
        <is>
          <t>RNO-249</t>
        </is>
      </c>
      <c r="C476" s="95" t="n">
        <v>46140</v>
      </c>
      <c r="D476" s="16" t="inlineStr">
        <is>
          <t>سجل صرف المخزن</t>
        </is>
      </c>
      <c r="E476" s="16" t="inlineStr">
        <is>
          <t>RN-FR368</t>
        </is>
      </c>
      <c r="F476" s="16" t="inlineStr">
        <is>
          <t>بيرلايت 100 لتر</t>
        </is>
      </c>
      <c r="G476" s="16" t="n">
        <v>6</v>
      </c>
      <c r="H476" s="16" t="inlineStr">
        <is>
          <t>EA</t>
        </is>
      </c>
      <c r="I476" s="17" t="n">
        <v>32.5</v>
      </c>
      <c r="J476" s="17" t="n">
        <v>195</v>
      </c>
    </row>
    <row r="477">
      <c r="A477" s="16" t="inlineStr">
        <is>
          <t>RNO</t>
        </is>
      </c>
      <c r="B477" s="16" t="inlineStr">
        <is>
          <t>RNO-249</t>
        </is>
      </c>
      <c r="C477" s="95" t="n">
        <v>46140</v>
      </c>
      <c r="D477" s="16" t="inlineStr">
        <is>
          <t>سجل صرف المخزن</t>
        </is>
      </c>
      <c r="E477" s="16" t="inlineStr">
        <is>
          <t>RN-PL1</t>
        </is>
      </c>
      <c r="F477" s="16" t="inlineStr">
        <is>
          <t>مركن زراعى خفيف ملون 9 سم</t>
        </is>
      </c>
      <c r="G477" s="16" t="n">
        <v>14000</v>
      </c>
      <c r="H477" s="16" t="inlineStr">
        <is>
          <t>EA</t>
        </is>
      </c>
      <c r="I477" s="17" t="n">
        <v>0.06</v>
      </c>
      <c r="J477" s="17" t="n">
        <v>840</v>
      </c>
    </row>
    <row r="478">
      <c r="A478" s="9" t="n"/>
      <c r="B478" s="9" t="inlineStr">
        <is>
          <t>إجمالي RNO-249</t>
        </is>
      </c>
      <c r="C478" s="9" t="n"/>
      <c r="D478" s="9" t="n"/>
      <c r="E478" s="9" t="n"/>
      <c r="F478" s="9" t="n"/>
      <c r="G478" s="9">
        <f>SUM(G475:G477)</f>
        <v/>
      </c>
      <c r="H478" s="9" t="n"/>
      <c r="I478" s="9" t="n"/>
      <c r="J478" s="10">
        <f>SUM(J475:J477)</f>
        <v/>
      </c>
    </row>
    <row r="479">
      <c r="A479" s="16" t="inlineStr">
        <is>
          <t>RNO</t>
        </is>
      </c>
      <c r="B479" s="16" t="inlineStr">
        <is>
          <t>RNO-251</t>
        </is>
      </c>
      <c r="C479" s="95" t="n">
        <v>46141</v>
      </c>
      <c r="D479" s="16" t="inlineStr">
        <is>
          <t>سجل صرف المخزن</t>
        </is>
      </c>
      <c r="E479" s="16" t="inlineStr">
        <is>
          <t>RN-FR1022</t>
        </is>
      </c>
      <c r="F479" s="16" t="inlineStr">
        <is>
          <t>اجري فير شيلات حديد 6% 1 كجم</t>
        </is>
      </c>
      <c r="G479" s="16" t="n">
        <v>1</v>
      </c>
      <c r="H479" s="16" t="inlineStr">
        <is>
          <t>EA</t>
        </is>
      </c>
      <c r="I479" s="17" t="n">
        <v>41.5</v>
      </c>
      <c r="J479" s="17" t="n">
        <v>41.5</v>
      </c>
    </row>
    <row r="480">
      <c r="A480" s="9" t="n"/>
      <c r="B480" s="9" t="inlineStr">
        <is>
          <t>إجمالي RNO-251</t>
        </is>
      </c>
      <c r="C480" s="9" t="n"/>
      <c r="D480" s="9" t="n"/>
      <c r="E480" s="9" t="n"/>
      <c r="F480" s="9" t="n"/>
      <c r="G480" s="9">
        <f>SUM(G479:G479)</f>
        <v/>
      </c>
      <c r="H480" s="9" t="n"/>
      <c r="I480" s="9" t="n"/>
      <c r="J480" s="10">
        <f>SUM(J479:J479)</f>
        <v/>
      </c>
    </row>
    <row r="481">
      <c r="A481" s="16" t="inlineStr">
        <is>
          <t>RNO</t>
        </is>
      </c>
      <c r="B481" s="16" t="inlineStr">
        <is>
          <t>RNO-253</t>
        </is>
      </c>
      <c r="C481" s="95" t="n">
        <v>46141</v>
      </c>
      <c r="D481" s="16" t="inlineStr">
        <is>
          <t>سجل صرف المخزن</t>
        </is>
      </c>
      <c r="E481" s="16" t="inlineStr">
        <is>
          <t>RN-FR1033</t>
        </is>
      </c>
      <c r="F481" s="16" t="inlineStr">
        <is>
          <t>بيتموس تى اس مخصب 210 لتر</t>
        </is>
      </c>
      <c r="G481" s="16" t="n">
        <v>20</v>
      </c>
      <c r="H481" s="16" t="inlineStr">
        <is>
          <t>EA</t>
        </is>
      </c>
      <c r="I481" s="17" t="n">
        <v>101.5</v>
      </c>
      <c r="J481" s="17" t="n">
        <v>2030</v>
      </c>
    </row>
    <row r="482">
      <c r="A482" s="16" t="inlineStr">
        <is>
          <t>RNO</t>
        </is>
      </c>
      <c r="B482" s="16" t="inlineStr">
        <is>
          <t>RNO-253</t>
        </is>
      </c>
      <c r="C482" s="95" t="n">
        <v>46141</v>
      </c>
      <c r="D482" s="16" t="inlineStr">
        <is>
          <t>سجل صرف المخزن</t>
        </is>
      </c>
      <c r="E482" s="16" t="inlineStr">
        <is>
          <t>RN-FR368</t>
        </is>
      </c>
      <c r="F482" s="16" t="inlineStr">
        <is>
          <t>بيرلايت 100 لتر</t>
        </is>
      </c>
      <c r="G482" s="16" t="n">
        <v>6</v>
      </c>
      <c r="H482" s="16" t="inlineStr">
        <is>
          <t>EA</t>
        </is>
      </c>
      <c r="I482" s="17" t="n">
        <v>32.5</v>
      </c>
      <c r="J482" s="17" t="n">
        <v>195</v>
      </c>
    </row>
    <row r="483">
      <c r="A483" s="16" t="inlineStr">
        <is>
          <t>RNO</t>
        </is>
      </c>
      <c r="B483" s="16" t="inlineStr">
        <is>
          <t>RNO-253</t>
        </is>
      </c>
      <c r="C483" s="95" t="n">
        <v>46141</v>
      </c>
      <c r="D483" s="16" t="inlineStr">
        <is>
          <t>سجل صرف المخزن</t>
        </is>
      </c>
      <c r="E483" s="16" t="inlineStr">
        <is>
          <t>RN-PL1</t>
        </is>
      </c>
      <c r="F483" s="16" t="inlineStr">
        <is>
          <t>مركن زراعى خفيف ملون 9 سم</t>
        </is>
      </c>
      <c r="G483" s="16" t="n">
        <v>10000</v>
      </c>
      <c r="H483" s="16" t="inlineStr">
        <is>
          <t>EA</t>
        </is>
      </c>
      <c r="I483" s="17" t="n">
        <v>0.06</v>
      </c>
      <c r="J483" s="17" t="n">
        <v>600</v>
      </c>
    </row>
    <row r="484">
      <c r="A484" s="16" t="inlineStr">
        <is>
          <t>RNO</t>
        </is>
      </c>
      <c r="B484" s="16" t="inlineStr">
        <is>
          <t>RNO-253</t>
        </is>
      </c>
      <c r="C484" s="95" t="n">
        <v>46141</v>
      </c>
      <c r="D484" s="16" t="inlineStr">
        <is>
          <t>سجل صرف المخزن</t>
        </is>
      </c>
      <c r="E484" s="16" t="inlineStr">
        <is>
          <t>RN-PL15</t>
        </is>
      </c>
      <c r="F484" s="16" t="inlineStr">
        <is>
          <t>سنادات شجر طول 3 متر</t>
        </is>
      </c>
      <c r="G484" s="16" t="n">
        <v>100</v>
      </c>
      <c r="H484" s="16" t="inlineStr">
        <is>
          <t>EA</t>
        </is>
      </c>
      <c r="I484" s="17" t="n">
        <v>3.5</v>
      </c>
      <c r="J484" s="17" t="n">
        <v>350</v>
      </c>
    </row>
    <row r="485">
      <c r="A485" s="9" t="n"/>
      <c r="B485" s="9" t="inlineStr">
        <is>
          <t>إجمالي RNO-253</t>
        </is>
      </c>
      <c r="C485" s="9" t="n"/>
      <c r="D485" s="9" t="n"/>
      <c r="E485" s="9" t="n"/>
      <c r="F485" s="9" t="n"/>
      <c r="G485" s="9">
        <f>SUM(G481:G484)</f>
        <v/>
      </c>
      <c r="H485" s="9" t="n"/>
      <c r="I485" s="9" t="n"/>
      <c r="J485" s="10">
        <f>SUM(J481:J484)</f>
        <v/>
      </c>
    </row>
    <row r="486">
      <c r="A486" s="16" t="inlineStr">
        <is>
          <t>RNO</t>
        </is>
      </c>
      <c r="B486" s="16" t="inlineStr">
        <is>
          <t>RNO-258</t>
        </is>
      </c>
      <c r="C486" s="95" t="n">
        <v>46144</v>
      </c>
      <c r="D486" s="16" t="inlineStr">
        <is>
          <t>سجل صرف المخزن</t>
        </is>
      </c>
      <c r="E486" s="16" t="inlineStr">
        <is>
          <t>RN-FR1033</t>
        </is>
      </c>
      <c r="F486" s="16" t="inlineStr">
        <is>
          <t>بيتموس تى اس مخصب 210 لتر</t>
        </is>
      </c>
      <c r="G486" s="16" t="n">
        <v>7</v>
      </c>
      <c r="H486" s="16" t="inlineStr">
        <is>
          <t>EA</t>
        </is>
      </c>
      <c r="I486" s="17" t="n">
        <v>101.5</v>
      </c>
      <c r="J486" s="17" t="n">
        <v>710.5</v>
      </c>
    </row>
    <row r="487">
      <c r="A487" s="16" t="inlineStr">
        <is>
          <t>RNO</t>
        </is>
      </c>
      <c r="B487" s="16" t="inlineStr">
        <is>
          <t>RNO-258</t>
        </is>
      </c>
      <c r="C487" s="95" t="n">
        <v>46144</v>
      </c>
      <c r="D487" s="16" t="inlineStr">
        <is>
          <t>سجل صرف المخزن</t>
        </is>
      </c>
      <c r="E487" s="16" t="inlineStr">
        <is>
          <t>RN-FR368</t>
        </is>
      </c>
      <c r="F487" s="16" t="inlineStr">
        <is>
          <t>بيرلايت 100 لتر</t>
        </is>
      </c>
      <c r="G487" s="16" t="n">
        <v>2</v>
      </c>
      <c r="H487" s="16" t="inlineStr">
        <is>
          <t>EA</t>
        </is>
      </c>
      <c r="I487" s="17" t="n">
        <v>32.5</v>
      </c>
      <c r="J487" s="17" t="n">
        <v>65</v>
      </c>
    </row>
    <row r="488">
      <c r="A488" s="16" t="inlineStr">
        <is>
          <t>RNO</t>
        </is>
      </c>
      <c r="B488" s="16" t="inlineStr">
        <is>
          <t>RNO-258</t>
        </is>
      </c>
      <c r="C488" s="95" t="n">
        <v>46144</v>
      </c>
      <c r="D488" s="16" t="inlineStr">
        <is>
          <t>سجل صرف المخزن</t>
        </is>
      </c>
      <c r="E488" s="16" t="inlineStr">
        <is>
          <t>RN-PL1</t>
        </is>
      </c>
      <c r="F488" s="16" t="inlineStr">
        <is>
          <t>مركن زراعى خفيف ملون 9 سم</t>
        </is>
      </c>
      <c r="G488" s="16" t="n">
        <v>15000</v>
      </c>
      <c r="H488" s="16" t="inlineStr">
        <is>
          <t>EA</t>
        </is>
      </c>
      <c r="I488" s="17" t="n">
        <v>0.06</v>
      </c>
      <c r="J488" s="17" t="n">
        <v>900</v>
      </c>
    </row>
    <row r="489">
      <c r="A489" s="16" t="inlineStr">
        <is>
          <t>RNO</t>
        </is>
      </c>
      <c r="B489" s="16" t="inlineStr">
        <is>
          <t>RNO-258</t>
        </is>
      </c>
      <c r="C489" s="95" t="n">
        <v>46144</v>
      </c>
      <c r="D489" s="16" t="inlineStr">
        <is>
          <t>سجل صرف المخزن</t>
        </is>
      </c>
      <c r="E489" s="16" t="inlineStr">
        <is>
          <t>RN-PL15</t>
        </is>
      </c>
      <c r="F489" s="16" t="inlineStr">
        <is>
          <t>سنادات شجر طول 3 متر</t>
        </is>
      </c>
      <c r="G489" s="16" t="n">
        <v>50</v>
      </c>
      <c r="H489" s="16" t="inlineStr">
        <is>
          <t>EA</t>
        </is>
      </c>
      <c r="I489" s="17" t="n">
        <v>3.5</v>
      </c>
      <c r="J489" s="17" t="n">
        <v>175</v>
      </c>
    </row>
    <row r="490">
      <c r="A490" s="16" t="inlineStr">
        <is>
          <t>RNO</t>
        </is>
      </c>
      <c r="B490" s="16" t="inlineStr">
        <is>
          <t>RNO-258</t>
        </is>
      </c>
      <c r="C490" s="95" t="n">
        <v>46144</v>
      </c>
      <c r="D490" s="16" t="inlineStr">
        <is>
          <t>سجل صرف المخزن</t>
        </is>
      </c>
      <c r="E490" s="16" t="inlineStr">
        <is>
          <t>RN-FR1022</t>
        </is>
      </c>
      <c r="F490" s="16" t="inlineStr">
        <is>
          <t>اجري فير شيلات حديد 6% 1 كجم</t>
        </is>
      </c>
      <c r="G490" s="16" t="n">
        <v>1</v>
      </c>
      <c r="H490" s="16" t="inlineStr">
        <is>
          <t>EA</t>
        </is>
      </c>
      <c r="I490" s="17" t="n">
        <v>41.5</v>
      </c>
      <c r="J490" s="17" t="n">
        <v>41.5</v>
      </c>
    </row>
    <row r="491">
      <c r="A491" s="16" t="inlineStr">
        <is>
          <t>RNO</t>
        </is>
      </c>
      <c r="B491" s="16" t="inlineStr">
        <is>
          <t>RNO-258</t>
        </is>
      </c>
      <c r="C491" s="95" t="n">
        <v>46144</v>
      </c>
      <c r="D491" s="16" t="inlineStr">
        <is>
          <t>سجل صرف المخزن</t>
        </is>
      </c>
      <c r="E491" s="16" t="inlineStr">
        <is>
          <t>RN-FR1024</t>
        </is>
      </c>
      <c r="F491" s="16" t="inlineStr">
        <is>
          <t>فاكوميل بلص 50 - 1 كجم</t>
        </is>
      </c>
      <c r="G491" s="16" t="n">
        <v>2</v>
      </c>
      <c r="H491" s="16" t="inlineStr">
        <is>
          <t>EA</t>
        </is>
      </c>
      <c r="I491" s="17" t="n">
        <v>75.5</v>
      </c>
      <c r="J491" s="17" t="n">
        <v>151</v>
      </c>
    </row>
    <row r="492">
      <c r="A492" s="9" t="n"/>
      <c r="B492" s="9" t="inlineStr">
        <is>
          <t>إجمالي RNO-258</t>
        </is>
      </c>
      <c r="C492" s="9" t="n"/>
      <c r="D492" s="9" t="n"/>
      <c r="E492" s="9" t="n"/>
      <c r="F492" s="9" t="n"/>
      <c r="G492" s="9">
        <f>SUM(G486:G491)</f>
        <v/>
      </c>
      <c r="H492" s="9" t="n"/>
      <c r="I492" s="9" t="n"/>
      <c r="J492" s="10">
        <f>SUM(J486:J491)</f>
        <v/>
      </c>
    </row>
    <row r="493">
      <c r="A493" s="16" t="inlineStr">
        <is>
          <t>RNO</t>
        </is>
      </c>
      <c r="B493" s="16" t="inlineStr">
        <is>
          <t>RNO-264</t>
        </is>
      </c>
      <c r="C493" s="95" t="n">
        <v>46146</v>
      </c>
      <c r="D493" s="16" t="inlineStr">
        <is>
          <t>سجل صرف المخزن</t>
        </is>
      </c>
      <c r="E493" s="16" t="inlineStr">
        <is>
          <t>RN-FR1033</t>
        </is>
      </c>
      <c r="F493" s="16" t="inlineStr">
        <is>
          <t>بيتموس تى اس مخصب 210 لتر</t>
        </is>
      </c>
      <c r="G493" s="16" t="n">
        <v>20</v>
      </c>
      <c r="H493" s="16" t="inlineStr">
        <is>
          <t>EA</t>
        </is>
      </c>
      <c r="I493" s="17" t="n">
        <v>101.5</v>
      </c>
      <c r="J493" s="17" t="n">
        <v>2030</v>
      </c>
    </row>
    <row r="494">
      <c r="A494" s="16" t="inlineStr">
        <is>
          <t>RNO</t>
        </is>
      </c>
      <c r="B494" s="16" t="inlineStr">
        <is>
          <t>RNO-264</t>
        </is>
      </c>
      <c r="C494" s="95" t="n">
        <v>46146</v>
      </c>
      <c r="D494" s="16" t="inlineStr">
        <is>
          <t>سجل صرف المخزن</t>
        </is>
      </c>
      <c r="E494" s="16" t="inlineStr">
        <is>
          <t>RN-FR368</t>
        </is>
      </c>
      <c r="F494" s="16" t="inlineStr">
        <is>
          <t>بيرلايت 100 لتر</t>
        </is>
      </c>
      <c r="G494" s="16" t="n">
        <v>6</v>
      </c>
      <c r="H494" s="16" t="inlineStr">
        <is>
          <t>EA</t>
        </is>
      </c>
      <c r="I494" s="17" t="n">
        <v>32.5</v>
      </c>
      <c r="J494" s="17" t="n">
        <v>195</v>
      </c>
    </row>
    <row r="495">
      <c r="A495" s="16" t="inlineStr">
        <is>
          <t>RNO</t>
        </is>
      </c>
      <c r="B495" s="16" t="inlineStr">
        <is>
          <t>RNO-264</t>
        </is>
      </c>
      <c r="C495" s="95" t="n">
        <v>46146</v>
      </c>
      <c r="D495" s="16" t="inlineStr">
        <is>
          <t>سجل صرف المخزن</t>
        </is>
      </c>
      <c r="E495" s="16" t="inlineStr">
        <is>
          <t>RN-FR1022</t>
        </is>
      </c>
      <c r="F495" s="16" t="inlineStr">
        <is>
          <t>اجري فير شيلات حديد 6% 1 كجم</t>
        </is>
      </c>
      <c r="G495" s="16" t="n">
        <v>1</v>
      </c>
      <c r="H495" s="16" t="inlineStr">
        <is>
          <t>EA</t>
        </is>
      </c>
      <c r="I495" s="17" t="n">
        <v>41.5</v>
      </c>
      <c r="J495" s="17" t="n">
        <v>41.5</v>
      </c>
    </row>
    <row r="496">
      <c r="A496" s="16" t="inlineStr">
        <is>
          <t>RNO</t>
        </is>
      </c>
      <c r="B496" s="16" t="inlineStr">
        <is>
          <t>RNO-264</t>
        </is>
      </c>
      <c r="C496" s="95" t="n">
        <v>46146</v>
      </c>
      <c r="D496" s="16" t="inlineStr">
        <is>
          <t>سجل صرف المخزن</t>
        </is>
      </c>
      <c r="E496" s="16" t="inlineStr">
        <is>
          <t>RN-PL12</t>
        </is>
      </c>
      <c r="F496" s="16" t="inlineStr">
        <is>
          <t>صندوق فلين للزهور</t>
        </is>
      </c>
      <c r="G496" s="16" t="n">
        <v>2200</v>
      </c>
      <c r="H496" s="16" t="inlineStr">
        <is>
          <t>EA</t>
        </is>
      </c>
      <c r="I496" s="17" t="n">
        <v>4</v>
      </c>
      <c r="J496" s="17" t="n">
        <v>8800</v>
      </c>
    </row>
    <row r="497">
      <c r="A497" s="16" t="inlineStr">
        <is>
          <t>RNO</t>
        </is>
      </c>
      <c r="B497" s="16" t="inlineStr">
        <is>
          <t>RNO-264</t>
        </is>
      </c>
      <c r="C497" s="95" t="n">
        <v>46146</v>
      </c>
      <c r="D497" s="16" t="inlineStr">
        <is>
          <t>سجل صرف المخزن</t>
        </is>
      </c>
      <c r="E497" s="16" t="inlineStr">
        <is>
          <t>RN-PL1</t>
        </is>
      </c>
      <c r="F497" s="16" t="inlineStr">
        <is>
          <t>مركن زراعى خفيف ملون 9 سم</t>
        </is>
      </c>
      <c r="G497" s="16" t="n">
        <v>20000</v>
      </c>
      <c r="H497" s="16" t="inlineStr">
        <is>
          <t>EA</t>
        </is>
      </c>
      <c r="I497" s="17" t="n">
        <v>0.06</v>
      </c>
      <c r="J497" s="17" t="n">
        <v>1200</v>
      </c>
    </row>
    <row r="498">
      <c r="A498" s="9" t="n"/>
      <c r="B498" s="9" t="inlineStr">
        <is>
          <t>إجمالي RNO-264</t>
        </is>
      </c>
      <c r="C498" s="9" t="n"/>
      <c r="D498" s="9" t="n"/>
      <c r="E498" s="9" t="n"/>
      <c r="F498" s="9" t="n"/>
      <c r="G498" s="9">
        <f>SUM(G493:G497)</f>
        <v/>
      </c>
      <c r="H498" s="9" t="n"/>
      <c r="I498" s="9" t="n"/>
      <c r="J498" s="10">
        <f>SUM(J493:J497)</f>
        <v/>
      </c>
    </row>
    <row r="499">
      <c r="A499" s="16" t="inlineStr">
        <is>
          <t>RNO</t>
        </is>
      </c>
      <c r="B499" s="16" t="inlineStr">
        <is>
          <t>RNO-268</t>
        </is>
      </c>
      <c r="C499" s="95" t="n">
        <v>46147</v>
      </c>
      <c r="D499" s="16" t="inlineStr">
        <is>
          <t>سجل صرف المخزن</t>
        </is>
      </c>
      <c r="E499" s="16" t="inlineStr">
        <is>
          <t>RN-FR1033</t>
        </is>
      </c>
      <c r="F499" s="16" t="inlineStr">
        <is>
          <t>بيتموس تى اس مخصب 210 لتر</t>
        </is>
      </c>
      <c r="G499" s="16" t="n">
        <v>14</v>
      </c>
      <c r="H499" s="16" t="inlineStr">
        <is>
          <t>EA</t>
        </is>
      </c>
      <c r="I499" s="17" t="n">
        <v>101.5</v>
      </c>
      <c r="J499" s="17" t="n">
        <v>1421</v>
      </c>
    </row>
    <row r="500">
      <c r="A500" s="16" t="inlineStr">
        <is>
          <t>RNO</t>
        </is>
      </c>
      <c r="B500" s="16" t="inlineStr">
        <is>
          <t>RNO-268</t>
        </is>
      </c>
      <c r="C500" s="95" t="n">
        <v>46147</v>
      </c>
      <c r="D500" s="16" t="inlineStr">
        <is>
          <t>سجل صرف المخزن</t>
        </is>
      </c>
      <c r="E500" s="16" t="inlineStr">
        <is>
          <t>RN-FR368</t>
        </is>
      </c>
      <c r="F500" s="16" t="inlineStr">
        <is>
          <t>بيرلايت 100 لتر</t>
        </is>
      </c>
      <c r="G500" s="16" t="n">
        <v>4</v>
      </c>
      <c r="H500" s="16" t="inlineStr">
        <is>
          <t>EA</t>
        </is>
      </c>
      <c r="I500" s="17" t="n">
        <v>32.5</v>
      </c>
      <c r="J500" s="17" t="n">
        <v>130</v>
      </c>
    </row>
    <row r="501">
      <c r="A501" s="16" t="inlineStr">
        <is>
          <t>RNO</t>
        </is>
      </c>
      <c r="B501" s="16" t="inlineStr">
        <is>
          <t>RNO-268</t>
        </is>
      </c>
      <c r="C501" s="95" t="n">
        <v>46147</v>
      </c>
      <c r="D501" s="16" t="inlineStr">
        <is>
          <t>سجل صرف المخزن</t>
        </is>
      </c>
      <c r="E501" s="16" t="inlineStr">
        <is>
          <t>RN-PL1</t>
        </is>
      </c>
      <c r="F501" s="16" t="inlineStr">
        <is>
          <t>مركن زراعى خفيف ملون 9 سم</t>
        </is>
      </c>
      <c r="G501" s="16" t="n">
        <v>10000</v>
      </c>
      <c r="H501" s="16" t="inlineStr">
        <is>
          <t>EA</t>
        </is>
      </c>
      <c r="I501" s="17" t="n">
        <v>0.06</v>
      </c>
      <c r="J501" s="17" t="n">
        <v>600</v>
      </c>
    </row>
    <row r="502">
      <c r="A502" s="16" t="inlineStr">
        <is>
          <t>RNO</t>
        </is>
      </c>
      <c r="B502" s="16" t="inlineStr">
        <is>
          <t>RNO-268</t>
        </is>
      </c>
      <c r="C502" s="95" t="n">
        <v>46147</v>
      </c>
      <c r="D502" s="16" t="inlineStr">
        <is>
          <t>سجل صرف المخزن</t>
        </is>
      </c>
      <c r="E502" s="16" t="inlineStr">
        <is>
          <t>RN-PL12</t>
        </is>
      </c>
      <c r="F502" s="16" t="inlineStr">
        <is>
          <t>صندوق فلين للزهور</t>
        </is>
      </c>
      <c r="G502" s="16" t="n">
        <v>1768</v>
      </c>
      <c r="H502" s="16" t="inlineStr">
        <is>
          <t>EA</t>
        </is>
      </c>
      <c r="I502" s="17" t="n">
        <v>4</v>
      </c>
      <c r="J502" s="17" t="n">
        <v>7072</v>
      </c>
    </row>
    <row r="503">
      <c r="A503" s="16" t="inlineStr">
        <is>
          <t>RNO</t>
        </is>
      </c>
      <c r="B503" s="16" t="inlineStr">
        <is>
          <t>RNO-268</t>
        </is>
      </c>
      <c r="C503" s="95" t="n">
        <v>46147</v>
      </c>
      <c r="D503" s="16" t="inlineStr">
        <is>
          <t>سجل صرف المخزن</t>
        </is>
      </c>
      <c r="E503" s="16" t="inlineStr">
        <is>
          <t>RN-PL15</t>
        </is>
      </c>
      <c r="F503" s="16" t="inlineStr">
        <is>
          <t>سنادات شجر طول 3 متر</t>
        </is>
      </c>
      <c r="G503" s="16" t="n">
        <v>100</v>
      </c>
      <c r="H503" s="16" t="inlineStr">
        <is>
          <t>EA</t>
        </is>
      </c>
      <c r="I503" s="17" t="n">
        <v>3.5</v>
      </c>
      <c r="J503" s="17" t="n">
        <v>350</v>
      </c>
    </row>
    <row r="504">
      <c r="A504" s="16" t="inlineStr">
        <is>
          <t>RNO</t>
        </is>
      </c>
      <c r="B504" s="16" t="inlineStr">
        <is>
          <t>RNO-268</t>
        </is>
      </c>
      <c r="C504" s="95" t="n">
        <v>46147</v>
      </c>
      <c r="D504" s="16" t="inlineStr">
        <is>
          <t>سجل صرف المخزن</t>
        </is>
      </c>
      <c r="E504" s="16" t="inlineStr">
        <is>
          <t>RN-FR1023</t>
        </is>
      </c>
      <c r="F504" s="16" t="inlineStr">
        <is>
          <t>سنجرال 20-20-20+ع ن - 25 كجم</t>
        </is>
      </c>
      <c r="G504" s="16" t="n">
        <v>1</v>
      </c>
      <c r="H504" s="16" t="inlineStr">
        <is>
          <t>EA</t>
        </is>
      </c>
      <c r="I504" s="17" t="n">
        <v>280</v>
      </c>
      <c r="J504" s="17" t="n">
        <v>280</v>
      </c>
    </row>
    <row r="505">
      <c r="A505" s="9" t="n"/>
      <c r="B505" s="9" t="inlineStr">
        <is>
          <t>إجمالي RNO-268</t>
        </is>
      </c>
      <c r="C505" s="9" t="n"/>
      <c r="D505" s="9" t="n"/>
      <c r="E505" s="9" t="n"/>
      <c r="F505" s="9" t="n"/>
      <c r="G505" s="9">
        <f>SUM(G499:G504)</f>
        <v/>
      </c>
      <c r="H505" s="9" t="n"/>
      <c r="I505" s="9" t="n"/>
      <c r="J505" s="10">
        <f>SUM(J499:J504)</f>
        <v/>
      </c>
    </row>
    <row r="506">
      <c r="A506" s="16" t="inlineStr">
        <is>
          <t>RNO</t>
        </is>
      </c>
      <c r="B506" s="16" t="inlineStr">
        <is>
          <t>RNO-272</t>
        </is>
      </c>
      <c r="C506" s="95" t="n">
        <v>46148</v>
      </c>
      <c r="D506" s="16" t="inlineStr">
        <is>
          <t>سجل صرف المخزن</t>
        </is>
      </c>
      <c r="E506" s="16" t="inlineStr">
        <is>
          <t>RN-FR1022</t>
        </is>
      </c>
      <c r="F506" s="16" t="inlineStr">
        <is>
          <t>اجري فير شيلات حديد 6% 1 كجم</t>
        </is>
      </c>
      <c r="G506" s="16" t="n">
        <v>2</v>
      </c>
      <c r="H506" s="16" t="inlineStr">
        <is>
          <t>EA</t>
        </is>
      </c>
      <c r="I506" s="17" t="n">
        <v>41.5</v>
      </c>
      <c r="J506" s="17" t="n">
        <v>83</v>
      </c>
    </row>
    <row r="507">
      <c r="A507" s="16" t="inlineStr">
        <is>
          <t>RNO</t>
        </is>
      </c>
      <c r="B507" s="16" t="inlineStr">
        <is>
          <t>RNO-272</t>
        </is>
      </c>
      <c r="C507" s="95" t="n">
        <v>46148</v>
      </c>
      <c r="D507" s="16" t="inlineStr">
        <is>
          <t>سجل صرف المخزن</t>
        </is>
      </c>
      <c r="E507" s="16" t="inlineStr">
        <is>
          <t>RN-PL12</t>
        </is>
      </c>
      <c r="F507" s="16" t="inlineStr">
        <is>
          <t>صندوق فلين للزهور</t>
        </is>
      </c>
      <c r="G507" s="16" t="n">
        <v>208</v>
      </c>
      <c r="H507" s="16" t="inlineStr">
        <is>
          <t>EA</t>
        </is>
      </c>
      <c r="I507" s="17" t="n">
        <v>4</v>
      </c>
      <c r="J507" s="17" t="n">
        <v>832</v>
      </c>
    </row>
    <row r="508">
      <c r="A508" s="16" t="inlineStr">
        <is>
          <t>RNO</t>
        </is>
      </c>
      <c r="B508" s="16" t="inlineStr">
        <is>
          <t>RNO-272</t>
        </is>
      </c>
      <c r="C508" s="95" t="n">
        <v>46148</v>
      </c>
      <c r="D508" s="16" t="inlineStr">
        <is>
          <t>سجل صرف المخزن</t>
        </is>
      </c>
      <c r="E508" s="16" t="inlineStr">
        <is>
          <t>RN-PL15</t>
        </is>
      </c>
      <c r="F508" s="16" t="inlineStr">
        <is>
          <t>سنادات شجر طول 3 متر</t>
        </is>
      </c>
      <c r="G508" s="16" t="n">
        <v>50</v>
      </c>
      <c r="H508" s="16" t="inlineStr">
        <is>
          <t>EA</t>
        </is>
      </c>
      <c r="I508" s="17" t="n">
        <v>3.5</v>
      </c>
      <c r="J508" s="17" t="n">
        <v>175</v>
      </c>
    </row>
    <row r="509">
      <c r="A509" s="9" t="n"/>
      <c r="B509" s="9" t="inlineStr">
        <is>
          <t>إجمالي RNO-272</t>
        </is>
      </c>
      <c r="C509" s="9" t="n"/>
      <c r="D509" s="9" t="n"/>
      <c r="E509" s="9" t="n"/>
      <c r="F509" s="9" t="n"/>
      <c r="G509" s="9">
        <f>SUM(G506:G508)</f>
        <v/>
      </c>
      <c r="H509" s="9" t="n"/>
      <c r="I509" s="9" t="n"/>
      <c r="J509" s="10">
        <f>SUM(J506:J508)</f>
        <v/>
      </c>
    </row>
    <row r="510">
      <c r="A510" s="16" t="inlineStr">
        <is>
          <t>RNO</t>
        </is>
      </c>
      <c r="B510" s="16" t="inlineStr">
        <is>
          <t>RNO-274</t>
        </is>
      </c>
      <c r="C510" s="95" t="n">
        <v>46149</v>
      </c>
      <c r="D510" s="16" t="inlineStr">
        <is>
          <t>سجل صرف المخزن</t>
        </is>
      </c>
      <c r="E510" s="16" t="inlineStr">
        <is>
          <t>RN-FR1033</t>
        </is>
      </c>
      <c r="F510" s="16" t="inlineStr">
        <is>
          <t>بيتموس تى اس مخصب 210 لتر</t>
        </is>
      </c>
      <c r="G510" s="16" t="n">
        <v>14</v>
      </c>
      <c r="H510" s="16" t="inlineStr">
        <is>
          <t>EA</t>
        </is>
      </c>
      <c r="I510" s="17" t="n">
        <v>101.5</v>
      </c>
      <c r="J510" s="17" t="n">
        <v>1421</v>
      </c>
    </row>
    <row r="511">
      <c r="A511" s="16" t="inlineStr">
        <is>
          <t>RNO</t>
        </is>
      </c>
      <c r="B511" s="16" t="inlineStr">
        <is>
          <t>RNO-274</t>
        </is>
      </c>
      <c r="C511" s="95" t="n">
        <v>46149</v>
      </c>
      <c r="D511" s="16" t="inlineStr">
        <is>
          <t>سجل صرف المخزن</t>
        </is>
      </c>
      <c r="E511" s="16" t="inlineStr">
        <is>
          <t>RN-FR368</t>
        </is>
      </c>
      <c r="F511" s="16" t="inlineStr">
        <is>
          <t>بيرلايت 100 لتر</t>
        </is>
      </c>
      <c r="G511" s="16" t="n">
        <v>4</v>
      </c>
      <c r="H511" s="16" t="inlineStr">
        <is>
          <t>EA</t>
        </is>
      </c>
      <c r="I511" s="17" t="n">
        <v>32.5</v>
      </c>
      <c r="J511" s="17" t="n">
        <v>130</v>
      </c>
    </row>
    <row r="512">
      <c r="A512" s="16" t="inlineStr">
        <is>
          <t>RNO</t>
        </is>
      </c>
      <c r="B512" s="16" t="inlineStr">
        <is>
          <t>RNO-274</t>
        </is>
      </c>
      <c r="C512" s="95" t="n">
        <v>46149</v>
      </c>
      <c r="D512" s="16" t="inlineStr">
        <is>
          <t>سجل صرف المخزن</t>
        </is>
      </c>
      <c r="E512" s="16" t="inlineStr">
        <is>
          <t>RN-PL1</t>
        </is>
      </c>
      <c r="F512" s="16" t="inlineStr">
        <is>
          <t>مركن زراعى خفيف ملون 9 سم</t>
        </is>
      </c>
      <c r="G512" s="16" t="n">
        <v>10000</v>
      </c>
      <c r="H512" s="16" t="inlineStr">
        <is>
          <t>EA</t>
        </is>
      </c>
      <c r="I512" s="17" t="n">
        <v>0.06</v>
      </c>
      <c r="J512" s="17" t="n">
        <v>600</v>
      </c>
    </row>
    <row r="513">
      <c r="A513" s="9" t="n"/>
      <c r="B513" s="9" t="inlineStr">
        <is>
          <t>إجمالي RNO-274</t>
        </is>
      </c>
      <c r="C513" s="9" t="n"/>
      <c r="D513" s="9" t="n"/>
      <c r="E513" s="9" t="n"/>
      <c r="F513" s="9" t="n"/>
      <c r="G513" s="9">
        <f>SUM(G510:G512)</f>
        <v/>
      </c>
      <c r="H513" s="9" t="n"/>
      <c r="I513" s="9" t="n"/>
      <c r="J513" s="10">
        <f>SUM(J510:J512)</f>
        <v/>
      </c>
    </row>
    <row r="514">
      <c r="A514" s="16" t="inlineStr">
        <is>
          <t>RNO</t>
        </is>
      </c>
      <c r="B514" s="16" t="inlineStr">
        <is>
          <t>RNO-280</t>
        </is>
      </c>
      <c r="C514" s="95" t="n">
        <v>46152</v>
      </c>
      <c r="D514" s="16" t="inlineStr">
        <is>
          <t>سجل صرف المخزن</t>
        </is>
      </c>
      <c r="E514" s="16" t="inlineStr">
        <is>
          <t>RN-PL15</t>
        </is>
      </c>
      <c r="F514" s="16" t="inlineStr">
        <is>
          <t>سنادات شجر طول 3 متر</t>
        </is>
      </c>
      <c r="G514" s="16" t="n">
        <v>100</v>
      </c>
      <c r="H514" s="16" t="inlineStr">
        <is>
          <t>EA</t>
        </is>
      </c>
      <c r="I514" s="17" t="n">
        <v>3.5</v>
      </c>
      <c r="J514" s="17" t="n">
        <v>350</v>
      </c>
    </row>
    <row r="515">
      <c r="A515" s="16" t="inlineStr">
        <is>
          <t>RNO</t>
        </is>
      </c>
      <c r="B515" s="16" t="inlineStr">
        <is>
          <t>RNO-280</t>
        </is>
      </c>
      <c r="C515" s="95" t="n">
        <v>46152</v>
      </c>
      <c r="D515" s="16" t="inlineStr">
        <is>
          <t>سجل صرف المخزن</t>
        </is>
      </c>
      <c r="E515" s="16" t="inlineStr">
        <is>
          <t>RN-PL1</t>
        </is>
      </c>
      <c r="F515" s="16" t="inlineStr">
        <is>
          <t>مركن زراعى خفيف ملون 9 سم</t>
        </is>
      </c>
      <c r="G515" s="16" t="n">
        <v>24000</v>
      </c>
      <c r="H515" s="16" t="inlineStr">
        <is>
          <t>EA</t>
        </is>
      </c>
      <c r="I515" s="17" t="n">
        <v>0.06</v>
      </c>
      <c r="J515" s="17" t="n">
        <v>1440</v>
      </c>
    </row>
    <row r="516">
      <c r="A516" s="16" t="inlineStr">
        <is>
          <t>RNO</t>
        </is>
      </c>
      <c r="B516" s="16" t="inlineStr">
        <is>
          <t>RNO-280</t>
        </is>
      </c>
      <c r="C516" s="95" t="n">
        <v>46152</v>
      </c>
      <c r="D516" s="16" t="inlineStr">
        <is>
          <t>سجل صرف المخزن</t>
        </is>
      </c>
      <c r="E516" s="16" t="inlineStr">
        <is>
          <t>RN-FR1033</t>
        </is>
      </c>
      <c r="F516" s="16" t="inlineStr">
        <is>
          <t>بيتموس تى اس مخصب 210 لتر</t>
        </is>
      </c>
      <c r="G516" s="16" t="n">
        <v>28</v>
      </c>
      <c r="H516" s="16" t="inlineStr">
        <is>
          <t>EA</t>
        </is>
      </c>
      <c r="I516" s="17" t="n">
        <v>101.5</v>
      </c>
      <c r="J516" s="17" t="n">
        <v>2842</v>
      </c>
    </row>
    <row r="517">
      <c r="A517" s="16" t="inlineStr">
        <is>
          <t>RNO</t>
        </is>
      </c>
      <c r="B517" s="16" t="inlineStr">
        <is>
          <t>RNO-280</t>
        </is>
      </c>
      <c r="C517" s="95" t="n">
        <v>46152</v>
      </c>
      <c r="D517" s="16" t="inlineStr">
        <is>
          <t>سجل صرف المخزن</t>
        </is>
      </c>
      <c r="E517" s="16" t="inlineStr">
        <is>
          <t>RN-FR368</t>
        </is>
      </c>
      <c r="F517" s="16" t="inlineStr">
        <is>
          <t>بيرلايت 100 لتر</t>
        </is>
      </c>
      <c r="G517" s="16" t="n">
        <v>8</v>
      </c>
      <c r="H517" s="16" t="inlineStr">
        <is>
          <t>EA</t>
        </is>
      </c>
      <c r="I517" s="17" t="n">
        <v>32.5</v>
      </c>
      <c r="J517" s="17" t="n">
        <v>260</v>
      </c>
    </row>
    <row r="518">
      <c r="A518" s="9" t="n"/>
      <c r="B518" s="9" t="inlineStr">
        <is>
          <t>إجمالي RNO-280</t>
        </is>
      </c>
      <c r="C518" s="9" t="n"/>
      <c r="D518" s="9" t="n"/>
      <c r="E518" s="9" t="n"/>
      <c r="F518" s="9" t="n"/>
      <c r="G518" s="9">
        <f>SUM(G514:G517)</f>
        <v/>
      </c>
      <c r="H518" s="9" t="n"/>
      <c r="I518" s="9" t="n"/>
      <c r="J518" s="10">
        <f>SUM(J514:J517)</f>
        <v/>
      </c>
    </row>
    <row r="519">
      <c r="A519" s="16" t="inlineStr">
        <is>
          <t>RNO</t>
        </is>
      </c>
      <c r="B519" s="16" t="inlineStr">
        <is>
          <t>RNO-282</t>
        </is>
      </c>
      <c r="C519" s="95" t="n">
        <v>46153</v>
      </c>
      <c r="D519" s="16" t="inlineStr">
        <is>
          <t>سجل صرف المخزن</t>
        </is>
      </c>
      <c r="E519" s="16" t="inlineStr">
        <is>
          <t>RN-PL15</t>
        </is>
      </c>
      <c r="F519" s="16" t="inlineStr">
        <is>
          <t>سنادات شجر طول 3 متر</t>
        </is>
      </c>
      <c r="G519" s="16" t="n">
        <v>50</v>
      </c>
      <c r="H519" s="16" t="inlineStr">
        <is>
          <t>EA</t>
        </is>
      </c>
      <c r="I519" s="17" t="n">
        <v>3.5</v>
      </c>
      <c r="J519" s="17" t="n">
        <v>175</v>
      </c>
    </row>
    <row r="520">
      <c r="A520" s="16" t="inlineStr">
        <is>
          <t>RNO</t>
        </is>
      </c>
      <c r="B520" s="16" t="inlineStr">
        <is>
          <t>RNO-282</t>
        </is>
      </c>
      <c r="C520" s="95" t="n">
        <v>46153</v>
      </c>
      <c r="D520" s="16" t="inlineStr">
        <is>
          <t>سجل صرف المخزن</t>
        </is>
      </c>
      <c r="E520" s="16" t="inlineStr">
        <is>
          <t>RN-FR1017</t>
        </is>
      </c>
      <c r="F520" s="16" t="inlineStr">
        <is>
          <t>بوتنج سويل 70 لتر</t>
        </is>
      </c>
      <c r="G520" s="16" t="n">
        <v>9</v>
      </c>
      <c r="H520" s="16" t="inlineStr">
        <is>
          <t>EA</t>
        </is>
      </c>
      <c r="I520" s="17" t="n">
        <v>46</v>
      </c>
      <c r="J520" s="17" t="n">
        <v>414</v>
      </c>
    </row>
    <row r="521">
      <c r="A521" s="16" t="inlineStr">
        <is>
          <t>RNO</t>
        </is>
      </c>
      <c r="B521" s="16" t="inlineStr">
        <is>
          <t>RNO-282</t>
        </is>
      </c>
      <c r="C521" s="95" t="n">
        <v>46153</v>
      </c>
      <c r="D521" s="16" t="inlineStr">
        <is>
          <t>سجل صرف المخزن</t>
        </is>
      </c>
      <c r="E521" s="16" t="inlineStr">
        <is>
          <t>RN-FR1018</t>
        </is>
      </c>
      <c r="F521" s="16" t="inlineStr">
        <is>
          <t>فيرموكلايت 100 لتر</t>
        </is>
      </c>
      <c r="G521" s="16" t="n">
        <v>3</v>
      </c>
      <c r="H521" s="16" t="inlineStr">
        <is>
          <t>EA</t>
        </is>
      </c>
      <c r="I521" s="17" t="n">
        <v>75</v>
      </c>
      <c r="J521" s="17" t="n">
        <v>225</v>
      </c>
    </row>
    <row r="522">
      <c r="A522" s="16" t="inlineStr">
        <is>
          <t>RNO</t>
        </is>
      </c>
      <c r="B522" s="16" t="inlineStr">
        <is>
          <t>RNO-282</t>
        </is>
      </c>
      <c r="C522" s="95" t="n">
        <v>46153</v>
      </c>
      <c r="D522" s="16" t="inlineStr">
        <is>
          <t>سجل صرف المخزن</t>
        </is>
      </c>
      <c r="E522" s="16" t="inlineStr">
        <is>
          <t>RN-SE100</t>
        </is>
      </c>
      <c r="F522" s="16" t="inlineStr">
        <is>
          <t>بذور فينكا فيكتوري أبيض</t>
        </is>
      </c>
      <c r="G522" s="16" t="n">
        <v>15000</v>
      </c>
      <c r="H522" s="16" t="inlineStr">
        <is>
          <t>EA</t>
        </is>
      </c>
      <c r="I522" s="17" t="n">
        <v>0.035</v>
      </c>
      <c r="J522" s="17" t="n">
        <v>525</v>
      </c>
    </row>
    <row r="523">
      <c r="A523" s="16" t="inlineStr">
        <is>
          <t>RNO</t>
        </is>
      </c>
      <c r="B523" s="16" t="inlineStr">
        <is>
          <t>RNO-282</t>
        </is>
      </c>
      <c r="C523" s="95" t="n">
        <v>46153</v>
      </c>
      <c r="D523" s="16" t="inlineStr">
        <is>
          <t>سجل صرف المخزن</t>
        </is>
      </c>
      <c r="E523" s="16" t="inlineStr">
        <is>
          <t>RN-SE101</t>
        </is>
      </c>
      <c r="F523" s="16" t="inlineStr">
        <is>
          <t>بذور فينكا باسيفيكا أحمر داكن</t>
        </is>
      </c>
      <c r="G523" s="16" t="n">
        <v>10000</v>
      </c>
      <c r="H523" s="16" t="inlineStr">
        <is>
          <t>EA</t>
        </is>
      </c>
      <c r="I523" s="17" t="n">
        <v>0.035</v>
      </c>
      <c r="J523" s="17" t="n">
        <v>350</v>
      </c>
    </row>
    <row r="524">
      <c r="A524" s="16" t="inlineStr">
        <is>
          <t>RNO</t>
        </is>
      </c>
      <c r="B524" s="16" t="inlineStr">
        <is>
          <t>RNO-282</t>
        </is>
      </c>
      <c r="C524" s="95" t="n">
        <v>46153</v>
      </c>
      <c r="D524" s="16" t="inlineStr">
        <is>
          <t>سجل صرف المخزن</t>
        </is>
      </c>
      <c r="E524" s="16" t="inlineStr">
        <is>
          <t>RN-SE102</t>
        </is>
      </c>
      <c r="F524" s="16" t="inlineStr">
        <is>
          <t>بذور فينكا فيكتوري أحمر</t>
        </is>
      </c>
      <c r="G524" s="16" t="n">
        <v>5000</v>
      </c>
      <c r="H524" s="16" t="inlineStr">
        <is>
          <t>EA</t>
        </is>
      </c>
      <c r="I524" s="17" t="n">
        <v>0.035</v>
      </c>
      <c r="J524" s="17" t="n">
        <v>175</v>
      </c>
    </row>
    <row r="525">
      <c r="A525" s="16" t="inlineStr">
        <is>
          <t>RNO</t>
        </is>
      </c>
      <c r="B525" s="16" t="inlineStr">
        <is>
          <t>RNO-282</t>
        </is>
      </c>
      <c r="C525" s="95" t="n">
        <v>46153</v>
      </c>
      <c r="D525" s="16" t="inlineStr">
        <is>
          <t>سجل صرف المخزن</t>
        </is>
      </c>
      <c r="E525" s="16" t="inlineStr">
        <is>
          <t>RN-SE103</t>
        </is>
      </c>
      <c r="F525" s="16" t="inlineStr">
        <is>
          <t>بذور فينكا باسيفيكا أوركيد عميق</t>
        </is>
      </c>
      <c r="G525" s="16" t="n">
        <v>10000</v>
      </c>
      <c r="H525" s="16" t="inlineStr">
        <is>
          <t>EA</t>
        </is>
      </c>
      <c r="I525" s="17" t="n">
        <v>0.035</v>
      </c>
      <c r="J525" s="17" t="n">
        <v>350</v>
      </c>
    </row>
    <row r="526">
      <c r="A526" s="16" t="inlineStr">
        <is>
          <t>RNO</t>
        </is>
      </c>
      <c r="B526" s="16" t="inlineStr">
        <is>
          <t>RNO-282</t>
        </is>
      </c>
      <c r="C526" s="95" t="n">
        <v>46153</v>
      </c>
      <c r="D526" s="16" t="inlineStr">
        <is>
          <t>سجل صرف المخزن</t>
        </is>
      </c>
      <c r="E526" s="16" t="inlineStr">
        <is>
          <t>RN-SE104</t>
        </is>
      </c>
      <c r="F526" s="16" t="inlineStr">
        <is>
          <t>بذور فينكا باسيفيكا برغندي</t>
        </is>
      </c>
      <c r="G526" s="16" t="n">
        <v>5000</v>
      </c>
      <c r="H526" s="16" t="inlineStr">
        <is>
          <t>EA</t>
        </is>
      </c>
      <c r="I526" s="17" t="n">
        <v>0.035</v>
      </c>
      <c r="J526" s="17" t="n">
        <v>175</v>
      </c>
    </row>
    <row r="527">
      <c r="A527" s="16" t="inlineStr">
        <is>
          <t>RNO</t>
        </is>
      </c>
      <c r="B527" s="16" t="inlineStr">
        <is>
          <t>RNO-282</t>
        </is>
      </c>
      <c r="C527" s="95" t="n">
        <v>46153</v>
      </c>
      <c r="D527" s="16" t="inlineStr">
        <is>
          <t>سجل صرف المخزن</t>
        </is>
      </c>
      <c r="E527" s="16" t="inlineStr">
        <is>
          <t>RN-SE105</t>
        </is>
      </c>
      <c r="F527" s="16" t="inlineStr">
        <is>
          <t>بذور فينكا باسيفيكا برغندي هالو</t>
        </is>
      </c>
      <c r="G527" s="16" t="n">
        <v>5000</v>
      </c>
      <c r="H527" s="16" t="inlineStr">
        <is>
          <t>EA</t>
        </is>
      </c>
      <c r="I527" s="17" t="n">
        <v>0.035</v>
      </c>
      <c r="J527" s="17" t="n">
        <v>175</v>
      </c>
    </row>
    <row r="528">
      <c r="A528" s="16" t="inlineStr">
        <is>
          <t>RNO</t>
        </is>
      </c>
      <c r="B528" s="16" t="inlineStr">
        <is>
          <t>RNO-282</t>
        </is>
      </c>
      <c r="C528" s="95" t="n">
        <v>46153</v>
      </c>
      <c r="D528" s="16" t="inlineStr">
        <is>
          <t>سجل صرف المخزن</t>
        </is>
      </c>
      <c r="E528" s="16" t="inlineStr">
        <is>
          <t>RN-SE106</t>
        </is>
      </c>
      <c r="F528" s="16" t="inlineStr">
        <is>
          <t>بذور فينكا باسيفيكا أحمر</t>
        </is>
      </c>
      <c r="G528" s="16" t="n">
        <v>5000</v>
      </c>
      <c r="H528" s="16" t="inlineStr">
        <is>
          <t>EA</t>
        </is>
      </c>
      <c r="I528" s="17" t="n">
        <v>0.035</v>
      </c>
      <c r="J528" s="17" t="n">
        <v>175</v>
      </c>
    </row>
    <row r="529">
      <c r="A529" s="16" t="inlineStr">
        <is>
          <t>RNO</t>
        </is>
      </c>
      <c r="B529" s="16" t="inlineStr">
        <is>
          <t>RNO-282</t>
        </is>
      </c>
      <c r="C529" s="95" t="n">
        <v>46153</v>
      </c>
      <c r="D529" s="16" t="inlineStr">
        <is>
          <t>سجل صرف المخزن</t>
        </is>
      </c>
      <c r="E529" s="16" t="inlineStr">
        <is>
          <t>RN-SE109</t>
        </is>
      </c>
      <c r="F529" s="16" t="inlineStr">
        <is>
          <t>بذور فينكا باسيفيكا بولكا دوت</t>
        </is>
      </c>
      <c r="G529" s="16" t="n">
        <v>10000</v>
      </c>
      <c r="H529" s="16" t="inlineStr">
        <is>
          <t>EA</t>
        </is>
      </c>
      <c r="I529" s="17" t="n">
        <v>0.035</v>
      </c>
      <c r="J529" s="17" t="n">
        <v>350</v>
      </c>
    </row>
    <row r="530">
      <c r="A530" s="9" t="n"/>
      <c r="B530" s="9" t="inlineStr">
        <is>
          <t>إجمالي RNO-282</t>
        </is>
      </c>
      <c r="C530" s="9" t="n"/>
      <c r="D530" s="9" t="n"/>
      <c r="E530" s="9" t="n"/>
      <c r="F530" s="9" t="n"/>
      <c r="G530" s="9">
        <f>SUM(G519:G529)</f>
        <v/>
      </c>
      <c r="H530" s="9" t="n"/>
      <c r="I530" s="9" t="n"/>
      <c r="J530" s="10">
        <f>SUM(J519:J529)</f>
        <v/>
      </c>
    </row>
    <row r="531">
      <c r="A531" s="16" t="inlineStr">
        <is>
          <t>RNO</t>
        </is>
      </c>
      <c r="B531" s="16" t="inlineStr">
        <is>
          <t>RNO-287-REV1</t>
        </is>
      </c>
      <c r="C531" s="95" t="n">
        <v>46155</v>
      </c>
      <c r="D531" s="16" t="inlineStr">
        <is>
          <t>سجل صرف المخزن</t>
        </is>
      </c>
      <c r="E531" s="16" t="inlineStr">
        <is>
          <t>RN-PL15</t>
        </is>
      </c>
      <c r="F531" s="16" t="inlineStr">
        <is>
          <t>سنادات شجر طول 3 متر</t>
        </is>
      </c>
      <c r="G531" s="16" t="n">
        <v>100</v>
      </c>
      <c r="H531" s="16" t="inlineStr">
        <is>
          <t>EA</t>
        </is>
      </c>
      <c r="I531" s="17" t="n">
        <v>3.5</v>
      </c>
      <c r="J531" s="17" t="n">
        <v>350</v>
      </c>
    </row>
    <row r="532">
      <c r="A532" s="16" t="inlineStr">
        <is>
          <t>RNO</t>
        </is>
      </c>
      <c r="B532" s="16" t="inlineStr">
        <is>
          <t>RNO-287-REV1</t>
        </is>
      </c>
      <c r="C532" s="95" t="n">
        <v>46155</v>
      </c>
      <c r="D532" s="16" t="inlineStr">
        <is>
          <t>سجل صرف المخزن</t>
        </is>
      </c>
      <c r="E532" s="16" t="inlineStr">
        <is>
          <t>RN-FR1022</t>
        </is>
      </c>
      <c r="F532" s="16" t="inlineStr">
        <is>
          <t>اجري فير شيلات حديد 6% 1 كجم</t>
        </is>
      </c>
      <c r="G532" s="16" t="n">
        <v>1</v>
      </c>
      <c r="H532" s="16" t="inlineStr">
        <is>
          <t>EA</t>
        </is>
      </c>
      <c r="I532" s="17" t="n">
        <v>41.5</v>
      </c>
      <c r="J532" s="17" t="n">
        <v>41.5</v>
      </c>
    </row>
    <row r="533">
      <c r="A533" s="16" t="inlineStr">
        <is>
          <t>RNO</t>
        </is>
      </c>
      <c r="B533" s="16" t="inlineStr">
        <is>
          <t>RNO-287-REV1</t>
        </is>
      </c>
      <c r="C533" s="95" t="n">
        <v>46155</v>
      </c>
      <c r="D533" s="16" t="inlineStr">
        <is>
          <t>سجل صرف المخزن</t>
        </is>
      </c>
      <c r="E533" s="16" t="inlineStr">
        <is>
          <t>RN-FR1023</t>
        </is>
      </c>
      <c r="F533" s="16" t="inlineStr">
        <is>
          <t>سنجرال 20-20-20+ع ن - 25 كجم</t>
        </is>
      </c>
      <c r="G533" s="16" t="n">
        <v>1</v>
      </c>
      <c r="H533" s="16" t="inlineStr">
        <is>
          <t>EA</t>
        </is>
      </c>
      <c r="I533" s="17" t="n">
        <v>280</v>
      </c>
      <c r="J533" s="17" t="n">
        <v>280</v>
      </c>
    </row>
    <row r="534">
      <c r="A534" s="9" t="n"/>
      <c r="B534" s="9" t="inlineStr">
        <is>
          <t>إجمالي RNO-287-REV1</t>
        </is>
      </c>
      <c r="C534" s="9" t="n"/>
      <c r="D534" s="9" t="n"/>
      <c r="E534" s="9" t="n"/>
      <c r="F534" s="9" t="n"/>
      <c r="G534" s="9">
        <f>SUM(G531:G533)</f>
        <v/>
      </c>
      <c r="H534" s="9" t="n"/>
      <c r="I534" s="9" t="n"/>
      <c r="J534" s="10">
        <f>SUM(J531:J533)</f>
        <v/>
      </c>
    </row>
    <row r="535">
      <c r="A535" s="16" t="inlineStr">
        <is>
          <t>RNO</t>
        </is>
      </c>
      <c r="B535" s="16" t="inlineStr">
        <is>
          <t>RNO-289</t>
        </is>
      </c>
      <c r="C535" s="95" t="n">
        <v>46156</v>
      </c>
      <c r="D535" s="16" t="inlineStr">
        <is>
          <t>سجل صرف المخزن</t>
        </is>
      </c>
      <c r="E535" s="16" t="inlineStr">
        <is>
          <t>RN-FR1022</t>
        </is>
      </c>
      <c r="F535" s="16" t="inlineStr">
        <is>
          <t>اجري فير شيلات حديد 6% 1 كجم</t>
        </is>
      </c>
      <c r="G535" s="16" t="n">
        <v>1</v>
      </c>
      <c r="H535" s="16" t="inlineStr">
        <is>
          <t>EA</t>
        </is>
      </c>
      <c r="I535" s="17" t="n">
        <v>41.5</v>
      </c>
      <c r="J535" s="17" t="n">
        <v>41.5</v>
      </c>
    </row>
    <row r="536">
      <c r="A536" s="16" t="inlineStr">
        <is>
          <t>RNO</t>
        </is>
      </c>
      <c r="B536" s="16" t="inlineStr">
        <is>
          <t>RNO-289</t>
        </is>
      </c>
      <c r="C536" s="95" t="n">
        <v>46156</v>
      </c>
      <c r="D536" s="16" t="inlineStr">
        <is>
          <t>سجل صرف المخزن</t>
        </is>
      </c>
      <c r="E536" s="16" t="inlineStr">
        <is>
          <t>RN-PL12</t>
        </is>
      </c>
      <c r="F536" s="16" t="inlineStr">
        <is>
          <t>صندوق فلين للزهور</t>
        </is>
      </c>
      <c r="G536" s="16" t="n">
        <v>1020</v>
      </c>
      <c r="H536" s="16" t="inlineStr">
        <is>
          <t>EA</t>
        </is>
      </c>
      <c r="I536" s="17" t="n">
        <v>4</v>
      </c>
      <c r="J536" s="17" t="n">
        <v>4080</v>
      </c>
    </row>
    <row r="537">
      <c r="A537" s="9" t="n"/>
      <c r="B537" s="9" t="inlineStr">
        <is>
          <t>إجمالي RNO-289</t>
        </is>
      </c>
      <c r="C537" s="9" t="n"/>
      <c r="D537" s="9" t="n"/>
      <c r="E537" s="9" t="n"/>
      <c r="F537" s="9" t="n"/>
      <c r="G537" s="9">
        <f>SUM(G535:G536)</f>
        <v/>
      </c>
      <c r="H537" s="9" t="n"/>
      <c r="I537" s="9" t="n"/>
      <c r="J537" s="10">
        <f>SUM(J535:J536)</f>
        <v/>
      </c>
    </row>
    <row r="538">
      <c r="A538" s="16" t="inlineStr">
        <is>
          <t>RNO</t>
        </is>
      </c>
      <c r="B538" s="16" t="inlineStr">
        <is>
          <t>RNO-291</t>
        </is>
      </c>
      <c r="C538" s="95" t="n">
        <v>46156</v>
      </c>
      <c r="D538" s="16" t="inlineStr">
        <is>
          <t>سجل صرف المخزن</t>
        </is>
      </c>
      <c r="E538" s="16" t="inlineStr">
        <is>
          <t>RN-SE111</t>
        </is>
      </c>
      <c r="F538" s="16" t="inlineStr">
        <is>
          <t>بذور أمارانتس</t>
        </is>
      </c>
      <c r="G538" s="16" t="n">
        <v>5000</v>
      </c>
      <c r="H538" s="16" t="inlineStr">
        <is>
          <t>EA</t>
        </is>
      </c>
      <c r="I538" s="17" t="n">
        <v>0.01</v>
      </c>
      <c r="J538" s="17" t="n">
        <v>50</v>
      </c>
    </row>
    <row r="539">
      <c r="A539" s="16" t="inlineStr">
        <is>
          <t>RNO</t>
        </is>
      </c>
      <c r="B539" s="16" t="inlineStr">
        <is>
          <t>RNO-291</t>
        </is>
      </c>
      <c r="C539" s="95" t="n">
        <v>46156</v>
      </c>
      <c r="D539" s="16" t="inlineStr">
        <is>
          <t>سجل صرف المخزن</t>
        </is>
      </c>
      <c r="E539" s="16" t="inlineStr">
        <is>
          <t>RN-FR1017</t>
        </is>
      </c>
      <c r="F539" s="16" t="inlineStr">
        <is>
          <t>بوتنج سويل 70 لتر</t>
        </is>
      </c>
      <c r="G539" s="16" t="n">
        <v>1</v>
      </c>
      <c r="H539" s="16" t="inlineStr">
        <is>
          <t>EA</t>
        </is>
      </c>
      <c r="I539" s="17" t="n">
        <v>46</v>
      </c>
      <c r="J539" s="17" t="n">
        <v>46</v>
      </c>
    </row>
    <row r="540">
      <c r="A540" s="9" t="n"/>
      <c r="B540" s="9" t="inlineStr">
        <is>
          <t>إجمالي RNO-291</t>
        </is>
      </c>
      <c r="C540" s="9" t="n"/>
      <c r="D540" s="9" t="n"/>
      <c r="E540" s="9" t="n"/>
      <c r="F540" s="9" t="n"/>
      <c r="G540" s="9">
        <f>SUM(G538:G539)</f>
        <v/>
      </c>
      <c r="H540" s="9" t="n"/>
      <c r="I540" s="9" t="n"/>
      <c r="J540" s="10">
        <f>SUM(J538:J539)</f>
        <v/>
      </c>
    </row>
    <row r="541">
      <c r="A541" s="16" t="inlineStr">
        <is>
          <t>RNO</t>
        </is>
      </c>
      <c r="B541" s="16" t="inlineStr">
        <is>
          <t>RNO-295</t>
        </is>
      </c>
      <c r="C541" s="95" t="n">
        <v>46160</v>
      </c>
      <c r="D541" s="16" t="inlineStr">
        <is>
          <t>سجل صرف المخزن</t>
        </is>
      </c>
      <c r="E541" s="16" t="inlineStr">
        <is>
          <t>RN-FR1022</t>
        </is>
      </c>
      <c r="F541" s="16" t="inlineStr">
        <is>
          <t>اجري فير شيلات حديد 6% 1 كجم</t>
        </is>
      </c>
      <c r="G541" s="16" t="n">
        <v>1</v>
      </c>
      <c r="H541" s="16" t="inlineStr">
        <is>
          <t>EA</t>
        </is>
      </c>
      <c r="I541" s="17" t="n">
        <v>41.5</v>
      </c>
      <c r="J541" s="17" t="n">
        <v>41.5</v>
      </c>
    </row>
    <row r="542">
      <c r="A542" s="9" t="n"/>
      <c r="B542" s="9" t="inlineStr">
        <is>
          <t>إجمالي RNO-295</t>
        </is>
      </c>
      <c r="C542" s="9" t="n"/>
      <c r="D542" s="9" t="n"/>
      <c r="E542" s="9" t="n"/>
      <c r="F542" s="9" t="n"/>
      <c r="G542" s="9">
        <f>SUM(G541:G541)</f>
        <v/>
      </c>
      <c r="H542" s="9" t="n"/>
      <c r="I542" s="9" t="n"/>
      <c r="J542" s="10">
        <f>SUM(J541:J541)</f>
        <v/>
      </c>
    </row>
    <row r="543">
      <c r="A543" s="16" t="inlineStr">
        <is>
          <t>RNO</t>
        </is>
      </c>
      <c r="B543" s="16" t="inlineStr">
        <is>
          <t>RNO-300</t>
        </is>
      </c>
      <c r="C543" s="95" t="n">
        <v>46162</v>
      </c>
      <c r="D543" s="16" t="inlineStr">
        <is>
          <t>سجل صرف المخزن</t>
        </is>
      </c>
      <c r="E543" s="16" t="inlineStr">
        <is>
          <t>RN-PL12</t>
        </is>
      </c>
      <c r="F543" s="16" t="inlineStr">
        <is>
          <t>صندوق فلين للزهور</t>
        </is>
      </c>
      <c r="G543" s="16" t="n">
        <v>1040</v>
      </c>
      <c r="H543" s="16" t="inlineStr">
        <is>
          <t>EA</t>
        </is>
      </c>
      <c r="I543" s="17" t="n">
        <v>4</v>
      </c>
      <c r="J543" s="17" t="n">
        <v>4160</v>
      </c>
    </row>
    <row r="544">
      <c r="A544" s="9" t="n"/>
      <c r="B544" s="9" t="inlineStr">
        <is>
          <t>إجمالي RNO-300</t>
        </is>
      </c>
      <c r="C544" s="9" t="n"/>
      <c r="D544" s="9" t="n"/>
      <c r="E544" s="9" t="n"/>
      <c r="F544" s="9" t="n"/>
      <c r="G544" s="9">
        <f>SUM(G543:G543)</f>
        <v/>
      </c>
      <c r="H544" s="9" t="n"/>
      <c r="I544" s="9" t="n"/>
      <c r="J544" s="10">
        <f>SUM(J543:J543)</f>
        <v/>
      </c>
    </row>
    <row r="545">
      <c r="A545" s="16" t="inlineStr">
        <is>
          <t>RNO</t>
        </is>
      </c>
      <c r="B545" s="16" t="inlineStr">
        <is>
          <t>RNO-302</t>
        </is>
      </c>
      <c r="C545" s="95" t="n">
        <v>46165</v>
      </c>
      <c r="D545" s="16" t="inlineStr">
        <is>
          <t>سجل صرف المخزن</t>
        </is>
      </c>
      <c r="E545" s="16" t="inlineStr">
        <is>
          <t>RN-FR1022</t>
        </is>
      </c>
      <c r="F545" s="16" t="inlineStr">
        <is>
          <t>اجري فير شيلات حديد 6% 1 كجم</t>
        </is>
      </c>
      <c r="G545" s="16" t="n">
        <v>1</v>
      </c>
      <c r="H545" s="16" t="inlineStr">
        <is>
          <t>EA</t>
        </is>
      </c>
      <c r="I545" s="17" t="n">
        <v>41.5</v>
      </c>
      <c r="J545" s="17" t="n">
        <v>41.5</v>
      </c>
    </row>
    <row r="546">
      <c r="A546" s="16" t="inlineStr">
        <is>
          <t>RNO</t>
        </is>
      </c>
      <c r="B546" s="16" t="inlineStr">
        <is>
          <t>RNO-302</t>
        </is>
      </c>
      <c r="C546" s="95" t="n">
        <v>46165</v>
      </c>
      <c r="D546" s="16" t="inlineStr">
        <is>
          <t>سجل صرف المخزن</t>
        </is>
      </c>
      <c r="E546" s="16" t="inlineStr">
        <is>
          <t>RN-FR1033</t>
        </is>
      </c>
      <c r="F546" s="16" t="inlineStr">
        <is>
          <t>بيتموس تى اس مخصب 210 لتر</t>
        </is>
      </c>
      <c r="G546" s="16" t="n">
        <v>6</v>
      </c>
      <c r="H546" s="16" t="inlineStr">
        <is>
          <t>EA</t>
        </is>
      </c>
      <c r="I546" s="17" t="n">
        <v>101.5</v>
      </c>
      <c r="J546" s="17" t="n">
        <v>609</v>
      </c>
    </row>
    <row r="547">
      <c r="A547" s="16" t="inlineStr">
        <is>
          <t>RNO</t>
        </is>
      </c>
      <c r="B547" s="16" t="inlineStr">
        <is>
          <t>RNO-302</t>
        </is>
      </c>
      <c r="C547" s="95" t="n">
        <v>46165</v>
      </c>
      <c r="D547" s="16" t="inlineStr">
        <is>
          <t>سجل صرف المخزن</t>
        </is>
      </c>
      <c r="E547" s="16" t="inlineStr">
        <is>
          <t>RN-FR368</t>
        </is>
      </c>
      <c r="F547" s="16" t="inlineStr">
        <is>
          <t>بيرلايت 100 لتر</t>
        </is>
      </c>
      <c r="G547" s="16" t="n">
        <v>2</v>
      </c>
      <c r="H547" s="16" t="inlineStr">
        <is>
          <t>EA</t>
        </is>
      </c>
      <c r="I547" s="17" t="n">
        <v>32.5</v>
      </c>
      <c r="J547" s="17" t="n">
        <v>65</v>
      </c>
    </row>
    <row r="548">
      <c r="A548" s="16" t="inlineStr">
        <is>
          <t>RNO</t>
        </is>
      </c>
      <c r="B548" s="16" t="inlineStr">
        <is>
          <t>RNO-302</t>
        </is>
      </c>
      <c r="C548" s="95" t="n">
        <v>46165</v>
      </c>
      <c r="D548" s="16" t="inlineStr">
        <is>
          <t>سجل صرف المخزن</t>
        </is>
      </c>
      <c r="E548" s="16" t="inlineStr">
        <is>
          <t>RN-FR1017</t>
        </is>
      </c>
      <c r="F548" s="16" t="inlineStr">
        <is>
          <t>بوتنج سويل 70 لتر</t>
        </is>
      </c>
      <c r="G548" s="16" t="n">
        <v>9</v>
      </c>
      <c r="H548" s="16" t="inlineStr">
        <is>
          <t>EA</t>
        </is>
      </c>
      <c r="I548" s="17" t="n">
        <v>46</v>
      </c>
      <c r="J548" s="17" t="n">
        <v>414</v>
      </c>
    </row>
    <row r="549">
      <c r="A549" s="16" t="inlineStr">
        <is>
          <t>RNO</t>
        </is>
      </c>
      <c r="B549" s="16" t="inlineStr">
        <is>
          <t>RNO-302</t>
        </is>
      </c>
      <c r="C549" s="95" t="n">
        <v>46165</v>
      </c>
      <c r="D549" s="16" t="inlineStr">
        <is>
          <t>سجل صرف المخزن</t>
        </is>
      </c>
      <c r="E549" s="16" t="inlineStr">
        <is>
          <t>RN-FR1018</t>
        </is>
      </c>
      <c r="F549" s="16" t="inlineStr">
        <is>
          <t>فيرموكلايت 100 لتر</t>
        </is>
      </c>
      <c r="G549" s="16" t="n">
        <v>1</v>
      </c>
      <c r="H549" s="16" t="inlineStr">
        <is>
          <t>EA</t>
        </is>
      </c>
      <c r="I549" s="17" t="n">
        <v>75</v>
      </c>
      <c r="J549" s="17" t="n">
        <v>75</v>
      </c>
    </row>
    <row r="550">
      <c r="A550" s="16" t="inlineStr">
        <is>
          <t>RNO</t>
        </is>
      </c>
      <c r="B550" s="16" t="inlineStr">
        <is>
          <t>RNO-302</t>
        </is>
      </c>
      <c r="C550" s="95" t="n">
        <v>46165</v>
      </c>
      <c r="D550" s="16" t="inlineStr">
        <is>
          <t>سجل صرف المخزن</t>
        </is>
      </c>
      <c r="E550" s="16" t="inlineStr">
        <is>
          <t>RN-PL1</t>
        </is>
      </c>
      <c r="F550" s="16" t="inlineStr">
        <is>
          <t>مركن زراعى خفيف ملون 9 سم</t>
        </is>
      </c>
      <c r="G550" s="16" t="n">
        <v>10000</v>
      </c>
      <c r="H550" s="16" t="inlineStr">
        <is>
          <t>EA</t>
        </is>
      </c>
      <c r="I550" s="17" t="n">
        <v>0.06</v>
      </c>
      <c r="J550" s="17" t="n">
        <v>600</v>
      </c>
    </row>
    <row r="551">
      <c r="A551" s="16" t="inlineStr">
        <is>
          <t>RNO</t>
        </is>
      </c>
      <c r="B551" s="16" t="inlineStr">
        <is>
          <t>RNO-302</t>
        </is>
      </c>
      <c r="C551" s="95" t="n">
        <v>46165</v>
      </c>
      <c r="D551" s="16" t="inlineStr">
        <is>
          <t>سجل صرف المخزن</t>
        </is>
      </c>
      <c r="E551" s="16" t="inlineStr">
        <is>
          <t>RN-SE100</t>
        </is>
      </c>
      <c r="F551" s="16" t="inlineStr">
        <is>
          <t>بذور فينكا فيكتوري أبيض</t>
        </is>
      </c>
      <c r="G551" s="16" t="n">
        <v>5000</v>
      </c>
      <c r="H551" s="16" t="inlineStr">
        <is>
          <t>EA</t>
        </is>
      </c>
      <c r="I551" s="17" t="n">
        <v>0.035</v>
      </c>
      <c r="J551" s="17" t="n">
        <v>175</v>
      </c>
    </row>
    <row r="552">
      <c r="A552" s="16" t="inlineStr">
        <is>
          <t>RNO</t>
        </is>
      </c>
      <c r="B552" s="16" t="inlineStr">
        <is>
          <t>RNO-302</t>
        </is>
      </c>
      <c r="C552" s="95" t="n">
        <v>46165</v>
      </c>
      <c r="D552" s="16" t="inlineStr">
        <is>
          <t>سجل صرف المخزن</t>
        </is>
      </c>
      <c r="E552" s="16" t="inlineStr">
        <is>
          <t>RN-SE103</t>
        </is>
      </c>
      <c r="F552" s="16" t="inlineStr">
        <is>
          <t>بذور فينكا باسيفيكا أوركيد عميق</t>
        </is>
      </c>
      <c r="G552" s="16" t="n">
        <v>20000</v>
      </c>
      <c r="H552" s="16" t="inlineStr">
        <is>
          <t>EA</t>
        </is>
      </c>
      <c r="I552" s="17" t="n">
        <v>0.035</v>
      </c>
      <c r="J552" s="17" t="n">
        <v>700</v>
      </c>
    </row>
    <row r="553">
      <c r="A553" s="16" t="inlineStr">
        <is>
          <t>RNO</t>
        </is>
      </c>
      <c r="B553" s="16" t="inlineStr">
        <is>
          <t>RNO-302</t>
        </is>
      </c>
      <c r="C553" s="95" t="n">
        <v>46165</v>
      </c>
      <c r="D553" s="16" t="inlineStr">
        <is>
          <t>سجل صرف المخزن</t>
        </is>
      </c>
      <c r="E553" s="16" t="inlineStr">
        <is>
          <t>RN-SE104</t>
        </is>
      </c>
      <c r="F553" s="16" t="inlineStr">
        <is>
          <t>بذور فينكا باسيفيكا برغندي</t>
        </is>
      </c>
      <c r="G553" s="16" t="n">
        <v>10000</v>
      </c>
      <c r="H553" s="16" t="inlineStr">
        <is>
          <t>EA</t>
        </is>
      </c>
      <c r="I553" s="17" t="n">
        <v>0.035</v>
      </c>
      <c r="J553" s="17" t="n">
        <v>350</v>
      </c>
    </row>
    <row r="554">
      <c r="A554" s="16" t="inlineStr">
        <is>
          <t>RNO</t>
        </is>
      </c>
      <c r="B554" s="16" t="inlineStr">
        <is>
          <t>RNO-302</t>
        </is>
      </c>
      <c r="C554" s="95" t="n">
        <v>46165</v>
      </c>
      <c r="D554" s="16" t="inlineStr">
        <is>
          <t>سجل صرف المخزن</t>
        </is>
      </c>
      <c r="E554" s="16" t="inlineStr">
        <is>
          <t>RN-SE105</t>
        </is>
      </c>
      <c r="F554" s="16" t="inlineStr">
        <is>
          <t>بذور فينكا باسيفيكا برغندي هالو</t>
        </is>
      </c>
      <c r="G554" s="16" t="n">
        <v>5000</v>
      </c>
      <c r="H554" s="16" t="inlineStr">
        <is>
          <t>EA</t>
        </is>
      </c>
      <c r="I554" s="17" t="n">
        <v>0.035</v>
      </c>
      <c r="J554" s="17" t="n">
        <v>175</v>
      </c>
    </row>
    <row r="555">
      <c r="A555" s="16" t="inlineStr">
        <is>
          <t>RNO</t>
        </is>
      </c>
      <c r="B555" s="16" t="inlineStr">
        <is>
          <t>RNO-302</t>
        </is>
      </c>
      <c r="C555" s="95" t="n">
        <v>46165</v>
      </c>
      <c r="D555" s="16" t="inlineStr">
        <is>
          <t>سجل صرف المخزن</t>
        </is>
      </c>
      <c r="E555" s="16" t="inlineStr">
        <is>
          <t>RN-SE106</t>
        </is>
      </c>
      <c r="F555" s="16" t="inlineStr">
        <is>
          <t>بذور فينكا باسيفيكا أحمر</t>
        </is>
      </c>
      <c r="G555" s="16" t="n">
        <v>15000</v>
      </c>
      <c r="H555" s="16" t="inlineStr">
        <is>
          <t>EA</t>
        </is>
      </c>
      <c r="I555" s="17" t="n">
        <v>0.035</v>
      </c>
      <c r="J555" s="17" t="n">
        <v>525</v>
      </c>
    </row>
    <row r="556">
      <c r="A556" s="16" t="inlineStr">
        <is>
          <t>RNO</t>
        </is>
      </c>
      <c r="B556" s="16" t="inlineStr">
        <is>
          <t>RNO-302</t>
        </is>
      </c>
      <c r="C556" s="95" t="n">
        <v>46165</v>
      </c>
      <c r="D556" s="16" t="inlineStr">
        <is>
          <t>سجل صرف المخزن</t>
        </is>
      </c>
      <c r="E556" s="16" t="inlineStr">
        <is>
          <t>RN-SE109</t>
        </is>
      </c>
      <c r="F556" s="16" t="inlineStr">
        <is>
          <t>بذور فينكا باسيفيكا بولكا دوت</t>
        </is>
      </c>
      <c r="G556" s="16" t="n">
        <v>10000</v>
      </c>
      <c r="H556" s="16" t="inlineStr">
        <is>
          <t>EA</t>
        </is>
      </c>
      <c r="I556" s="17" t="n">
        <v>0.035</v>
      </c>
      <c r="J556" s="17" t="n">
        <v>350</v>
      </c>
    </row>
    <row r="557">
      <c r="A557" s="9" t="n"/>
      <c r="B557" s="9" t="inlineStr">
        <is>
          <t>إجمالي RNO-302</t>
        </is>
      </c>
      <c r="C557" s="9" t="n"/>
      <c r="D557" s="9" t="n"/>
      <c r="E557" s="9" t="n"/>
      <c r="F557" s="9" t="n"/>
      <c r="G557" s="9">
        <f>SUM(G545:G556)</f>
        <v/>
      </c>
      <c r="H557" s="9" t="n"/>
      <c r="I557" s="9" t="n"/>
      <c r="J557" s="10">
        <f>SUM(J545:J556)</f>
        <v/>
      </c>
    </row>
    <row r="558">
      <c r="A558" s="16" t="inlineStr">
        <is>
          <t>RNO</t>
        </is>
      </c>
      <c r="B558" s="16" t="inlineStr">
        <is>
          <t>RNO-304</t>
        </is>
      </c>
      <c r="C558" s="95" t="n">
        <v>46166</v>
      </c>
      <c r="D558" s="16" t="inlineStr">
        <is>
          <t>سجل صرف المخزن</t>
        </is>
      </c>
      <c r="E558" s="16" t="inlineStr">
        <is>
          <t>RN-FR1033</t>
        </is>
      </c>
      <c r="F558" s="16" t="inlineStr">
        <is>
          <t>بيتموس تى اس مخصب 210 لتر</t>
        </is>
      </c>
      <c r="G558" s="16" t="n">
        <v>7</v>
      </c>
      <c r="H558" s="16" t="inlineStr">
        <is>
          <t>EA</t>
        </is>
      </c>
      <c r="I558" s="17" t="n">
        <v>101.5</v>
      </c>
      <c r="J558" s="17" t="n">
        <v>710.5</v>
      </c>
    </row>
    <row r="559">
      <c r="A559" s="16" t="inlineStr">
        <is>
          <t>RNO</t>
        </is>
      </c>
      <c r="B559" s="16" t="inlineStr">
        <is>
          <t>RNO-304</t>
        </is>
      </c>
      <c r="C559" s="95" t="n">
        <v>46166</v>
      </c>
      <c r="D559" s="16" t="inlineStr">
        <is>
          <t>سجل صرف المخزن</t>
        </is>
      </c>
      <c r="E559" s="16" t="inlineStr">
        <is>
          <t>RN-FR368</t>
        </is>
      </c>
      <c r="F559" s="16" t="inlineStr">
        <is>
          <t>بيرلايت 100 لتر</t>
        </is>
      </c>
      <c r="G559" s="16" t="n">
        <v>2</v>
      </c>
      <c r="H559" s="16" t="inlineStr">
        <is>
          <t>EA</t>
        </is>
      </c>
      <c r="I559" s="17" t="n">
        <v>32.5</v>
      </c>
      <c r="J559" s="17" t="n">
        <v>65</v>
      </c>
    </row>
    <row r="560">
      <c r="A560" s="16" t="inlineStr">
        <is>
          <t>RNO</t>
        </is>
      </c>
      <c r="B560" s="16" t="inlineStr">
        <is>
          <t>RNO-304</t>
        </is>
      </c>
      <c r="C560" s="95" t="n">
        <v>46166</v>
      </c>
      <c r="D560" s="16" t="inlineStr">
        <is>
          <t>سجل صرف المخزن</t>
        </is>
      </c>
      <c r="E560" s="16" t="inlineStr">
        <is>
          <t>RN-PL12</t>
        </is>
      </c>
      <c r="F560" s="16" t="inlineStr">
        <is>
          <t>صندوق فلين للزهور</t>
        </is>
      </c>
      <c r="G560" s="16" t="n">
        <v>586</v>
      </c>
      <c r="H560" s="16" t="inlineStr">
        <is>
          <t>EA</t>
        </is>
      </c>
      <c r="I560" s="17" t="n">
        <v>4</v>
      </c>
      <c r="J560" s="17" t="n">
        <v>2344</v>
      </c>
    </row>
    <row r="561">
      <c r="A561" s="9" t="n"/>
      <c r="B561" s="9" t="inlineStr">
        <is>
          <t>إجمالي RNO-304</t>
        </is>
      </c>
      <c r="C561" s="9" t="n"/>
      <c r="D561" s="9" t="n"/>
      <c r="E561" s="9" t="n"/>
      <c r="F561" s="9" t="n"/>
      <c r="G561" s="9">
        <f>SUM(G558:G560)</f>
        <v/>
      </c>
      <c r="H561" s="9" t="n"/>
      <c r="I561" s="9" t="n"/>
      <c r="J561" s="10">
        <f>SUM(J558:J560)</f>
        <v/>
      </c>
    </row>
    <row r="562">
      <c r="A562" s="16" t="inlineStr">
        <is>
          <t>RNO</t>
        </is>
      </c>
      <c r="B562" s="16" t="inlineStr">
        <is>
          <t>RNO-308</t>
        </is>
      </c>
      <c r="C562" s="95" t="n">
        <v>46167</v>
      </c>
      <c r="D562" s="16" t="inlineStr">
        <is>
          <t>سجل صرف المخزن</t>
        </is>
      </c>
      <c r="E562" s="16" t="inlineStr">
        <is>
          <t>RN-FR1017</t>
        </is>
      </c>
      <c r="F562" s="16" t="inlineStr">
        <is>
          <t>بوتنج سويل 70 لتر</t>
        </is>
      </c>
      <c r="G562" s="16" t="n">
        <v>1</v>
      </c>
      <c r="H562" s="16" t="inlineStr">
        <is>
          <t>EA</t>
        </is>
      </c>
      <c r="I562" s="17" t="n">
        <v>46</v>
      </c>
      <c r="J562" s="17" t="n">
        <v>46</v>
      </c>
    </row>
    <row r="563">
      <c r="A563" s="16" t="inlineStr">
        <is>
          <t>RNO</t>
        </is>
      </c>
      <c r="B563" s="16" t="inlineStr">
        <is>
          <t>RNO-308</t>
        </is>
      </c>
      <c r="C563" s="95" t="n">
        <v>46167</v>
      </c>
      <c r="D563" s="16" t="inlineStr">
        <is>
          <t>سجل صرف المخزن</t>
        </is>
      </c>
      <c r="E563" s="16" t="inlineStr">
        <is>
          <t>RN-PL12</t>
        </is>
      </c>
      <c r="F563" s="16" t="inlineStr">
        <is>
          <t>صندوق فلين للزهور</t>
        </is>
      </c>
      <c r="G563" s="16" t="n">
        <v>1028</v>
      </c>
      <c r="H563" s="16" t="inlineStr">
        <is>
          <t>EA</t>
        </is>
      </c>
      <c r="I563" s="17" t="n">
        <v>4</v>
      </c>
      <c r="J563" s="17" t="n">
        <v>4112</v>
      </c>
    </row>
    <row r="564">
      <c r="A564" s="9" t="n"/>
      <c r="B564" s="9" t="inlineStr">
        <is>
          <t>إجمالي RNO-308</t>
        </is>
      </c>
      <c r="C564" s="9" t="n"/>
      <c r="D564" s="9" t="n"/>
      <c r="E564" s="9" t="n"/>
      <c r="F564" s="9" t="n"/>
      <c r="G564" s="9">
        <f>SUM(G562:G563)</f>
        <v/>
      </c>
      <c r="H564" s="9" t="n"/>
      <c r="I564" s="9" t="n"/>
      <c r="J564" s="10">
        <f>SUM(J562:J563)</f>
        <v/>
      </c>
    </row>
    <row r="565">
      <c r="A565" s="16" t="inlineStr">
        <is>
          <t>RNO</t>
        </is>
      </c>
      <c r="B565" s="16" t="inlineStr">
        <is>
          <t>RNO-312</t>
        </is>
      </c>
      <c r="C565" s="95" t="n">
        <v>46172</v>
      </c>
      <c r="D565" s="16" t="inlineStr">
        <is>
          <t>سجل صرف المخزن</t>
        </is>
      </c>
      <c r="E565" s="16" t="inlineStr">
        <is>
          <t>RN-FR1033</t>
        </is>
      </c>
      <c r="F565" s="16" t="inlineStr">
        <is>
          <t>بيتموس تى اس مخصب 210 لتر</t>
        </is>
      </c>
      <c r="G565" s="16" t="n">
        <v>5</v>
      </c>
      <c r="H565" s="16" t="inlineStr">
        <is>
          <t>EA</t>
        </is>
      </c>
      <c r="I565" s="17" t="n">
        <v>101.5</v>
      </c>
      <c r="J565" s="17" t="n">
        <v>507.5</v>
      </c>
    </row>
    <row r="566">
      <c r="A566" s="16" t="inlineStr">
        <is>
          <t>RNO</t>
        </is>
      </c>
      <c r="B566" s="16" t="inlineStr">
        <is>
          <t>RNO-312</t>
        </is>
      </c>
      <c r="C566" s="95" t="n">
        <v>46172</v>
      </c>
      <c r="D566" s="16" t="inlineStr">
        <is>
          <t>سجل صرف المخزن</t>
        </is>
      </c>
      <c r="E566" s="16" t="inlineStr">
        <is>
          <t>RN-FR368</t>
        </is>
      </c>
      <c r="F566" s="16" t="inlineStr">
        <is>
          <t>بيرلايت 100 لتر</t>
        </is>
      </c>
      <c r="G566" s="16" t="n">
        <v>1</v>
      </c>
      <c r="H566" s="16" t="inlineStr">
        <is>
          <t>EA</t>
        </is>
      </c>
      <c r="I566" s="17" t="n">
        <v>32.5</v>
      </c>
      <c r="J566" s="17" t="n">
        <v>32.5</v>
      </c>
    </row>
    <row r="567">
      <c r="A567" s="16" t="inlineStr">
        <is>
          <t>RNO</t>
        </is>
      </c>
      <c r="B567" s="16" t="inlineStr">
        <is>
          <t>RNO-312</t>
        </is>
      </c>
      <c r="C567" s="95" t="n">
        <v>46172</v>
      </c>
      <c r="D567" s="16" t="inlineStr">
        <is>
          <t>سجل صرف المخزن</t>
        </is>
      </c>
      <c r="E567" s="16" t="inlineStr">
        <is>
          <t>RN-PL12</t>
        </is>
      </c>
      <c r="F567" s="16" t="inlineStr">
        <is>
          <t>صندوق فلين للزهور</t>
        </is>
      </c>
      <c r="G567" s="16" t="n">
        <v>431</v>
      </c>
      <c r="H567" s="16" t="inlineStr">
        <is>
          <t>EA</t>
        </is>
      </c>
      <c r="I567" s="17" t="n">
        <v>4</v>
      </c>
      <c r="J567" s="17" t="n">
        <v>1724</v>
      </c>
    </row>
    <row r="568">
      <c r="A568" s="9" t="n"/>
      <c r="B568" s="9" t="inlineStr">
        <is>
          <t>إجمالي RNO-312</t>
        </is>
      </c>
      <c r="C568" s="9" t="n"/>
      <c r="D568" s="9" t="n"/>
      <c r="E568" s="9" t="n"/>
      <c r="F568" s="9" t="n"/>
      <c r="G568" s="9">
        <f>SUM(G565:G567)</f>
        <v/>
      </c>
      <c r="H568" s="9" t="n"/>
      <c r="I568" s="9" t="n"/>
      <c r="J568" s="10">
        <f>SUM(J565:J567)</f>
        <v/>
      </c>
    </row>
    <row r="569">
      <c r="A569" s="16" t="inlineStr">
        <is>
          <t>RNO</t>
        </is>
      </c>
      <c r="B569" s="16" t="inlineStr">
        <is>
          <t>RNO-315</t>
        </is>
      </c>
      <c r="C569" s="95" t="n">
        <v>46173</v>
      </c>
      <c r="D569" s="16" t="inlineStr">
        <is>
          <t>سجل صرف المخزن</t>
        </is>
      </c>
      <c r="E569" s="16" t="inlineStr">
        <is>
          <t>RN-FR1022</t>
        </is>
      </c>
      <c r="F569" s="16" t="inlineStr">
        <is>
          <t>اجري فير شيلات حديد 6% 1 كجم</t>
        </is>
      </c>
      <c r="G569" s="16" t="n">
        <v>1</v>
      </c>
      <c r="H569" s="16" t="inlineStr">
        <is>
          <t>EA</t>
        </is>
      </c>
      <c r="I569" s="17" t="n">
        <v>41.5</v>
      </c>
      <c r="J569" s="17" t="n">
        <v>41.5</v>
      </c>
    </row>
    <row r="570">
      <c r="A570" s="16" t="inlineStr">
        <is>
          <t>RNO</t>
        </is>
      </c>
      <c r="B570" s="16" t="inlineStr">
        <is>
          <t>RNO-315</t>
        </is>
      </c>
      <c r="C570" s="95" t="n">
        <v>46173</v>
      </c>
      <c r="D570" s="16" t="inlineStr">
        <is>
          <t>سجل صرف المخزن</t>
        </is>
      </c>
      <c r="E570" s="16" t="inlineStr">
        <is>
          <t>RN-PL12</t>
        </is>
      </c>
      <c r="F570" s="16" t="inlineStr">
        <is>
          <t>صندوق فلين للزهور</t>
        </is>
      </c>
      <c r="G570" s="16" t="n">
        <v>352</v>
      </c>
      <c r="H570" s="16" t="inlineStr">
        <is>
          <t>EA</t>
        </is>
      </c>
      <c r="I570" s="17" t="n">
        <v>4</v>
      </c>
      <c r="J570" s="17" t="n">
        <v>1408</v>
      </c>
    </row>
    <row r="571">
      <c r="A571" s="9" t="n"/>
      <c r="B571" s="9" t="inlineStr">
        <is>
          <t>إجمالي RNO-315</t>
        </is>
      </c>
      <c r="C571" s="9" t="n"/>
      <c r="D571" s="9" t="n"/>
      <c r="E571" s="9" t="n"/>
      <c r="F571" s="9" t="n"/>
      <c r="G571" s="9">
        <f>SUM(G569:G570)</f>
        <v/>
      </c>
      <c r="H571" s="9" t="n"/>
      <c r="I571" s="9" t="n"/>
      <c r="J571" s="10">
        <f>SUM(J569:J570)</f>
        <v/>
      </c>
    </row>
    <row r="572">
      <c r="A572" s="16" t="inlineStr">
        <is>
          <t>RNO</t>
        </is>
      </c>
      <c r="B572" s="16" t="inlineStr">
        <is>
          <t>RNO-317</t>
        </is>
      </c>
      <c r="C572" s="95" t="n">
        <v>46174</v>
      </c>
      <c r="D572" s="16" t="inlineStr">
        <is>
          <t>سجل صرف المخزن</t>
        </is>
      </c>
      <c r="E572" s="16" t="inlineStr">
        <is>
          <t>RN-PL15</t>
        </is>
      </c>
      <c r="F572" s="16" t="inlineStr">
        <is>
          <t>سنادات شجر طول 3 متر</t>
        </is>
      </c>
      <c r="G572" s="16" t="n">
        <v>10</v>
      </c>
      <c r="H572" s="16" t="inlineStr">
        <is>
          <t>EA</t>
        </is>
      </c>
      <c r="I572" s="17" t="n">
        <v>3.5</v>
      </c>
      <c r="J572" s="17" t="n">
        <v>35</v>
      </c>
    </row>
    <row r="573">
      <c r="A573" s="16" t="inlineStr">
        <is>
          <t>RNO</t>
        </is>
      </c>
      <c r="B573" s="16" t="inlineStr">
        <is>
          <t>RNO-317</t>
        </is>
      </c>
      <c r="C573" s="95" t="n">
        <v>46174</v>
      </c>
      <c r="D573" s="16" t="inlineStr">
        <is>
          <t>سجل صرف المخزن</t>
        </is>
      </c>
      <c r="E573" s="16" t="inlineStr">
        <is>
          <t>RN-PL9</t>
        </is>
      </c>
      <c r="F573" s="16" t="inlineStr">
        <is>
          <t>مركن زراعى 40 سم</t>
        </is>
      </c>
      <c r="G573" s="16" t="n">
        <v>200</v>
      </c>
      <c r="H573" s="16" t="inlineStr">
        <is>
          <t>EA</t>
        </is>
      </c>
      <c r="I573" s="17" t="n">
        <v>4.5</v>
      </c>
      <c r="J573" s="17" t="n">
        <v>900</v>
      </c>
    </row>
    <row r="574">
      <c r="A574" s="9" t="n"/>
      <c r="B574" s="9" t="inlineStr">
        <is>
          <t>إجمالي RNO-317</t>
        </is>
      </c>
      <c r="C574" s="9" t="n"/>
      <c r="D574" s="9" t="n"/>
      <c r="E574" s="9" t="n"/>
      <c r="F574" s="9" t="n"/>
      <c r="G574" s="9">
        <f>SUM(G572:G573)</f>
        <v/>
      </c>
      <c r="H574" s="9" t="n"/>
      <c r="I574" s="9" t="n"/>
      <c r="J574" s="10">
        <f>SUM(J572:J573)</f>
        <v/>
      </c>
    </row>
    <row r="575">
      <c r="A575" s="16" t="inlineStr">
        <is>
          <t>RNO</t>
        </is>
      </c>
      <c r="B575" s="16" t="inlineStr">
        <is>
          <t>RNO-320</t>
        </is>
      </c>
      <c r="C575" s="95" t="n">
        <v>46175</v>
      </c>
      <c r="D575" s="16" t="inlineStr">
        <is>
          <t>سجل صرف المخزن</t>
        </is>
      </c>
      <c r="E575" s="16" t="inlineStr">
        <is>
          <t>RN-FR1033</t>
        </is>
      </c>
      <c r="F575" s="16" t="inlineStr">
        <is>
          <t>بيتموس تى اس مخصب 210 لتر</t>
        </is>
      </c>
      <c r="G575" s="16" t="n">
        <v>22</v>
      </c>
      <c r="H575" s="16" t="inlineStr">
        <is>
          <t>EA</t>
        </is>
      </c>
      <c r="I575" s="17" t="n">
        <v>101.5</v>
      </c>
      <c r="J575" s="17" t="n">
        <v>2233</v>
      </c>
    </row>
    <row r="576">
      <c r="A576" s="16" t="inlineStr">
        <is>
          <t>RNO</t>
        </is>
      </c>
      <c r="B576" s="16" t="inlineStr">
        <is>
          <t>RNO-320</t>
        </is>
      </c>
      <c r="C576" s="95" t="n">
        <v>46175</v>
      </c>
      <c r="D576" s="16" t="inlineStr">
        <is>
          <t>سجل صرف المخزن</t>
        </is>
      </c>
      <c r="E576" s="16" t="inlineStr">
        <is>
          <t>RN-FR368</t>
        </is>
      </c>
      <c r="F576" s="16" t="inlineStr">
        <is>
          <t>بيرلايت 100 لتر</t>
        </is>
      </c>
      <c r="G576" s="16" t="n">
        <v>6</v>
      </c>
      <c r="H576" s="16" t="inlineStr">
        <is>
          <t>EA</t>
        </is>
      </c>
      <c r="I576" s="17" t="n">
        <v>32.5</v>
      </c>
      <c r="J576" s="17" t="n">
        <v>195</v>
      </c>
    </row>
    <row r="577">
      <c r="A577" s="16" t="inlineStr">
        <is>
          <t>RNO</t>
        </is>
      </c>
      <c r="B577" s="16" t="inlineStr">
        <is>
          <t>RNO-320</t>
        </is>
      </c>
      <c r="C577" s="95" t="n">
        <v>46175</v>
      </c>
      <c r="D577" s="16" t="inlineStr">
        <is>
          <t>سجل صرف المخزن</t>
        </is>
      </c>
      <c r="E577" s="16" t="inlineStr">
        <is>
          <t>RN-PL1</t>
        </is>
      </c>
      <c r="F577" s="16" t="inlineStr">
        <is>
          <t>مركن زراعى خفيف ملون 9 سم</t>
        </is>
      </c>
      <c r="G577" s="16" t="n">
        <v>12000</v>
      </c>
      <c r="H577" s="16" t="inlineStr">
        <is>
          <t>EA</t>
        </is>
      </c>
      <c r="I577" s="17" t="n">
        <v>0.06</v>
      </c>
      <c r="J577" s="17" t="n">
        <v>720</v>
      </c>
    </row>
    <row r="578">
      <c r="A578" s="9" t="n"/>
      <c r="B578" s="9" t="inlineStr">
        <is>
          <t>إجمالي RNO-320</t>
        </is>
      </c>
      <c r="C578" s="9" t="n"/>
      <c r="D578" s="9" t="n"/>
      <c r="E578" s="9" t="n"/>
      <c r="F578" s="9" t="n"/>
      <c r="G578" s="9">
        <f>SUM(G575:G577)</f>
        <v/>
      </c>
      <c r="H578" s="9" t="n"/>
      <c r="I578" s="9" t="n"/>
      <c r="J578" s="10">
        <f>SUM(J575:J577)</f>
        <v/>
      </c>
    </row>
    <row r="579">
      <c r="A579" s="16" t="inlineStr">
        <is>
          <t>RNO</t>
        </is>
      </c>
      <c r="B579" s="16" t="inlineStr">
        <is>
          <t>ISV-0002</t>
        </is>
      </c>
      <c r="C579" s="95" t="n">
        <v>46186</v>
      </c>
      <c r="D579" s="16" t="inlineStr">
        <is>
          <t>النظام الجديد</t>
        </is>
      </c>
      <c r="E579" s="16" t="inlineStr">
        <is>
          <t>FR1022</t>
        </is>
      </c>
      <c r="F579" s="16" t="inlineStr">
        <is>
          <t>اجري فير شيلات حديد 6% 1 كجم</t>
        </is>
      </c>
      <c r="G579" s="16" t="n">
        <v>1</v>
      </c>
      <c r="H579" s="16" t="inlineStr">
        <is>
          <t>EA</t>
        </is>
      </c>
      <c r="I579" s="17" t="n">
        <v>41.5</v>
      </c>
      <c r="J579" s="17" t="n">
        <v>41.5</v>
      </c>
    </row>
    <row r="580">
      <c r="A580" s="16" t="inlineStr">
        <is>
          <t>RNO</t>
        </is>
      </c>
      <c r="B580" s="16" t="inlineStr">
        <is>
          <t>ISV-0002</t>
        </is>
      </c>
      <c r="C580" s="95" t="n">
        <v>46186</v>
      </c>
      <c r="D580" s="16" t="inlineStr">
        <is>
          <t>النظام الجديد</t>
        </is>
      </c>
      <c r="E580" s="16" t="inlineStr">
        <is>
          <t>PL1</t>
        </is>
      </c>
      <c r="F580" s="16" t="inlineStr">
        <is>
          <t>مركن زراعى خفيف ملون 9 سم</t>
        </is>
      </c>
      <c r="G580" s="16" t="n">
        <v>2000</v>
      </c>
      <c r="H580" s="16" t="inlineStr">
        <is>
          <t>EA</t>
        </is>
      </c>
      <c r="I580" s="17" t="n">
        <v>0.06</v>
      </c>
      <c r="J580" s="17" t="n">
        <v>120</v>
      </c>
    </row>
    <row r="581">
      <c r="A581" s="9" t="n"/>
      <c r="B581" s="9" t="inlineStr">
        <is>
          <t>إجمالي ISV-0002</t>
        </is>
      </c>
      <c r="C581" s="9" t="n"/>
      <c r="D581" s="9" t="n"/>
      <c r="E581" s="9" t="n"/>
      <c r="F581" s="9" t="n"/>
      <c r="G581" s="9">
        <f>SUM(G579:G580)</f>
        <v/>
      </c>
      <c r="H581" s="9" t="n"/>
      <c r="I581" s="9" t="n"/>
      <c r="J581" s="10">
        <f>SUM(J579:J580)</f>
        <v/>
      </c>
    </row>
    <row r="582">
      <c r="A582" s="16" t="inlineStr">
        <is>
          <t>RNO</t>
        </is>
      </c>
      <c r="B582" s="16" t="inlineStr">
        <is>
          <t>ISV-0003</t>
        </is>
      </c>
      <c r="C582" s="95" t="n">
        <v>46186</v>
      </c>
      <c r="D582" s="16" t="inlineStr">
        <is>
          <t>النظام الجديد</t>
        </is>
      </c>
      <c r="E582" s="16" t="inlineStr">
        <is>
          <t>FR1023</t>
        </is>
      </c>
      <c r="F582" s="16" t="inlineStr">
        <is>
          <t>سنجرال 20-20-20+ع ن - 25 كجم</t>
        </is>
      </c>
      <c r="G582" s="16" t="n">
        <v>1</v>
      </c>
      <c r="H582" s="16" t="inlineStr">
        <is>
          <t>EA</t>
        </is>
      </c>
      <c r="I582" s="17" t="n">
        <v>310.5</v>
      </c>
      <c r="J582" s="17" t="n">
        <v>310.5</v>
      </c>
    </row>
    <row r="583">
      <c r="A583" s="9" t="n"/>
      <c r="B583" s="9" t="inlineStr">
        <is>
          <t>إجمالي ISV-0003</t>
        </is>
      </c>
      <c r="C583" s="9" t="n"/>
      <c r="D583" s="9" t="n"/>
      <c r="E583" s="9" t="n"/>
      <c r="F583" s="9" t="n"/>
      <c r="G583" s="9">
        <f>SUM(G582:G582)</f>
        <v/>
      </c>
      <c r="H583" s="9" t="n"/>
      <c r="I583" s="9" t="n"/>
      <c r="J583" s="10">
        <f>SUM(J582:J582)</f>
        <v/>
      </c>
    </row>
    <row r="584">
      <c r="A584" s="16" t="inlineStr">
        <is>
          <t>RNO</t>
        </is>
      </c>
      <c r="B584" s="16" t="inlineStr">
        <is>
          <t>ISV-0008</t>
        </is>
      </c>
      <c r="C584" s="95" t="n">
        <v>46187</v>
      </c>
      <c r="D584" s="16" t="inlineStr">
        <is>
          <t>النظام الجديد</t>
        </is>
      </c>
      <c r="E584" s="16" t="inlineStr">
        <is>
          <t>FR1033</t>
        </is>
      </c>
      <c r="F584" s="16" t="inlineStr">
        <is>
          <t>بيتموس تى اس مخصب 210 لتر</t>
        </is>
      </c>
      <c r="G584" s="16" t="n">
        <v>15</v>
      </c>
      <c r="H584" s="16" t="inlineStr">
        <is>
          <t>EA</t>
        </is>
      </c>
      <c r="I584" s="17" t="n">
        <v>101.5</v>
      </c>
      <c r="J584" s="17" t="n">
        <v>1522.5</v>
      </c>
    </row>
    <row r="585">
      <c r="A585" s="16" t="inlineStr">
        <is>
          <t>RNO</t>
        </is>
      </c>
      <c r="B585" s="16" t="inlineStr">
        <is>
          <t>ISV-0008</t>
        </is>
      </c>
      <c r="C585" s="95" t="n">
        <v>46187</v>
      </c>
      <c r="D585" s="16" t="inlineStr">
        <is>
          <t>النظام الجديد</t>
        </is>
      </c>
      <c r="E585" s="16" t="inlineStr">
        <is>
          <t>FR368</t>
        </is>
      </c>
      <c r="F585" s="16" t="inlineStr">
        <is>
          <t>بيرلايت 100 لتر</t>
        </is>
      </c>
      <c r="G585" s="16" t="n">
        <v>4</v>
      </c>
      <c r="H585" s="16" t="inlineStr">
        <is>
          <t>EA</t>
        </is>
      </c>
      <c r="I585" s="17" t="n">
        <v>32.5</v>
      </c>
      <c r="J585" s="17" t="n">
        <v>130</v>
      </c>
    </row>
    <row r="586">
      <c r="A586" s="16" t="inlineStr">
        <is>
          <t>RNO</t>
        </is>
      </c>
      <c r="B586" s="16" t="inlineStr">
        <is>
          <t>ISV-0008</t>
        </is>
      </c>
      <c r="C586" s="95" t="n">
        <v>46187</v>
      </c>
      <c r="D586" s="16" t="inlineStr">
        <is>
          <t>النظام الجديد</t>
        </is>
      </c>
      <c r="E586" s="16" t="inlineStr">
        <is>
          <t>PL1</t>
        </is>
      </c>
      <c r="F586" s="16" t="inlineStr">
        <is>
          <t>مركن زراعى خفيف ملون 9 سم</t>
        </is>
      </c>
      <c r="G586" s="16" t="n">
        <v>16000</v>
      </c>
      <c r="H586" s="16" t="inlineStr">
        <is>
          <t>EA</t>
        </is>
      </c>
      <c r="I586" s="17" t="n">
        <v>0.06</v>
      </c>
      <c r="J586" s="17" t="n">
        <v>960</v>
      </c>
    </row>
    <row r="587">
      <c r="A587" s="16" t="inlineStr">
        <is>
          <t>RNO</t>
        </is>
      </c>
      <c r="B587" s="16" t="inlineStr">
        <is>
          <t>ISV-0008</t>
        </is>
      </c>
      <c r="C587" s="95" t="n">
        <v>46187</v>
      </c>
      <c r="D587" s="16" t="inlineStr">
        <is>
          <t>النظام الجديد</t>
        </is>
      </c>
      <c r="E587" s="16" t="inlineStr">
        <is>
          <t>PL15</t>
        </is>
      </c>
      <c r="F587" s="16" t="inlineStr">
        <is>
          <t>سنادات شجر طول 3 متر</t>
        </is>
      </c>
      <c r="G587" s="16" t="n">
        <v>40</v>
      </c>
      <c r="H587" s="16" t="inlineStr">
        <is>
          <t>EA</t>
        </is>
      </c>
      <c r="I587" s="17" t="n">
        <v>3.5</v>
      </c>
      <c r="J587" s="17" t="n">
        <v>140</v>
      </c>
    </row>
    <row r="588">
      <c r="A588" s="16" t="inlineStr">
        <is>
          <t>RNO</t>
        </is>
      </c>
      <c r="B588" s="16" t="inlineStr">
        <is>
          <t>ISV-0008</t>
        </is>
      </c>
      <c r="C588" s="95" t="n">
        <v>46187</v>
      </c>
      <c r="D588" s="16" t="inlineStr">
        <is>
          <t>النظام الجديد</t>
        </is>
      </c>
      <c r="E588" s="16" t="inlineStr">
        <is>
          <t>FR1022</t>
        </is>
      </c>
      <c r="F588" s="16" t="inlineStr">
        <is>
          <t>اجري فير شيلات حديد 6% 1 كجم</t>
        </is>
      </c>
      <c r="G588" s="16" t="n">
        <v>1</v>
      </c>
      <c r="H588" s="16" t="inlineStr">
        <is>
          <t>EA</t>
        </is>
      </c>
      <c r="I588" s="17" t="n">
        <v>43.5</v>
      </c>
      <c r="J588" s="17" t="n">
        <v>43.5</v>
      </c>
    </row>
    <row r="589">
      <c r="A589" s="9" t="n"/>
      <c r="B589" s="9" t="inlineStr">
        <is>
          <t>إجمالي ISV-0008</t>
        </is>
      </c>
      <c r="C589" s="9" t="n"/>
      <c r="D589" s="9" t="n"/>
      <c r="E589" s="9" t="n"/>
      <c r="F589" s="9" t="n"/>
      <c r="G589" s="9">
        <f>SUM(G584:G588)</f>
        <v/>
      </c>
      <c r="H589" s="9" t="n"/>
      <c r="I589" s="9" t="n"/>
      <c r="J589" s="10">
        <f>SUM(J584:J588)</f>
        <v/>
      </c>
    </row>
    <row r="590">
      <c r="A590" s="16" t="inlineStr">
        <is>
          <t>RNO</t>
        </is>
      </c>
      <c r="B590" s="16" t="inlineStr">
        <is>
          <t>ISV-0018</t>
        </is>
      </c>
      <c r="C590" s="95" t="n">
        <v>46190</v>
      </c>
      <c r="D590" s="16" t="inlineStr">
        <is>
          <t>النظام الجديد</t>
        </is>
      </c>
      <c r="E590" s="16" t="inlineStr">
        <is>
          <t>FR1033</t>
        </is>
      </c>
      <c r="F590" s="16" t="inlineStr">
        <is>
          <t>بيتموس تى اس مخصب 210 لتر</t>
        </is>
      </c>
      <c r="G590" s="16" t="n">
        <v>22</v>
      </c>
      <c r="H590" s="16" t="inlineStr">
        <is>
          <t>EA</t>
        </is>
      </c>
      <c r="I590" s="17" t="n">
        <v>101.5</v>
      </c>
      <c r="J590" s="17" t="n">
        <v>2233</v>
      </c>
    </row>
    <row r="591">
      <c r="A591" s="16" t="inlineStr">
        <is>
          <t>RNO</t>
        </is>
      </c>
      <c r="B591" s="16" t="inlineStr">
        <is>
          <t>ISV-0018</t>
        </is>
      </c>
      <c r="C591" s="95" t="n">
        <v>46190</v>
      </c>
      <c r="D591" s="16" t="inlineStr">
        <is>
          <t>النظام الجديد</t>
        </is>
      </c>
      <c r="E591" s="16" t="inlineStr">
        <is>
          <t>FR368</t>
        </is>
      </c>
      <c r="F591" s="16" t="inlineStr">
        <is>
          <t>بيرلايت 100 لتر</t>
        </is>
      </c>
      <c r="G591" s="16" t="n">
        <v>6</v>
      </c>
      <c r="H591" s="16" t="inlineStr">
        <is>
          <t>EA</t>
        </is>
      </c>
      <c r="I591" s="17" t="n">
        <v>32.5</v>
      </c>
      <c r="J591" s="17" t="n">
        <v>195</v>
      </c>
    </row>
    <row r="592">
      <c r="A592" s="16" t="inlineStr">
        <is>
          <t>RNO</t>
        </is>
      </c>
      <c r="B592" s="16" t="inlineStr">
        <is>
          <t>ISV-0018</t>
        </is>
      </c>
      <c r="C592" s="95" t="n">
        <v>46190</v>
      </c>
      <c r="D592" s="16" t="inlineStr">
        <is>
          <t>النظام الجديد</t>
        </is>
      </c>
      <c r="E592" s="16" t="inlineStr">
        <is>
          <t>PL1</t>
        </is>
      </c>
      <c r="F592" s="16" t="inlineStr">
        <is>
          <t>مركن زراعى خفيف ملون 9 سم</t>
        </is>
      </c>
      <c r="G592" s="16" t="n">
        <v>10000</v>
      </c>
      <c r="H592" s="16" t="inlineStr">
        <is>
          <t>EA</t>
        </is>
      </c>
      <c r="I592" s="17" t="n">
        <v>0.06</v>
      </c>
      <c r="J592" s="17" t="n">
        <v>600</v>
      </c>
    </row>
    <row r="593">
      <c r="A593" s="9" t="n"/>
      <c r="B593" s="9" t="inlineStr">
        <is>
          <t>إجمالي ISV-0018</t>
        </is>
      </c>
      <c r="C593" s="9" t="n"/>
      <c r="D593" s="9" t="n"/>
      <c r="E593" s="9" t="n"/>
      <c r="F593" s="9" t="n"/>
      <c r="G593" s="9">
        <f>SUM(G590:G592)</f>
        <v/>
      </c>
      <c r="H593" s="9" t="n"/>
      <c r="I593" s="9" t="n"/>
      <c r="J593" s="10">
        <f>SUM(J590:J592)</f>
        <v/>
      </c>
    </row>
    <row r="594">
      <c r="A594" s="16" t="inlineStr">
        <is>
          <t>RNO</t>
        </is>
      </c>
      <c r="B594" s="16" t="inlineStr">
        <is>
          <t>ISV-0023</t>
        </is>
      </c>
      <c r="C594" s="95" t="n">
        <v>46194</v>
      </c>
      <c r="D594" s="16" t="inlineStr">
        <is>
          <t>النظام الجديد</t>
        </is>
      </c>
      <c r="E594" s="16" t="inlineStr">
        <is>
          <t>PL1</t>
        </is>
      </c>
      <c r="F594" s="16" t="inlineStr">
        <is>
          <t>مركن زراعى خفيف ملون 9 سم</t>
        </is>
      </c>
      <c r="G594" s="16" t="n">
        <v>10000</v>
      </c>
      <c r="H594" s="16" t="inlineStr">
        <is>
          <t>EA</t>
        </is>
      </c>
      <c r="I594" s="17" t="n">
        <v>0.06</v>
      </c>
      <c r="J594" s="17" t="n">
        <v>600</v>
      </c>
    </row>
    <row r="595">
      <c r="A595" s="16" t="inlineStr">
        <is>
          <t>RNO</t>
        </is>
      </c>
      <c r="B595" s="16" t="inlineStr">
        <is>
          <t>ISV-0023</t>
        </is>
      </c>
      <c r="C595" s="95" t="n">
        <v>46194</v>
      </c>
      <c r="D595" s="16" t="inlineStr">
        <is>
          <t>النظام الجديد</t>
        </is>
      </c>
      <c r="E595" s="16" t="inlineStr">
        <is>
          <t>FR1022</t>
        </is>
      </c>
      <c r="F595" s="16" t="inlineStr">
        <is>
          <t>اجري فير شيلات حديد 6% 1 كجم</t>
        </is>
      </c>
      <c r="G595" s="16" t="n">
        <v>1</v>
      </c>
      <c r="H595" s="16" t="inlineStr">
        <is>
          <t>EA</t>
        </is>
      </c>
      <c r="I595" s="17" t="n">
        <v>43.5</v>
      </c>
      <c r="J595" s="17" t="n">
        <v>43.5</v>
      </c>
    </row>
    <row r="596">
      <c r="A596" s="9" t="n"/>
      <c r="B596" s="9" t="inlineStr">
        <is>
          <t>إجمالي ISV-0023</t>
        </is>
      </c>
      <c r="C596" s="9" t="n"/>
      <c r="D596" s="9" t="n"/>
      <c r="E596" s="9" t="n"/>
      <c r="F596" s="9" t="n"/>
      <c r="G596" s="9">
        <f>SUM(G594:G595)</f>
        <v/>
      </c>
      <c r="H596" s="9" t="n"/>
      <c r="I596" s="9" t="n"/>
      <c r="J596" s="10">
        <f>SUM(J594:J595)</f>
        <v/>
      </c>
    </row>
    <row r="597">
      <c r="A597" s="16" t="inlineStr">
        <is>
          <t>RNO</t>
        </is>
      </c>
      <c r="B597" s="16" t="inlineStr">
        <is>
          <t>ISV-0042</t>
        </is>
      </c>
      <c r="C597" s="95" t="n">
        <v>46198</v>
      </c>
      <c r="D597" s="16" t="inlineStr">
        <is>
          <t>النظام الجديد</t>
        </is>
      </c>
      <c r="E597" s="16" t="inlineStr">
        <is>
          <t>FR1033</t>
        </is>
      </c>
      <c r="F597" s="16" t="inlineStr">
        <is>
          <t>بيتموس تى اس مخصب 210 لتر</t>
        </is>
      </c>
      <c r="G597" s="16" t="n">
        <v>7</v>
      </c>
      <c r="H597" s="16" t="inlineStr">
        <is>
          <t>EA</t>
        </is>
      </c>
      <c r="I597" s="17" t="n">
        <v>101.5</v>
      </c>
      <c r="J597" s="17" t="n">
        <v>710.5</v>
      </c>
    </row>
    <row r="598">
      <c r="A598" s="16" t="inlineStr">
        <is>
          <t>RNO</t>
        </is>
      </c>
      <c r="B598" s="16" t="inlineStr">
        <is>
          <t>ISV-0042</t>
        </is>
      </c>
      <c r="C598" s="95" t="n">
        <v>46198</v>
      </c>
      <c r="D598" s="16" t="inlineStr">
        <is>
          <t>النظام الجديد</t>
        </is>
      </c>
      <c r="E598" s="16" t="inlineStr">
        <is>
          <t>FR368</t>
        </is>
      </c>
      <c r="F598" s="16" t="inlineStr">
        <is>
          <t>بيرلايت 100 لتر</t>
        </is>
      </c>
      <c r="G598" s="16" t="n">
        <v>2</v>
      </c>
      <c r="H598" s="16" t="inlineStr">
        <is>
          <t>EA</t>
        </is>
      </c>
      <c r="I598" s="17" t="n">
        <v>32.5</v>
      </c>
      <c r="J598" s="17" t="n">
        <v>65</v>
      </c>
    </row>
    <row r="599">
      <c r="A599" s="16" t="inlineStr">
        <is>
          <t>RNO</t>
        </is>
      </c>
      <c r="B599" s="16" t="inlineStr">
        <is>
          <t>ISV-0042</t>
        </is>
      </c>
      <c r="C599" s="95" t="n">
        <v>46198</v>
      </c>
      <c r="D599" s="16" t="inlineStr">
        <is>
          <t>النظام الجديد</t>
        </is>
      </c>
      <c r="E599" s="16" t="inlineStr">
        <is>
          <t>PL9</t>
        </is>
      </c>
      <c r="F599" s="16" t="inlineStr">
        <is>
          <t>مركن زراعى 40 سم</t>
        </is>
      </c>
      <c r="G599" s="16" t="n">
        <v>300</v>
      </c>
      <c r="H599" s="16" t="inlineStr">
        <is>
          <t>EA</t>
        </is>
      </c>
      <c r="I599" s="17" t="n">
        <v>4.5</v>
      </c>
      <c r="J599" s="17" t="n">
        <v>1350</v>
      </c>
    </row>
    <row r="600">
      <c r="A600" s="9" t="n"/>
      <c r="B600" s="9" t="inlineStr">
        <is>
          <t>إجمالي ISV-0042</t>
        </is>
      </c>
      <c r="C600" s="9" t="n"/>
      <c r="D600" s="9" t="n"/>
      <c r="E600" s="9" t="n"/>
      <c r="F600" s="9" t="n"/>
      <c r="G600" s="9">
        <f>SUM(G597:G599)</f>
        <v/>
      </c>
      <c r="H600" s="9" t="n"/>
      <c r="I600" s="9" t="n"/>
      <c r="J600" s="10">
        <f>SUM(J597:J599)</f>
        <v/>
      </c>
    </row>
    <row r="601">
      <c r="A601" s="16" t="inlineStr">
        <is>
          <t>RNO</t>
        </is>
      </c>
      <c r="B601" s="16" t="inlineStr">
        <is>
          <t>ISV-0046</t>
        </is>
      </c>
      <c r="C601" s="95" t="n">
        <v>46200</v>
      </c>
      <c r="D601" s="16" t="inlineStr">
        <is>
          <t>النظام الجديد</t>
        </is>
      </c>
      <c r="E601" s="16" t="inlineStr">
        <is>
          <t>FR1033</t>
        </is>
      </c>
      <c r="F601" s="16" t="inlineStr">
        <is>
          <t>بيتموس تى اس مخصب 210 لتر</t>
        </is>
      </c>
      <c r="G601" s="16" t="n">
        <v>7</v>
      </c>
      <c r="H601" s="16" t="inlineStr">
        <is>
          <t>EA</t>
        </is>
      </c>
      <c r="I601" s="17" t="n">
        <v>101.5</v>
      </c>
      <c r="J601" s="17" t="n">
        <v>710.5</v>
      </c>
    </row>
    <row r="602">
      <c r="A602" s="16" t="inlineStr">
        <is>
          <t>RNO</t>
        </is>
      </c>
      <c r="B602" s="16" t="inlineStr">
        <is>
          <t>ISV-0046</t>
        </is>
      </c>
      <c r="C602" s="95" t="n">
        <v>46200</v>
      </c>
      <c r="D602" s="16" t="inlineStr">
        <is>
          <t>النظام الجديد</t>
        </is>
      </c>
      <c r="E602" s="16" t="inlineStr">
        <is>
          <t>FR368</t>
        </is>
      </c>
      <c r="F602" s="16" t="inlineStr">
        <is>
          <t>بيرلايت 100 لتر</t>
        </is>
      </c>
      <c r="G602" s="16" t="n">
        <v>2</v>
      </c>
      <c r="H602" s="16" t="inlineStr">
        <is>
          <t>EA</t>
        </is>
      </c>
      <c r="I602" s="17" t="n">
        <v>32.5</v>
      </c>
      <c r="J602" s="17" t="n">
        <v>65</v>
      </c>
    </row>
    <row r="603">
      <c r="A603" s="16" t="inlineStr">
        <is>
          <t>RNO</t>
        </is>
      </c>
      <c r="B603" s="16" t="inlineStr">
        <is>
          <t>ISV-0046</t>
        </is>
      </c>
      <c r="C603" s="95" t="n">
        <v>46200</v>
      </c>
      <c r="D603" s="16" t="inlineStr">
        <is>
          <t>النظام الجديد</t>
        </is>
      </c>
      <c r="E603" s="16" t="inlineStr">
        <is>
          <t>PL1</t>
        </is>
      </c>
      <c r="F603" s="16" t="inlineStr">
        <is>
          <t>مركن زراعى خفيف ملون 9 سم</t>
        </is>
      </c>
      <c r="G603" s="16" t="n">
        <v>2000</v>
      </c>
      <c r="H603" s="16" t="inlineStr">
        <is>
          <t>EA</t>
        </is>
      </c>
      <c r="I603" s="17" t="n">
        <v>0.06</v>
      </c>
      <c r="J603" s="17" t="n">
        <v>120</v>
      </c>
    </row>
    <row r="604">
      <c r="A604" s="9" t="n"/>
      <c r="B604" s="9" t="inlineStr">
        <is>
          <t>إجمالي ISV-0046</t>
        </is>
      </c>
      <c r="C604" s="9" t="n"/>
      <c r="D604" s="9" t="n"/>
      <c r="E604" s="9" t="n"/>
      <c r="F604" s="9" t="n"/>
      <c r="G604" s="9">
        <f>SUM(G601:G603)</f>
        <v/>
      </c>
      <c r="H604" s="9" t="n"/>
      <c r="I604" s="9" t="n"/>
      <c r="J604" s="10">
        <f>SUM(J601:J603)</f>
        <v/>
      </c>
    </row>
    <row r="605">
      <c r="A605" s="16" t="inlineStr">
        <is>
          <t>RNO</t>
        </is>
      </c>
      <c r="B605" s="16" t="inlineStr">
        <is>
          <t>ISV-0047</t>
        </is>
      </c>
      <c r="C605" s="95" t="n">
        <v>46200</v>
      </c>
      <c r="D605" s="16" t="inlineStr">
        <is>
          <t>النظام الجديد</t>
        </is>
      </c>
      <c r="E605" s="16" t="inlineStr">
        <is>
          <t>OD371</t>
        </is>
      </c>
      <c r="F605" s="16" t="inlineStr">
        <is>
          <t>اكاسيا جلوكا 1-2 متر</t>
        </is>
      </c>
      <c r="G605" s="16" t="n">
        <v>768</v>
      </c>
      <c r="H605" s="16" t="inlineStr">
        <is>
          <t>EA</t>
        </is>
      </c>
      <c r="I605" s="17" t="n">
        <v>25.5</v>
      </c>
      <c r="J605" s="17" t="n">
        <v>19584</v>
      </c>
    </row>
    <row r="606">
      <c r="A606" s="9" t="n"/>
      <c r="B606" s="9" t="inlineStr">
        <is>
          <t>إجمالي ISV-0047</t>
        </is>
      </c>
      <c r="C606" s="9" t="n"/>
      <c r="D606" s="9" t="n"/>
      <c r="E606" s="9" t="n"/>
      <c r="F606" s="9" t="n"/>
      <c r="G606" s="9">
        <f>SUM(G605:G605)</f>
        <v/>
      </c>
      <c r="H606" s="9" t="n"/>
      <c r="I606" s="9" t="n"/>
      <c r="J606" s="10">
        <f>SUM(J605:J605)</f>
        <v/>
      </c>
    </row>
    <row r="607">
      <c r="A607" s="16" t="inlineStr">
        <is>
          <t>RNO</t>
        </is>
      </c>
      <c r="B607" s="16" t="inlineStr">
        <is>
          <t>ISV-0053</t>
        </is>
      </c>
      <c r="C607" s="95" t="n">
        <v>46201</v>
      </c>
      <c r="D607" s="16" t="inlineStr">
        <is>
          <t>النظام الجديد</t>
        </is>
      </c>
      <c r="E607" s="16" t="inlineStr">
        <is>
          <t>PL12</t>
        </is>
      </c>
      <c r="F607" s="16" t="inlineStr">
        <is>
          <t>صندوق فلين للزهور</t>
        </is>
      </c>
      <c r="G607" s="16" t="n">
        <v>3348</v>
      </c>
      <c r="H607" s="16" t="inlineStr">
        <is>
          <t>EA</t>
        </is>
      </c>
      <c r="I607" s="17" t="n">
        <v>4</v>
      </c>
      <c r="J607" s="17" t="n">
        <v>13392</v>
      </c>
    </row>
    <row r="608">
      <c r="A608" s="9" t="n"/>
      <c r="B608" s="9" t="inlineStr">
        <is>
          <t>إجمالي ISV-0053</t>
        </is>
      </c>
      <c r="C608" s="9" t="n"/>
      <c r="D608" s="9" t="n"/>
      <c r="E608" s="9" t="n"/>
      <c r="F608" s="9" t="n"/>
      <c r="G608" s="9">
        <f>SUM(G607:G607)</f>
        <v/>
      </c>
      <c r="H608" s="9" t="n"/>
      <c r="I608" s="9" t="n"/>
      <c r="J608" s="10">
        <f>SUM(J607:J607)</f>
        <v/>
      </c>
    </row>
    <row r="609">
      <c r="A609" s="16" t="inlineStr">
        <is>
          <t>RNO</t>
        </is>
      </c>
      <c r="B609" s="16" t="inlineStr">
        <is>
          <t>ISV-0061</t>
        </is>
      </c>
      <c r="C609" s="95" t="n">
        <v>46202</v>
      </c>
      <c r="D609" s="16" t="inlineStr">
        <is>
          <t>النظام الجديد</t>
        </is>
      </c>
      <c r="E609" s="16" t="inlineStr">
        <is>
          <t>FR368</t>
        </is>
      </c>
      <c r="F609" s="16" t="inlineStr">
        <is>
          <t>بيرلايت 100 لتر</t>
        </is>
      </c>
      <c r="G609" s="16" t="n">
        <v>3</v>
      </c>
      <c r="H609" s="16" t="inlineStr">
        <is>
          <t>EA</t>
        </is>
      </c>
      <c r="I609" s="17" t="n">
        <v>32.5</v>
      </c>
      <c r="J609" s="17" t="n">
        <v>97.5</v>
      </c>
    </row>
    <row r="610">
      <c r="A610" s="16" t="inlineStr">
        <is>
          <t>RNO</t>
        </is>
      </c>
      <c r="B610" s="16" t="inlineStr">
        <is>
          <t>ISV-0061</t>
        </is>
      </c>
      <c r="C610" s="95" t="n">
        <v>46202</v>
      </c>
      <c r="D610" s="16" t="inlineStr">
        <is>
          <t>النظام الجديد</t>
        </is>
      </c>
      <c r="E610" s="16" t="inlineStr">
        <is>
          <t>PL1</t>
        </is>
      </c>
      <c r="F610" s="16" t="inlineStr">
        <is>
          <t>مركن زراعى خفيف ملون 9 سم</t>
        </is>
      </c>
      <c r="G610" s="16" t="n">
        <v>2000</v>
      </c>
      <c r="H610" s="16" t="inlineStr">
        <is>
          <t>EA</t>
        </is>
      </c>
      <c r="I610" s="17" t="n">
        <v>0.06</v>
      </c>
      <c r="J610" s="17" t="n">
        <v>120</v>
      </c>
    </row>
    <row r="611">
      <c r="A611" s="16" t="inlineStr">
        <is>
          <t>RNO</t>
        </is>
      </c>
      <c r="B611" s="16" t="inlineStr">
        <is>
          <t>ISV-0061</t>
        </is>
      </c>
      <c r="C611" s="95" t="n">
        <v>46202</v>
      </c>
      <c r="D611" s="16" t="inlineStr">
        <is>
          <t>النظام الجديد</t>
        </is>
      </c>
      <c r="E611" s="16" t="inlineStr">
        <is>
          <t>PL14</t>
        </is>
      </c>
      <c r="F611" s="16" t="inlineStr">
        <is>
          <t>مركن زراعى علاقى 19 سم</t>
        </is>
      </c>
      <c r="G611" s="16" t="n">
        <v>1200</v>
      </c>
      <c r="H611" s="16" t="inlineStr">
        <is>
          <t>EA</t>
        </is>
      </c>
      <c r="I611" s="17" t="n">
        <v>2.5</v>
      </c>
      <c r="J611" s="17" t="n">
        <v>3000</v>
      </c>
    </row>
    <row r="612">
      <c r="A612" s="9" t="n"/>
      <c r="B612" s="9" t="inlineStr">
        <is>
          <t>إجمالي ISV-0061</t>
        </is>
      </c>
      <c r="C612" s="9" t="n"/>
      <c r="D612" s="9" t="n"/>
      <c r="E612" s="9" t="n"/>
      <c r="F612" s="9" t="n"/>
      <c r="G612" s="9">
        <f>SUM(G609:G611)</f>
        <v/>
      </c>
      <c r="H612" s="9" t="n"/>
      <c r="I612" s="9" t="n"/>
      <c r="J612" s="10">
        <f>SUM(J609:J611)</f>
        <v/>
      </c>
    </row>
    <row r="613">
      <c r="A613" s="16" t="inlineStr">
        <is>
          <t>RNO</t>
        </is>
      </c>
      <c r="B613" s="16" t="inlineStr">
        <is>
          <t>ISV-0062</t>
        </is>
      </c>
      <c r="C613" s="95" t="n">
        <v>46203</v>
      </c>
      <c r="D613" s="16" t="inlineStr">
        <is>
          <t>النظام الجديد</t>
        </is>
      </c>
      <c r="E613" s="16" t="inlineStr">
        <is>
          <t>FR1022</t>
        </is>
      </c>
      <c r="F613" s="16" t="inlineStr">
        <is>
          <t>اجري فير شيلات حديد 6% 1 كجم</t>
        </is>
      </c>
      <c r="G613" s="16" t="n">
        <v>1</v>
      </c>
      <c r="H613" s="16" t="inlineStr">
        <is>
          <t>EA</t>
        </is>
      </c>
      <c r="I613" s="17" t="n">
        <v>43.5</v>
      </c>
      <c r="J613" s="17" t="n">
        <v>43.5</v>
      </c>
    </row>
    <row r="614">
      <c r="A614" s="16" t="inlineStr">
        <is>
          <t>RNO</t>
        </is>
      </c>
      <c r="B614" s="16" t="inlineStr">
        <is>
          <t>ISV-0062</t>
        </is>
      </c>
      <c r="C614" s="95" t="n">
        <v>46203</v>
      </c>
      <c r="D614" s="16" t="inlineStr">
        <is>
          <t>النظام الجديد</t>
        </is>
      </c>
      <c r="E614" s="16" t="inlineStr">
        <is>
          <t>PL2</t>
        </is>
      </c>
      <c r="F614" s="16" t="inlineStr">
        <is>
          <t>مركن زراعى خفيف 12 سم</t>
        </is>
      </c>
      <c r="G614" s="16" t="n">
        <v>1000</v>
      </c>
      <c r="H614" s="16" t="inlineStr">
        <is>
          <t>EA</t>
        </is>
      </c>
      <c r="I614" s="17" t="n">
        <v>0.2</v>
      </c>
      <c r="J614" s="17" t="n">
        <v>200</v>
      </c>
    </row>
    <row r="615">
      <c r="A615" s="16" t="inlineStr">
        <is>
          <t>RNO</t>
        </is>
      </c>
      <c r="B615" s="16" t="inlineStr">
        <is>
          <t>ISV-0062</t>
        </is>
      </c>
      <c r="C615" s="95" t="n">
        <v>46203</v>
      </c>
      <c r="D615" s="16" t="inlineStr">
        <is>
          <t>النظام الجديد</t>
        </is>
      </c>
      <c r="E615" s="16" t="inlineStr">
        <is>
          <t>PL9</t>
        </is>
      </c>
      <c r="F615" s="16" t="inlineStr">
        <is>
          <t>مركن زراعى 40 سم</t>
        </is>
      </c>
      <c r="G615" s="16" t="n">
        <v>100</v>
      </c>
      <c r="H615" s="16" t="inlineStr">
        <is>
          <t>EA</t>
        </is>
      </c>
      <c r="I615" s="17" t="n">
        <v>4.5</v>
      </c>
      <c r="J615" s="17" t="n">
        <v>450</v>
      </c>
    </row>
    <row r="616">
      <c r="A616" s="16" t="inlineStr">
        <is>
          <t>RNO</t>
        </is>
      </c>
      <c r="B616" s="16" t="inlineStr">
        <is>
          <t>ISV-0062</t>
        </is>
      </c>
      <c r="C616" s="95" t="n">
        <v>46203</v>
      </c>
      <c r="D616" s="16" t="inlineStr">
        <is>
          <t>النظام الجديد</t>
        </is>
      </c>
      <c r="E616" s="16" t="inlineStr">
        <is>
          <t>PL14</t>
        </is>
      </c>
      <c r="F616" s="16" t="inlineStr">
        <is>
          <t>مركن زراعى علاقى 19 سم</t>
        </is>
      </c>
      <c r="G616" s="16" t="n">
        <v>150</v>
      </c>
      <c r="H616" s="16" t="inlineStr">
        <is>
          <t>EA</t>
        </is>
      </c>
      <c r="I616" s="17" t="n">
        <v>2.5</v>
      </c>
      <c r="J616" s="17" t="n">
        <v>375</v>
      </c>
    </row>
    <row r="617">
      <c r="A617" s="9" t="n"/>
      <c r="B617" s="9" t="inlineStr">
        <is>
          <t>إجمالي ISV-0062</t>
        </is>
      </c>
      <c r="C617" s="9" t="n"/>
      <c r="D617" s="9" t="n"/>
      <c r="E617" s="9" t="n"/>
      <c r="F617" s="9" t="n"/>
      <c r="G617" s="9">
        <f>SUM(G613:G616)</f>
        <v/>
      </c>
      <c r="H617" s="9" t="n"/>
      <c r="I617" s="9" t="n"/>
      <c r="J617" s="10">
        <f>SUM(J613:J616)</f>
        <v/>
      </c>
    </row>
    <row r="618">
      <c r="A618" s="16" t="inlineStr">
        <is>
          <t>RNO</t>
        </is>
      </c>
      <c r="B618" s="16" t="inlineStr">
        <is>
          <t>ISV-0063</t>
        </is>
      </c>
      <c r="C618" s="95" t="n">
        <v>46203</v>
      </c>
      <c r="D618" s="16" t="inlineStr">
        <is>
          <t>النظام الجديد</t>
        </is>
      </c>
      <c r="E618" s="16" t="inlineStr">
        <is>
          <t>ID1503</t>
        </is>
      </c>
      <c r="F618" s="16" t="inlineStr">
        <is>
          <t>هيدرا ان اس مركن 9 سم</t>
        </is>
      </c>
      <c r="G618" s="16" t="n">
        <v>600</v>
      </c>
      <c r="H618" s="16" t="inlineStr">
        <is>
          <t>EA</t>
        </is>
      </c>
      <c r="I618" s="17" t="n">
        <v>2.5</v>
      </c>
      <c r="J618" s="17" t="n">
        <v>1500</v>
      </c>
    </row>
    <row r="619">
      <c r="A619" s="9" t="n"/>
      <c r="B619" s="9" t="inlineStr">
        <is>
          <t>إجمالي ISV-0063</t>
        </is>
      </c>
      <c r="C619" s="9" t="n"/>
      <c r="D619" s="9" t="n"/>
      <c r="E619" s="9" t="n"/>
      <c r="F619" s="9" t="n"/>
      <c r="G619" s="9">
        <f>SUM(G618:G618)</f>
        <v/>
      </c>
      <c r="H619" s="9" t="n"/>
      <c r="I619" s="9" t="n"/>
      <c r="J619" s="10">
        <f>SUM(J618:J618)</f>
        <v/>
      </c>
    </row>
    <row r="620">
      <c r="A620" s="16" t="inlineStr">
        <is>
          <t>RNO</t>
        </is>
      </c>
      <c r="B620" s="16" t="inlineStr">
        <is>
          <t>ISV-0072</t>
        </is>
      </c>
      <c r="C620" s="95" t="n">
        <v>46205</v>
      </c>
      <c r="D620" s="16" t="inlineStr">
        <is>
          <t>النظام الجديد</t>
        </is>
      </c>
      <c r="E620" s="16" t="inlineStr">
        <is>
          <t>PL12</t>
        </is>
      </c>
      <c r="F620" s="16" t="inlineStr">
        <is>
          <t>صندوق فلين للزهور</t>
        </is>
      </c>
      <c r="G620" s="16" t="n">
        <v>642</v>
      </c>
      <c r="H620" s="16" t="inlineStr">
        <is>
          <t>EA</t>
        </is>
      </c>
      <c r="I620" s="17" t="n">
        <v>4</v>
      </c>
      <c r="J620" s="17" t="n">
        <v>2568</v>
      </c>
    </row>
    <row r="621">
      <c r="A621" s="9" t="n"/>
      <c r="B621" s="9" t="inlineStr">
        <is>
          <t>إجمالي ISV-0072</t>
        </is>
      </c>
      <c r="C621" s="9" t="n"/>
      <c r="D621" s="9" t="n"/>
      <c r="E621" s="9" t="n"/>
      <c r="F621" s="9" t="n"/>
      <c r="G621" s="9">
        <f>SUM(G620:G620)</f>
        <v/>
      </c>
      <c r="H621" s="9" t="n"/>
      <c r="I621" s="9" t="n"/>
      <c r="J621" s="10">
        <f>SUM(J620:J620)</f>
        <v/>
      </c>
    </row>
    <row r="622">
      <c r="A622" s="16" t="inlineStr">
        <is>
          <t>RNO</t>
        </is>
      </c>
      <c r="B622" s="16" t="inlineStr">
        <is>
          <t>ISV-0079</t>
        </is>
      </c>
      <c r="C622" s="95" t="n">
        <v>46208</v>
      </c>
      <c r="D622" s="16" t="inlineStr">
        <is>
          <t>النظام الجديد</t>
        </is>
      </c>
      <c r="E622" s="16" t="inlineStr">
        <is>
          <t>FR1033</t>
        </is>
      </c>
      <c r="F622" s="16" t="inlineStr">
        <is>
          <t>بيتموس تى اس مخصب 210 لتر</t>
        </is>
      </c>
      <c r="G622" s="16" t="n">
        <v>11</v>
      </c>
      <c r="H622" s="16" t="inlineStr">
        <is>
          <t>EA</t>
        </is>
      </c>
      <c r="I622" s="17" t="n">
        <v>101.5</v>
      </c>
      <c r="J622" s="17" t="n">
        <v>1116.5</v>
      </c>
    </row>
    <row r="623">
      <c r="A623" s="9" t="n"/>
      <c r="B623" s="9" t="inlineStr">
        <is>
          <t>إجمالي ISV-0079</t>
        </is>
      </c>
      <c r="C623" s="9" t="n"/>
      <c r="D623" s="9" t="n"/>
      <c r="E623" s="9" t="n"/>
      <c r="F623" s="9" t="n"/>
      <c r="G623" s="9">
        <f>SUM(G622:G622)</f>
        <v/>
      </c>
      <c r="H623" s="9" t="n"/>
      <c r="I623" s="9" t="n"/>
      <c r="J623" s="10">
        <f>SUM(J622:J622)</f>
        <v/>
      </c>
    </row>
    <row r="624">
      <c r="A624" s="16" t="inlineStr">
        <is>
          <t>RNO</t>
        </is>
      </c>
      <c r="B624" s="16" t="inlineStr">
        <is>
          <t>ISV-0099</t>
        </is>
      </c>
      <c r="C624" s="95" t="n">
        <v>46215</v>
      </c>
      <c r="D624" s="16" t="inlineStr">
        <is>
          <t>النظام الجديد</t>
        </is>
      </c>
      <c r="E624" s="16" t="inlineStr">
        <is>
          <t>PL12</t>
        </is>
      </c>
      <c r="F624" s="16" t="inlineStr">
        <is>
          <t>صندوق فلين للزهور</t>
        </is>
      </c>
      <c r="G624" s="16" t="n">
        <v>536</v>
      </c>
      <c r="H624" s="16" t="inlineStr">
        <is>
          <t>EA</t>
        </is>
      </c>
      <c r="I624" s="17" t="n">
        <v>4</v>
      </c>
      <c r="J624" s="17" t="n">
        <v>2144</v>
      </c>
    </row>
    <row r="625">
      <c r="A625" s="9" t="n"/>
      <c r="B625" s="9" t="inlineStr">
        <is>
          <t>إجمالي ISV-0099</t>
        </is>
      </c>
      <c r="C625" s="9" t="n"/>
      <c r="D625" s="9" t="n"/>
      <c r="E625" s="9" t="n"/>
      <c r="F625" s="9" t="n"/>
      <c r="G625" s="9">
        <f>SUM(G624:G624)</f>
        <v/>
      </c>
      <c r="H625" s="9" t="n"/>
      <c r="I625" s="9" t="n"/>
      <c r="J625" s="10">
        <f>SUM(J624:J624)</f>
        <v/>
      </c>
    </row>
    <row r="626">
      <c r="A626" s="16" t="inlineStr">
        <is>
          <t>RNO</t>
        </is>
      </c>
      <c r="B626" s="16" t="inlineStr">
        <is>
          <t>ISV-0110</t>
        </is>
      </c>
      <c r="C626" s="95" t="n">
        <v>46223</v>
      </c>
      <c r="D626" s="16" t="inlineStr">
        <is>
          <t>النظام الجديد</t>
        </is>
      </c>
      <c r="E626" s="16" t="inlineStr">
        <is>
          <t>PL12</t>
        </is>
      </c>
      <c r="F626" s="16" t="inlineStr">
        <is>
          <t>صندوق فلين للزهور</t>
        </is>
      </c>
      <c r="G626" s="16" t="n">
        <v>208</v>
      </c>
      <c r="H626" s="16" t="inlineStr">
        <is>
          <t>EA</t>
        </is>
      </c>
      <c r="I626" s="17" t="n">
        <v>4</v>
      </c>
      <c r="J626" s="17" t="n">
        <v>832</v>
      </c>
    </row>
    <row r="627">
      <c r="A627" s="9" t="n"/>
      <c r="B627" s="9" t="inlineStr">
        <is>
          <t>إجمالي ISV-0110</t>
        </is>
      </c>
      <c r="C627" s="9" t="n"/>
      <c r="D627" s="9" t="n"/>
      <c r="E627" s="9" t="n"/>
      <c r="F627" s="9" t="n"/>
      <c r="G627" s="9">
        <f>SUM(G626:G626)</f>
        <v/>
      </c>
      <c r="H627" s="9" t="n"/>
      <c r="I627" s="9" t="n"/>
      <c r="J627" s="10">
        <f>SUM(J626:J626)</f>
        <v/>
      </c>
    </row>
    <row r="628">
      <c r="A628" s="16" t="inlineStr">
        <is>
          <t>RNO</t>
        </is>
      </c>
      <c r="B628" s="16" t="inlineStr">
        <is>
          <t>ISV-0129</t>
        </is>
      </c>
      <c r="C628" s="95" t="n">
        <v>46229</v>
      </c>
      <c r="D628" s="16" t="inlineStr">
        <is>
          <t>النظام الجديد</t>
        </is>
      </c>
      <c r="E628" s="16" t="inlineStr">
        <is>
          <t>FR1017</t>
        </is>
      </c>
      <c r="F628" s="16" t="inlineStr">
        <is>
          <t>بوتنج سويل 70 لتر</t>
        </is>
      </c>
      <c r="G628" s="16" t="n">
        <v>9</v>
      </c>
      <c r="H628" s="16" t="inlineStr">
        <is>
          <t>EA</t>
        </is>
      </c>
      <c r="I628" s="17" t="n">
        <v>46</v>
      </c>
      <c r="J628" s="17" t="n">
        <v>414</v>
      </c>
    </row>
    <row r="629">
      <c r="A629" s="16" t="inlineStr">
        <is>
          <t>RNO</t>
        </is>
      </c>
      <c r="B629" s="16" t="inlineStr">
        <is>
          <t>ISV-0129</t>
        </is>
      </c>
      <c r="C629" s="95" t="n">
        <v>46229</v>
      </c>
      <c r="D629" s="16" t="inlineStr">
        <is>
          <t>النظام الجديد</t>
        </is>
      </c>
      <c r="E629" s="16" t="inlineStr">
        <is>
          <t>FR1018</t>
        </is>
      </c>
      <c r="F629" s="16" t="inlineStr">
        <is>
          <t>فيرموكلايت 100 لتر</t>
        </is>
      </c>
      <c r="G629" s="16" t="n">
        <v>2</v>
      </c>
      <c r="H629" s="16" t="inlineStr">
        <is>
          <t>EA</t>
        </is>
      </c>
      <c r="I629" s="17" t="n">
        <v>75</v>
      </c>
      <c r="J629" s="17" t="n">
        <v>150</v>
      </c>
    </row>
    <row r="630">
      <c r="A630" s="9" t="n"/>
      <c r="B630" s="9" t="inlineStr">
        <is>
          <t>إجمالي ISV-0129</t>
        </is>
      </c>
      <c r="C630" s="9" t="n"/>
      <c r="D630" s="9" t="n"/>
      <c r="E630" s="9" t="n"/>
      <c r="F630" s="9" t="n"/>
      <c r="G630" s="9">
        <f>SUM(G628:G629)</f>
        <v/>
      </c>
      <c r="H630" s="9" t="n"/>
      <c r="I630" s="9" t="n"/>
      <c r="J630" s="10">
        <f>SUM(J628:J629)</f>
        <v/>
      </c>
    </row>
    <row r="631">
      <c r="A631" s="16" t="inlineStr">
        <is>
          <t>RNO</t>
        </is>
      </c>
      <c r="B631" s="16" t="inlineStr">
        <is>
          <t>ISV-0135</t>
        </is>
      </c>
      <c r="C631" s="95" t="n">
        <v>46230</v>
      </c>
      <c r="D631" s="16" t="inlineStr">
        <is>
          <t>النظام الجديد</t>
        </is>
      </c>
      <c r="E631" s="16" t="inlineStr">
        <is>
          <t>FR1017</t>
        </is>
      </c>
      <c r="F631" s="16" t="inlineStr">
        <is>
          <t>بوتنج سويل 70 لتر</t>
        </is>
      </c>
      <c r="G631" s="16" t="n">
        <v>16</v>
      </c>
      <c r="H631" s="16" t="inlineStr">
        <is>
          <t>EA</t>
        </is>
      </c>
      <c r="I631" s="17" t="n">
        <v>46</v>
      </c>
      <c r="J631" s="17" t="n">
        <v>736</v>
      </c>
    </row>
    <row r="632">
      <c r="A632" s="16" t="inlineStr">
        <is>
          <t>RNO</t>
        </is>
      </c>
      <c r="B632" s="16" t="inlineStr">
        <is>
          <t>ISV-0135</t>
        </is>
      </c>
      <c r="C632" s="95" t="n">
        <v>46230</v>
      </c>
      <c r="D632" s="16" t="inlineStr">
        <is>
          <t>النظام الجديد</t>
        </is>
      </c>
      <c r="E632" s="16" t="inlineStr">
        <is>
          <t>FR1018</t>
        </is>
      </c>
      <c r="F632" s="16" t="inlineStr">
        <is>
          <t>فيرموكلايت 100 لتر</t>
        </is>
      </c>
      <c r="G632" s="16" t="n">
        <v>2</v>
      </c>
      <c r="H632" s="16" t="inlineStr">
        <is>
          <t>EA</t>
        </is>
      </c>
      <c r="I632" s="17" t="n">
        <v>75</v>
      </c>
      <c r="J632" s="17" t="n">
        <v>150</v>
      </c>
    </row>
    <row r="633">
      <c r="A633" s="9" t="n"/>
      <c r="B633" s="9" t="inlineStr">
        <is>
          <t>إجمالي ISV-0135</t>
        </is>
      </c>
      <c r="C633" s="9" t="n"/>
      <c r="D633" s="9" t="n"/>
      <c r="E633" s="9" t="n"/>
      <c r="F633" s="9" t="n"/>
      <c r="G633" s="9">
        <f>SUM(G631:G632)</f>
        <v/>
      </c>
      <c r="H633" s="9" t="n"/>
      <c r="I633" s="9" t="n"/>
      <c r="J633" s="10">
        <f>SUM(J631:J632)</f>
        <v/>
      </c>
    </row>
    <row r="634">
      <c r="A634" s="16" t="inlineStr">
        <is>
          <t>RNO</t>
        </is>
      </c>
      <c r="B634" s="16" t="inlineStr">
        <is>
          <t>ISV-0139</t>
        </is>
      </c>
      <c r="C634" s="95" t="n">
        <v>46231</v>
      </c>
      <c r="D634" s="16" t="inlineStr">
        <is>
          <t>النظام الجديد</t>
        </is>
      </c>
      <c r="E634" s="16" t="inlineStr">
        <is>
          <t>PL12</t>
        </is>
      </c>
      <c r="F634" s="16" t="inlineStr">
        <is>
          <t>صندوق فلين للزهور</t>
        </is>
      </c>
      <c r="G634" s="16" t="n">
        <v>449</v>
      </c>
      <c r="H634" s="16" t="inlineStr">
        <is>
          <t>EA</t>
        </is>
      </c>
      <c r="I634" s="17" t="n">
        <v>4</v>
      </c>
      <c r="J634" s="17" t="n">
        <v>1796</v>
      </c>
    </row>
    <row r="635">
      <c r="A635" s="9" t="n"/>
      <c r="B635" s="9" t="inlineStr">
        <is>
          <t>إجمالي ISV-0139</t>
        </is>
      </c>
      <c r="C635" s="9" t="n"/>
      <c r="D635" s="9" t="n"/>
      <c r="E635" s="9" t="n"/>
      <c r="F635" s="9" t="n"/>
      <c r="G635" s="9">
        <f>SUM(G634:G634)</f>
        <v/>
      </c>
      <c r="H635" s="9" t="n"/>
      <c r="I635" s="9" t="n"/>
      <c r="J635" s="10">
        <f>SUM(J634:J634)</f>
        <v/>
      </c>
    </row>
    <row r="636">
      <c r="A636" s="16" t="inlineStr">
        <is>
          <t>RNO</t>
        </is>
      </c>
      <c r="B636" s="16" t="inlineStr">
        <is>
          <t>ISV-0145</t>
        </is>
      </c>
      <c r="C636" s="95" t="n">
        <v>46233</v>
      </c>
      <c r="D636" s="16" t="inlineStr">
        <is>
          <t>النظام الجديد</t>
        </is>
      </c>
      <c r="E636" s="16" t="inlineStr">
        <is>
          <t>PL15</t>
        </is>
      </c>
      <c r="F636" s="16" t="inlineStr">
        <is>
          <t>سنادات شجر طول 3 متر</t>
        </is>
      </c>
      <c r="G636" s="16" t="n">
        <v>100</v>
      </c>
      <c r="H636" s="16" t="inlineStr">
        <is>
          <t>EA</t>
        </is>
      </c>
      <c r="I636" s="17" t="n">
        <v>3.5</v>
      </c>
      <c r="J636" s="17" t="n">
        <v>350</v>
      </c>
    </row>
    <row r="637">
      <c r="A637" s="9" t="n"/>
      <c r="B637" s="9" t="inlineStr">
        <is>
          <t>إجمالي ISV-0145</t>
        </is>
      </c>
      <c r="C637" s="9" t="n"/>
      <c r="D637" s="9" t="n"/>
      <c r="E637" s="9" t="n"/>
      <c r="F637" s="9" t="n"/>
      <c r="G637" s="9">
        <f>SUM(G636:G636)</f>
        <v/>
      </c>
      <c r="H637" s="9" t="n"/>
      <c r="I637" s="9" t="n"/>
      <c r="J637" s="10">
        <f>SUM(J636:J636)</f>
        <v/>
      </c>
    </row>
    <row r="638">
      <c r="A638" s="16" t="inlineStr">
        <is>
          <t>RNL</t>
        </is>
      </c>
      <c r="B638" s="16" t="inlineStr">
        <is>
          <t>RNL-3493</t>
        </is>
      </c>
      <c r="C638" s="95" t="n">
        <v>46029</v>
      </c>
      <c r="D638" s="16" t="inlineStr">
        <is>
          <t>النظام القديم</t>
        </is>
      </c>
      <c r="E638" s="16" t="inlineStr">
        <is>
          <t>RN-OD560</t>
        </is>
      </c>
      <c r="F638" s="16" t="inlineStr">
        <is>
          <t>زهور بيتونيا</t>
        </is>
      </c>
      <c r="G638" s="16" t="n">
        <v>3000</v>
      </c>
      <c r="H638" s="16" t="inlineStr">
        <is>
          <t>EA</t>
        </is>
      </c>
      <c r="I638" s="17" t="n">
        <v>0.55</v>
      </c>
      <c r="J638" s="17" t="n">
        <v>1897.5</v>
      </c>
    </row>
    <row r="639">
      <c r="A639" s="16" t="inlineStr">
        <is>
          <t>RNL</t>
        </is>
      </c>
      <c r="B639" s="16" t="inlineStr">
        <is>
          <t>RNL-3493</t>
        </is>
      </c>
      <c r="C639" s="95" t="n">
        <v>46029</v>
      </c>
      <c r="D639" s="16" t="inlineStr">
        <is>
          <t>النظام القديم</t>
        </is>
      </c>
      <c r="E639" s="16" t="inlineStr">
        <is>
          <t>RN-OD635</t>
        </is>
      </c>
      <c r="F639" s="16" t="inlineStr">
        <is>
          <t>زهور فم السمكة مركن9 سم</t>
        </is>
      </c>
      <c r="G639" s="16" t="n">
        <v>500</v>
      </c>
      <c r="H639" s="16" t="inlineStr">
        <is>
          <t>EA</t>
        </is>
      </c>
      <c r="I639" s="17" t="n">
        <v>0.55</v>
      </c>
      <c r="J639" s="17" t="n">
        <v>316.25</v>
      </c>
    </row>
    <row r="640">
      <c r="A640" s="9" t="n"/>
      <c r="B640" s="9" t="inlineStr">
        <is>
          <t>إجمالي RNL-3493</t>
        </is>
      </c>
      <c r="C640" s="9" t="n"/>
      <c r="D640" s="9" t="n"/>
      <c r="E640" s="9" t="n"/>
      <c r="F640" s="9" t="n"/>
      <c r="G640" s="9">
        <f>SUM(G638:G639)</f>
        <v/>
      </c>
      <c r="H640" s="9" t="n"/>
      <c r="I640" s="9" t="n"/>
      <c r="J640" s="10">
        <f>SUM(J638:J639)</f>
        <v/>
      </c>
    </row>
    <row r="641">
      <c r="A641" s="16" t="inlineStr">
        <is>
          <t>RNL</t>
        </is>
      </c>
      <c r="B641" s="16" t="inlineStr">
        <is>
          <t>RNL-3497</t>
        </is>
      </c>
      <c r="C641" s="95" t="n">
        <v>46030</v>
      </c>
      <c r="D641" s="16" t="inlineStr">
        <is>
          <t>النظام القديم</t>
        </is>
      </c>
      <c r="E641" s="16" t="inlineStr">
        <is>
          <t>RN-OD560</t>
        </is>
      </c>
      <c r="F641" s="16" t="inlineStr">
        <is>
          <t>زهور بيتونيا</t>
        </is>
      </c>
      <c r="G641" s="16" t="n">
        <v>2300</v>
      </c>
      <c r="H641" s="16" t="inlineStr">
        <is>
          <t>EA</t>
        </is>
      </c>
      <c r="I641" s="17" t="n">
        <v>0.55</v>
      </c>
      <c r="J641" s="17" t="n">
        <v>1454.75</v>
      </c>
    </row>
    <row r="642">
      <c r="A642" s="16" t="inlineStr">
        <is>
          <t>RNL</t>
        </is>
      </c>
      <c r="B642" s="16" t="inlineStr">
        <is>
          <t>RNL-3497</t>
        </is>
      </c>
      <c r="C642" s="95" t="n">
        <v>46030</v>
      </c>
      <c r="D642" s="16" t="inlineStr">
        <is>
          <t>النظام القديم</t>
        </is>
      </c>
      <c r="E642" s="16" t="inlineStr">
        <is>
          <t>RN-OD642</t>
        </is>
      </c>
      <c r="F642" s="16" t="inlineStr">
        <is>
          <t>زهور اليسوم مركن9 سم</t>
        </is>
      </c>
      <c r="G642" s="16" t="n">
        <v>300</v>
      </c>
      <c r="H642" s="16" t="inlineStr">
        <is>
          <t>EA</t>
        </is>
      </c>
      <c r="I642" s="17" t="n">
        <v>0.55</v>
      </c>
      <c r="J642" s="17" t="n">
        <v>189.75</v>
      </c>
    </row>
    <row r="643">
      <c r="A643" s="9" t="n"/>
      <c r="B643" s="9" t="inlineStr">
        <is>
          <t>إجمالي RNL-3497</t>
        </is>
      </c>
      <c r="C643" s="9" t="n"/>
      <c r="D643" s="9" t="n"/>
      <c r="E643" s="9" t="n"/>
      <c r="F643" s="9" t="n"/>
      <c r="G643" s="9">
        <f>SUM(G641:G642)</f>
        <v/>
      </c>
      <c r="H643" s="9" t="n"/>
      <c r="I643" s="9" t="n"/>
      <c r="J643" s="10">
        <f>SUM(J641:J642)</f>
        <v/>
      </c>
    </row>
    <row r="644">
      <c r="A644" s="16" t="inlineStr">
        <is>
          <t>RNL</t>
        </is>
      </c>
      <c r="B644" s="16" t="inlineStr">
        <is>
          <t>RNL-3524</t>
        </is>
      </c>
      <c r="C644" s="95" t="n">
        <v>46033</v>
      </c>
      <c r="D644" s="16" t="inlineStr">
        <is>
          <t>النظام القديم</t>
        </is>
      </c>
      <c r="E644" s="16" t="inlineStr">
        <is>
          <t>RN-OD564</t>
        </is>
      </c>
      <c r="F644" s="16" t="inlineStr">
        <is>
          <t>زهور امرانتس</t>
        </is>
      </c>
      <c r="G644" s="16" t="n">
        <v>150</v>
      </c>
      <c r="H644" s="16" t="inlineStr">
        <is>
          <t>EA</t>
        </is>
      </c>
      <c r="I644" s="17" t="n">
        <v>0.55</v>
      </c>
      <c r="J644" s="17" t="n">
        <v>94.875</v>
      </c>
    </row>
    <row r="645">
      <c r="A645" s="16" t="inlineStr">
        <is>
          <t>RNL</t>
        </is>
      </c>
      <c r="B645" s="16" t="inlineStr">
        <is>
          <t>RNL-3524</t>
        </is>
      </c>
      <c r="C645" s="95" t="n">
        <v>46033</v>
      </c>
      <c r="D645" s="16" t="inlineStr">
        <is>
          <t>النظام القديم</t>
        </is>
      </c>
      <c r="E645" s="16" t="inlineStr">
        <is>
          <t>RN-OD603</t>
        </is>
      </c>
      <c r="F645" s="16" t="inlineStr">
        <is>
          <t>زهور جرانيوم مركن9 سم</t>
        </is>
      </c>
      <c r="G645" s="16" t="n">
        <v>150</v>
      </c>
      <c r="H645" s="16" t="inlineStr">
        <is>
          <t>EA</t>
        </is>
      </c>
      <c r="I645" s="17" t="n">
        <v>0.9</v>
      </c>
      <c r="J645" s="17" t="n">
        <v>155.25</v>
      </c>
    </row>
    <row r="646">
      <c r="A646" s="16" t="inlineStr">
        <is>
          <t>RNL</t>
        </is>
      </c>
      <c r="B646" s="16" t="inlineStr">
        <is>
          <t>RNL-3524</t>
        </is>
      </c>
      <c r="C646" s="95" t="n">
        <v>46033</v>
      </c>
      <c r="D646" s="16" t="inlineStr">
        <is>
          <t>النظام القديم</t>
        </is>
      </c>
      <c r="E646" s="16" t="inlineStr">
        <is>
          <t>RN-OD560</t>
        </is>
      </c>
      <c r="F646" s="16" t="inlineStr">
        <is>
          <t>زهور بيتونيا</t>
        </is>
      </c>
      <c r="G646" s="16" t="n">
        <v>3300</v>
      </c>
      <c r="H646" s="16" t="inlineStr">
        <is>
          <t>EA</t>
        </is>
      </c>
      <c r="I646" s="17" t="n">
        <v>0.55</v>
      </c>
      <c r="J646" s="17" t="n">
        <v>2087.25</v>
      </c>
    </row>
    <row r="647">
      <c r="A647" s="16" t="inlineStr">
        <is>
          <t>RNL</t>
        </is>
      </c>
      <c r="B647" s="16" t="inlineStr">
        <is>
          <t>RNL-3524</t>
        </is>
      </c>
      <c r="C647" s="95" t="n">
        <v>46033</v>
      </c>
      <c r="D647" s="16" t="inlineStr">
        <is>
          <t>النظام القديم</t>
        </is>
      </c>
      <c r="E647" s="16" t="inlineStr">
        <is>
          <t>RN-OD637</t>
        </is>
      </c>
      <c r="F647" s="16" t="inlineStr">
        <is>
          <t>زهور سالفيا مركن9 سم</t>
        </is>
      </c>
      <c r="G647" s="16" t="n">
        <v>400</v>
      </c>
      <c r="H647" s="16" t="inlineStr">
        <is>
          <t>EA</t>
        </is>
      </c>
      <c r="I647" s="17" t="n">
        <v>0.55</v>
      </c>
      <c r="J647" s="17" t="n">
        <v>253</v>
      </c>
    </row>
    <row r="648">
      <c r="A648" s="16" t="inlineStr">
        <is>
          <t>RNL</t>
        </is>
      </c>
      <c r="B648" s="16" t="inlineStr">
        <is>
          <t>RNL-3524</t>
        </is>
      </c>
      <c r="C648" s="95" t="n">
        <v>46033</v>
      </c>
      <c r="D648" s="16" t="inlineStr">
        <is>
          <t>النظام القديم</t>
        </is>
      </c>
      <c r="E648" s="16" t="inlineStr">
        <is>
          <t>RN-OD635</t>
        </is>
      </c>
      <c r="F648" s="16" t="inlineStr">
        <is>
          <t>زهور فم السمكة مركن9 سم</t>
        </is>
      </c>
      <c r="G648" s="16" t="n">
        <v>500</v>
      </c>
      <c r="H648" s="16" t="inlineStr">
        <is>
          <t>EA</t>
        </is>
      </c>
      <c r="I648" s="17" t="n">
        <v>0.55</v>
      </c>
      <c r="J648" s="17" t="n">
        <v>316.25</v>
      </c>
    </row>
    <row r="649">
      <c r="A649" s="9" t="n"/>
      <c r="B649" s="9" t="inlineStr">
        <is>
          <t>إجمالي RNL-3524</t>
        </is>
      </c>
      <c r="C649" s="9" t="n"/>
      <c r="D649" s="9" t="n"/>
      <c r="E649" s="9" t="n"/>
      <c r="F649" s="9" t="n"/>
      <c r="G649" s="9">
        <f>SUM(G644:G648)</f>
        <v/>
      </c>
      <c r="H649" s="9" t="n"/>
      <c r="I649" s="9" t="n"/>
      <c r="J649" s="10">
        <f>SUM(J644:J648)</f>
        <v/>
      </c>
    </row>
    <row r="650">
      <c r="A650" s="16" t="inlineStr">
        <is>
          <t>RNL</t>
        </is>
      </c>
      <c r="B650" s="16" t="inlineStr">
        <is>
          <t>RNL-3625</t>
        </is>
      </c>
      <c r="C650" s="95" t="n">
        <v>46046</v>
      </c>
      <c r="D650" s="16" t="inlineStr">
        <is>
          <t>النظام القديم</t>
        </is>
      </c>
      <c r="E650" s="16" t="inlineStr">
        <is>
          <t>RN-OD560</t>
        </is>
      </c>
      <c r="F650" s="16" t="inlineStr">
        <is>
          <t>زهور بيتونيا</t>
        </is>
      </c>
      <c r="G650" s="16" t="n">
        <v>1500</v>
      </c>
      <c r="H650" s="16" t="inlineStr">
        <is>
          <t>EA</t>
        </is>
      </c>
      <c r="I650" s="17" t="n">
        <v>0.55</v>
      </c>
      <c r="J650" s="17" t="n">
        <v>948.75</v>
      </c>
    </row>
    <row r="651">
      <c r="A651" s="9" t="n"/>
      <c r="B651" s="9" t="inlineStr">
        <is>
          <t>إجمالي RNL-3625</t>
        </is>
      </c>
      <c r="C651" s="9" t="n"/>
      <c r="D651" s="9" t="n"/>
      <c r="E651" s="9" t="n"/>
      <c r="F651" s="9" t="n"/>
      <c r="G651" s="9">
        <f>SUM(G650:G650)</f>
        <v/>
      </c>
      <c r="H651" s="9" t="n"/>
      <c r="I651" s="9" t="n"/>
      <c r="J651" s="10">
        <f>SUM(J650:J650)</f>
        <v/>
      </c>
    </row>
    <row r="652">
      <c r="A652" s="16" t="inlineStr">
        <is>
          <t>RNL</t>
        </is>
      </c>
      <c r="B652" s="16" t="inlineStr">
        <is>
          <t>RNL-3718</t>
        </is>
      </c>
      <c r="C652" s="95" t="n">
        <v>46054</v>
      </c>
      <c r="D652" s="16" t="inlineStr">
        <is>
          <t>النظام القديم</t>
        </is>
      </c>
      <c r="E652" s="16" t="inlineStr">
        <is>
          <t>RN-OD635</t>
        </is>
      </c>
      <c r="F652" s="16" t="inlineStr">
        <is>
          <t>زهور فم السمكة مركن9 سم</t>
        </is>
      </c>
      <c r="G652" s="16" t="n">
        <v>500</v>
      </c>
      <c r="H652" s="16" t="inlineStr">
        <is>
          <t>EA</t>
        </is>
      </c>
      <c r="I652" s="17" t="n">
        <v>0.55</v>
      </c>
      <c r="J652" s="17" t="n">
        <v>316.25</v>
      </c>
    </row>
    <row r="653">
      <c r="A653" s="9" t="n"/>
      <c r="B653" s="9" t="inlineStr">
        <is>
          <t>إجمالي RNL-3718</t>
        </is>
      </c>
      <c r="C653" s="9" t="n"/>
      <c r="D653" s="9" t="n"/>
      <c r="E653" s="9" t="n"/>
      <c r="F653" s="9" t="n"/>
      <c r="G653" s="9">
        <f>SUM(G652:G652)</f>
        <v/>
      </c>
      <c r="H653" s="9" t="n"/>
      <c r="I653" s="9" t="n"/>
      <c r="J653" s="10">
        <f>SUM(J652:J652)</f>
        <v/>
      </c>
    </row>
    <row r="654">
      <c r="A654" s="16" t="inlineStr">
        <is>
          <t>RNL</t>
        </is>
      </c>
      <c r="B654" s="16" t="inlineStr">
        <is>
          <t>RNL-3740</t>
        </is>
      </c>
      <c r="C654" s="95" t="n">
        <v>46056</v>
      </c>
      <c r="D654" s="16" t="inlineStr">
        <is>
          <t>النظام القديم</t>
        </is>
      </c>
      <c r="E654" s="16" t="inlineStr">
        <is>
          <t>RN-OD560</t>
        </is>
      </c>
      <c r="F654" s="16" t="inlineStr">
        <is>
          <t>زهور بيتونيا</t>
        </is>
      </c>
      <c r="G654" s="16" t="n">
        <v>700</v>
      </c>
      <c r="H654" s="16" t="inlineStr">
        <is>
          <t>EA</t>
        </is>
      </c>
      <c r="I654" s="17" t="n">
        <v>0.55</v>
      </c>
      <c r="J654" s="17" t="n">
        <v>442.75</v>
      </c>
    </row>
    <row r="655">
      <c r="A655" s="9" t="n"/>
      <c r="B655" s="9" t="inlineStr">
        <is>
          <t>إجمالي RNL-3740</t>
        </is>
      </c>
      <c r="C655" s="9" t="n"/>
      <c r="D655" s="9" t="n"/>
      <c r="E655" s="9" t="n"/>
      <c r="F655" s="9" t="n"/>
      <c r="G655" s="9">
        <f>SUM(G654:G654)</f>
        <v/>
      </c>
      <c r="H655" s="9" t="n"/>
      <c r="I655" s="9" t="n"/>
      <c r="J655" s="10">
        <f>SUM(J654:J654)</f>
        <v/>
      </c>
    </row>
    <row r="656">
      <c r="A656" s="16" t="inlineStr">
        <is>
          <t>RNL</t>
        </is>
      </c>
      <c r="B656" s="16" t="inlineStr">
        <is>
          <t>RNL-3778</t>
        </is>
      </c>
      <c r="C656" s="95" t="n">
        <v>46061</v>
      </c>
      <c r="D656" s="16" t="inlineStr">
        <is>
          <t>النظام القديم</t>
        </is>
      </c>
      <c r="E656" s="16" t="inlineStr">
        <is>
          <t>RN-OD560</t>
        </is>
      </c>
      <c r="F656" s="16" t="inlineStr">
        <is>
          <t>زهور بيتونيا</t>
        </is>
      </c>
      <c r="G656" s="16" t="n">
        <v>1600</v>
      </c>
      <c r="H656" s="16" t="inlineStr">
        <is>
          <t>EA</t>
        </is>
      </c>
      <c r="I656" s="17" t="n">
        <v>0.55</v>
      </c>
      <c r="J656" s="17" t="n">
        <v>1012</v>
      </c>
    </row>
    <row r="657">
      <c r="A657" s="16" t="inlineStr">
        <is>
          <t>RNL</t>
        </is>
      </c>
      <c r="B657" s="16" t="inlineStr">
        <is>
          <t>RNL-3778</t>
        </is>
      </c>
      <c r="C657" s="95" t="n">
        <v>46061</v>
      </c>
      <c r="D657" s="16" t="inlineStr">
        <is>
          <t>النظام القديم</t>
        </is>
      </c>
      <c r="E657" s="16" t="inlineStr">
        <is>
          <t>RN-OD635</t>
        </is>
      </c>
      <c r="F657" s="16" t="inlineStr">
        <is>
          <t>زهور فم السمكة مركن9 سم</t>
        </is>
      </c>
      <c r="G657" s="16" t="n">
        <v>700</v>
      </c>
      <c r="H657" s="16" t="inlineStr">
        <is>
          <t>EA</t>
        </is>
      </c>
      <c r="I657" s="17" t="n">
        <v>0.55</v>
      </c>
      <c r="J657" s="17" t="n">
        <v>442.75</v>
      </c>
    </row>
    <row r="658">
      <c r="A658" s="9" t="n"/>
      <c r="B658" s="9" t="inlineStr">
        <is>
          <t>إجمالي RNL-3778</t>
        </is>
      </c>
      <c r="C658" s="9" t="n"/>
      <c r="D658" s="9" t="n"/>
      <c r="E658" s="9" t="n"/>
      <c r="F658" s="9" t="n"/>
      <c r="G658" s="9">
        <f>SUM(G656:G657)</f>
        <v/>
      </c>
      <c r="H658" s="9" t="n"/>
      <c r="I658" s="9" t="n"/>
      <c r="J658" s="10">
        <f>SUM(J656:J657)</f>
        <v/>
      </c>
    </row>
    <row r="659">
      <c r="A659" s="16" t="inlineStr">
        <is>
          <t>RNL</t>
        </is>
      </c>
      <c r="B659" s="16" t="inlineStr">
        <is>
          <t>RNL-3852</t>
        </is>
      </c>
      <c r="C659" s="95" t="n">
        <v>46069</v>
      </c>
      <c r="D659" s="16" t="inlineStr">
        <is>
          <t>النظام القديم</t>
        </is>
      </c>
      <c r="E659" s="16" t="inlineStr">
        <is>
          <t>RN-OD694</t>
        </is>
      </c>
      <c r="F659" s="16" t="inlineStr">
        <is>
          <t>كالنشو هولندى مركن12 سم</t>
        </is>
      </c>
      <c r="G659" s="16" t="n">
        <v>20</v>
      </c>
      <c r="H659" s="16" t="inlineStr">
        <is>
          <t>EA</t>
        </is>
      </c>
      <c r="I659" s="17" t="n">
        <v>3</v>
      </c>
      <c r="J659" s="17" t="n">
        <v>69</v>
      </c>
    </row>
    <row r="660">
      <c r="A660" s="16" t="inlineStr">
        <is>
          <t>RNL</t>
        </is>
      </c>
      <c r="B660" s="16" t="inlineStr">
        <is>
          <t>RNL-3852</t>
        </is>
      </c>
      <c r="C660" s="95" t="n">
        <v>46069</v>
      </c>
      <c r="D660" s="16" t="inlineStr">
        <is>
          <t>النظام القديم</t>
        </is>
      </c>
      <c r="E660" s="16" t="inlineStr">
        <is>
          <t>RN-OD695</t>
        </is>
      </c>
      <c r="F660" s="16" t="inlineStr">
        <is>
          <t>زهور اقحوان افريقي هولندى مركن12 سم</t>
        </is>
      </c>
      <c r="G660" s="16" t="n">
        <v>20</v>
      </c>
      <c r="H660" s="16" t="inlineStr">
        <is>
          <t>EA</t>
        </is>
      </c>
      <c r="I660" s="17" t="n">
        <v>3</v>
      </c>
      <c r="J660" s="17" t="n">
        <v>69</v>
      </c>
    </row>
    <row r="661">
      <c r="A661" s="16" t="inlineStr">
        <is>
          <t>RNL</t>
        </is>
      </c>
      <c r="B661" s="16" t="inlineStr">
        <is>
          <t>RNL-3852</t>
        </is>
      </c>
      <c r="C661" s="95" t="n">
        <v>46069</v>
      </c>
      <c r="D661" s="16" t="inlineStr">
        <is>
          <t>النظام القديم</t>
        </is>
      </c>
      <c r="E661" s="16" t="inlineStr">
        <is>
          <t>RN-OD635</t>
        </is>
      </c>
      <c r="F661" s="16" t="inlineStr">
        <is>
          <t>زهور فم السمكة مركن9 سم</t>
        </is>
      </c>
      <c r="G661" s="16" t="n">
        <v>225</v>
      </c>
      <c r="H661" s="16" t="inlineStr">
        <is>
          <t>EA</t>
        </is>
      </c>
      <c r="I661" s="17" t="n">
        <v>0.55</v>
      </c>
      <c r="J661" s="17" t="n">
        <v>142.312</v>
      </c>
    </row>
    <row r="662">
      <c r="A662" s="9" t="n"/>
      <c r="B662" s="9" t="inlineStr">
        <is>
          <t>إجمالي RNL-3852</t>
        </is>
      </c>
      <c r="C662" s="9" t="n"/>
      <c r="D662" s="9" t="n"/>
      <c r="E662" s="9" t="n"/>
      <c r="F662" s="9" t="n"/>
      <c r="G662" s="9">
        <f>SUM(G659:G661)</f>
        <v/>
      </c>
      <c r="H662" s="9" t="n"/>
      <c r="I662" s="9" t="n"/>
      <c r="J662" s="10">
        <f>SUM(J659:J661)</f>
        <v/>
      </c>
    </row>
    <row r="663">
      <c r="A663" s="16" t="inlineStr">
        <is>
          <t>RNL</t>
        </is>
      </c>
      <c r="B663" s="16" t="inlineStr">
        <is>
          <t>RNL-159</t>
        </is>
      </c>
      <c r="C663" s="95" t="n">
        <v>46088</v>
      </c>
      <c r="D663" s="16" t="inlineStr">
        <is>
          <t>سجل صرف المخزن</t>
        </is>
      </c>
      <c r="E663" s="16" t="inlineStr">
        <is>
          <t>RN-OD560</t>
        </is>
      </c>
      <c r="F663" s="16" t="inlineStr">
        <is>
          <t>زهور بيتونيا</t>
        </is>
      </c>
      <c r="G663" s="16" t="n">
        <v>1000</v>
      </c>
      <c r="H663" s="16" t="inlineStr">
        <is>
          <t>EA</t>
        </is>
      </c>
      <c r="I663" s="17" t="n">
        <v>0.55</v>
      </c>
      <c r="J663" s="17" t="n">
        <v>550</v>
      </c>
    </row>
    <row r="664">
      <c r="A664" s="16" t="inlineStr">
        <is>
          <t>RNL</t>
        </is>
      </c>
      <c r="B664" s="16" t="inlineStr">
        <is>
          <t>RNL-159</t>
        </is>
      </c>
      <c r="C664" s="95" t="n">
        <v>46088</v>
      </c>
      <c r="D664" s="16" t="inlineStr">
        <is>
          <t>سجل صرف المخزن</t>
        </is>
      </c>
      <c r="E664" s="16" t="inlineStr">
        <is>
          <t>RN-OD638</t>
        </is>
      </c>
      <c r="F664" s="16" t="inlineStr">
        <is>
          <t>زهور هيبوستس مركن 9 سم</t>
        </is>
      </c>
      <c r="G664" s="16" t="n">
        <v>500</v>
      </c>
      <c r="H664" s="16" t="inlineStr">
        <is>
          <t>EA</t>
        </is>
      </c>
      <c r="I664" s="17" t="n">
        <v>0.6</v>
      </c>
      <c r="J664" s="17" t="n">
        <v>300</v>
      </c>
    </row>
    <row r="665">
      <c r="A665" s="9" t="n"/>
      <c r="B665" s="9" t="inlineStr">
        <is>
          <t>إجمالي RNL-159</t>
        </is>
      </c>
      <c r="C665" s="9" t="n"/>
      <c r="D665" s="9" t="n"/>
      <c r="E665" s="9" t="n"/>
      <c r="F665" s="9" t="n"/>
      <c r="G665" s="9">
        <f>SUM(G663:G664)</f>
        <v/>
      </c>
      <c r="H665" s="9" t="n"/>
      <c r="I665" s="9" t="n"/>
      <c r="J665" s="10">
        <f>SUM(J663:J664)</f>
        <v/>
      </c>
    </row>
    <row r="666">
      <c r="A666" s="16" t="inlineStr">
        <is>
          <t>RNL</t>
        </is>
      </c>
      <c r="B666" s="16" t="inlineStr">
        <is>
          <t>RNL-188</t>
        </is>
      </c>
      <c r="C666" s="95" t="n">
        <v>46109</v>
      </c>
      <c r="D666" s="16" t="inlineStr">
        <is>
          <t>سجل صرف المخزن</t>
        </is>
      </c>
      <c r="E666" s="16" t="inlineStr">
        <is>
          <t>RN-OD643</t>
        </is>
      </c>
      <c r="F666" s="16" t="inlineStr">
        <is>
          <t>زهور سينيراريا مركن 12 سم</t>
        </is>
      </c>
      <c r="G666" s="16" t="n">
        <v>792</v>
      </c>
      <c r="H666" s="16" t="inlineStr">
        <is>
          <t>EA</t>
        </is>
      </c>
      <c r="I666" s="17" t="n">
        <v>2.5</v>
      </c>
      <c r="J666" s="17" t="n">
        <v>1980</v>
      </c>
    </row>
    <row r="667">
      <c r="A667" s="16" t="inlineStr">
        <is>
          <t>RNL</t>
        </is>
      </c>
      <c r="B667" s="16" t="inlineStr">
        <is>
          <t>RNL-188</t>
        </is>
      </c>
      <c r="C667" s="95" t="n">
        <v>46109</v>
      </c>
      <c r="D667" s="16" t="inlineStr">
        <is>
          <t>سجل صرف المخزن</t>
        </is>
      </c>
      <c r="E667" s="16" t="inlineStr">
        <is>
          <t>RN-OD560</t>
        </is>
      </c>
      <c r="F667" s="16" t="inlineStr">
        <is>
          <t>زهور بيتونيا</t>
        </is>
      </c>
      <c r="G667" s="16" t="n">
        <v>3441</v>
      </c>
      <c r="H667" s="16" t="inlineStr">
        <is>
          <t>EA</t>
        </is>
      </c>
      <c r="I667" s="17" t="n">
        <v>0.55</v>
      </c>
      <c r="J667" s="17" t="n">
        <v>1892.55</v>
      </c>
    </row>
    <row r="668">
      <c r="A668" s="16" t="inlineStr">
        <is>
          <t>RNL</t>
        </is>
      </c>
      <c r="B668" s="16" t="inlineStr">
        <is>
          <t>RNL-188</t>
        </is>
      </c>
      <c r="C668" s="95" t="n">
        <v>46109</v>
      </c>
      <c r="D668" s="16" t="inlineStr">
        <is>
          <t>سجل صرف المخزن</t>
        </is>
      </c>
      <c r="E668" s="16" t="inlineStr">
        <is>
          <t>RN-OD645</t>
        </is>
      </c>
      <c r="F668" s="16" t="inlineStr">
        <is>
          <t>زهور كالسيولاريا دانتى مركن 12 سم</t>
        </is>
      </c>
      <c r="G668" s="16" t="n">
        <v>245</v>
      </c>
      <c r="H668" s="16" t="inlineStr">
        <is>
          <t>EA</t>
        </is>
      </c>
      <c r="I668" s="17" t="n">
        <v>2.5</v>
      </c>
      <c r="J668" s="17" t="n">
        <v>612.5</v>
      </c>
    </row>
    <row r="669">
      <c r="A669" s="16" t="inlineStr">
        <is>
          <t>RNL</t>
        </is>
      </c>
      <c r="B669" s="16" t="inlineStr">
        <is>
          <t>RNL-188</t>
        </is>
      </c>
      <c r="C669" s="95" t="n">
        <v>46109</v>
      </c>
      <c r="D669" s="16" t="inlineStr">
        <is>
          <t>سجل صرف المخزن</t>
        </is>
      </c>
      <c r="E669" s="16" t="inlineStr">
        <is>
          <t>RN-OD634</t>
        </is>
      </c>
      <c r="F669" s="16" t="inlineStr">
        <is>
          <t>زهور ملفوف براسيكا مركن 9 سم</t>
        </is>
      </c>
      <c r="G669" s="16" t="n">
        <v>2088</v>
      </c>
      <c r="H669" s="16" t="inlineStr">
        <is>
          <t>EA</t>
        </is>
      </c>
      <c r="I669" s="17" t="n">
        <v>0.55</v>
      </c>
      <c r="J669" s="17" t="n">
        <v>1148.4</v>
      </c>
    </row>
    <row r="670">
      <c r="A670" s="9" t="n"/>
      <c r="B670" s="9" t="inlineStr">
        <is>
          <t>إجمالي RNL-188</t>
        </is>
      </c>
      <c r="C670" s="9" t="n"/>
      <c r="D670" s="9" t="n"/>
      <c r="E670" s="9" t="n"/>
      <c r="F670" s="9" t="n"/>
      <c r="G670" s="9">
        <f>SUM(G666:G669)</f>
        <v/>
      </c>
      <c r="H670" s="9" t="n"/>
      <c r="I670" s="9" t="n"/>
      <c r="J670" s="10">
        <f>SUM(J666:J669)</f>
        <v/>
      </c>
    </row>
    <row r="671">
      <c r="A671" s="16" t="inlineStr">
        <is>
          <t>RNL</t>
        </is>
      </c>
      <c r="B671" s="16" t="inlineStr">
        <is>
          <t>RNL-196</t>
        </is>
      </c>
      <c r="C671" s="95" t="n">
        <v>46113</v>
      </c>
      <c r="D671" s="16" t="inlineStr">
        <is>
          <t>سجل صرف المخزن</t>
        </is>
      </c>
      <c r="E671" s="16" t="inlineStr">
        <is>
          <t>RN-OD563</t>
        </is>
      </c>
      <c r="F671" s="16" t="inlineStr">
        <is>
          <t>زهور سيلوزيا</t>
        </is>
      </c>
      <c r="G671" s="16" t="n">
        <v>300</v>
      </c>
      <c r="H671" s="16" t="inlineStr">
        <is>
          <t>EA</t>
        </is>
      </c>
      <c r="I671" s="17" t="n">
        <v>0.55</v>
      </c>
      <c r="J671" s="17" t="n">
        <v>165</v>
      </c>
    </row>
    <row r="672">
      <c r="A672" s="16" t="inlineStr">
        <is>
          <t>RNL</t>
        </is>
      </c>
      <c r="B672" s="16" t="inlineStr">
        <is>
          <t>RNL-196</t>
        </is>
      </c>
      <c r="C672" s="95" t="n">
        <v>46113</v>
      </c>
      <c r="D672" s="16" t="inlineStr">
        <is>
          <t>سجل صرف المخزن</t>
        </is>
      </c>
      <c r="E672" s="16" t="inlineStr">
        <is>
          <t>RN-OD562</t>
        </is>
      </c>
      <c r="F672" s="16" t="inlineStr">
        <is>
          <t>زهور زينيا</t>
        </is>
      </c>
      <c r="G672" s="16" t="n">
        <v>800</v>
      </c>
      <c r="H672" s="16" t="inlineStr">
        <is>
          <t>EA</t>
        </is>
      </c>
      <c r="I672" s="17" t="n">
        <v>0.55</v>
      </c>
      <c r="J672" s="17" t="n">
        <v>440</v>
      </c>
    </row>
    <row r="673">
      <c r="A673" s="16" t="inlineStr">
        <is>
          <t>RNL</t>
        </is>
      </c>
      <c r="B673" s="16" t="inlineStr">
        <is>
          <t>RNL-196</t>
        </is>
      </c>
      <c r="C673" s="95" t="n">
        <v>46113</v>
      </c>
      <c r="D673" s="16" t="inlineStr">
        <is>
          <t>سجل صرف المخزن</t>
        </is>
      </c>
      <c r="E673" s="16" t="inlineStr">
        <is>
          <t>RN-OD565</t>
        </is>
      </c>
      <c r="F673" s="16" t="inlineStr">
        <is>
          <t>زهور جازانيا</t>
        </is>
      </c>
      <c r="G673" s="16" t="n">
        <v>500</v>
      </c>
      <c r="H673" s="16" t="inlineStr">
        <is>
          <t>EA</t>
        </is>
      </c>
      <c r="I673" s="17" t="n">
        <v>0.55</v>
      </c>
      <c r="J673" s="17" t="n">
        <v>275</v>
      </c>
    </row>
    <row r="674">
      <c r="A674" s="16" t="inlineStr">
        <is>
          <t>RNL</t>
        </is>
      </c>
      <c r="B674" s="16" t="inlineStr">
        <is>
          <t>RNL-196</t>
        </is>
      </c>
      <c r="C674" s="95" t="n">
        <v>46113</v>
      </c>
      <c r="D674" s="16" t="inlineStr">
        <is>
          <t>سجل صرف المخزن</t>
        </is>
      </c>
      <c r="E674" s="16" t="inlineStr">
        <is>
          <t>RN-OD566</t>
        </is>
      </c>
      <c r="F674" s="16" t="inlineStr">
        <is>
          <t>زهور فضية</t>
        </is>
      </c>
      <c r="G674" s="16" t="n">
        <v>400</v>
      </c>
      <c r="H674" s="16" t="inlineStr">
        <is>
          <t>EA</t>
        </is>
      </c>
      <c r="I674" s="17" t="n">
        <v>0.55</v>
      </c>
      <c r="J674" s="17" t="n">
        <v>220</v>
      </c>
    </row>
    <row r="675">
      <c r="A675" s="9" t="n"/>
      <c r="B675" s="9" t="inlineStr">
        <is>
          <t>إجمالي RNL-196</t>
        </is>
      </c>
      <c r="C675" s="9" t="n"/>
      <c r="D675" s="9" t="n"/>
      <c r="E675" s="9" t="n"/>
      <c r="F675" s="9" t="n"/>
      <c r="G675" s="9">
        <f>SUM(G671:G674)</f>
        <v/>
      </c>
      <c r="H675" s="9" t="n"/>
      <c r="I675" s="9" t="n"/>
      <c r="J675" s="10">
        <f>SUM(J671:J674)</f>
        <v/>
      </c>
    </row>
    <row r="676">
      <c r="A676" s="16" t="inlineStr">
        <is>
          <t>RNL</t>
        </is>
      </c>
      <c r="B676" s="16" t="inlineStr">
        <is>
          <t>RNL-212</t>
        </is>
      </c>
      <c r="C676" s="95" t="n">
        <v>46121</v>
      </c>
      <c r="D676" s="16" t="inlineStr">
        <is>
          <t>سجل صرف المخزن</t>
        </is>
      </c>
      <c r="E676" s="16" t="inlineStr">
        <is>
          <t>RN-OD569</t>
        </is>
      </c>
      <c r="F676" s="16" t="inlineStr">
        <is>
          <t>زهور فينكا روزا</t>
        </is>
      </c>
      <c r="G676" s="16" t="n">
        <v>1300</v>
      </c>
      <c r="H676" s="16" t="inlineStr">
        <is>
          <t>EA</t>
        </is>
      </c>
      <c r="I676" s="17" t="n">
        <v>0.55</v>
      </c>
      <c r="J676" s="17" t="n">
        <v>715</v>
      </c>
    </row>
    <row r="677">
      <c r="A677" s="9" t="n"/>
      <c r="B677" s="9" t="inlineStr">
        <is>
          <t>إجمالي RNL-212</t>
        </is>
      </c>
      <c r="C677" s="9" t="n"/>
      <c r="D677" s="9" t="n"/>
      <c r="E677" s="9" t="n"/>
      <c r="F677" s="9" t="n"/>
      <c r="G677" s="9">
        <f>SUM(G676:G676)</f>
        <v/>
      </c>
      <c r="H677" s="9" t="n"/>
      <c r="I677" s="9" t="n"/>
      <c r="J677" s="10">
        <f>SUM(J676:J676)</f>
        <v/>
      </c>
    </row>
    <row r="678">
      <c r="A678" s="16" t="inlineStr">
        <is>
          <t>RNL</t>
        </is>
      </c>
      <c r="B678" s="16" t="inlineStr">
        <is>
          <t>RNL-214</t>
        </is>
      </c>
      <c r="C678" s="95" t="n">
        <v>46121</v>
      </c>
      <c r="D678" s="16" t="inlineStr">
        <is>
          <t>سجل صرف المخزن</t>
        </is>
      </c>
      <c r="E678" s="16" t="inlineStr">
        <is>
          <t>RN-OD560</t>
        </is>
      </c>
      <c r="F678" s="16" t="inlineStr">
        <is>
          <t>زهور بيتونيا</t>
        </is>
      </c>
      <c r="G678" s="16" t="n">
        <v>6000</v>
      </c>
      <c r="H678" s="16" t="inlineStr">
        <is>
          <t>EA</t>
        </is>
      </c>
      <c r="I678" s="17" t="n">
        <v>0.55</v>
      </c>
      <c r="J678" s="17" t="n">
        <v>3300</v>
      </c>
    </row>
    <row r="679">
      <c r="A679" s="9" t="n"/>
      <c r="B679" s="9" t="inlineStr">
        <is>
          <t>إجمالي RNL-214</t>
        </is>
      </c>
      <c r="C679" s="9" t="n"/>
      <c r="D679" s="9" t="n"/>
      <c r="E679" s="9" t="n"/>
      <c r="F679" s="9" t="n"/>
      <c r="G679" s="9">
        <f>SUM(G678:G678)</f>
        <v/>
      </c>
      <c r="H679" s="9" t="n"/>
      <c r="I679" s="9" t="n"/>
      <c r="J679" s="10">
        <f>SUM(J678:J678)</f>
        <v/>
      </c>
    </row>
    <row r="680">
      <c r="A680" s="16" t="inlineStr">
        <is>
          <t>RNL</t>
        </is>
      </c>
      <c r="B680" s="16" t="inlineStr">
        <is>
          <t>RNL-235</t>
        </is>
      </c>
      <c r="C680" s="95" t="n">
        <v>46133</v>
      </c>
      <c r="D680" s="16" t="inlineStr">
        <is>
          <t>سجل صرف المخزن</t>
        </is>
      </c>
      <c r="E680" s="16" t="inlineStr">
        <is>
          <t>RN-OD567</t>
        </is>
      </c>
      <c r="F680" s="16" t="inlineStr">
        <is>
          <t>زهور كيليوس</t>
        </is>
      </c>
      <c r="G680" s="16" t="n">
        <v>500</v>
      </c>
      <c r="H680" s="16" t="inlineStr">
        <is>
          <t>EA</t>
        </is>
      </c>
      <c r="I680" s="17" t="n">
        <v>0.55</v>
      </c>
      <c r="J680" s="17" t="n">
        <v>275</v>
      </c>
    </row>
    <row r="681">
      <c r="A681" s="16" t="inlineStr">
        <is>
          <t>RNL</t>
        </is>
      </c>
      <c r="B681" s="16" t="inlineStr">
        <is>
          <t>RNL-235</t>
        </is>
      </c>
      <c r="C681" s="95" t="n">
        <v>46133</v>
      </c>
      <c r="D681" s="16" t="inlineStr">
        <is>
          <t>سجل صرف المخزن</t>
        </is>
      </c>
      <c r="E681" s="16" t="inlineStr">
        <is>
          <t>RN-OD569</t>
        </is>
      </c>
      <c r="F681" s="16" t="inlineStr">
        <is>
          <t>زهور فينكا روزا</t>
        </is>
      </c>
      <c r="G681" s="16" t="n">
        <v>700</v>
      </c>
      <c r="H681" s="16" t="inlineStr">
        <is>
          <t>EA</t>
        </is>
      </c>
      <c r="I681" s="17" t="n">
        <v>0.55</v>
      </c>
      <c r="J681" s="17" t="n">
        <v>385</v>
      </c>
    </row>
    <row r="682">
      <c r="A682" s="9" t="n"/>
      <c r="B682" s="9" t="inlineStr">
        <is>
          <t>إجمالي RNL-235</t>
        </is>
      </c>
      <c r="C682" s="9" t="n"/>
      <c r="D682" s="9" t="n"/>
      <c r="E682" s="9" t="n"/>
      <c r="F682" s="9" t="n"/>
      <c r="G682" s="9">
        <f>SUM(G680:G681)</f>
        <v/>
      </c>
      <c r="H682" s="9" t="n"/>
      <c r="I682" s="9" t="n"/>
      <c r="J682" s="10">
        <f>SUM(J680:J681)</f>
        <v/>
      </c>
    </row>
    <row r="683">
      <c r="A683" s="16" t="inlineStr">
        <is>
          <t>RNL</t>
        </is>
      </c>
      <c r="B683" s="16" t="inlineStr">
        <is>
          <t>RNL-250</t>
        </is>
      </c>
      <c r="C683" s="95" t="n">
        <v>46141</v>
      </c>
      <c r="D683" s="16" t="inlineStr">
        <is>
          <t>سجل صرف المخزن</t>
        </is>
      </c>
      <c r="E683" s="16" t="inlineStr">
        <is>
          <t>RN-OD638</t>
        </is>
      </c>
      <c r="F683" s="16" t="inlineStr">
        <is>
          <t>زهور هيبوستس مركن 9 سم</t>
        </is>
      </c>
      <c r="G683" s="16" t="n">
        <v>875</v>
      </c>
      <c r="H683" s="16" t="inlineStr">
        <is>
          <t>EA</t>
        </is>
      </c>
      <c r="I683" s="17" t="n">
        <v>0.6</v>
      </c>
      <c r="J683" s="17" t="n">
        <v>525</v>
      </c>
    </row>
    <row r="684">
      <c r="A684" s="9" t="n"/>
      <c r="B684" s="9" t="inlineStr">
        <is>
          <t>إجمالي RNL-250</t>
        </is>
      </c>
      <c r="C684" s="9" t="n"/>
      <c r="D684" s="9" t="n"/>
      <c r="E684" s="9" t="n"/>
      <c r="F684" s="9" t="n"/>
      <c r="G684" s="9">
        <f>SUM(G683:G683)</f>
        <v/>
      </c>
      <c r="H684" s="9" t="n"/>
      <c r="I684" s="9" t="n"/>
      <c r="J684" s="10">
        <f>SUM(J683:J683)</f>
        <v/>
      </c>
    </row>
    <row r="685">
      <c r="A685" s="16" t="inlineStr">
        <is>
          <t>RNL</t>
        </is>
      </c>
      <c r="B685" s="16" t="inlineStr">
        <is>
          <t>RNL-257</t>
        </is>
      </c>
      <c r="C685" s="95" t="n">
        <v>46144</v>
      </c>
      <c r="D685" s="16" t="inlineStr">
        <is>
          <t>سجل صرف المخزن</t>
        </is>
      </c>
      <c r="E685" s="16" t="inlineStr">
        <is>
          <t>RN-OD562</t>
        </is>
      </c>
      <c r="F685" s="16" t="inlineStr">
        <is>
          <t>زهور زينيا</t>
        </is>
      </c>
      <c r="G685" s="16" t="n">
        <v>2750</v>
      </c>
      <c r="H685" s="16" t="inlineStr">
        <is>
          <t>EA</t>
        </is>
      </c>
      <c r="I685" s="17" t="n">
        <v>0.55</v>
      </c>
      <c r="J685" s="17" t="n">
        <v>1512.5</v>
      </c>
    </row>
    <row r="686">
      <c r="A686" s="9" t="n"/>
      <c r="B686" s="9" t="inlineStr">
        <is>
          <t>إجمالي RNL-257</t>
        </is>
      </c>
      <c r="C686" s="9" t="n"/>
      <c r="D686" s="9" t="n"/>
      <c r="E686" s="9" t="n"/>
      <c r="F686" s="9" t="n"/>
      <c r="G686" s="9">
        <f>SUM(G685:G685)</f>
        <v/>
      </c>
      <c r="H686" s="9" t="n"/>
      <c r="I686" s="9" t="n"/>
      <c r="J686" s="10">
        <f>SUM(J685:J685)</f>
        <v/>
      </c>
    </row>
    <row r="687">
      <c r="A687" s="16" t="inlineStr">
        <is>
          <t>RNL</t>
        </is>
      </c>
      <c r="B687" s="16" t="inlineStr">
        <is>
          <t>RNL-267</t>
        </is>
      </c>
      <c r="C687" s="95" t="n">
        <v>46147</v>
      </c>
      <c r="D687" s="16" t="inlineStr">
        <is>
          <t>سجل صرف المخزن</t>
        </is>
      </c>
      <c r="E687" s="16" t="inlineStr">
        <is>
          <t>RN-OD569</t>
        </is>
      </c>
      <c r="F687" s="16" t="inlineStr">
        <is>
          <t>زهور فينكا روزا</t>
        </is>
      </c>
      <c r="G687" s="16" t="n">
        <v>1650</v>
      </c>
      <c r="H687" s="16" t="inlineStr">
        <is>
          <t>EA</t>
        </is>
      </c>
      <c r="I687" s="17" t="n">
        <v>0.55</v>
      </c>
      <c r="J687" s="17" t="n">
        <v>907.5</v>
      </c>
    </row>
    <row r="688">
      <c r="A688" s="9" t="n"/>
      <c r="B688" s="9" t="inlineStr">
        <is>
          <t>إجمالي RNL-267</t>
        </is>
      </c>
      <c r="C688" s="9" t="n"/>
      <c r="D688" s="9" t="n"/>
      <c r="E688" s="9" t="n"/>
      <c r="F688" s="9" t="n"/>
      <c r="G688" s="9">
        <f>SUM(G687:G687)</f>
        <v/>
      </c>
      <c r="H688" s="9" t="n"/>
      <c r="I688" s="9" t="n"/>
      <c r="J688" s="10">
        <f>SUM(J687:J687)</f>
        <v/>
      </c>
    </row>
    <row r="689">
      <c r="A689" s="16" t="inlineStr">
        <is>
          <t>RNL</t>
        </is>
      </c>
      <c r="B689" s="16" t="inlineStr">
        <is>
          <t>RNL-310</t>
        </is>
      </c>
      <c r="C689" s="95" t="n">
        <v>46172</v>
      </c>
      <c r="D689" s="16" t="inlineStr">
        <is>
          <t>سجل صرف المخزن</t>
        </is>
      </c>
      <c r="E689" s="16" t="inlineStr">
        <is>
          <t>RN-OD562</t>
        </is>
      </c>
      <c r="F689" s="16" t="inlineStr">
        <is>
          <t>زهور زينيا</t>
        </is>
      </c>
      <c r="G689" s="16" t="n">
        <v>400</v>
      </c>
      <c r="H689" s="16" t="inlineStr">
        <is>
          <t>EA</t>
        </is>
      </c>
      <c r="I689" s="17" t="n">
        <v>0.55</v>
      </c>
      <c r="J689" s="17" t="n">
        <v>220</v>
      </c>
    </row>
    <row r="690">
      <c r="A690" s="16" t="inlineStr">
        <is>
          <t>RNL</t>
        </is>
      </c>
      <c r="B690" s="16" t="inlineStr">
        <is>
          <t>RNL-310</t>
        </is>
      </c>
      <c r="C690" s="95" t="n">
        <v>46172</v>
      </c>
      <c r="D690" s="16" t="inlineStr">
        <is>
          <t>سجل صرف المخزن</t>
        </is>
      </c>
      <c r="E690" s="16" t="inlineStr">
        <is>
          <t>RN-OD569</t>
        </is>
      </c>
      <c r="F690" s="16" t="inlineStr">
        <is>
          <t>زهور فينكا روزا</t>
        </is>
      </c>
      <c r="G690" s="16" t="n">
        <v>1900</v>
      </c>
      <c r="H690" s="16" t="inlineStr">
        <is>
          <t>EA</t>
        </is>
      </c>
      <c r="I690" s="17" t="n">
        <v>0.55</v>
      </c>
      <c r="J690" s="17" t="n">
        <v>1045</v>
      </c>
    </row>
    <row r="691">
      <c r="A691" s="9" t="n"/>
      <c r="B691" s="9" t="inlineStr">
        <is>
          <t>إجمالي RNL-310</t>
        </is>
      </c>
      <c r="C691" s="9" t="n"/>
      <c r="D691" s="9" t="n"/>
      <c r="E691" s="9" t="n"/>
      <c r="F691" s="9" t="n"/>
      <c r="G691" s="9">
        <f>SUM(G689:G690)</f>
        <v/>
      </c>
      <c r="H691" s="9" t="n"/>
      <c r="I691" s="9" t="n"/>
      <c r="J691" s="10">
        <f>SUM(J689:J690)</f>
        <v/>
      </c>
    </row>
    <row r="692">
      <c r="A692" s="16" t="inlineStr">
        <is>
          <t>RNL</t>
        </is>
      </c>
      <c r="B692" s="16" t="inlineStr">
        <is>
          <t>RNL-311</t>
        </is>
      </c>
      <c r="C692" s="95" t="n">
        <v>46172</v>
      </c>
      <c r="D692" s="16" t="inlineStr">
        <is>
          <t>سجل صرف المخزن</t>
        </is>
      </c>
      <c r="E692" s="16" t="inlineStr">
        <is>
          <t>RN-OD563</t>
        </is>
      </c>
      <c r="F692" s="16" t="inlineStr">
        <is>
          <t>زهور سيلوزيا</t>
        </is>
      </c>
      <c r="G692" s="16" t="n">
        <v>9100</v>
      </c>
      <c r="H692" s="16" t="inlineStr">
        <is>
          <t>EA</t>
        </is>
      </c>
      <c r="I692" s="17" t="n">
        <v>0.55</v>
      </c>
      <c r="J692" s="17" t="n">
        <v>5005</v>
      </c>
    </row>
    <row r="693">
      <c r="A693" s="9" t="n"/>
      <c r="B693" s="9" t="inlineStr">
        <is>
          <t>إجمالي RNL-311</t>
        </is>
      </c>
      <c r="C693" s="9" t="n"/>
      <c r="D693" s="9" t="n"/>
      <c r="E693" s="9" t="n"/>
      <c r="F693" s="9" t="n"/>
      <c r="G693" s="9">
        <f>SUM(G692:G692)</f>
        <v/>
      </c>
      <c r="H693" s="9" t="n"/>
      <c r="I693" s="9" t="n"/>
      <c r="J693" s="10">
        <f>SUM(J692:J692)</f>
        <v/>
      </c>
    </row>
    <row r="694">
      <c r="A694" s="16" t="inlineStr">
        <is>
          <t>RNL</t>
        </is>
      </c>
      <c r="B694" s="16" t="inlineStr">
        <is>
          <t>RNL-318</t>
        </is>
      </c>
      <c r="C694" s="95" t="n">
        <v>46174</v>
      </c>
      <c r="D694" s="16" t="inlineStr">
        <is>
          <t>سجل صرف المخزن</t>
        </is>
      </c>
      <c r="E694" s="16" t="inlineStr">
        <is>
          <t>RN-OD569</t>
        </is>
      </c>
      <c r="F694" s="16" t="inlineStr">
        <is>
          <t>زهور فينكا روزا</t>
        </is>
      </c>
      <c r="G694" s="16" t="n">
        <v>1850</v>
      </c>
      <c r="H694" s="16" t="inlineStr">
        <is>
          <t>EA</t>
        </is>
      </c>
      <c r="I694" s="17" t="n">
        <v>0.55</v>
      </c>
      <c r="J694" s="17" t="n">
        <v>1017.5</v>
      </c>
    </row>
    <row r="695">
      <c r="A695" s="9" t="n"/>
      <c r="B695" s="9" t="inlineStr">
        <is>
          <t>إجمالي RNL-318</t>
        </is>
      </c>
      <c r="C695" s="9" t="n"/>
      <c r="D695" s="9" t="n"/>
      <c r="E695" s="9" t="n"/>
      <c r="F695" s="9" t="n"/>
      <c r="G695" s="9">
        <f>SUM(G694:G694)</f>
        <v/>
      </c>
      <c r="H695" s="9" t="n"/>
      <c r="I695" s="9" t="n"/>
      <c r="J695" s="10">
        <f>SUM(J694:J694)</f>
        <v/>
      </c>
    </row>
    <row r="696">
      <c r="A696" s="16" t="inlineStr">
        <is>
          <t>RNL</t>
        </is>
      </c>
      <c r="B696" s="16" t="inlineStr">
        <is>
          <t>ISV-0001</t>
        </is>
      </c>
      <c r="C696" s="95" t="n">
        <v>46186</v>
      </c>
      <c r="D696" s="16" t="inlineStr">
        <is>
          <t>النظام الجديد</t>
        </is>
      </c>
      <c r="E696" s="16" t="inlineStr">
        <is>
          <t>SF144</t>
        </is>
      </c>
      <c r="F696" s="16" t="inlineStr">
        <is>
          <t>زهور امرانتس مركن 9 سم أحمر</t>
        </is>
      </c>
      <c r="G696" s="16" t="n">
        <v>200</v>
      </c>
      <c r="H696" s="16" t="inlineStr">
        <is>
          <t>EA</t>
        </is>
      </c>
      <c r="I696" s="17" t="n">
        <v>0.55</v>
      </c>
      <c r="J696" s="17" t="n">
        <v>110</v>
      </c>
    </row>
    <row r="697">
      <c r="A697" s="16" t="inlineStr">
        <is>
          <t>RNL</t>
        </is>
      </c>
      <c r="B697" s="16" t="inlineStr">
        <is>
          <t>ISV-0001</t>
        </is>
      </c>
      <c r="C697" s="95" t="n">
        <v>46186</v>
      </c>
      <c r="D697" s="16" t="inlineStr">
        <is>
          <t>النظام الجديد</t>
        </is>
      </c>
      <c r="E697" s="16" t="inlineStr">
        <is>
          <t>SF149</t>
        </is>
      </c>
      <c r="F697" s="16" t="inlineStr">
        <is>
          <t>زهور فضية مركن 9 سم فضي</t>
        </is>
      </c>
      <c r="G697" s="16" t="n">
        <v>150</v>
      </c>
      <c r="H697" s="16" t="inlineStr">
        <is>
          <t>EA</t>
        </is>
      </c>
      <c r="I697" s="17" t="n">
        <v>0.55</v>
      </c>
      <c r="J697" s="17" t="n">
        <v>82.5</v>
      </c>
    </row>
    <row r="698">
      <c r="A698" s="16" t="inlineStr">
        <is>
          <t>RNL</t>
        </is>
      </c>
      <c r="B698" s="16" t="inlineStr">
        <is>
          <t>ISV-0001</t>
        </is>
      </c>
      <c r="C698" s="95" t="n">
        <v>46186</v>
      </c>
      <c r="D698" s="16" t="inlineStr">
        <is>
          <t>النظام الجديد</t>
        </is>
      </c>
      <c r="E698" s="16" t="inlineStr">
        <is>
          <t>SF154</t>
        </is>
      </c>
      <c r="F698" s="16" t="inlineStr">
        <is>
          <t>زهور كيليوس مركن 9 سم أخضر فاتح</t>
        </is>
      </c>
      <c r="G698" s="16" t="n">
        <v>200</v>
      </c>
      <c r="H698" s="16" t="inlineStr">
        <is>
          <t>EA</t>
        </is>
      </c>
      <c r="I698" s="17" t="n">
        <v>0.55</v>
      </c>
      <c r="J698" s="17" t="n">
        <v>110</v>
      </c>
    </row>
    <row r="699">
      <c r="A699" s="16" t="inlineStr">
        <is>
          <t>RNL</t>
        </is>
      </c>
      <c r="B699" s="16" t="inlineStr">
        <is>
          <t>ISV-0001</t>
        </is>
      </c>
      <c r="C699" s="95" t="n">
        <v>46186</v>
      </c>
      <c r="D699" s="16" t="inlineStr">
        <is>
          <t>النظام الجديد</t>
        </is>
      </c>
      <c r="E699" s="16" t="inlineStr">
        <is>
          <t>SF123</t>
        </is>
      </c>
      <c r="F699" s="16" t="inlineStr">
        <is>
          <t>زهور زينيا سنجل مركن 9 سم أبيض</t>
        </is>
      </c>
      <c r="G699" s="16" t="n">
        <v>200</v>
      </c>
      <c r="H699" s="16" t="inlineStr">
        <is>
          <t>EA</t>
        </is>
      </c>
      <c r="I699" s="17" t="n">
        <v>0.55</v>
      </c>
      <c r="J699" s="17" t="n">
        <v>110</v>
      </c>
    </row>
    <row r="700">
      <c r="A700" s="16" t="inlineStr">
        <is>
          <t>RNL</t>
        </is>
      </c>
      <c r="B700" s="16" t="inlineStr">
        <is>
          <t>ISV-0001</t>
        </is>
      </c>
      <c r="C700" s="95" t="n">
        <v>46186</v>
      </c>
      <c r="D700" s="16" t="inlineStr">
        <is>
          <t>النظام الجديد</t>
        </is>
      </c>
      <c r="E700" s="16" t="inlineStr">
        <is>
          <t>SF124</t>
        </is>
      </c>
      <c r="F700" s="16" t="inlineStr">
        <is>
          <t>زهور زينيا سنجل مركن 9 سم أحمر</t>
        </is>
      </c>
      <c r="G700" s="16" t="n">
        <v>200</v>
      </c>
      <c r="H700" s="16" t="inlineStr">
        <is>
          <t>EA</t>
        </is>
      </c>
      <c r="I700" s="17" t="n">
        <v>0.55</v>
      </c>
      <c r="J700" s="17" t="n">
        <v>110</v>
      </c>
    </row>
    <row r="701">
      <c r="A701" s="16" t="inlineStr">
        <is>
          <t>RNL</t>
        </is>
      </c>
      <c r="B701" s="16" t="inlineStr">
        <is>
          <t>ISV-0001</t>
        </is>
      </c>
      <c r="C701" s="95" t="n">
        <v>46186</v>
      </c>
      <c r="D701" s="16" t="inlineStr">
        <is>
          <t>النظام الجديد</t>
        </is>
      </c>
      <c r="E701" s="16" t="inlineStr">
        <is>
          <t>SF131</t>
        </is>
      </c>
      <c r="F701" s="16" t="inlineStr">
        <is>
          <t>زهور زينيا سنجل مركن 9 سم أحمر وأصفر ثنائي</t>
        </is>
      </c>
      <c r="G701" s="16" t="n">
        <v>200</v>
      </c>
      <c r="H701" s="16" t="inlineStr">
        <is>
          <t>EA</t>
        </is>
      </c>
      <c r="I701" s="17" t="n">
        <v>0.55</v>
      </c>
      <c r="J701" s="17" t="n">
        <v>110</v>
      </c>
    </row>
    <row r="702">
      <c r="A702" s="16" t="inlineStr">
        <is>
          <t>RNL</t>
        </is>
      </c>
      <c r="B702" s="16" t="inlineStr">
        <is>
          <t>ISV-0001</t>
        </is>
      </c>
      <c r="C702" s="95" t="n">
        <v>46186</v>
      </c>
      <c r="D702" s="16" t="inlineStr">
        <is>
          <t>النظام الجديد</t>
        </is>
      </c>
      <c r="E702" s="16" t="inlineStr">
        <is>
          <t>SF97</t>
        </is>
      </c>
      <c r="F702" s="16" t="inlineStr">
        <is>
          <t>فينكا روزا مركن 9 سم أبيض</t>
        </is>
      </c>
      <c r="G702" s="16" t="n">
        <v>800</v>
      </c>
      <c r="H702" s="16" t="inlineStr">
        <is>
          <t>EA</t>
        </is>
      </c>
      <c r="I702" s="17" t="n">
        <v>0.55</v>
      </c>
      <c r="J702" s="17" t="n">
        <v>440</v>
      </c>
    </row>
    <row r="703">
      <c r="A703" s="16" t="inlineStr">
        <is>
          <t>RNL</t>
        </is>
      </c>
      <c r="B703" s="16" t="inlineStr">
        <is>
          <t>ISV-0001</t>
        </is>
      </c>
      <c r="C703" s="95" t="n">
        <v>46186</v>
      </c>
      <c r="D703" s="16" t="inlineStr">
        <is>
          <t>النظام الجديد</t>
        </is>
      </c>
      <c r="E703" s="16" t="inlineStr">
        <is>
          <t>SF98</t>
        </is>
      </c>
      <c r="F703" s="16" t="inlineStr">
        <is>
          <t>فينكا روزا مركن 9 سم أحمر</t>
        </is>
      </c>
      <c r="G703" s="16" t="n">
        <v>800</v>
      </c>
      <c r="H703" s="16" t="inlineStr">
        <is>
          <t>EA</t>
        </is>
      </c>
      <c r="I703" s="17" t="n">
        <v>0.55</v>
      </c>
      <c r="J703" s="17" t="n">
        <v>440</v>
      </c>
    </row>
    <row r="704">
      <c r="A704" s="16" t="inlineStr">
        <is>
          <t>RNL</t>
        </is>
      </c>
      <c r="B704" s="16" t="inlineStr">
        <is>
          <t>ISV-0001</t>
        </is>
      </c>
      <c r="C704" s="95" t="n">
        <v>46186</v>
      </c>
      <c r="D704" s="16" t="inlineStr">
        <is>
          <t>النظام الجديد</t>
        </is>
      </c>
      <c r="E704" s="16" t="inlineStr">
        <is>
          <t>SF102</t>
        </is>
      </c>
      <c r="F704" s="16" t="inlineStr">
        <is>
          <t>فينكا روزا مركن 9 سم مشمشي</t>
        </is>
      </c>
      <c r="G704" s="16" t="n">
        <v>200</v>
      </c>
      <c r="H704" s="16" t="inlineStr">
        <is>
          <t>EA</t>
        </is>
      </c>
      <c r="I704" s="17" t="n">
        <v>0.55</v>
      </c>
      <c r="J704" s="17" t="n">
        <v>110</v>
      </c>
    </row>
    <row r="705">
      <c r="A705" s="16" t="inlineStr">
        <is>
          <t>RNL</t>
        </is>
      </c>
      <c r="B705" s="16" t="inlineStr">
        <is>
          <t>ISV-0001</t>
        </is>
      </c>
      <c r="C705" s="95" t="n">
        <v>46186</v>
      </c>
      <c r="D705" s="16" t="inlineStr">
        <is>
          <t>النظام الجديد</t>
        </is>
      </c>
      <c r="E705" s="16" t="inlineStr">
        <is>
          <t>SF100</t>
        </is>
      </c>
      <c r="F705" s="16" t="inlineStr">
        <is>
          <t>فينكا روزا مركن 9 سم أبيض نقطة حمراء</t>
        </is>
      </c>
      <c r="G705" s="16" t="n">
        <v>400</v>
      </c>
      <c r="H705" s="16" t="inlineStr">
        <is>
          <t>EA</t>
        </is>
      </c>
      <c r="I705" s="17" t="n">
        <v>0.55</v>
      </c>
      <c r="J705" s="17" t="n">
        <v>220</v>
      </c>
    </row>
    <row r="706">
      <c r="A706" s="9" t="n"/>
      <c r="B706" s="9" t="inlineStr">
        <is>
          <t>إجمالي ISV-0001</t>
        </is>
      </c>
      <c r="C706" s="9" t="n"/>
      <c r="D706" s="9" t="n"/>
      <c r="E706" s="9" t="n"/>
      <c r="F706" s="9" t="n"/>
      <c r="G706" s="9">
        <f>SUM(G696:G705)</f>
        <v/>
      </c>
      <c r="H706" s="9" t="n"/>
      <c r="I706" s="9" t="n"/>
      <c r="J706" s="10">
        <f>SUM(J696:J705)</f>
        <v/>
      </c>
    </row>
    <row r="707">
      <c r="A707" s="16" t="inlineStr">
        <is>
          <t>RNL</t>
        </is>
      </c>
      <c r="B707" s="16" t="inlineStr">
        <is>
          <t>ISV-0009</t>
        </is>
      </c>
      <c r="C707" s="95" t="n">
        <v>46187</v>
      </c>
      <c r="D707" s="16" t="inlineStr">
        <is>
          <t>النظام الجديد</t>
        </is>
      </c>
      <c r="E707" s="16" t="inlineStr">
        <is>
          <t>SF97</t>
        </is>
      </c>
      <c r="F707" s="16" t="inlineStr">
        <is>
          <t>فينكا روزا مركن 9 سم أبيض</t>
        </is>
      </c>
      <c r="G707" s="16" t="n">
        <v>550</v>
      </c>
      <c r="H707" s="16" t="inlineStr">
        <is>
          <t>EA</t>
        </is>
      </c>
      <c r="I707" s="17" t="n">
        <v>0.55</v>
      </c>
      <c r="J707" s="17" t="n">
        <v>302.5</v>
      </c>
    </row>
    <row r="708">
      <c r="A708" s="16" t="inlineStr">
        <is>
          <t>RNL</t>
        </is>
      </c>
      <c r="B708" s="16" t="inlineStr">
        <is>
          <t>ISV-0009</t>
        </is>
      </c>
      <c r="C708" s="95" t="n">
        <v>46187</v>
      </c>
      <c r="D708" s="16" t="inlineStr">
        <is>
          <t>النظام الجديد</t>
        </is>
      </c>
      <c r="E708" s="16" t="inlineStr">
        <is>
          <t>SF100</t>
        </is>
      </c>
      <c r="F708" s="16" t="inlineStr">
        <is>
          <t>فينكا روزا مركن 9 سم أبيض نقطة حمراء</t>
        </is>
      </c>
      <c r="G708" s="16" t="n">
        <v>500</v>
      </c>
      <c r="H708" s="16" t="inlineStr">
        <is>
          <t>EA</t>
        </is>
      </c>
      <c r="I708" s="17" t="n">
        <v>0.55</v>
      </c>
      <c r="J708" s="17" t="n">
        <v>275</v>
      </c>
    </row>
    <row r="709">
      <c r="A709" s="16" t="inlineStr">
        <is>
          <t>RNL</t>
        </is>
      </c>
      <c r="B709" s="16" t="inlineStr">
        <is>
          <t>ISV-0009</t>
        </is>
      </c>
      <c r="C709" s="95" t="n">
        <v>46187</v>
      </c>
      <c r="D709" s="16" t="inlineStr">
        <is>
          <t>النظام الجديد</t>
        </is>
      </c>
      <c r="E709" s="16" t="inlineStr">
        <is>
          <t>SF106</t>
        </is>
      </c>
      <c r="F709" s="16" t="inlineStr">
        <is>
          <t>فينكا روزا مركن 9 سم برغندي هالو</t>
        </is>
      </c>
      <c r="G709" s="16" t="n">
        <v>500</v>
      </c>
      <c r="H709" s="16" t="inlineStr">
        <is>
          <t>EA</t>
        </is>
      </c>
      <c r="I709" s="17" t="n">
        <v>0.55</v>
      </c>
      <c r="J709" s="17" t="n">
        <v>275</v>
      </c>
    </row>
    <row r="710">
      <c r="A710" s="16" t="inlineStr">
        <is>
          <t>RNL</t>
        </is>
      </c>
      <c r="B710" s="16" t="inlineStr">
        <is>
          <t>ISV-0009</t>
        </is>
      </c>
      <c r="C710" s="95" t="n">
        <v>46187</v>
      </c>
      <c r="D710" s="16" t="inlineStr">
        <is>
          <t>النظام الجديد</t>
        </is>
      </c>
      <c r="E710" s="16" t="inlineStr">
        <is>
          <t>SF99</t>
        </is>
      </c>
      <c r="F710" s="16" t="inlineStr">
        <is>
          <t>فينكا روزا مركن 9 سم أحمر نقطة بيضاء</t>
        </is>
      </c>
      <c r="G710" s="16" t="n">
        <v>500</v>
      </c>
      <c r="H710" s="16" t="inlineStr">
        <is>
          <t>EA</t>
        </is>
      </c>
      <c r="I710" s="17" t="n">
        <v>0.55</v>
      </c>
      <c r="J710" s="17" t="n">
        <v>275</v>
      </c>
    </row>
    <row r="711">
      <c r="A711" s="16" t="inlineStr">
        <is>
          <t>RNL</t>
        </is>
      </c>
      <c r="B711" s="16" t="inlineStr">
        <is>
          <t>ISV-0009</t>
        </is>
      </c>
      <c r="C711" s="95" t="n">
        <v>46187</v>
      </c>
      <c r="D711" s="16" t="inlineStr">
        <is>
          <t>النظام الجديد</t>
        </is>
      </c>
      <c r="E711" s="16" t="inlineStr">
        <is>
          <t>SF108</t>
        </is>
      </c>
      <c r="F711" s="16" t="inlineStr">
        <is>
          <t>فينكا روزا مركن 9 سم أوركيد عميق</t>
        </is>
      </c>
      <c r="G711" s="16" t="n">
        <v>500</v>
      </c>
      <c r="H711" s="16" t="inlineStr">
        <is>
          <t>EA</t>
        </is>
      </c>
      <c r="I711" s="17" t="n">
        <v>0.55</v>
      </c>
      <c r="J711" s="17" t="n">
        <v>275</v>
      </c>
    </row>
    <row r="712">
      <c r="A712" s="16" t="inlineStr">
        <is>
          <t>RNL</t>
        </is>
      </c>
      <c r="B712" s="16" t="inlineStr">
        <is>
          <t>ISV-0009</t>
        </is>
      </c>
      <c r="C712" s="95" t="n">
        <v>46187</v>
      </c>
      <c r="D712" s="16" t="inlineStr">
        <is>
          <t>النظام الجديد</t>
        </is>
      </c>
      <c r="E712" s="16" t="inlineStr">
        <is>
          <t>SF105</t>
        </is>
      </c>
      <c r="F712" s="16" t="inlineStr">
        <is>
          <t>فينكا روزا مركن 9 سم برغندي</t>
        </is>
      </c>
      <c r="G712" s="16" t="n">
        <v>500</v>
      </c>
      <c r="H712" s="16" t="inlineStr">
        <is>
          <t>EA</t>
        </is>
      </c>
      <c r="I712" s="17" t="n">
        <v>0.55</v>
      </c>
      <c r="J712" s="17" t="n">
        <v>275</v>
      </c>
    </row>
    <row r="713">
      <c r="A713" s="16" t="inlineStr">
        <is>
          <t>RNL</t>
        </is>
      </c>
      <c r="B713" s="16" t="inlineStr">
        <is>
          <t>ISV-0009</t>
        </is>
      </c>
      <c r="C713" s="95" t="n">
        <v>46187</v>
      </c>
      <c r="D713" s="16" t="inlineStr">
        <is>
          <t>النظام الجديد</t>
        </is>
      </c>
      <c r="E713" s="16" t="inlineStr">
        <is>
          <t>SF98</t>
        </is>
      </c>
      <c r="F713" s="16" t="inlineStr">
        <is>
          <t>فينكا روزا مركن 9 سم أحمر</t>
        </is>
      </c>
      <c r="G713" s="16" t="n">
        <v>500</v>
      </c>
      <c r="H713" s="16" t="inlineStr">
        <is>
          <t>EA</t>
        </is>
      </c>
      <c r="I713" s="17" t="n">
        <v>0.55</v>
      </c>
      <c r="J713" s="17" t="n">
        <v>275</v>
      </c>
    </row>
    <row r="714">
      <c r="A714" s="9" t="n"/>
      <c r="B714" s="9" t="inlineStr">
        <is>
          <t>إجمالي ISV-0009</t>
        </is>
      </c>
      <c r="C714" s="9" t="n"/>
      <c r="D714" s="9" t="n"/>
      <c r="E714" s="9" t="n"/>
      <c r="F714" s="9" t="n"/>
      <c r="G714" s="9">
        <f>SUM(G707:G713)</f>
        <v/>
      </c>
      <c r="H714" s="9" t="n"/>
      <c r="I714" s="9" t="n"/>
      <c r="J714" s="10">
        <f>SUM(J707:J713)</f>
        <v/>
      </c>
    </row>
    <row r="715">
      <c r="A715" s="16" t="inlineStr">
        <is>
          <t>RNL</t>
        </is>
      </c>
      <c r="B715" s="16" t="inlineStr">
        <is>
          <t>ISV-0045</t>
        </is>
      </c>
      <c r="C715" s="95" t="n">
        <v>46198</v>
      </c>
      <c r="D715" s="16" t="inlineStr">
        <is>
          <t>النظام الجديد</t>
        </is>
      </c>
      <c r="E715" s="16" t="inlineStr">
        <is>
          <t>SF97</t>
        </is>
      </c>
      <c r="F715" s="16" t="inlineStr">
        <is>
          <t>فينكا روزا مركن 9 سم أبيض</t>
        </is>
      </c>
      <c r="G715" s="16" t="n">
        <v>1000</v>
      </c>
      <c r="H715" s="16" t="inlineStr">
        <is>
          <t>EA</t>
        </is>
      </c>
      <c r="I715" s="17" t="n">
        <v>0.55</v>
      </c>
      <c r="J715" s="17" t="n">
        <v>550</v>
      </c>
    </row>
    <row r="716">
      <c r="A716" s="16" t="inlineStr">
        <is>
          <t>RNL</t>
        </is>
      </c>
      <c r="B716" s="16" t="inlineStr">
        <is>
          <t>ISV-0045</t>
        </is>
      </c>
      <c r="C716" s="95" t="n">
        <v>46198</v>
      </c>
      <c r="D716" s="16" t="inlineStr">
        <is>
          <t>النظام الجديد</t>
        </is>
      </c>
      <c r="E716" s="16" t="inlineStr">
        <is>
          <t>SF98</t>
        </is>
      </c>
      <c r="F716" s="16" t="inlineStr">
        <is>
          <t>فينكا روزا مركن 9 سم أحمر</t>
        </is>
      </c>
      <c r="G716" s="16" t="n">
        <v>1000</v>
      </c>
      <c r="H716" s="16" t="inlineStr">
        <is>
          <t>EA</t>
        </is>
      </c>
      <c r="I716" s="17" t="n">
        <v>0.55</v>
      </c>
      <c r="J716" s="17" t="n">
        <v>550</v>
      </c>
    </row>
    <row r="717">
      <c r="A717" s="16" t="inlineStr">
        <is>
          <t>RNL</t>
        </is>
      </c>
      <c r="B717" s="16" t="inlineStr">
        <is>
          <t>ISV-0045</t>
        </is>
      </c>
      <c r="C717" s="95" t="n">
        <v>46198</v>
      </c>
      <c r="D717" s="16" t="inlineStr">
        <is>
          <t>النظام الجديد</t>
        </is>
      </c>
      <c r="E717" s="16" t="inlineStr">
        <is>
          <t>SF102</t>
        </is>
      </c>
      <c r="F717" s="16" t="inlineStr">
        <is>
          <t>فينكا روزا مركن 9 سم مشمشي</t>
        </is>
      </c>
      <c r="G717" s="16" t="n">
        <v>375</v>
      </c>
      <c r="H717" s="16" t="inlineStr">
        <is>
          <t>EA</t>
        </is>
      </c>
      <c r="I717" s="17" t="n">
        <v>0.55</v>
      </c>
      <c r="J717" s="17" t="n">
        <v>206.25</v>
      </c>
    </row>
    <row r="718">
      <c r="A718" s="16" t="inlineStr">
        <is>
          <t>RNL</t>
        </is>
      </c>
      <c r="B718" s="16" t="inlineStr">
        <is>
          <t>ISV-0045</t>
        </is>
      </c>
      <c r="C718" s="95" t="n">
        <v>46198</v>
      </c>
      <c r="D718" s="16" t="inlineStr">
        <is>
          <t>النظام الجديد</t>
        </is>
      </c>
      <c r="E718" s="16" t="inlineStr">
        <is>
          <t>SF105</t>
        </is>
      </c>
      <c r="F718" s="16" t="inlineStr">
        <is>
          <t>فينكا روزا مركن 9 سم برغندي</t>
        </is>
      </c>
      <c r="G718" s="16" t="n">
        <v>500</v>
      </c>
      <c r="H718" s="16" t="inlineStr">
        <is>
          <t>EA</t>
        </is>
      </c>
      <c r="I718" s="17" t="n">
        <v>0.55</v>
      </c>
      <c r="J718" s="17" t="n">
        <v>275</v>
      </c>
    </row>
    <row r="719">
      <c r="A719" s="16" t="inlineStr">
        <is>
          <t>RNL</t>
        </is>
      </c>
      <c r="B719" s="16" t="inlineStr">
        <is>
          <t>ISV-0045</t>
        </is>
      </c>
      <c r="C719" s="95" t="n">
        <v>46198</v>
      </c>
      <c r="D719" s="16" t="inlineStr">
        <is>
          <t>النظام الجديد</t>
        </is>
      </c>
      <c r="E719" s="16" t="inlineStr">
        <is>
          <t>SF106</t>
        </is>
      </c>
      <c r="F719" s="16" t="inlineStr">
        <is>
          <t>فينكا روزا مركن 9 سم برغندي هالو</t>
        </is>
      </c>
      <c r="G719" s="16" t="n">
        <v>500</v>
      </c>
      <c r="H719" s="16" t="inlineStr">
        <is>
          <t>EA</t>
        </is>
      </c>
      <c r="I719" s="17" t="n">
        <v>0.55</v>
      </c>
      <c r="J719" s="17" t="n">
        <v>275</v>
      </c>
    </row>
    <row r="720">
      <c r="A720" s="16" t="inlineStr">
        <is>
          <t>RNL</t>
        </is>
      </c>
      <c r="B720" s="16" t="inlineStr">
        <is>
          <t>ISV-0045</t>
        </is>
      </c>
      <c r="C720" s="95" t="n">
        <v>46198</v>
      </c>
      <c r="D720" s="16" t="inlineStr">
        <is>
          <t>النظام الجديد</t>
        </is>
      </c>
      <c r="E720" s="16" t="inlineStr">
        <is>
          <t>SF108</t>
        </is>
      </c>
      <c r="F720" s="16" t="inlineStr">
        <is>
          <t>فينكا روزا مركن 9 سم أوركيد عميق</t>
        </is>
      </c>
      <c r="G720" s="16" t="n">
        <v>1000</v>
      </c>
      <c r="H720" s="16" t="inlineStr">
        <is>
          <t>EA</t>
        </is>
      </c>
      <c r="I720" s="17" t="n">
        <v>0.55</v>
      </c>
      <c r="J720" s="17" t="n">
        <v>550</v>
      </c>
    </row>
    <row r="721">
      <c r="A721" s="9" t="n"/>
      <c r="B721" s="9" t="inlineStr">
        <is>
          <t>إجمالي ISV-0045</t>
        </is>
      </c>
      <c r="C721" s="9" t="n"/>
      <c r="D721" s="9" t="n"/>
      <c r="E721" s="9" t="n"/>
      <c r="F721" s="9" t="n"/>
      <c r="G721" s="9">
        <f>SUM(G715:G720)</f>
        <v/>
      </c>
      <c r="H721" s="9" t="n"/>
      <c r="I721" s="9" t="n"/>
      <c r="J721" s="10">
        <f>SUM(J715:J720)</f>
        <v/>
      </c>
    </row>
    <row r="722">
      <c r="A722" s="16" t="inlineStr">
        <is>
          <t>RNL</t>
        </is>
      </c>
      <c r="B722" s="16" t="inlineStr">
        <is>
          <t>ISV-0068</t>
        </is>
      </c>
      <c r="C722" s="95" t="n">
        <v>46204</v>
      </c>
      <c r="D722" s="16" t="inlineStr">
        <is>
          <t>النظام الجديد</t>
        </is>
      </c>
      <c r="E722" s="16" t="inlineStr">
        <is>
          <t>SF97</t>
        </is>
      </c>
      <c r="F722" s="16" t="inlineStr">
        <is>
          <t>فينكا روزا مركن 9 سم أبيض</t>
        </is>
      </c>
      <c r="G722" s="16" t="n">
        <v>350</v>
      </c>
      <c r="H722" s="16" t="inlineStr">
        <is>
          <t>EA</t>
        </is>
      </c>
      <c r="I722" s="17" t="n">
        <v>0.55</v>
      </c>
      <c r="J722" s="17" t="n">
        <v>192.5</v>
      </c>
    </row>
    <row r="723">
      <c r="A723" s="16" t="inlineStr">
        <is>
          <t>RNL</t>
        </is>
      </c>
      <c r="B723" s="16" t="inlineStr">
        <is>
          <t>ISV-0068</t>
        </is>
      </c>
      <c r="C723" s="95" t="n">
        <v>46204</v>
      </c>
      <c r="D723" s="16" t="inlineStr">
        <is>
          <t>النظام الجديد</t>
        </is>
      </c>
      <c r="E723" s="16" t="inlineStr">
        <is>
          <t>SF98</t>
        </is>
      </c>
      <c r="F723" s="16" t="inlineStr">
        <is>
          <t>فينكا روزا مركن 9 سم أحمر</t>
        </is>
      </c>
      <c r="G723" s="16" t="n">
        <v>350</v>
      </c>
      <c r="H723" s="16" t="inlineStr">
        <is>
          <t>EA</t>
        </is>
      </c>
      <c r="I723" s="17" t="n">
        <v>0.55</v>
      </c>
      <c r="J723" s="17" t="n">
        <v>192.5</v>
      </c>
    </row>
    <row r="724">
      <c r="A724" s="16" t="inlineStr">
        <is>
          <t>RNL</t>
        </is>
      </c>
      <c r="B724" s="16" t="inlineStr">
        <is>
          <t>ISV-0068</t>
        </is>
      </c>
      <c r="C724" s="95" t="n">
        <v>46204</v>
      </c>
      <c r="D724" s="16" t="inlineStr">
        <is>
          <t>النظام الجديد</t>
        </is>
      </c>
      <c r="E724" s="16" t="inlineStr">
        <is>
          <t>SF100</t>
        </is>
      </c>
      <c r="F724" s="16" t="inlineStr">
        <is>
          <t>فينكا روزا مركن 9 سم أبيض نقطة حمراء</t>
        </is>
      </c>
      <c r="G724" s="16" t="n">
        <v>250</v>
      </c>
      <c r="H724" s="16" t="inlineStr">
        <is>
          <t>EA</t>
        </is>
      </c>
      <c r="I724" s="17" t="n">
        <v>0.55</v>
      </c>
      <c r="J724" s="17" t="n">
        <v>137.5</v>
      </c>
    </row>
    <row r="725">
      <c r="A725" s="16" t="inlineStr">
        <is>
          <t>RNL</t>
        </is>
      </c>
      <c r="B725" s="16" t="inlineStr">
        <is>
          <t>ISV-0068</t>
        </is>
      </c>
      <c r="C725" s="95" t="n">
        <v>46204</v>
      </c>
      <c r="D725" s="16" t="inlineStr">
        <is>
          <t>النظام الجديد</t>
        </is>
      </c>
      <c r="E725" s="16" t="inlineStr">
        <is>
          <t>SF99</t>
        </is>
      </c>
      <c r="F725" s="16" t="inlineStr">
        <is>
          <t>فينكا روزا مركن 9 سم أحمر نقطة بيضاء</t>
        </is>
      </c>
      <c r="G725" s="16" t="n">
        <v>350</v>
      </c>
      <c r="H725" s="16" t="inlineStr">
        <is>
          <t>EA</t>
        </is>
      </c>
      <c r="I725" s="17" t="n">
        <v>0.55</v>
      </c>
      <c r="J725" s="17" t="n">
        <v>192.5</v>
      </c>
    </row>
    <row r="726">
      <c r="A726" s="16" t="inlineStr">
        <is>
          <t>RNL</t>
        </is>
      </c>
      <c r="B726" s="16" t="inlineStr">
        <is>
          <t>ISV-0068</t>
        </is>
      </c>
      <c r="C726" s="95" t="n">
        <v>46204</v>
      </c>
      <c r="D726" s="16" t="inlineStr">
        <is>
          <t>النظام الجديد</t>
        </is>
      </c>
      <c r="E726" s="16" t="inlineStr">
        <is>
          <t>SF103</t>
        </is>
      </c>
      <c r="F726" s="16" t="inlineStr">
        <is>
          <t>فينكا روزا مركن 9 سم بينك (وردي)</t>
        </is>
      </c>
      <c r="G726" s="16" t="n">
        <v>350</v>
      </c>
      <c r="H726" s="16" t="inlineStr">
        <is>
          <t>EA</t>
        </is>
      </c>
      <c r="I726" s="17" t="n">
        <v>0.55</v>
      </c>
      <c r="J726" s="17" t="n">
        <v>192.5</v>
      </c>
    </row>
    <row r="727">
      <c r="A727" s="16" t="inlineStr">
        <is>
          <t>RNL</t>
        </is>
      </c>
      <c r="B727" s="16" t="inlineStr">
        <is>
          <t>ISV-0068</t>
        </is>
      </c>
      <c r="C727" s="95" t="n">
        <v>46204</v>
      </c>
      <c r="D727" s="16" t="inlineStr">
        <is>
          <t>النظام الجديد</t>
        </is>
      </c>
      <c r="E727" s="16" t="inlineStr">
        <is>
          <t>SF102</t>
        </is>
      </c>
      <c r="F727" s="16" t="inlineStr">
        <is>
          <t>فينكا روزا مركن 9 سم مشمشي</t>
        </is>
      </c>
      <c r="G727" s="16" t="n">
        <v>500</v>
      </c>
      <c r="H727" s="16" t="inlineStr">
        <is>
          <t>EA</t>
        </is>
      </c>
      <c r="I727" s="17" t="n">
        <v>0.55</v>
      </c>
      <c r="J727" s="17" t="n">
        <v>275</v>
      </c>
    </row>
    <row r="728">
      <c r="A728" s="16" t="inlineStr">
        <is>
          <t>RNL</t>
        </is>
      </c>
      <c r="B728" s="16" t="inlineStr">
        <is>
          <t>ISV-0068</t>
        </is>
      </c>
      <c r="C728" s="95" t="n">
        <v>46204</v>
      </c>
      <c r="D728" s="16" t="inlineStr">
        <is>
          <t>النظام الجديد</t>
        </is>
      </c>
      <c r="E728" s="16" t="inlineStr">
        <is>
          <t>SF105</t>
        </is>
      </c>
      <c r="F728" s="16" t="inlineStr">
        <is>
          <t>فينكا روزا مركن 9 سم برغندي</t>
        </is>
      </c>
      <c r="G728" s="16" t="n">
        <v>350</v>
      </c>
      <c r="H728" s="16" t="inlineStr">
        <is>
          <t>EA</t>
        </is>
      </c>
      <c r="I728" s="17" t="n">
        <v>0.55</v>
      </c>
      <c r="J728" s="17" t="n">
        <v>192.5</v>
      </c>
    </row>
    <row r="729">
      <c r="A729" s="16" t="inlineStr">
        <is>
          <t>RNL</t>
        </is>
      </c>
      <c r="B729" s="16" t="inlineStr">
        <is>
          <t>ISV-0068</t>
        </is>
      </c>
      <c r="C729" s="95" t="n">
        <v>46204</v>
      </c>
      <c r="D729" s="16" t="inlineStr">
        <is>
          <t>النظام الجديد</t>
        </is>
      </c>
      <c r="E729" s="16" t="inlineStr">
        <is>
          <t>SF106</t>
        </is>
      </c>
      <c r="F729" s="16" t="inlineStr">
        <is>
          <t>فينكا روزا مركن 9 سم برغندي هالو</t>
        </is>
      </c>
      <c r="G729" s="16" t="n">
        <v>425</v>
      </c>
      <c r="H729" s="16" t="inlineStr">
        <is>
          <t>EA</t>
        </is>
      </c>
      <c r="I729" s="17" t="n">
        <v>0.55</v>
      </c>
      <c r="J729" s="17" t="n">
        <v>233.75</v>
      </c>
    </row>
    <row r="730">
      <c r="A730" s="16" t="inlineStr">
        <is>
          <t>RNL</t>
        </is>
      </c>
      <c r="B730" s="16" t="inlineStr">
        <is>
          <t>ISV-0068</t>
        </is>
      </c>
      <c r="C730" s="95" t="n">
        <v>46204</v>
      </c>
      <c r="D730" s="16" t="inlineStr">
        <is>
          <t>النظام الجديد</t>
        </is>
      </c>
      <c r="E730" s="16" t="inlineStr">
        <is>
          <t>SF108</t>
        </is>
      </c>
      <c r="F730" s="16" t="inlineStr">
        <is>
          <t>فينكا روزا مركن 9 سم أوركيد عميق</t>
        </is>
      </c>
      <c r="G730" s="16" t="n">
        <v>300</v>
      </c>
      <c r="H730" s="16" t="inlineStr">
        <is>
          <t>EA</t>
        </is>
      </c>
      <c r="I730" s="17" t="n">
        <v>0.55</v>
      </c>
      <c r="J730" s="17" t="n">
        <v>165</v>
      </c>
    </row>
    <row r="731">
      <c r="A731" s="9" t="n"/>
      <c r="B731" s="9" t="inlineStr">
        <is>
          <t>إجمالي ISV-0068</t>
        </is>
      </c>
      <c r="C731" s="9" t="n"/>
      <c r="D731" s="9" t="n"/>
      <c r="E731" s="9" t="n"/>
      <c r="F731" s="9" t="n"/>
      <c r="G731" s="9">
        <f>SUM(G722:G730)</f>
        <v/>
      </c>
      <c r="H731" s="9" t="n"/>
      <c r="I731" s="9" t="n"/>
      <c r="J731" s="10">
        <f>SUM(J722:J730)</f>
        <v/>
      </c>
    </row>
    <row r="732">
      <c r="A732" s="16" t="inlineStr">
        <is>
          <t>RNL</t>
        </is>
      </c>
      <c r="B732" s="16" t="inlineStr">
        <is>
          <t>ISV-0089</t>
        </is>
      </c>
      <c r="C732" s="95" t="n">
        <v>46214</v>
      </c>
      <c r="D732" s="16" t="inlineStr">
        <is>
          <t>النظام الجديد</t>
        </is>
      </c>
      <c r="E732" s="16" t="inlineStr">
        <is>
          <t>SF105</t>
        </is>
      </c>
      <c r="F732" s="16" t="inlineStr">
        <is>
          <t>فينكا روزا مركن 9 سم برغندي</t>
        </is>
      </c>
      <c r="G732" s="16" t="n">
        <v>2200</v>
      </c>
      <c r="H732" s="16" t="inlineStr">
        <is>
          <t>EA</t>
        </is>
      </c>
      <c r="I732" s="17" t="n">
        <v>0.55</v>
      </c>
      <c r="J732" s="17" t="n">
        <v>1210</v>
      </c>
    </row>
    <row r="733">
      <c r="A733" s="16" t="inlineStr">
        <is>
          <t>RNL</t>
        </is>
      </c>
      <c r="B733" s="16" t="inlineStr">
        <is>
          <t>ISV-0089</t>
        </is>
      </c>
      <c r="C733" s="95" t="n">
        <v>46214</v>
      </c>
      <c r="D733" s="16" t="inlineStr">
        <is>
          <t>النظام الجديد</t>
        </is>
      </c>
      <c r="E733" s="16" t="inlineStr">
        <is>
          <t>SF108</t>
        </is>
      </c>
      <c r="F733" s="16" t="inlineStr">
        <is>
          <t>فينكا روزا مركن 9 سم أوركيد عميق</t>
        </is>
      </c>
      <c r="G733" s="16" t="n">
        <v>1000</v>
      </c>
      <c r="H733" s="16" t="inlineStr">
        <is>
          <t>EA</t>
        </is>
      </c>
      <c r="I733" s="17" t="n">
        <v>0.55</v>
      </c>
      <c r="J733" s="17" t="n">
        <v>550</v>
      </c>
    </row>
    <row r="734">
      <c r="A734" s="16" t="inlineStr">
        <is>
          <t>RNL</t>
        </is>
      </c>
      <c r="B734" s="16" t="inlineStr">
        <is>
          <t>ISV-0089</t>
        </is>
      </c>
      <c r="C734" s="95" t="n">
        <v>46214</v>
      </c>
      <c r="D734" s="16" t="inlineStr">
        <is>
          <t>النظام الجديد</t>
        </is>
      </c>
      <c r="E734" s="16" t="inlineStr">
        <is>
          <t>SF106</t>
        </is>
      </c>
      <c r="F734" s="16" t="inlineStr">
        <is>
          <t>فينكا روزا مركن 9 سم برغندي هالو</t>
        </is>
      </c>
      <c r="G734" s="16" t="n">
        <v>1800</v>
      </c>
      <c r="H734" s="16" t="inlineStr">
        <is>
          <t>EA</t>
        </is>
      </c>
      <c r="I734" s="17" t="n">
        <v>0.55</v>
      </c>
      <c r="J734" s="17" t="n">
        <v>990</v>
      </c>
    </row>
    <row r="735">
      <c r="A735" s="16" t="inlineStr">
        <is>
          <t>RNL</t>
        </is>
      </c>
      <c r="B735" s="16" t="inlineStr">
        <is>
          <t>ISV-0089</t>
        </is>
      </c>
      <c r="C735" s="95" t="n">
        <v>46214</v>
      </c>
      <c r="D735" s="16" t="inlineStr">
        <is>
          <t>النظام الجديد</t>
        </is>
      </c>
      <c r="E735" s="16" t="inlineStr">
        <is>
          <t>SF99</t>
        </is>
      </c>
      <c r="F735" s="16" t="inlineStr">
        <is>
          <t>فينكا روزا مركن 9 سم أحمر نقطة بيضاء</t>
        </is>
      </c>
      <c r="G735" s="16" t="n">
        <v>850</v>
      </c>
      <c r="H735" s="16" t="inlineStr">
        <is>
          <t>EA</t>
        </is>
      </c>
      <c r="I735" s="17" t="n">
        <v>0.55</v>
      </c>
      <c r="J735" s="17" t="n">
        <v>467.5</v>
      </c>
    </row>
    <row r="736">
      <c r="A736" s="16" t="inlineStr">
        <is>
          <t>RNL</t>
        </is>
      </c>
      <c r="B736" s="16" t="inlineStr">
        <is>
          <t>ISV-0089</t>
        </is>
      </c>
      <c r="C736" s="95" t="n">
        <v>46214</v>
      </c>
      <c r="D736" s="16" t="inlineStr">
        <is>
          <t>النظام الجديد</t>
        </is>
      </c>
      <c r="E736" s="16" t="inlineStr">
        <is>
          <t>SF100</t>
        </is>
      </c>
      <c r="F736" s="16" t="inlineStr">
        <is>
          <t>فينكا روزا مركن 9 سم أبيض نقطة حمراء</t>
        </is>
      </c>
      <c r="G736" s="16" t="n">
        <v>1000</v>
      </c>
      <c r="H736" s="16" t="inlineStr">
        <is>
          <t>EA</t>
        </is>
      </c>
      <c r="I736" s="17" t="n">
        <v>0.55</v>
      </c>
      <c r="J736" s="17" t="n">
        <v>550</v>
      </c>
    </row>
    <row r="737">
      <c r="A737" s="9" t="n"/>
      <c r="B737" s="9" t="inlineStr">
        <is>
          <t>إجمالي ISV-0089</t>
        </is>
      </c>
      <c r="C737" s="9" t="n"/>
      <c r="D737" s="9" t="n"/>
      <c r="E737" s="9" t="n"/>
      <c r="F737" s="9" t="n"/>
      <c r="G737" s="9">
        <f>SUM(G732:G736)</f>
        <v/>
      </c>
      <c r="H737" s="9" t="n"/>
      <c r="I737" s="9" t="n"/>
      <c r="J737" s="10">
        <f>SUM(J732:J736)</f>
        <v/>
      </c>
    </row>
    <row r="738">
      <c r="A738" s="16" t="inlineStr">
        <is>
          <t>RNL</t>
        </is>
      </c>
      <c r="B738" s="16" t="inlineStr">
        <is>
          <t>ISV-0103</t>
        </is>
      </c>
      <c r="C738" s="95" t="n">
        <v>46218</v>
      </c>
      <c r="D738" s="16" t="inlineStr">
        <is>
          <t>النظام الجديد</t>
        </is>
      </c>
      <c r="E738" s="16" t="inlineStr">
        <is>
          <t>SF123</t>
        </is>
      </c>
      <c r="F738" s="16" t="inlineStr">
        <is>
          <t>زهور زينيا سنجل مركن 9 سم أبيض</t>
        </is>
      </c>
      <c r="G738" s="16" t="n">
        <v>475</v>
      </c>
      <c r="H738" s="16" t="inlineStr">
        <is>
          <t>EA</t>
        </is>
      </c>
      <c r="I738" s="17" t="n">
        <v>0.55</v>
      </c>
      <c r="J738" s="17" t="n">
        <v>261.25</v>
      </c>
    </row>
    <row r="739">
      <c r="A739" s="16" t="inlineStr">
        <is>
          <t>RNL</t>
        </is>
      </c>
      <c r="B739" s="16" t="inlineStr">
        <is>
          <t>ISV-0103</t>
        </is>
      </c>
      <c r="C739" s="95" t="n">
        <v>46218</v>
      </c>
      <c r="D739" s="16" t="inlineStr">
        <is>
          <t>النظام الجديد</t>
        </is>
      </c>
      <c r="E739" s="16" t="inlineStr">
        <is>
          <t>SF124</t>
        </is>
      </c>
      <c r="F739" s="16" t="inlineStr">
        <is>
          <t>زهور زينيا سنجل مركن 9 سم أحمر</t>
        </is>
      </c>
      <c r="G739" s="16" t="n">
        <v>300</v>
      </c>
      <c r="H739" s="16" t="inlineStr">
        <is>
          <t>EA</t>
        </is>
      </c>
      <c r="I739" s="17" t="n">
        <v>0.55</v>
      </c>
      <c r="J739" s="17" t="n">
        <v>165</v>
      </c>
    </row>
    <row r="740">
      <c r="A740" s="16" t="inlineStr">
        <is>
          <t>RNL</t>
        </is>
      </c>
      <c r="B740" s="16" t="inlineStr">
        <is>
          <t>ISV-0103</t>
        </is>
      </c>
      <c r="C740" s="95" t="n">
        <v>46218</v>
      </c>
      <c r="D740" s="16" t="inlineStr">
        <is>
          <t>النظام الجديد</t>
        </is>
      </c>
      <c r="E740" s="16" t="inlineStr">
        <is>
          <t>SF125</t>
        </is>
      </c>
      <c r="F740" s="16" t="inlineStr">
        <is>
          <t>زهور زينيا سنجل مركن 9 سم أصفر</t>
        </is>
      </c>
      <c r="G740" s="16" t="n">
        <v>350</v>
      </c>
      <c r="H740" s="16" t="inlineStr">
        <is>
          <t>EA</t>
        </is>
      </c>
      <c r="I740" s="17" t="n">
        <v>0.55</v>
      </c>
      <c r="J740" s="17" t="n">
        <v>192.5</v>
      </c>
    </row>
    <row r="741">
      <c r="A741" s="16" t="inlineStr">
        <is>
          <t>RNL</t>
        </is>
      </c>
      <c r="B741" s="16" t="inlineStr">
        <is>
          <t>ISV-0103</t>
        </is>
      </c>
      <c r="C741" s="95" t="n">
        <v>46218</v>
      </c>
      <c r="D741" s="16" t="inlineStr">
        <is>
          <t>النظام الجديد</t>
        </is>
      </c>
      <c r="E741" s="16" t="inlineStr">
        <is>
          <t>SF126</t>
        </is>
      </c>
      <c r="F741" s="16" t="inlineStr">
        <is>
          <t>زهور زينيا سنجل مركن 9 سم برتقالي</t>
        </is>
      </c>
      <c r="G741" s="16" t="n">
        <v>300</v>
      </c>
      <c r="H741" s="16" t="inlineStr">
        <is>
          <t>EA</t>
        </is>
      </c>
      <c r="I741" s="17" t="n">
        <v>0.55</v>
      </c>
      <c r="J741" s="17" t="n">
        <v>165</v>
      </c>
    </row>
    <row r="742">
      <c r="A742" s="16" t="inlineStr">
        <is>
          <t>RNL</t>
        </is>
      </c>
      <c r="B742" s="16" t="inlineStr">
        <is>
          <t>ISV-0103</t>
        </is>
      </c>
      <c r="C742" s="95" t="n">
        <v>46218</v>
      </c>
      <c r="D742" s="16" t="inlineStr">
        <is>
          <t>النظام الجديد</t>
        </is>
      </c>
      <c r="E742" s="16" t="inlineStr">
        <is>
          <t>SF127</t>
        </is>
      </c>
      <c r="F742" s="16" t="inlineStr">
        <is>
          <t>زهور زينيا سنجل مركن 9 سم ناري</t>
        </is>
      </c>
      <c r="G742" s="16" t="n">
        <v>775</v>
      </c>
      <c r="H742" s="16" t="inlineStr">
        <is>
          <t>EA</t>
        </is>
      </c>
      <c r="I742" s="17" t="n">
        <v>0.55</v>
      </c>
      <c r="J742" s="17" t="n">
        <v>426.25</v>
      </c>
    </row>
    <row r="743">
      <c r="A743" s="16" t="inlineStr">
        <is>
          <t>RNL</t>
        </is>
      </c>
      <c r="B743" s="16" t="inlineStr">
        <is>
          <t>ISV-0103</t>
        </is>
      </c>
      <c r="C743" s="95" t="n">
        <v>46218</v>
      </c>
      <c r="D743" s="16" t="inlineStr">
        <is>
          <t>النظام الجديد</t>
        </is>
      </c>
      <c r="E743" s="16" t="inlineStr">
        <is>
          <t>SF128</t>
        </is>
      </c>
      <c r="F743" s="16" t="inlineStr">
        <is>
          <t>زهور زينيا سنجل مركن 9 سم ليموني</t>
        </is>
      </c>
      <c r="G743" s="16" t="n">
        <v>475</v>
      </c>
      <c r="H743" s="16" t="inlineStr">
        <is>
          <t>EA</t>
        </is>
      </c>
      <c r="I743" s="17" t="n">
        <v>0.55</v>
      </c>
      <c r="J743" s="17" t="n">
        <v>261.25</v>
      </c>
    </row>
    <row r="744">
      <c r="A744" s="16" t="inlineStr">
        <is>
          <t>RNL</t>
        </is>
      </c>
      <c r="B744" s="16" t="inlineStr">
        <is>
          <t>ISV-0103</t>
        </is>
      </c>
      <c r="C744" s="95" t="n">
        <v>46218</v>
      </c>
      <c r="D744" s="16" t="inlineStr">
        <is>
          <t>النظام الجديد</t>
        </is>
      </c>
      <c r="E744" s="16" t="inlineStr">
        <is>
          <t>SF129</t>
        </is>
      </c>
      <c r="F744" s="16" t="inlineStr">
        <is>
          <t>زهور زينيا سنجل مركن 9 سم كرزي</t>
        </is>
      </c>
      <c r="G744" s="16" t="n">
        <v>475</v>
      </c>
      <c r="H744" s="16" t="inlineStr">
        <is>
          <t>EA</t>
        </is>
      </c>
      <c r="I744" s="17" t="n">
        <v>0.55</v>
      </c>
      <c r="J744" s="17" t="n">
        <v>261.25</v>
      </c>
    </row>
    <row r="745">
      <c r="A745" s="16" t="inlineStr">
        <is>
          <t>RNL</t>
        </is>
      </c>
      <c r="B745" s="16" t="inlineStr">
        <is>
          <t>ISV-0103</t>
        </is>
      </c>
      <c r="C745" s="95" t="n">
        <v>46218</v>
      </c>
      <c r="D745" s="16" t="inlineStr">
        <is>
          <t>النظام الجديد</t>
        </is>
      </c>
      <c r="E745" s="16" t="inlineStr">
        <is>
          <t>SF130</t>
        </is>
      </c>
      <c r="F745" s="16" t="inlineStr">
        <is>
          <t>زهور زينيا سنجل مركن 9 سم كرزي ثنائي اللون</t>
        </is>
      </c>
      <c r="G745" s="16" t="n">
        <v>475</v>
      </c>
      <c r="H745" s="16" t="inlineStr">
        <is>
          <t>EA</t>
        </is>
      </c>
      <c r="I745" s="17" t="n">
        <v>0.55</v>
      </c>
      <c r="J745" s="17" t="n">
        <v>261.25</v>
      </c>
    </row>
    <row r="746">
      <c r="A746" s="9" t="n"/>
      <c r="B746" s="9" t="inlineStr">
        <is>
          <t>إجمالي ISV-0103</t>
        </is>
      </c>
      <c r="C746" s="9" t="n"/>
      <c r="D746" s="9" t="n"/>
      <c r="E746" s="9" t="n"/>
      <c r="F746" s="9" t="n"/>
      <c r="G746" s="9">
        <f>SUM(G738:G745)</f>
        <v/>
      </c>
      <c r="H746" s="9" t="n"/>
      <c r="I746" s="9" t="n"/>
      <c r="J746" s="10">
        <f>SUM(J738:J745)</f>
        <v/>
      </c>
    </row>
    <row r="747">
      <c r="A747" s="16" t="inlineStr">
        <is>
          <t>RNL</t>
        </is>
      </c>
      <c r="B747" s="16" t="inlineStr">
        <is>
          <t>ISV-0104</t>
        </is>
      </c>
      <c r="C747" s="95" t="n">
        <v>46218</v>
      </c>
      <c r="D747" s="16" t="inlineStr">
        <is>
          <t>النظام الجديد</t>
        </is>
      </c>
      <c r="E747" s="16" t="inlineStr">
        <is>
          <t>SF103</t>
        </is>
      </c>
      <c r="F747" s="16" t="inlineStr">
        <is>
          <t>فينكا روزا مركن 9 سم بينك (وردي)</t>
        </is>
      </c>
      <c r="G747" s="16" t="n">
        <v>1900</v>
      </c>
      <c r="H747" s="16" t="inlineStr">
        <is>
          <t>EA</t>
        </is>
      </c>
      <c r="I747" s="17" t="n">
        <v>0.55</v>
      </c>
      <c r="J747" s="17" t="n">
        <v>1045</v>
      </c>
    </row>
    <row r="748">
      <c r="A748" s="16" t="inlineStr">
        <is>
          <t>RNL</t>
        </is>
      </c>
      <c r="B748" s="16" t="inlineStr">
        <is>
          <t>ISV-0104</t>
        </is>
      </c>
      <c r="C748" s="95" t="n">
        <v>46218</v>
      </c>
      <c r="D748" s="16" t="inlineStr">
        <is>
          <t>النظام الجديد</t>
        </is>
      </c>
      <c r="E748" s="16" t="inlineStr">
        <is>
          <t>SF105</t>
        </is>
      </c>
      <c r="F748" s="16" t="inlineStr">
        <is>
          <t>فينكا روزا مركن 9 سم برغندي</t>
        </is>
      </c>
      <c r="G748" s="16" t="n">
        <v>1600</v>
      </c>
      <c r="H748" s="16" t="inlineStr">
        <is>
          <t>EA</t>
        </is>
      </c>
      <c r="I748" s="17" t="n">
        <v>0.55</v>
      </c>
      <c r="J748" s="17" t="n">
        <v>880</v>
      </c>
    </row>
    <row r="749">
      <c r="A749" s="16" t="inlineStr">
        <is>
          <t>RNL</t>
        </is>
      </c>
      <c r="B749" s="16" t="inlineStr">
        <is>
          <t>ISV-0104</t>
        </is>
      </c>
      <c r="C749" s="95" t="n">
        <v>46218</v>
      </c>
      <c r="D749" s="16" t="inlineStr">
        <is>
          <t>النظام الجديد</t>
        </is>
      </c>
      <c r="E749" s="16" t="inlineStr">
        <is>
          <t>SF98</t>
        </is>
      </c>
      <c r="F749" s="16" t="inlineStr">
        <is>
          <t>فينكا روزا مركن 9 سم أحمر</t>
        </is>
      </c>
      <c r="G749" s="16" t="n">
        <v>1350</v>
      </c>
      <c r="H749" s="16" t="inlineStr">
        <is>
          <t>EA</t>
        </is>
      </c>
      <c r="I749" s="17" t="n">
        <v>0.55</v>
      </c>
      <c r="J749" s="17" t="n">
        <v>742.5</v>
      </c>
    </row>
    <row r="750">
      <c r="A750" s="16" t="inlineStr">
        <is>
          <t>RNL</t>
        </is>
      </c>
      <c r="B750" s="16" t="inlineStr">
        <is>
          <t>ISV-0104</t>
        </is>
      </c>
      <c r="C750" s="95" t="n">
        <v>46218</v>
      </c>
      <c r="D750" s="16" t="inlineStr">
        <is>
          <t>النظام الجديد</t>
        </is>
      </c>
      <c r="E750" s="16" t="inlineStr">
        <is>
          <t>SF108</t>
        </is>
      </c>
      <c r="F750" s="16" t="inlineStr">
        <is>
          <t>فينكا روزا مركن 9 سم أوركيد عميق</t>
        </is>
      </c>
      <c r="G750" s="16" t="n">
        <v>500</v>
      </c>
      <c r="H750" s="16" t="inlineStr">
        <is>
          <t>EA</t>
        </is>
      </c>
      <c r="I750" s="17" t="n">
        <v>0.55</v>
      </c>
      <c r="J750" s="17" t="n">
        <v>275</v>
      </c>
    </row>
    <row r="751">
      <c r="A751" s="9" t="n"/>
      <c r="B751" s="9" t="inlineStr">
        <is>
          <t>إجمالي ISV-0104</t>
        </is>
      </c>
      <c r="C751" s="9" t="n"/>
      <c r="D751" s="9" t="n"/>
      <c r="E751" s="9" t="n"/>
      <c r="F751" s="9" t="n"/>
      <c r="G751" s="9">
        <f>SUM(G747:G750)</f>
        <v/>
      </c>
      <c r="H751" s="9" t="n"/>
      <c r="I751" s="9" t="n"/>
      <c r="J751" s="10">
        <f>SUM(J747:J750)</f>
        <v/>
      </c>
    </row>
    <row r="752">
      <c r="A752" s="16" t="inlineStr">
        <is>
          <t>RNL</t>
        </is>
      </c>
      <c r="B752" s="16" t="inlineStr">
        <is>
          <t>ISV-0109</t>
        </is>
      </c>
      <c r="C752" s="95" t="n">
        <v>46222</v>
      </c>
      <c r="D752" s="16" t="inlineStr">
        <is>
          <t>النظام الجديد</t>
        </is>
      </c>
      <c r="E752" s="16" t="inlineStr">
        <is>
          <t>SF99</t>
        </is>
      </c>
      <c r="F752" s="16" t="inlineStr">
        <is>
          <t>فينكا روزا مركن 9 سم أحمر نقطة بيضاء</t>
        </is>
      </c>
      <c r="G752" s="16" t="n">
        <v>1375</v>
      </c>
      <c r="H752" s="16" t="inlineStr">
        <is>
          <t>EA</t>
        </is>
      </c>
      <c r="I752" s="17" t="n">
        <v>0.55</v>
      </c>
      <c r="J752" s="17" t="n">
        <v>756.25</v>
      </c>
    </row>
    <row r="753">
      <c r="A753" s="16" t="inlineStr">
        <is>
          <t>RNL</t>
        </is>
      </c>
      <c r="B753" s="16" t="inlineStr">
        <is>
          <t>ISV-0109</t>
        </is>
      </c>
      <c r="C753" s="95" t="n">
        <v>46222</v>
      </c>
      <c r="D753" s="16" t="inlineStr">
        <is>
          <t>النظام الجديد</t>
        </is>
      </c>
      <c r="E753" s="16" t="inlineStr">
        <is>
          <t>SF108</t>
        </is>
      </c>
      <c r="F753" s="16" t="inlineStr">
        <is>
          <t>فينكا روزا مركن 9 سم أوركيد عميق</t>
        </is>
      </c>
      <c r="G753" s="16" t="n">
        <v>2000</v>
      </c>
      <c r="H753" s="16" t="inlineStr">
        <is>
          <t>EA</t>
        </is>
      </c>
      <c r="I753" s="17" t="n">
        <v>0.55</v>
      </c>
      <c r="J753" s="17" t="n">
        <v>1100</v>
      </c>
    </row>
    <row r="754">
      <c r="A754" s="16" t="inlineStr">
        <is>
          <t>RNL</t>
        </is>
      </c>
      <c r="B754" s="16" t="inlineStr">
        <is>
          <t>ISV-0109</t>
        </is>
      </c>
      <c r="C754" s="95" t="n">
        <v>46222</v>
      </c>
      <c r="D754" s="16" t="inlineStr">
        <is>
          <t>النظام الجديد</t>
        </is>
      </c>
      <c r="E754" s="16" t="inlineStr">
        <is>
          <t>SF105</t>
        </is>
      </c>
      <c r="F754" s="16" t="inlineStr">
        <is>
          <t>فينكا روزا مركن 9 سم برغندي</t>
        </is>
      </c>
      <c r="G754" s="16" t="n">
        <v>2000</v>
      </c>
      <c r="H754" s="16" t="inlineStr">
        <is>
          <t>EA</t>
        </is>
      </c>
      <c r="I754" s="17" t="n">
        <v>0.55</v>
      </c>
      <c r="J754" s="17" t="n">
        <v>1100</v>
      </c>
    </row>
    <row r="755">
      <c r="A755" s="16" t="inlineStr">
        <is>
          <t>RNL</t>
        </is>
      </c>
      <c r="B755" s="16" t="inlineStr">
        <is>
          <t>ISV-0109</t>
        </is>
      </c>
      <c r="C755" s="95" t="n">
        <v>46222</v>
      </c>
      <c r="D755" s="16" t="inlineStr">
        <is>
          <t>النظام الجديد</t>
        </is>
      </c>
      <c r="E755" s="16" t="inlineStr">
        <is>
          <t>SF102</t>
        </is>
      </c>
      <c r="F755" s="16" t="inlineStr">
        <is>
          <t>فينكا روزا مركن 9 سم مشمشي</t>
        </is>
      </c>
      <c r="G755" s="16" t="n">
        <v>670</v>
      </c>
      <c r="H755" s="16" t="inlineStr">
        <is>
          <t>EA</t>
        </is>
      </c>
      <c r="I755" s="17" t="n">
        <v>0.55</v>
      </c>
      <c r="J755" s="17" t="n">
        <v>368.5</v>
      </c>
    </row>
    <row r="756">
      <c r="A756" s="16" t="inlineStr">
        <is>
          <t>RNL</t>
        </is>
      </c>
      <c r="B756" s="16" t="inlineStr">
        <is>
          <t>ISV-0109</t>
        </is>
      </c>
      <c r="C756" s="95" t="n">
        <v>46222</v>
      </c>
      <c r="D756" s="16" t="inlineStr">
        <is>
          <t>النظام الجديد</t>
        </is>
      </c>
      <c r="E756" s="16" t="inlineStr">
        <is>
          <t>SF100</t>
        </is>
      </c>
      <c r="F756" s="16" t="inlineStr">
        <is>
          <t>فينكا روزا مركن 9 سم أبيض نقطة حمراء</t>
        </is>
      </c>
      <c r="G756" s="16" t="n">
        <v>525</v>
      </c>
      <c r="H756" s="16" t="inlineStr">
        <is>
          <t>EA</t>
        </is>
      </c>
      <c r="I756" s="17" t="n">
        <v>0.55</v>
      </c>
      <c r="J756" s="17" t="n">
        <v>288.75</v>
      </c>
    </row>
    <row r="757">
      <c r="A757" s="9" t="n"/>
      <c r="B757" s="9" t="inlineStr">
        <is>
          <t>إجمالي ISV-0109</t>
        </is>
      </c>
      <c r="C757" s="9" t="n"/>
      <c r="D757" s="9" t="n"/>
      <c r="E757" s="9" t="n"/>
      <c r="F757" s="9" t="n"/>
      <c r="G757" s="9">
        <f>SUM(G752:G756)</f>
        <v/>
      </c>
      <c r="H757" s="9" t="n"/>
      <c r="I757" s="9" t="n"/>
      <c r="J757" s="10">
        <f>SUM(J752:J756)</f>
        <v/>
      </c>
    </row>
    <row r="758">
      <c r="A758" s="16" t="inlineStr">
        <is>
          <t>RNL</t>
        </is>
      </c>
      <c r="B758" s="16" t="inlineStr">
        <is>
          <t>ISV-0121</t>
        </is>
      </c>
      <c r="C758" s="95" t="n">
        <v>46226</v>
      </c>
      <c r="D758" s="16" t="inlineStr">
        <is>
          <t>النظام الجديد</t>
        </is>
      </c>
      <c r="E758" s="16" t="inlineStr">
        <is>
          <t>SF69</t>
        </is>
      </c>
      <c r="F758" s="16" t="inlineStr">
        <is>
          <t>زهور جرانيوم مركن 9 سم أبيض</t>
        </is>
      </c>
      <c r="G758" s="16" t="n">
        <v>3775</v>
      </c>
      <c r="H758" s="16" t="inlineStr">
        <is>
          <t>EA</t>
        </is>
      </c>
      <c r="I758" s="17" t="n">
        <v>0.95</v>
      </c>
      <c r="J758" s="17" t="n">
        <v>3586.25</v>
      </c>
    </row>
    <row r="759">
      <c r="A759" s="9" t="n"/>
      <c r="B759" s="9" t="inlineStr">
        <is>
          <t>إجمالي ISV-0121</t>
        </is>
      </c>
      <c r="C759" s="9" t="n"/>
      <c r="D759" s="9" t="n"/>
      <c r="E759" s="9" t="n"/>
      <c r="F759" s="9" t="n"/>
      <c r="G759" s="9">
        <f>SUM(G758:G758)</f>
        <v/>
      </c>
      <c r="H759" s="9" t="n"/>
      <c r="I759" s="9" t="n"/>
      <c r="J759" s="10">
        <f>SUM(J758:J758)</f>
        <v/>
      </c>
    </row>
    <row r="760">
      <c r="A760" s="16" t="inlineStr">
        <is>
          <t>RNL</t>
        </is>
      </c>
      <c r="B760" s="16" t="inlineStr">
        <is>
          <t>ISV-0124</t>
        </is>
      </c>
      <c r="C760" s="95" t="n">
        <v>46228</v>
      </c>
      <c r="D760" s="16" t="inlineStr">
        <is>
          <t>النظام الجديد</t>
        </is>
      </c>
      <c r="E760" s="16" t="inlineStr">
        <is>
          <t>SF164</t>
        </is>
      </c>
      <c r="F760" s="16" t="inlineStr">
        <is>
          <t>زهور جيرانيوم مركن 12 سم</t>
        </is>
      </c>
      <c r="G760" s="16" t="n">
        <v>1500</v>
      </c>
      <c r="H760" s="16" t="inlineStr">
        <is>
          <t>EA</t>
        </is>
      </c>
      <c r="I760" s="17" t="n">
        <v>2.1</v>
      </c>
      <c r="J760" s="17" t="n">
        <v>3150</v>
      </c>
    </row>
    <row r="761">
      <c r="A761" s="9" t="n"/>
      <c r="B761" s="9" t="inlineStr">
        <is>
          <t>إجمالي ISV-0124</t>
        </is>
      </c>
      <c r="C761" s="9" t="n"/>
      <c r="D761" s="9" t="n"/>
      <c r="E761" s="9" t="n"/>
      <c r="F761" s="9" t="n"/>
      <c r="G761" s="9">
        <f>SUM(G760:G760)</f>
        <v/>
      </c>
      <c r="H761" s="9" t="n"/>
      <c r="I761" s="9" t="n"/>
      <c r="J761" s="10">
        <f>SUM(J760:J760)</f>
        <v/>
      </c>
    </row>
    <row r="762">
      <c r="A762" s="16" t="inlineStr">
        <is>
          <t>RNL</t>
        </is>
      </c>
      <c r="B762" s="16" t="inlineStr">
        <is>
          <t>ISV-0125</t>
        </is>
      </c>
      <c r="C762" s="95" t="n">
        <v>46228</v>
      </c>
      <c r="D762" s="16" t="inlineStr">
        <is>
          <t>النظام الجديد</t>
        </is>
      </c>
      <c r="E762" s="16" t="inlineStr">
        <is>
          <t>SF105</t>
        </is>
      </c>
      <c r="F762" s="16" t="inlineStr">
        <is>
          <t>فينكا روزا مركن 9 سم برغندي</t>
        </is>
      </c>
      <c r="G762" s="16" t="n">
        <v>2300</v>
      </c>
      <c r="H762" s="16" t="inlineStr">
        <is>
          <t>EA</t>
        </is>
      </c>
      <c r="I762" s="17" t="n">
        <v>0.55</v>
      </c>
      <c r="J762" s="17" t="n">
        <v>1265</v>
      </c>
    </row>
    <row r="763">
      <c r="A763" s="16" t="inlineStr">
        <is>
          <t>RNL</t>
        </is>
      </c>
      <c r="B763" s="16" t="inlineStr">
        <is>
          <t>ISV-0125</t>
        </is>
      </c>
      <c r="C763" s="95" t="n">
        <v>46228</v>
      </c>
      <c r="D763" s="16" t="inlineStr">
        <is>
          <t>النظام الجديد</t>
        </is>
      </c>
      <c r="E763" s="16" t="inlineStr">
        <is>
          <t>SF108</t>
        </is>
      </c>
      <c r="F763" s="16" t="inlineStr">
        <is>
          <t>فينكا روزا مركن 9 سم أوركيد عميق</t>
        </is>
      </c>
      <c r="G763" s="16" t="n">
        <v>2300</v>
      </c>
      <c r="H763" s="16" t="inlineStr">
        <is>
          <t>EA</t>
        </is>
      </c>
      <c r="I763" s="17" t="n">
        <v>0.55</v>
      </c>
      <c r="J763" s="17" t="n">
        <v>1265</v>
      </c>
    </row>
    <row r="764">
      <c r="A764" s="16" t="inlineStr">
        <is>
          <t>RNL</t>
        </is>
      </c>
      <c r="B764" s="16" t="inlineStr">
        <is>
          <t>ISV-0125</t>
        </is>
      </c>
      <c r="C764" s="95" t="n">
        <v>46228</v>
      </c>
      <c r="D764" s="16" t="inlineStr">
        <is>
          <t>النظام الجديد</t>
        </is>
      </c>
      <c r="E764" s="16" t="inlineStr">
        <is>
          <t>SF98</t>
        </is>
      </c>
      <c r="F764" s="16" t="inlineStr">
        <is>
          <t>فينكا روزا مركن 9 سم أحمر</t>
        </is>
      </c>
      <c r="G764" s="16" t="n">
        <v>500</v>
      </c>
      <c r="H764" s="16" t="inlineStr">
        <is>
          <t>EA</t>
        </is>
      </c>
      <c r="I764" s="17" t="n">
        <v>0.55</v>
      </c>
      <c r="J764" s="17" t="n">
        <v>275</v>
      </c>
    </row>
    <row r="765">
      <c r="A765" s="16" t="inlineStr">
        <is>
          <t>RNL</t>
        </is>
      </c>
      <c r="B765" s="16" t="inlineStr">
        <is>
          <t>ISV-0125</t>
        </is>
      </c>
      <c r="C765" s="95" t="n">
        <v>46228</v>
      </c>
      <c r="D765" s="16" t="inlineStr">
        <is>
          <t>النظام الجديد</t>
        </is>
      </c>
      <c r="E765" s="16" t="inlineStr">
        <is>
          <t>SF99</t>
        </is>
      </c>
      <c r="F765" s="16" t="inlineStr">
        <is>
          <t>فينكا روزا مركن 9 سم أحمر نقطة بيضاء</t>
        </is>
      </c>
      <c r="G765" s="16" t="n">
        <v>500</v>
      </c>
      <c r="H765" s="16" t="inlineStr">
        <is>
          <t>EA</t>
        </is>
      </c>
      <c r="I765" s="17" t="n">
        <v>0.55</v>
      </c>
      <c r="J765" s="17" t="n">
        <v>275</v>
      </c>
    </row>
    <row r="766">
      <c r="A766" s="9" t="n"/>
      <c r="B766" s="9" t="inlineStr">
        <is>
          <t>إجمالي ISV-0125</t>
        </is>
      </c>
      <c r="C766" s="9" t="n"/>
      <c r="D766" s="9" t="n"/>
      <c r="E766" s="9" t="n"/>
      <c r="F766" s="9" t="n"/>
      <c r="G766" s="9">
        <f>SUM(G762:G765)</f>
        <v/>
      </c>
      <c r="H766" s="9" t="n"/>
      <c r="I766" s="9" t="n"/>
      <c r="J766" s="10">
        <f>SUM(J762:J765)</f>
        <v/>
      </c>
    </row>
    <row r="767">
      <c r="A767" s="16" t="inlineStr">
        <is>
          <t>RNL</t>
        </is>
      </c>
      <c r="B767" s="16" t="inlineStr">
        <is>
          <t>ISV-0140</t>
        </is>
      </c>
      <c r="C767" s="95" t="n">
        <v>46231</v>
      </c>
      <c r="D767" s="16" t="inlineStr">
        <is>
          <t>النظام الجديد</t>
        </is>
      </c>
      <c r="E767" s="16" t="inlineStr">
        <is>
          <t>SF102</t>
        </is>
      </c>
      <c r="F767" s="16" t="inlineStr">
        <is>
          <t>فينكا روزا مركن 9 سم مشمشي</t>
        </is>
      </c>
      <c r="G767" s="16" t="n">
        <v>680</v>
      </c>
      <c r="H767" s="16" t="inlineStr">
        <is>
          <t>EA</t>
        </is>
      </c>
      <c r="I767" s="17" t="n">
        <v>0.55</v>
      </c>
      <c r="J767" s="17" t="n">
        <v>374</v>
      </c>
    </row>
    <row r="768">
      <c r="A768" s="16" t="inlineStr">
        <is>
          <t>RNL</t>
        </is>
      </c>
      <c r="B768" s="16" t="inlineStr">
        <is>
          <t>ISV-0140</t>
        </is>
      </c>
      <c r="C768" s="95" t="n">
        <v>46231</v>
      </c>
      <c r="D768" s="16" t="inlineStr">
        <is>
          <t>النظام الجديد</t>
        </is>
      </c>
      <c r="E768" s="16" t="inlineStr">
        <is>
          <t>SF106</t>
        </is>
      </c>
      <c r="F768" s="16" t="inlineStr">
        <is>
          <t>فينكا روزا مركن 9 سم برغندي هالو</t>
        </is>
      </c>
      <c r="G768" s="16" t="n">
        <v>725</v>
      </c>
      <c r="H768" s="16" t="inlineStr">
        <is>
          <t>EA</t>
        </is>
      </c>
      <c r="I768" s="17" t="n">
        <v>0.55</v>
      </c>
      <c r="J768" s="17" t="n">
        <v>398.75</v>
      </c>
    </row>
    <row r="769">
      <c r="A769" s="16" t="inlineStr">
        <is>
          <t>RNL</t>
        </is>
      </c>
      <c r="B769" s="16" t="inlineStr">
        <is>
          <t>ISV-0140</t>
        </is>
      </c>
      <c r="C769" s="95" t="n">
        <v>46231</v>
      </c>
      <c r="D769" s="16" t="inlineStr">
        <is>
          <t>النظام الجديد</t>
        </is>
      </c>
      <c r="E769" s="16" t="inlineStr">
        <is>
          <t>SF105</t>
        </is>
      </c>
      <c r="F769" s="16" t="inlineStr">
        <is>
          <t>فينكا روزا مركن 9 سم برغندي</t>
        </is>
      </c>
      <c r="G769" s="16" t="n">
        <v>845</v>
      </c>
      <c r="H769" s="16" t="inlineStr">
        <is>
          <t>EA</t>
        </is>
      </c>
      <c r="I769" s="17" t="n">
        <v>0.55</v>
      </c>
      <c r="J769" s="17" t="n">
        <v>464.75</v>
      </c>
    </row>
    <row r="770">
      <c r="A770" s="16" t="inlineStr">
        <is>
          <t>RNL</t>
        </is>
      </c>
      <c r="B770" s="16" t="inlineStr">
        <is>
          <t>ISV-0140</t>
        </is>
      </c>
      <c r="C770" s="95" t="n">
        <v>46231</v>
      </c>
      <c r="D770" s="16" t="inlineStr">
        <is>
          <t>النظام الجديد</t>
        </is>
      </c>
      <c r="E770" s="16" t="inlineStr">
        <is>
          <t>SF108</t>
        </is>
      </c>
      <c r="F770" s="16" t="inlineStr">
        <is>
          <t>فينكا روزا مركن 9 سم أوركيد عميق</t>
        </is>
      </c>
      <c r="G770" s="16" t="n">
        <v>1000</v>
      </c>
      <c r="H770" s="16" t="inlineStr">
        <is>
          <t>EA</t>
        </is>
      </c>
      <c r="I770" s="17" t="n">
        <v>0.55</v>
      </c>
      <c r="J770" s="17" t="n">
        <v>550</v>
      </c>
    </row>
    <row r="771">
      <c r="A771" s="9" t="n"/>
      <c r="B771" s="9" t="inlineStr">
        <is>
          <t>إجمالي ISV-0140</t>
        </is>
      </c>
      <c r="C771" s="9" t="n"/>
      <c r="D771" s="9" t="n"/>
      <c r="E771" s="9" t="n"/>
      <c r="F771" s="9" t="n"/>
      <c r="G771" s="9">
        <f>SUM(G767:G770)</f>
        <v/>
      </c>
      <c r="H771" s="9" t="n"/>
      <c r="I771" s="9" t="n"/>
      <c r="J771" s="10">
        <f>SUM(J767:J770)</f>
        <v/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175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2" customWidth="1" min="4" max="4"/>
    <col width="14" customWidth="1" min="5" max="5"/>
    <col width="18" customWidth="1" min="6" max="6"/>
    <col width="10" customWidth="1" min="7" max="7"/>
  </cols>
  <sheetData>
    <row r="1">
      <c r="A1" s="22" t="inlineStr">
        <is>
          <t>نوع الحركة</t>
        </is>
      </c>
      <c r="B1" s="22" t="inlineStr">
        <is>
          <t>البيان</t>
        </is>
      </c>
      <c r="C1" s="22" t="inlineStr">
        <is>
          <t>كود الصنف</t>
        </is>
      </c>
      <c r="D1" s="22" t="inlineStr">
        <is>
          <t>اسم الصنف</t>
        </is>
      </c>
      <c r="E1" s="22" t="inlineStr">
        <is>
          <t>إجمالي الكمية</t>
        </is>
      </c>
      <c r="F1" s="22" t="inlineStr">
        <is>
          <t>إجمالي القيمة</t>
        </is>
      </c>
      <c r="G1" s="22" t="inlineStr">
        <is>
          <t>عدد العقود</t>
        </is>
      </c>
    </row>
    <row r="2">
      <c r="A2" s="16" t="inlineStr">
        <is>
          <t>TNR</t>
        </is>
      </c>
      <c r="B2" s="16" t="inlineStr">
        <is>
          <t>ترحيل من تبوك إلى الرياض</t>
        </is>
      </c>
      <c r="C2" s="16" t="inlineStr">
        <is>
          <t>FR368</t>
        </is>
      </c>
      <c r="D2" s="16" t="inlineStr">
        <is>
          <t>بيرلايت 100 لتر</t>
        </is>
      </c>
      <c r="E2" s="118" t="n">
        <v>25</v>
      </c>
      <c r="F2" s="17" t="n">
        <v>934.37</v>
      </c>
      <c r="G2" s="16" t="n">
        <v>1</v>
      </c>
    </row>
    <row r="3">
      <c r="A3" s="16" t="inlineStr">
        <is>
          <t>TNR</t>
        </is>
      </c>
      <c r="B3" s="16" t="inlineStr">
        <is>
          <t>ترحيل من تبوك إلى الرياض</t>
        </is>
      </c>
      <c r="C3" s="16" t="inlineStr">
        <is>
          <t>NPB</t>
        </is>
      </c>
      <c r="D3" s="16" t="inlineStr">
        <is>
          <t>حجر ديكورى ابيض مطفى :35 سم - 10 كجم</t>
        </is>
      </c>
      <c r="E3" s="118" t="n">
        <v>200</v>
      </c>
      <c r="F3" s="17" t="n">
        <v>2645</v>
      </c>
      <c r="G3" s="16" t="n">
        <v>1</v>
      </c>
    </row>
    <row r="4">
      <c r="A4" s="16" t="inlineStr">
        <is>
          <t>TNR</t>
        </is>
      </c>
      <c r="B4" s="16" t="inlineStr">
        <is>
          <t>ترحيل من تبوك إلى الرياض</t>
        </is>
      </c>
      <c r="C4" s="16" t="inlineStr">
        <is>
          <t>OD373</t>
        </is>
      </c>
      <c r="D4" s="16" t="inlineStr">
        <is>
          <t>سيسبانيا 1-2 متر</t>
        </is>
      </c>
      <c r="E4" s="118" t="n">
        <v>250</v>
      </c>
      <c r="F4" s="17" t="n">
        <v>7331.25</v>
      </c>
      <c r="G4" s="16" t="n">
        <v>1</v>
      </c>
    </row>
    <row r="5">
      <c r="A5" s="16" t="inlineStr">
        <is>
          <t>TNR</t>
        </is>
      </c>
      <c r="B5" s="16" t="inlineStr">
        <is>
          <t>ترحيل من تبوك إلى الرياض</t>
        </is>
      </c>
      <c r="C5" s="16" t="inlineStr">
        <is>
          <t>OD454</t>
        </is>
      </c>
      <c r="D5" s="16" t="inlineStr">
        <is>
          <t>تيكوماريا 50 سم</t>
        </is>
      </c>
      <c r="E5" s="118" t="n">
        <v>740</v>
      </c>
      <c r="F5" s="17" t="n">
        <v>2127.5</v>
      </c>
      <c r="G5" s="16" t="n">
        <v>1</v>
      </c>
    </row>
    <row r="6">
      <c r="A6" s="16" t="inlineStr">
        <is>
          <t>TNR</t>
        </is>
      </c>
      <c r="B6" s="16" t="inlineStr">
        <is>
          <t>ترحيل من تبوك إلى الرياض</t>
        </is>
      </c>
      <c r="C6" s="16" t="inlineStr">
        <is>
          <t>OD456</t>
        </is>
      </c>
      <c r="D6" s="16" t="inlineStr">
        <is>
          <t>دورانتا أخضر</t>
        </is>
      </c>
      <c r="E6" s="118" t="n">
        <v>1200</v>
      </c>
      <c r="F6" s="17" t="n">
        <v>3450</v>
      </c>
      <c r="G6" s="16" t="n">
        <v>1</v>
      </c>
    </row>
    <row r="7">
      <c r="A7" s="16" t="inlineStr">
        <is>
          <t>TNR</t>
        </is>
      </c>
      <c r="B7" s="16" t="inlineStr">
        <is>
          <t>ترحيل من تبوك إلى الرياض</t>
        </is>
      </c>
      <c r="C7" s="16" t="inlineStr">
        <is>
          <t>OD458</t>
        </is>
      </c>
      <c r="D7" s="16" t="inlineStr">
        <is>
          <t>اكاليفا</t>
        </is>
      </c>
      <c r="E7" s="118" t="n">
        <v>6</v>
      </c>
      <c r="F7" s="17" t="n">
        <v>172.5</v>
      </c>
      <c r="G7" s="16" t="n">
        <v>1</v>
      </c>
    </row>
    <row r="8">
      <c r="A8" s="9" t="n"/>
      <c r="B8" s="9" t="inlineStr">
        <is>
          <t>إجمالي ترحيل من تبوك إلى الرياض</t>
        </is>
      </c>
      <c r="C8" s="9" t="n"/>
      <c r="D8" s="9" t="n"/>
      <c r="E8" s="9">
        <f>SUM(E2:E7)</f>
        <v/>
      </c>
      <c r="F8" s="10">
        <f>SUM(F2:F7)</f>
        <v/>
      </c>
      <c r="G8" s="9" t="n"/>
    </row>
    <row r="9">
      <c r="A9" s="16" t="inlineStr">
        <is>
          <t>RNT</t>
        </is>
      </c>
      <c r="B9" s="16" t="inlineStr">
        <is>
          <t>ترحيل من الرياض إلى تبوك</t>
        </is>
      </c>
      <c r="C9" s="16" t="inlineStr">
        <is>
          <t>FR368</t>
        </is>
      </c>
      <c r="D9" s="16" t="inlineStr">
        <is>
          <t>بيرلايت 100 لتر</t>
        </is>
      </c>
      <c r="E9" s="118" t="n">
        <v>100</v>
      </c>
      <c r="F9" s="17" t="n">
        <v>3250</v>
      </c>
      <c r="G9" s="16" t="n">
        <v>1</v>
      </c>
    </row>
    <row r="10">
      <c r="A10" s="16" t="inlineStr">
        <is>
          <t>RNT</t>
        </is>
      </c>
      <c r="B10" s="16" t="inlineStr">
        <is>
          <t>ترحيل من الرياض إلى تبوك</t>
        </is>
      </c>
      <c r="C10" s="16" t="inlineStr">
        <is>
          <t>ID1500</t>
        </is>
      </c>
      <c r="D10" s="16" t="inlineStr">
        <is>
          <t>سكندابسس ان اس مركن 19 سم علاقي</t>
        </is>
      </c>
      <c r="E10" s="118" t="n">
        <v>300</v>
      </c>
      <c r="F10" s="17" t="n">
        <v>3277.5</v>
      </c>
      <c r="G10" s="16" t="n">
        <v>1</v>
      </c>
    </row>
    <row r="11">
      <c r="A11" s="16" t="inlineStr">
        <is>
          <t>RNT</t>
        </is>
      </c>
      <c r="B11" s="16" t="inlineStr">
        <is>
          <t>ترحيل من الرياض إلى تبوك</t>
        </is>
      </c>
      <c r="C11" s="16" t="inlineStr">
        <is>
          <t>ID1501</t>
        </is>
      </c>
      <c r="D11" s="16" t="inlineStr">
        <is>
          <t>ترادسكانتيا ان اس مركن19 سم عالقى</t>
        </is>
      </c>
      <c r="E11" s="118" t="n">
        <v>270</v>
      </c>
      <c r="F11" s="17" t="n">
        <v>2639.25</v>
      </c>
      <c r="G11" s="16" t="n">
        <v>1</v>
      </c>
    </row>
    <row r="12">
      <c r="A12" s="16" t="inlineStr">
        <is>
          <t>RNT</t>
        </is>
      </c>
      <c r="B12" s="16" t="inlineStr">
        <is>
          <t>ترحيل من الرياض إلى تبوك</t>
        </is>
      </c>
      <c r="C12" s="16" t="inlineStr">
        <is>
          <t>ID1504</t>
        </is>
      </c>
      <c r="D12" s="16" t="inlineStr">
        <is>
          <t>هيدرا علاقي ان اس مركن 19 سم</t>
        </is>
      </c>
      <c r="E12" s="118" t="n">
        <v>100</v>
      </c>
      <c r="F12" s="17" t="n">
        <v>805</v>
      </c>
      <c r="G12" s="16" t="n">
        <v>1</v>
      </c>
    </row>
    <row r="13">
      <c r="A13" s="16" t="inlineStr">
        <is>
          <t>RNT</t>
        </is>
      </c>
      <c r="B13" s="16" t="inlineStr">
        <is>
          <t>ترحيل من الرياض إلى تبوك</t>
        </is>
      </c>
      <c r="C13" s="16" t="inlineStr">
        <is>
          <t>OD373</t>
        </is>
      </c>
      <c r="D13" s="16" t="inlineStr">
        <is>
          <t>سيسبانيا 1-2 متر</t>
        </is>
      </c>
      <c r="E13" s="118" t="n">
        <v>490</v>
      </c>
      <c r="F13" s="17" t="n">
        <v>14369.25</v>
      </c>
      <c r="G13" s="16" t="n">
        <v>2</v>
      </c>
    </row>
    <row r="14">
      <c r="A14" s="16" t="inlineStr">
        <is>
          <t>RNT</t>
        </is>
      </c>
      <c r="B14" s="16" t="inlineStr">
        <is>
          <t>ترحيل من الرياض إلى تبوك</t>
        </is>
      </c>
      <c r="C14" s="16" t="inlineStr">
        <is>
          <t>OD454</t>
        </is>
      </c>
      <c r="D14" s="16" t="inlineStr">
        <is>
          <t>تيكوماريا 50 سم</t>
        </is>
      </c>
      <c r="E14" s="118" t="n">
        <v>2384</v>
      </c>
      <c r="F14" s="17" t="n">
        <v>6854</v>
      </c>
      <c r="G14" s="16" t="n">
        <v>1</v>
      </c>
    </row>
    <row r="15">
      <c r="A15" s="16" t="inlineStr">
        <is>
          <t>RNT</t>
        </is>
      </c>
      <c r="B15" s="16" t="inlineStr">
        <is>
          <t>ترحيل من الرياض إلى تبوك</t>
        </is>
      </c>
      <c r="C15" s="16" t="inlineStr">
        <is>
          <t>OD456</t>
        </is>
      </c>
      <c r="D15" s="16" t="inlineStr">
        <is>
          <t>دورانتا أخضر</t>
        </is>
      </c>
      <c r="E15" s="118" t="n">
        <v>1290</v>
      </c>
      <c r="F15" s="17" t="n">
        <v>3708.75</v>
      </c>
      <c r="G15" s="16" t="n">
        <v>1</v>
      </c>
    </row>
    <row r="16">
      <c r="A16" s="16" t="inlineStr">
        <is>
          <t>RNT</t>
        </is>
      </c>
      <c r="B16" s="16" t="inlineStr">
        <is>
          <t>ترحيل من الرياض إلى تبوك</t>
        </is>
      </c>
      <c r="C16" s="16" t="inlineStr">
        <is>
          <t>OD458</t>
        </is>
      </c>
      <c r="D16" s="16" t="inlineStr">
        <is>
          <t>اكاليفا</t>
        </is>
      </c>
      <c r="E16" s="118" t="n">
        <v>60</v>
      </c>
      <c r="F16" s="17" t="n">
        <v>172.5</v>
      </c>
      <c r="G16" s="16" t="n">
        <v>1</v>
      </c>
    </row>
    <row r="17">
      <c r="A17" s="16" t="inlineStr">
        <is>
          <t>RNT</t>
        </is>
      </c>
      <c r="B17" s="16" t="inlineStr">
        <is>
          <t>ترحيل من الرياض إلى تبوك</t>
        </is>
      </c>
      <c r="C17" s="16" t="inlineStr">
        <is>
          <t>OD467</t>
        </is>
      </c>
      <c r="D17" s="16" t="inlineStr">
        <is>
          <t>فل بلدي</t>
        </is>
      </c>
      <c r="E17" s="118" t="n">
        <v>450</v>
      </c>
      <c r="F17" s="17" t="n">
        <v>1293.75</v>
      </c>
      <c r="G17" s="16" t="n">
        <v>1</v>
      </c>
    </row>
    <row r="18">
      <c r="A18" s="16" t="inlineStr">
        <is>
          <t>RNT</t>
        </is>
      </c>
      <c r="B18" s="16" t="inlineStr">
        <is>
          <t>ترحيل من الرياض إلى تبوك</t>
        </is>
      </c>
      <c r="C18" s="16" t="inlineStr">
        <is>
          <t>OD491</t>
        </is>
      </c>
      <c r="D18" s="16" t="inlineStr">
        <is>
          <t>ياسمين أزرق</t>
        </is>
      </c>
      <c r="E18" s="118" t="n">
        <v>580</v>
      </c>
      <c r="F18" s="17" t="n">
        <v>1667.5</v>
      </c>
      <c r="G18" s="16" t="n">
        <v>1</v>
      </c>
    </row>
    <row r="19">
      <c r="A19" s="16" t="inlineStr">
        <is>
          <t>RNT</t>
        </is>
      </c>
      <c r="B19" s="16" t="inlineStr">
        <is>
          <t>ترحيل من الرياض إلى تبوك</t>
        </is>
      </c>
      <c r="C19" s="16" t="inlineStr">
        <is>
          <t>OD561</t>
        </is>
      </c>
      <c r="D19" s="16" t="inlineStr">
        <is>
          <t>زهور مارى جولد</t>
        </is>
      </c>
      <c r="E19" s="118" t="n">
        <v>2000</v>
      </c>
      <c r="F19" s="17" t="n">
        <v>1380</v>
      </c>
      <c r="G19" s="16" t="n">
        <v>1</v>
      </c>
    </row>
    <row r="20">
      <c r="A20" s="16" t="inlineStr">
        <is>
          <t>RNT</t>
        </is>
      </c>
      <c r="B20" s="16" t="inlineStr">
        <is>
          <t>ترحيل من الرياض إلى تبوك</t>
        </is>
      </c>
      <c r="C20" s="16" t="inlineStr">
        <is>
          <t>OD569</t>
        </is>
      </c>
      <c r="D20" s="16" t="inlineStr">
        <is>
          <t>زهور فينكا روزا</t>
        </is>
      </c>
      <c r="E20" s="118" t="n">
        <v>750</v>
      </c>
      <c r="F20" s="17" t="n">
        <v>412.5</v>
      </c>
      <c r="G20" s="16" t="n">
        <v>1</v>
      </c>
    </row>
    <row r="21">
      <c r="A21" s="16" t="inlineStr">
        <is>
          <t>RNT</t>
        </is>
      </c>
      <c r="B21" s="16" t="inlineStr">
        <is>
          <t>ترحيل من الرياض إلى تبوك</t>
        </is>
      </c>
      <c r="C21" s="16" t="inlineStr">
        <is>
          <t>OD636</t>
        </is>
      </c>
      <c r="D21" s="16" t="inlineStr">
        <is>
          <t>زهور منثور مركن9 سم</t>
        </is>
      </c>
      <c r="E21" s="118" t="n">
        <v>150</v>
      </c>
      <c r="F21" s="17" t="n">
        <v>94.88</v>
      </c>
      <c r="G21" s="16" t="n">
        <v>1</v>
      </c>
    </row>
    <row r="22">
      <c r="A22" s="16" t="inlineStr">
        <is>
          <t>RNT</t>
        </is>
      </c>
      <c r="B22" s="16" t="inlineStr">
        <is>
          <t>ترحيل من الرياض إلى تبوك</t>
        </is>
      </c>
      <c r="C22" s="16" t="inlineStr">
        <is>
          <t>OD638</t>
        </is>
      </c>
      <c r="D22" s="16" t="inlineStr">
        <is>
          <t>زهور هيبوستس مركن 9 سم</t>
        </is>
      </c>
      <c r="E22" s="118" t="n">
        <v>1575</v>
      </c>
      <c r="F22" s="17" t="n">
        <v>945</v>
      </c>
      <c r="G22" s="16" t="n">
        <v>1</v>
      </c>
    </row>
    <row r="23">
      <c r="A23" s="16" t="inlineStr">
        <is>
          <t>RNT</t>
        </is>
      </c>
      <c r="B23" s="16" t="inlineStr">
        <is>
          <t>ترحيل من الرياض إلى تبوك</t>
        </is>
      </c>
      <c r="C23" s="16" t="inlineStr">
        <is>
          <t>OD639</t>
        </is>
      </c>
      <c r="D23" s="16" t="inlineStr">
        <is>
          <t>زهور قرنفل امريكي مركن12 سم</t>
        </is>
      </c>
      <c r="E23" s="118" t="n">
        <v>90</v>
      </c>
      <c r="F23" s="17" t="n">
        <v>258.75</v>
      </c>
      <c r="G23" s="16" t="n">
        <v>1</v>
      </c>
    </row>
    <row r="24">
      <c r="A24" s="16" t="inlineStr">
        <is>
          <t>RNT</t>
        </is>
      </c>
      <c r="B24" s="16" t="inlineStr">
        <is>
          <t>ترحيل من الرياض إلى تبوك</t>
        </is>
      </c>
      <c r="C24" s="16" t="inlineStr">
        <is>
          <t>OD641</t>
        </is>
      </c>
      <c r="D24" s="16" t="inlineStr">
        <is>
          <t>زهور قرنفل صيني مركن9 سم</t>
        </is>
      </c>
      <c r="E24" s="118" t="n">
        <v>1000</v>
      </c>
      <c r="F24" s="17" t="n">
        <v>690</v>
      </c>
      <c r="G24" s="16" t="n">
        <v>1</v>
      </c>
    </row>
    <row r="25">
      <c r="A25" s="16" t="inlineStr">
        <is>
          <t>RNT</t>
        </is>
      </c>
      <c r="B25" s="16" t="inlineStr">
        <is>
          <t>ترحيل من الرياض إلى تبوك</t>
        </is>
      </c>
      <c r="C25" s="16" t="inlineStr">
        <is>
          <t>OD643</t>
        </is>
      </c>
      <c r="D25" s="16" t="inlineStr">
        <is>
          <t>زهور سينيراريا مركن12 سم</t>
        </is>
      </c>
      <c r="E25" s="118" t="n">
        <v>48</v>
      </c>
      <c r="F25" s="17" t="n">
        <v>138</v>
      </c>
      <c r="G25" s="16" t="n">
        <v>1</v>
      </c>
    </row>
    <row r="26">
      <c r="A26" s="16" t="inlineStr">
        <is>
          <t>RNT</t>
        </is>
      </c>
      <c r="B26" s="16" t="inlineStr">
        <is>
          <t>ترحيل من الرياض إلى تبوك</t>
        </is>
      </c>
      <c r="C26" s="16" t="inlineStr">
        <is>
          <t>OD693</t>
        </is>
      </c>
      <c r="D26" s="16" t="inlineStr">
        <is>
          <t>زهور جيرانيوم هولندى مركن12 سم</t>
        </is>
      </c>
      <c r="E26" s="118" t="n">
        <v>180</v>
      </c>
      <c r="F26" s="17" t="n">
        <v>621</v>
      </c>
      <c r="G26" s="16" t="n">
        <v>1</v>
      </c>
    </row>
    <row r="27">
      <c r="A27" s="16" t="inlineStr">
        <is>
          <t>RNT</t>
        </is>
      </c>
      <c r="B27" s="16" t="inlineStr">
        <is>
          <t>ترحيل من الرياض إلى تبوك</t>
        </is>
      </c>
      <c r="C27" s="16" t="inlineStr">
        <is>
          <t>OD694</t>
        </is>
      </c>
      <c r="D27" s="16" t="inlineStr">
        <is>
          <t>كالنشو هولندى مركن12 سم</t>
        </is>
      </c>
      <c r="E27" s="118" t="n">
        <v>1920</v>
      </c>
      <c r="F27" s="17" t="n">
        <v>6435</v>
      </c>
      <c r="G27" s="16" t="n">
        <v>2</v>
      </c>
    </row>
    <row r="28">
      <c r="A28" s="16" t="inlineStr">
        <is>
          <t>RNT</t>
        </is>
      </c>
      <c r="B28" s="16" t="inlineStr">
        <is>
          <t>ترحيل من الرياض إلى تبوك</t>
        </is>
      </c>
      <c r="C28" s="16" t="inlineStr">
        <is>
          <t>OD695</t>
        </is>
      </c>
      <c r="D28" s="16" t="inlineStr">
        <is>
          <t>زهور اقحوان افريقي هولندى مركن12 سم</t>
        </is>
      </c>
      <c r="E28" s="118" t="n">
        <v>90</v>
      </c>
      <c r="F28" s="17" t="n">
        <v>310.5</v>
      </c>
      <c r="G28" s="16" t="n">
        <v>1</v>
      </c>
    </row>
    <row r="29">
      <c r="A29" s="16" t="inlineStr">
        <is>
          <t>RNT</t>
        </is>
      </c>
      <c r="B29" s="16" t="inlineStr">
        <is>
          <t>ترحيل من الرياض إلى تبوك</t>
        </is>
      </c>
      <c r="C29" s="16" t="inlineStr">
        <is>
          <t>OD696</t>
        </is>
      </c>
      <c r="D29" s="16" t="inlineStr">
        <is>
          <t>زهور اقحوان افريقي مركن9 سم</t>
        </is>
      </c>
      <c r="E29" s="118" t="n">
        <v>2800</v>
      </c>
      <c r="F29" s="17" t="n">
        <v>4233.75</v>
      </c>
      <c r="G29" s="16" t="n">
        <v>3</v>
      </c>
    </row>
    <row r="30">
      <c r="A30" s="16" t="inlineStr">
        <is>
          <t>RNT</t>
        </is>
      </c>
      <c r="B30" s="16" t="inlineStr">
        <is>
          <t>ترحيل من الرياض إلى تبوك</t>
        </is>
      </c>
      <c r="C30" s="16" t="inlineStr">
        <is>
          <t>OD703</t>
        </is>
      </c>
      <c r="D30" s="16" t="inlineStr">
        <is>
          <t>تجيل كروي مركن 9 سم</t>
        </is>
      </c>
      <c r="E30" s="118" t="n">
        <v>2400</v>
      </c>
      <c r="F30" s="17" t="n">
        <v>3036</v>
      </c>
      <c r="G30" s="16" t="n">
        <v>1</v>
      </c>
    </row>
    <row r="31">
      <c r="A31" s="9" t="n"/>
      <c r="B31" s="9" t="inlineStr">
        <is>
          <t>إجمالي ترحيل من الرياض إلى تبوك</t>
        </is>
      </c>
      <c r="C31" s="9" t="n"/>
      <c r="D31" s="9" t="n"/>
      <c r="E31" s="9">
        <f>SUM(E9:E30)</f>
        <v/>
      </c>
      <c r="F31" s="10">
        <f>SUM(F9:F30)</f>
        <v/>
      </c>
      <c r="G31" s="9" t="n"/>
    </row>
    <row r="32">
      <c r="A32" s="16" t="inlineStr">
        <is>
          <t>RNP</t>
        </is>
      </c>
      <c r="B32" s="16" t="inlineStr">
        <is>
          <t>ترحيل إلى قسم المشاريع تبوك</t>
        </is>
      </c>
      <c r="C32" s="16" t="inlineStr">
        <is>
          <t>ID1501</t>
        </is>
      </c>
      <c r="D32" s="16" t="inlineStr">
        <is>
          <t>ترادسكانتيا ان اس مركن 19 سم علاقى</t>
        </is>
      </c>
      <c r="E32" s="118" t="n">
        <v>25</v>
      </c>
      <c r="F32" s="17" t="n">
        <v>237.5</v>
      </c>
      <c r="G32" s="16" t="n">
        <v>1</v>
      </c>
    </row>
    <row r="33">
      <c r="A33" s="16" t="inlineStr">
        <is>
          <t>RNP</t>
        </is>
      </c>
      <c r="B33" s="16" t="inlineStr">
        <is>
          <t>ترحيل إلى قسم المشاريع تبوك</t>
        </is>
      </c>
      <c r="C33" s="16" t="inlineStr">
        <is>
          <t>OD371</t>
        </is>
      </c>
      <c r="D33" s="16" t="inlineStr">
        <is>
          <t>اكاسيا جلوكا 1-2 متر</t>
        </is>
      </c>
      <c r="E33" s="118" t="n">
        <v>156</v>
      </c>
      <c r="F33" s="17" t="n">
        <v>3978</v>
      </c>
      <c r="G33" s="16" t="n">
        <v>2</v>
      </c>
    </row>
    <row r="34">
      <c r="A34" s="16" t="inlineStr">
        <is>
          <t>RNP</t>
        </is>
      </c>
      <c r="B34" s="16" t="inlineStr">
        <is>
          <t>ترحيل إلى قسم المشاريع تبوك</t>
        </is>
      </c>
      <c r="C34" s="16" t="inlineStr">
        <is>
          <t>OD404</t>
        </is>
      </c>
      <c r="D34" s="16" t="inlineStr">
        <is>
          <t>فيكس بندا 50 سم</t>
        </is>
      </c>
      <c r="E34" s="118" t="n">
        <v>10</v>
      </c>
      <c r="F34" s="17" t="n">
        <v>25</v>
      </c>
      <c r="G34" s="16" t="n">
        <v>1</v>
      </c>
    </row>
    <row r="35">
      <c r="A35" s="16" t="inlineStr">
        <is>
          <t>RNP</t>
        </is>
      </c>
      <c r="B35" s="16" t="inlineStr">
        <is>
          <t>ترحيل إلى قسم المشاريع تبوك</t>
        </is>
      </c>
      <c r="C35" s="16" t="inlineStr">
        <is>
          <t>OD411</t>
        </is>
      </c>
      <c r="D35" s="16" t="inlineStr">
        <is>
          <t>ياسمين هندي كبير</t>
        </is>
      </c>
      <c r="E35" s="118" t="n">
        <v>20</v>
      </c>
      <c r="F35" s="17" t="n">
        <v>747.5</v>
      </c>
      <c r="G35" s="16" t="n">
        <v>1</v>
      </c>
    </row>
    <row r="36">
      <c r="A36" s="16" t="inlineStr">
        <is>
          <t>RNP</t>
        </is>
      </c>
      <c r="B36" s="16" t="inlineStr">
        <is>
          <t>ترحيل إلى قسم المشاريع تبوك</t>
        </is>
      </c>
      <c r="C36" s="16" t="inlineStr">
        <is>
          <t>OD454</t>
        </is>
      </c>
      <c r="D36" s="16" t="inlineStr">
        <is>
          <t>تيكوماريا 50 سم</t>
        </is>
      </c>
      <c r="E36" s="118" t="n">
        <v>250</v>
      </c>
      <c r="F36" s="17" t="n">
        <v>625</v>
      </c>
      <c r="G36" s="16" t="n">
        <v>1</v>
      </c>
    </row>
    <row r="37">
      <c r="A37" s="16" t="inlineStr">
        <is>
          <t>RNP</t>
        </is>
      </c>
      <c r="B37" s="16" t="inlineStr">
        <is>
          <t>ترحيل إلى قسم المشاريع تبوك</t>
        </is>
      </c>
      <c r="C37" s="16" t="inlineStr">
        <is>
          <t>OD456</t>
        </is>
      </c>
      <c r="D37" s="16" t="inlineStr">
        <is>
          <t>دورانتا اخضر</t>
        </is>
      </c>
      <c r="E37" s="118" t="n">
        <v>1200</v>
      </c>
      <c r="F37" s="17" t="n">
        <v>3450</v>
      </c>
      <c r="G37" s="16" t="n">
        <v>1</v>
      </c>
    </row>
    <row r="38">
      <c r="A38" s="16" t="inlineStr">
        <is>
          <t>RNP</t>
        </is>
      </c>
      <c r="B38" s="16" t="inlineStr">
        <is>
          <t>ترحيل إلى قسم المشاريع تبوك</t>
        </is>
      </c>
      <c r="C38" s="16" t="inlineStr">
        <is>
          <t>OD462</t>
        </is>
      </c>
      <c r="D38" s="16" t="inlineStr">
        <is>
          <t>رويليا</t>
        </is>
      </c>
      <c r="E38" s="118" t="n">
        <v>94</v>
      </c>
      <c r="F38" s="17" t="n">
        <v>235</v>
      </c>
      <c r="G38" s="16" t="n">
        <v>1</v>
      </c>
    </row>
    <row r="39">
      <c r="A39" s="16" t="inlineStr">
        <is>
          <t>RNP</t>
        </is>
      </c>
      <c r="B39" s="16" t="inlineStr">
        <is>
          <t>ترحيل إلى قسم المشاريع تبوك</t>
        </is>
      </c>
      <c r="C39" s="16" t="inlineStr">
        <is>
          <t>OD479</t>
        </is>
      </c>
      <c r="D39" s="16" t="inlineStr">
        <is>
          <t>جهنمية بلدى واحد عود 1 متر</t>
        </is>
      </c>
      <c r="E39" s="118" t="n">
        <v>10</v>
      </c>
      <c r="F39" s="17" t="n">
        <v>60</v>
      </c>
      <c r="G39" s="16" t="n">
        <v>1</v>
      </c>
    </row>
    <row r="40">
      <c r="A40" s="16" t="inlineStr">
        <is>
          <t>RNP</t>
        </is>
      </c>
      <c r="B40" s="16" t="inlineStr">
        <is>
          <t>ترحيل إلى قسم المشاريع تبوك</t>
        </is>
      </c>
      <c r="C40" s="16" t="inlineStr">
        <is>
          <t>OD486</t>
        </is>
      </c>
      <c r="D40" s="16" t="inlineStr">
        <is>
          <t>جهنمية كروية تايلندى صغير</t>
        </is>
      </c>
      <c r="E40" s="118" t="n">
        <v>2</v>
      </c>
      <c r="F40" s="17" t="n">
        <v>463</v>
      </c>
      <c r="G40" s="16" t="n">
        <v>1</v>
      </c>
    </row>
    <row r="41">
      <c r="A41" s="16" t="inlineStr">
        <is>
          <t>RNP</t>
        </is>
      </c>
      <c r="B41" s="16" t="inlineStr">
        <is>
          <t>ترحيل إلى قسم المشاريع تبوك</t>
        </is>
      </c>
      <c r="C41" s="16" t="inlineStr">
        <is>
          <t>OD487</t>
        </is>
      </c>
      <c r="D41" s="16" t="inlineStr">
        <is>
          <t>جهنمية كروية تايلندى كبير</t>
        </is>
      </c>
      <c r="E41" s="118" t="n">
        <v>5</v>
      </c>
      <c r="F41" s="17" t="n">
        <v>1312.5</v>
      </c>
      <c r="G41" s="16" t="n">
        <v>1</v>
      </c>
    </row>
    <row r="42">
      <c r="A42" s="16" t="inlineStr">
        <is>
          <t>RNP</t>
        </is>
      </c>
      <c r="B42" s="16" t="inlineStr">
        <is>
          <t>ترحيل إلى قسم المشاريع تبوك</t>
        </is>
      </c>
      <c r="C42" s="16" t="inlineStr">
        <is>
          <t>OD501</t>
        </is>
      </c>
      <c r="D42" s="16" t="inlineStr">
        <is>
          <t>نخيل سايكس 40 سم</t>
        </is>
      </c>
      <c r="E42" s="118" t="n">
        <v>3</v>
      </c>
      <c r="F42" s="17" t="n">
        <v>1191</v>
      </c>
      <c r="G42" s="16" t="n">
        <v>1</v>
      </c>
    </row>
    <row r="43">
      <c r="A43" s="16" t="inlineStr">
        <is>
          <t>RNP</t>
        </is>
      </c>
      <c r="B43" s="16" t="inlineStr">
        <is>
          <t>ترحيل إلى قسم المشاريع تبوك</t>
        </is>
      </c>
      <c r="C43" s="16" t="inlineStr">
        <is>
          <t>OD560</t>
        </is>
      </c>
      <c r="D43" s="16" t="inlineStr">
        <is>
          <t>زهور بيتونيا</t>
        </is>
      </c>
      <c r="E43" s="118" t="n">
        <v>9512</v>
      </c>
      <c r="F43" s="17" t="n">
        <v>6016.34</v>
      </c>
      <c r="G43" s="16" t="n">
        <v>4</v>
      </c>
    </row>
    <row r="44">
      <c r="A44" s="16" t="inlineStr">
        <is>
          <t>RNP</t>
        </is>
      </c>
      <c r="B44" s="16" t="inlineStr">
        <is>
          <t>ترحيل إلى قسم المشاريع تبوك</t>
        </is>
      </c>
      <c r="C44" s="16" t="inlineStr">
        <is>
          <t>OD561</t>
        </is>
      </c>
      <c r="D44" s="16" t="inlineStr">
        <is>
          <t>زهور مارى جولد</t>
        </is>
      </c>
      <c r="E44" s="118" t="n">
        <v>600</v>
      </c>
      <c r="F44" s="17" t="n">
        <v>414</v>
      </c>
      <c r="G44" s="16" t="n">
        <v>1</v>
      </c>
    </row>
    <row r="45">
      <c r="A45" s="16" t="inlineStr">
        <is>
          <t>RNP</t>
        </is>
      </c>
      <c r="B45" s="16" t="inlineStr">
        <is>
          <t>ترحيل إلى قسم المشاريع تبوك</t>
        </is>
      </c>
      <c r="C45" s="16" t="inlineStr">
        <is>
          <t>OD562</t>
        </is>
      </c>
      <c r="D45" s="16" t="inlineStr">
        <is>
          <t>زهور زينيا</t>
        </is>
      </c>
      <c r="E45" s="118" t="n">
        <v>35450</v>
      </c>
      <c r="F45" s="17" t="n">
        <v>19497.5</v>
      </c>
      <c r="G45" s="16" t="n">
        <v>5</v>
      </c>
    </row>
    <row r="46">
      <c r="A46" s="16" t="inlineStr">
        <is>
          <t>RNP</t>
        </is>
      </c>
      <c r="B46" s="16" t="inlineStr">
        <is>
          <t>ترحيل إلى قسم المشاريع تبوك</t>
        </is>
      </c>
      <c r="C46" s="16" t="inlineStr">
        <is>
          <t>OD564</t>
        </is>
      </c>
      <c r="D46" s="16" t="inlineStr">
        <is>
          <t>زهور امرانتس</t>
        </is>
      </c>
      <c r="E46" s="118" t="n">
        <v>1700</v>
      </c>
      <c r="F46" s="17" t="n">
        <v>935</v>
      </c>
      <c r="G46" s="16" t="n">
        <v>2</v>
      </c>
    </row>
    <row r="47">
      <c r="A47" s="16" t="inlineStr">
        <is>
          <t>RNP</t>
        </is>
      </c>
      <c r="B47" s="16" t="inlineStr">
        <is>
          <t>ترحيل إلى قسم المشاريع تبوك</t>
        </is>
      </c>
      <c r="C47" s="16" t="inlineStr">
        <is>
          <t>OD565</t>
        </is>
      </c>
      <c r="D47" s="16" t="inlineStr">
        <is>
          <t>زهور جازانيا</t>
        </is>
      </c>
      <c r="E47" s="118" t="n">
        <v>1050</v>
      </c>
      <c r="F47" s="17" t="n">
        <v>577.5</v>
      </c>
      <c r="G47" s="16" t="n">
        <v>2</v>
      </c>
    </row>
    <row r="48">
      <c r="A48" s="16" t="inlineStr">
        <is>
          <t>RNP</t>
        </is>
      </c>
      <c r="B48" s="16" t="inlineStr">
        <is>
          <t>ترحيل إلى قسم المشاريع تبوك</t>
        </is>
      </c>
      <c r="C48" s="16" t="inlineStr">
        <is>
          <t>OD569</t>
        </is>
      </c>
      <c r="D48" s="16" t="inlineStr">
        <is>
          <t>زهور فينكا روزا</t>
        </is>
      </c>
      <c r="E48" s="118" t="n">
        <v>45320</v>
      </c>
      <c r="F48" s="17" t="n">
        <v>24926</v>
      </c>
      <c r="G48" s="16" t="n">
        <v>6</v>
      </c>
    </row>
    <row r="49">
      <c r="A49" s="16" t="inlineStr">
        <is>
          <t>RNP</t>
        </is>
      </c>
      <c r="B49" s="16" t="inlineStr">
        <is>
          <t>ترحيل إلى قسم المشاريع تبوك</t>
        </is>
      </c>
      <c r="C49" s="16" t="inlineStr">
        <is>
          <t>OD603</t>
        </is>
      </c>
      <c r="D49" s="16" t="inlineStr">
        <is>
          <t>زهور جرانيوم مركن9 سم</t>
        </is>
      </c>
      <c r="E49" s="118" t="n">
        <v>1400</v>
      </c>
      <c r="F49" s="17" t="n">
        <v>1449</v>
      </c>
      <c r="G49" s="16" t="n">
        <v>1</v>
      </c>
    </row>
    <row r="50">
      <c r="A50" s="16" t="inlineStr">
        <is>
          <t>RNP</t>
        </is>
      </c>
      <c r="B50" s="16" t="inlineStr">
        <is>
          <t>ترحيل إلى قسم المشاريع تبوك</t>
        </is>
      </c>
      <c r="C50" s="16" t="inlineStr">
        <is>
          <t>OD620</t>
        </is>
      </c>
      <c r="D50" s="16" t="inlineStr">
        <is>
          <t>زهور جيرانيوم مركن12 سم</t>
        </is>
      </c>
      <c r="E50" s="118" t="n">
        <v>17900</v>
      </c>
      <c r="F50" s="17" t="n">
        <v>41170</v>
      </c>
      <c r="G50" s="16" t="n">
        <v>1</v>
      </c>
    </row>
    <row r="51">
      <c r="A51" s="16" t="inlineStr">
        <is>
          <t>RNP</t>
        </is>
      </c>
      <c r="B51" s="16" t="inlineStr">
        <is>
          <t>ترحيل إلى قسم المشاريع تبوك</t>
        </is>
      </c>
      <c r="C51" s="16" t="inlineStr">
        <is>
          <t>OD630</t>
        </is>
      </c>
      <c r="D51" s="16" t="inlineStr">
        <is>
          <t>كف مريم 1.5 : 2 م</t>
        </is>
      </c>
      <c r="E51" s="118" t="n">
        <v>6</v>
      </c>
      <c r="F51" s="17" t="n">
        <v>33</v>
      </c>
      <c r="G51" s="16" t="n">
        <v>1</v>
      </c>
    </row>
    <row r="52">
      <c r="A52" s="16" t="inlineStr">
        <is>
          <t>RNP</t>
        </is>
      </c>
      <c r="B52" s="16" t="inlineStr">
        <is>
          <t>ترحيل إلى قسم المشاريع تبوك</t>
        </is>
      </c>
      <c r="C52" s="16" t="inlineStr">
        <is>
          <t>OD634</t>
        </is>
      </c>
      <c r="D52" s="16" t="inlineStr">
        <is>
          <t>زهور ملفوف براسيكا مركن9 سم</t>
        </is>
      </c>
      <c r="E52" s="118" t="n">
        <v>2312</v>
      </c>
      <c r="F52" s="17" t="n">
        <v>1462.34</v>
      </c>
      <c r="G52" s="16" t="n">
        <v>2</v>
      </c>
    </row>
    <row r="53">
      <c r="A53" s="16" t="inlineStr">
        <is>
          <t>RNP</t>
        </is>
      </c>
      <c r="B53" s="16" t="inlineStr">
        <is>
          <t>ترحيل إلى قسم المشاريع تبوك</t>
        </is>
      </c>
      <c r="C53" s="16" t="inlineStr">
        <is>
          <t>OD636</t>
        </is>
      </c>
      <c r="D53" s="16" t="inlineStr">
        <is>
          <t>زهور منثور مركن9 سم</t>
        </is>
      </c>
      <c r="E53" s="118" t="n">
        <v>312</v>
      </c>
      <c r="F53" s="17" t="n">
        <v>197.34</v>
      </c>
      <c r="G53" s="16" t="n">
        <v>1</v>
      </c>
    </row>
    <row r="54">
      <c r="A54" s="16" t="inlineStr">
        <is>
          <t>RNP</t>
        </is>
      </c>
      <c r="B54" s="16" t="inlineStr">
        <is>
          <t>ترحيل إلى قسم المشاريع تبوك</t>
        </is>
      </c>
      <c r="C54" s="16" t="inlineStr">
        <is>
          <t>OD637</t>
        </is>
      </c>
      <c r="D54" s="16" t="inlineStr">
        <is>
          <t>زهور سالفيا مركن9 سم</t>
        </is>
      </c>
      <c r="E54" s="118" t="n">
        <v>312</v>
      </c>
      <c r="F54" s="17" t="n">
        <v>197.34</v>
      </c>
      <c r="G54" s="16" t="n">
        <v>1</v>
      </c>
    </row>
    <row r="55">
      <c r="A55" s="16" t="inlineStr">
        <is>
          <t>RNP</t>
        </is>
      </c>
      <c r="B55" s="16" t="inlineStr">
        <is>
          <t>ترحيل إلى قسم المشاريع تبوك</t>
        </is>
      </c>
      <c r="C55" s="16" t="inlineStr">
        <is>
          <t>OD642</t>
        </is>
      </c>
      <c r="D55" s="16" t="inlineStr">
        <is>
          <t>زهور اليسوم مركن9 سم</t>
        </is>
      </c>
      <c r="E55" s="118" t="n">
        <v>4700</v>
      </c>
      <c r="F55" s="17" t="n">
        <v>2972.75</v>
      </c>
      <c r="G55" s="16" t="n">
        <v>3</v>
      </c>
    </row>
    <row r="56">
      <c r="A56" s="16" t="inlineStr">
        <is>
          <t>RNP</t>
        </is>
      </c>
      <c r="B56" s="16" t="inlineStr">
        <is>
          <t>ترحيل إلى قسم المشاريع تبوك</t>
        </is>
      </c>
      <c r="C56" s="16" t="inlineStr">
        <is>
          <t>OD695</t>
        </is>
      </c>
      <c r="D56" s="16" t="inlineStr">
        <is>
          <t>زهور اقحوان افريقي هولندى مركن12 سم</t>
        </is>
      </c>
      <c r="E56" s="118" t="n">
        <v>1785</v>
      </c>
      <c r="F56" s="17" t="n">
        <v>6158.25</v>
      </c>
      <c r="G56" s="16" t="n">
        <v>1</v>
      </c>
    </row>
    <row r="57">
      <c r="A57" s="16" t="inlineStr">
        <is>
          <t>RNP</t>
        </is>
      </c>
      <c r="B57" s="16" t="inlineStr">
        <is>
          <t>ترحيل إلى قسم المشاريع تبوك</t>
        </is>
      </c>
      <c r="C57" s="16" t="inlineStr">
        <is>
          <t>SF100</t>
        </is>
      </c>
      <c r="D57" s="16" t="inlineStr">
        <is>
          <t>فينكا روزا مركن 9 سم أبيض نقطة حمراء</t>
        </is>
      </c>
      <c r="E57" s="118" t="n">
        <v>24750</v>
      </c>
      <c r="F57" s="17" t="n">
        <v>13612.5</v>
      </c>
      <c r="G57" s="16" t="n">
        <v>6</v>
      </c>
    </row>
    <row r="58">
      <c r="A58" s="16" t="inlineStr">
        <is>
          <t>RNP</t>
        </is>
      </c>
      <c r="B58" s="16" t="inlineStr">
        <is>
          <t>ترحيل إلى قسم المشاريع تبوك</t>
        </is>
      </c>
      <c r="C58" s="16" t="inlineStr">
        <is>
          <t>SF102</t>
        </is>
      </c>
      <c r="D58" s="16" t="inlineStr">
        <is>
          <t>فينكا روزا مركن 9 سم مشمشي</t>
        </is>
      </c>
      <c r="E58" s="118" t="n">
        <v>1850</v>
      </c>
      <c r="F58" s="17" t="n">
        <v>1017.5</v>
      </c>
      <c r="G58" s="16" t="n">
        <v>4</v>
      </c>
    </row>
    <row r="59">
      <c r="A59" s="16" t="inlineStr">
        <is>
          <t>RNP</t>
        </is>
      </c>
      <c r="B59" s="16" t="inlineStr">
        <is>
          <t>ترحيل إلى قسم المشاريع تبوك</t>
        </is>
      </c>
      <c r="C59" s="16" t="inlineStr">
        <is>
          <t>SF105</t>
        </is>
      </c>
      <c r="D59" s="16" t="inlineStr">
        <is>
          <t>فينكا روزا مركن 9 سم برغندي</t>
        </is>
      </c>
      <c r="E59" s="118" t="n">
        <v>8350</v>
      </c>
      <c r="F59" s="17" t="n">
        <v>4592.5</v>
      </c>
      <c r="G59" s="16" t="n">
        <v>6</v>
      </c>
    </row>
    <row r="60">
      <c r="A60" s="16" t="inlineStr">
        <is>
          <t>RNP</t>
        </is>
      </c>
      <c r="B60" s="16" t="inlineStr">
        <is>
          <t>ترحيل إلى قسم المشاريع تبوك</t>
        </is>
      </c>
      <c r="C60" s="16" t="inlineStr">
        <is>
          <t>SF106</t>
        </is>
      </c>
      <c r="D60" s="16" t="inlineStr">
        <is>
          <t>فينكا روزا مركن 9 سم برغندي هالو</t>
        </is>
      </c>
      <c r="E60" s="118" t="n">
        <v>1900</v>
      </c>
      <c r="F60" s="17" t="n">
        <v>1045</v>
      </c>
      <c r="G60" s="16" t="n">
        <v>4</v>
      </c>
    </row>
    <row r="61">
      <c r="A61" s="16" t="inlineStr">
        <is>
          <t>RNP</t>
        </is>
      </c>
      <c r="B61" s="16" t="inlineStr">
        <is>
          <t>ترحيل إلى قسم المشاريع تبوك</t>
        </is>
      </c>
      <c r="C61" s="16" t="inlineStr">
        <is>
          <t>SF108</t>
        </is>
      </c>
      <c r="D61" s="16" t="inlineStr">
        <is>
          <t>فينكا روزا مركن 9 سم أوركيد عميق</t>
        </is>
      </c>
      <c r="E61" s="118" t="n">
        <v>20920</v>
      </c>
      <c r="F61" s="17" t="n">
        <v>11506</v>
      </c>
      <c r="G61" s="16" t="n">
        <v>7</v>
      </c>
    </row>
    <row r="62">
      <c r="A62" s="16" t="inlineStr">
        <is>
          <t>RNP</t>
        </is>
      </c>
      <c r="B62" s="16" t="inlineStr">
        <is>
          <t>ترحيل إلى قسم المشاريع تبوك</t>
        </is>
      </c>
      <c r="C62" s="16" t="inlineStr">
        <is>
          <t>SF123</t>
        </is>
      </c>
      <c r="D62" s="16" t="inlineStr">
        <is>
          <t>زهور زينيا سنجل مركن 9 سم أبيض</t>
        </is>
      </c>
      <c r="E62" s="118" t="n">
        <v>1300</v>
      </c>
      <c r="F62" s="17" t="n">
        <v>715</v>
      </c>
      <c r="G62" s="16" t="n">
        <v>2</v>
      </c>
    </row>
    <row r="63">
      <c r="A63" s="16" t="inlineStr">
        <is>
          <t>RNP</t>
        </is>
      </c>
      <c r="B63" s="16" t="inlineStr">
        <is>
          <t>ترحيل إلى قسم المشاريع تبوك</t>
        </is>
      </c>
      <c r="C63" s="16" t="inlineStr">
        <is>
          <t>SF124</t>
        </is>
      </c>
      <c r="D63" s="16" t="inlineStr">
        <is>
          <t>زهور زينيا سنجل مركن 9 سم أحمر</t>
        </is>
      </c>
      <c r="E63" s="118" t="n">
        <v>900</v>
      </c>
      <c r="F63" s="17" t="n">
        <v>495</v>
      </c>
      <c r="G63" s="16" t="n">
        <v>2</v>
      </c>
    </row>
    <row r="64">
      <c r="A64" s="16" t="inlineStr">
        <is>
          <t>RNP</t>
        </is>
      </c>
      <c r="B64" s="16" t="inlineStr">
        <is>
          <t>ترحيل إلى قسم المشاريع تبوك</t>
        </is>
      </c>
      <c r="C64" s="16" t="inlineStr">
        <is>
          <t>SF125</t>
        </is>
      </c>
      <c r="D64" s="16" t="inlineStr">
        <is>
          <t>زهور زينيا سنجل مركن 9 سم أصفر</t>
        </is>
      </c>
      <c r="E64" s="118" t="n">
        <v>400</v>
      </c>
      <c r="F64" s="17" t="n">
        <v>220</v>
      </c>
      <c r="G64" s="16" t="n">
        <v>1</v>
      </c>
    </row>
    <row r="65">
      <c r="A65" s="16" t="inlineStr">
        <is>
          <t>RNP</t>
        </is>
      </c>
      <c r="B65" s="16" t="inlineStr">
        <is>
          <t>ترحيل إلى قسم المشاريع تبوك</t>
        </is>
      </c>
      <c r="C65" s="16" t="inlineStr">
        <is>
          <t>SF126</t>
        </is>
      </c>
      <c r="D65" s="16" t="inlineStr">
        <is>
          <t>زهور زينيا سنجل مركن 9 سم برتقالي</t>
        </is>
      </c>
      <c r="E65" s="118" t="n">
        <v>700</v>
      </c>
      <c r="F65" s="17" t="n">
        <v>385</v>
      </c>
      <c r="G65" s="16" t="n">
        <v>1</v>
      </c>
    </row>
    <row r="66">
      <c r="A66" s="16" t="inlineStr">
        <is>
          <t>RNP</t>
        </is>
      </c>
      <c r="B66" s="16" t="inlineStr">
        <is>
          <t>ترحيل إلى قسم المشاريع تبوك</t>
        </is>
      </c>
      <c r="C66" s="16" t="inlineStr">
        <is>
          <t>SF128</t>
        </is>
      </c>
      <c r="D66" s="16" t="inlineStr">
        <is>
          <t>زهور زينيا سنجل مركن 9 سم ليموني</t>
        </is>
      </c>
      <c r="E66" s="118" t="n">
        <v>700</v>
      </c>
      <c r="F66" s="17" t="n">
        <v>385</v>
      </c>
      <c r="G66" s="16" t="n">
        <v>1</v>
      </c>
    </row>
    <row r="67">
      <c r="A67" s="16" t="inlineStr">
        <is>
          <t>RNP</t>
        </is>
      </c>
      <c r="B67" s="16" t="inlineStr">
        <is>
          <t>ترحيل إلى قسم المشاريع تبوك</t>
        </is>
      </c>
      <c r="C67" s="16" t="inlineStr">
        <is>
          <t>SF129</t>
        </is>
      </c>
      <c r="D67" s="16" t="inlineStr">
        <is>
          <t>زهور زينيا سنجل مركن 9 سم كرزي</t>
        </is>
      </c>
      <c r="E67" s="118" t="n">
        <v>700</v>
      </c>
      <c r="F67" s="17" t="n">
        <v>385</v>
      </c>
      <c r="G67" s="16" t="n">
        <v>1</v>
      </c>
    </row>
    <row r="68">
      <c r="A68" s="16" t="inlineStr">
        <is>
          <t>RNP</t>
        </is>
      </c>
      <c r="B68" s="16" t="inlineStr">
        <is>
          <t>ترحيل إلى قسم المشاريع تبوك</t>
        </is>
      </c>
      <c r="C68" s="16" t="inlineStr">
        <is>
          <t>SF131</t>
        </is>
      </c>
      <c r="D68" s="16" t="inlineStr">
        <is>
          <t>زهور زينيا سنجل مركن 9 سم أحمر وأصفر ثنائي</t>
        </is>
      </c>
      <c r="E68" s="118" t="n">
        <v>3500</v>
      </c>
      <c r="F68" s="17" t="n">
        <v>1925</v>
      </c>
      <c r="G68" s="16" t="n">
        <v>2</v>
      </c>
    </row>
    <row r="69">
      <c r="A69" s="16" t="inlineStr">
        <is>
          <t>RNP</t>
        </is>
      </c>
      <c r="B69" s="16" t="inlineStr">
        <is>
          <t>ترحيل إلى قسم المشاريع تبوك</t>
        </is>
      </c>
      <c r="C69" s="16" t="inlineStr">
        <is>
          <t>SF144</t>
        </is>
      </c>
      <c r="D69" s="16" t="inlineStr">
        <is>
          <t>زهور امرانتس مركن 9 سم أحمر</t>
        </is>
      </c>
      <c r="E69" s="118" t="n">
        <v>500</v>
      </c>
      <c r="F69" s="17" t="n">
        <v>275</v>
      </c>
      <c r="G69" s="16" t="n">
        <v>1</v>
      </c>
    </row>
    <row r="70">
      <c r="A70" s="16" t="inlineStr">
        <is>
          <t>RNP</t>
        </is>
      </c>
      <c r="B70" s="16" t="inlineStr">
        <is>
          <t>ترحيل إلى قسم المشاريع تبوك</t>
        </is>
      </c>
      <c r="C70" s="16" t="inlineStr">
        <is>
          <t>SF149</t>
        </is>
      </c>
      <c r="D70" s="16" t="inlineStr">
        <is>
          <t>زهور فضية مركن 9 سم فضي</t>
        </is>
      </c>
      <c r="E70" s="118" t="n">
        <v>300</v>
      </c>
      <c r="F70" s="17" t="n">
        <v>165</v>
      </c>
      <c r="G70" s="16" t="n">
        <v>1</v>
      </c>
    </row>
    <row r="71">
      <c r="A71" s="16" t="inlineStr">
        <is>
          <t>RNP</t>
        </is>
      </c>
      <c r="B71" s="16" t="inlineStr">
        <is>
          <t>ترحيل إلى قسم المشاريع تبوك</t>
        </is>
      </c>
      <c r="C71" s="16" t="inlineStr">
        <is>
          <t>SF97</t>
        </is>
      </c>
      <c r="D71" s="16" t="inlineStr">
        <is>
          <t>فينكا روزا مركن 9 سم أبيض</t>
        </is>
      </c>
      <c r="E71" s="118" t="n">
        <v>25650</v>
      </c>
      <c r="F71" s="17" t="n">
        <v>14107.5</v>
      </c>
      <c r="G71" s="16" t="n">
        <v>4</v>
      </c>
    </row>
    <row r="72">
      <c r="A72" s="16" t="inlineStr">
        <is>
          <t>RNP</t>
        </is>
      </c>
      <c r="B72" s="16" t="inlineStr">
        <is>
          <t>ترحيل إلى قسم المشاريع تبوك</t>
        </is>
      </c>
      <c r="C72" s="16" t="inlineStr">
        <is>
          <t>SF98</t>
        </is>
      </c>
      <c r="D72" s="16" t="inlineStr">
        <is>
          <t>فينكا روزا مركن 9 سم أحمر</t>
        </is>
      </c>
      <c r="E72" s="118" t="n">
        <v>27750</v>
      </c>
      <c r="F72" s="17" t="n">
        <v>15262.5</v>
      </c>
      <c r="G72" s="16" t="n">
        <v>6</v>
      </c>
    </row>
    <row r="73">
      <c r="A73" s="16" t="inlineStr">
        <is>
          <t>RNP</t>
        </is>
      </c>
      <c r="B73" s="16" t="inlineStr">
        <is>
          <t>ترحيل إلى قسم المشاريع تبوك</t>
        </is>
      </c>
      <c r="C73" s="16" t="inlineStr">
        <is>
          <t>SF99</t>
        </is>
      </c>
      <c r="D73" s="16" t="inlineStr">
        <is>
          <t>فينكا روزا مركن 9 سم أحمر نقطة بيضاء</t>
        </is>
      </c>
      <c r="E73" s="118" t="n">
        <v>2450</v>
      </c>
      <c r="F73" s="17" t="n">
        <v>1347.5</v>
      </c>
      <c r="G73" s="16" t="n">
        <v>4</v>
      </c>
    </row>
    <row r="74">
      <c r="A74" s="9" t="n"/>
      <c r="B74" s="9" t="inlineStr">
        <is>
          <t>إجمالي ترحيل إلى قسم المشاريع تبوك</t>
        </is>
      </c>
      <c r="C74" s="9" t="n"/>
      <c r="D74" s="9" t="n"/>
      <c r="E74" s="9">
        <f>SUM(E32:E73)</f>
        <v/>
      </c>
      <c r="F74" s="10">
        <f>SUM(F32:F73)</f>
        <v/>
      </c>
      <c r="G74" s="9" t="n"/>
    </row>
    <row r="75">
      <c r="A75" s="16" t="inlineStr">
        <is>
          <t>RNO</t>
        </is>
      </c>
      <c r="B75" s="16" t="inlineStr">
        <is>
          <t>صرف مواد للإنتاج – مزرعة الرياض</t>
        </is>
      </c>
      <c r="C75" s="16" t="inlineStr">
        <is>
          <t>FR1004</t>
        </is>
      </c>
      <c r="D75" s="16" t="inlineStr">
        <is>
          <t>حديد مخلبي 16 كجم</t>
        </is>
      </c>
      <c r="E75" s="118" t="n">
        <v>15</v>
      </c>
      <c r="F75" s="17" t="n">
        <v>927</v>
      </c>
      <c r="G75" s="16" t="n">
        <v>13</v>
      </c>
    </row>
    <row r="76">
      <c r="A76" s="16" t="inlineStr">
        <is>
          <t>RNO</t>
        </is>
      </c>
      <c r="B76" s="16" t="inlineStr">
        <is>
          <t>صرف مواد للإنتاج – مزرعة الرياض</t>
        </is>
      </c>
      <c r="C76" s="16" t="inlineStr">
        <is>
          <t>FR1017</t>
        </is>
      </c>
      <c r="D76" s="16" t="inlineStr">
        <is>
          <t>بوتنج سويل 70 لتر (KLAS)</t>
        </is>
      </c>
      <c r="E76" s="118" t="n">
        <v>167</v>
      </c>
      <c r="F76" s="17" t="n">
        <v>8109.8</v>
      </c>
      <c r="G76" s="16" t="n">
        <v>18</v>
      </c>
    </row>
    <row r="77">
      <c r="A77" s="16" t="inlineStr">
        <is>
          <t>RNO</t>
        </is>
      </c>
      <c r="B77" s="16" t="inlineStr">
        <is>
          <t>صرف مواد للإنتاج – مزرعة الرياض</t>
        </is>
      </c>
      <c r="C77" s="16" t="inlineStr">
        <is>
          <t>FR1018</t>
        </is>
      </c>
      <c r="D77" s="16" t="inlineStr">
        <is>
          <t>فيرموكلايت 100 لتر</t>
        </is>
      </c>
      <c r="E77" s="118" t="n">
        <v>25</v>
      </c>
      <c r="F77" s="17" t="n">
        <v>1953.75</v>
      </c>
      <c r="G77" s="16" t="n">
        <v>14</v>
      </c>
    </row>
    <row r="78">
      <c r="A78" s="16" t="inlineStr">
        <is>
          <t>RNO</t>
        </is>
      </c>
      <c r="B78" s="16" t="inlineStr">
        <is>
          <t>صرف مواد للإنتاج – مزرعة الرياض</t>
        </is>
      </c>
      <c r="C78" s="16" t="inlineStr">
        <is>
          <t>FR1022</t>
        </is>
      </c>
      <c r="D78" s="16" t="inlineStr">
        <is>
          <t>اجري فير شيلات حديد 6% 1 كجم</t>
        </is>
      </c>
      <c r="E78" s="118" t="n">
        <v>22</v>
      </c>
      <c r="F78" s="17" t="n">
        <v>919</v>
      </c>
      <c r="G78" s="16" t="n">
        <v>18</v>
      </c>
    </row>
    <row r="79">
      <c r="A79" s="16" t="inlineStr">
        <is>
          <t>RNO</t>
        </is>
      </c>
      <c r="B79" s="16" t="inlineStr">
        <is>
          <t>صرف مواد للإنتاج – مزرعة الرياض</t>
        </is>
      </c>
      <c r="C79" s="16" t="inlineStr">
        <is>
          <t>FR1023</t>
        </is>
      </c>
      <c r="D79" s="16" t="inlineStr">
        <is>
          <t>سماد سنجر 20-20-20 + ع ن (25 كجم)</t>
        </is>
      </c>
      <c r="E79" s="118" t="n">
        <v>8</v>
      </c>
      <c r="F79" s="17" t="n">
        <v>2312.5</v>
      </c>
      <c r="G79" s="16" t="n">
        <v>8</v>
      </c>
    </row>
    <row r="80">
      <c r="A80" s="16" t="inlineStr">
        <is>
          <t>RNO</t>
        </is>
      </c>
      <c r="B80" s="16" t="inlineStr">
        <is>
          <t>صرف مواد للإنتاج – مزرعة الرياض</t>
        </is>
      </c>
      <c r="C80" s="16" t="inlineStr">
        <is>
          <t>FR1024</t>
        </is>
      </c>
      <c r="D80" s="16" t="inlineStr">
        <is>
          <t>فاكوميل بلص 50 - 1 كجم</t>
        </is>
      </c>
      <c r="E80" s="118" t="n">
        <v>2</v>
      </c>
      <c r="F80" s="17" t="n">
        <v>151</v>
      </c>
      <c r="G80" s="16" t="n">
        <v>1</v>
      </c>
    </row>
    <row r="81">
      <c r="A81" s="16" t="inlineStr">
        <is>
          <t>RNO</t>
        </is>
      </c>
      <c r="B81" s="16" t="inlineStr">
        <is>
          <t>صرف مواد للإنتاج – مزرعة الرياض</t>
        </is>
      </c>
      <c r="C81" s="16" t="inlineStr">
        <is>
          <t>FR1033</t>
        </is>
      </c>
      <c r="D81" s="16" t="inlineStr">
        <is>
          <t>بيتموس تي اس مخصب 210 لتر</t>
        </is>
      </c>
      <c r="E81" s="118" t="n">
        <v>653</v>
      </c>
      <c r="F81" s="17" t="n">
        <v>67573.62</v>
      </c>
      <c r="G81" s="16" t="n">
        <v>44</v>
      </c>
    </row>
    <row r="82">
      <c r="A82" s="16" t="inlineStr">
        <is>
          <t>RNO</t>
        </is>
      </c>
      <c r="B82" s="16" t="inlineStr">
        <is>
          <t>صرف مواد للإنتاج – مزرعة الرياض</t>
        </is>
      </c>
      <c r="C82" s="16" t="inlineStr">
        <is>
          <t>FR368</t>
        </is>
      </c>
      <c r="D82" s="16" t="inlineStr">
        <is>
          <t>بيرلايت 100 لتر</t>
        </is>
      </c>
      <c r="E82" s="118" t="n">
        <v>186</v>
      </c>
      <c r="F82" s="17" t="n">
        <v>6171.75</v>
      </c>
      <c r="G82" s="16" t="n">
        <v>43</v>
      </c>
    </row>
    <row r="83">
      <c r="A83" s="16" t="inlineStr">
        <is>
          <t>RNO</t>
        </is>
      </c>
      <c r="B83" s="16" t="inlineStr">
        <is>
          <t>صرف مواد للإنتاج – مزرعة الرياض</t>
        </is>
      </c>
      <c r="C83" s="16" t="inlineStr">
        <is>
          <t>ID1503</t>
        </is>
      </c>
      <c r="D83" s="16" t="inlineStr">
        <is>
          <t>هيدرا  ان اس مركن9 سم</t>
        </is>
      </c>
      <c r="E83" s="118" t="n">
        <v>950</v>
      </c>
      <c r="F83" s="17" t="n">
        <v>2305</v>
      </c>
      <c r="G83" s="16" t="n">
        <v>2</v>
      </c>
    </row>
    <row r="84">
      <c r="A84" s="16" t="inlineStr">
        <is>
          <t>RNO</t>
        </is>
      </c>
      <c r="B84" s="16" t="inlineStr">
        <is>
          <t>صرف مواد للإنتاج – مزرعة الرياض</t>
        </is>
      </c>
      <c r="C84" s="16" t="inlineStr">
        <is>
          <t>OD371</t>
        </is>
      </c>
      <c r="D84" s="16" t="inlineStr">
        <is>
          <t>اكاسيا جلوكا 1-2 متر</t>
        </is>
      </c>
      <c r="E84" s="118" t="n">
        <v>768</v>
      </c>
      <c r="F84" s="17" t="n">
        <v>19584</v>
      </c>
      <c r="G84" s="16" t="n">
        <v>1</v>
      </c>
    </row>
    <row r="85">
      <c r="A85" s="16" t="inlineStr">
        <is>
          <t>RNO</t>
        </is>
      </c>
      <c r="B85" s="16" t="inlineStr">
        <is>
          <t>صرف مواد للإنتاج – مزرعة الرياض</t>
        </is>
      </c>
      <c r="C85" s="16" t="inlineStr">
        <is>
          <t>OD375</t>
        </is>
      </c>
      <c r="D85" s="16" t="inlineStr">
        <is>
          <t>بوانسيانا 1-2 متر</t>
        </is>
      </c>
      <c r="E85" s="118" t="n">
        <v>477</v>
      </c>
      <c r="F85" s="17" t="n">
        <v>12163.5</v>
      </c>
      <c r="G85" s="16" t="n">
        <v>1</v>
      </c>
    </row>
    <row r="86">
      <c r="A86" s="16" t="inlineStr">
        <is>
          <t>RNO</t>
        </is>
      </c>
      <c r="B86" s="16" t="inlineStr">
        <is>
          <t>صرف مواد للإنتاج – مزرعة الرياض</t>
        </is>
      </c>
      <c r="C86" s="16" t="inlineStr">
        <is>
          <t>OD383</t>
        </is>
      </c>
      <c r="D86" s="16" t="inlineStr">
        <is>
          <t>لبخ 1-2 متر</t>
        </is>
      </c>
      <c r="E86" s="118" t="n">
        <v>1300</v>
      </c>
      <c r="F86" s="17" t="n">
        <v>33150</v>
      </c>
      <c r="G86" s="16" t="n">
        <v>1</v>
      </c>
    </row>
    <row r="87">
      <c r="A87" s="16" t="inlineStr">
        <is>
          <t>RNO</t>
        </is>
      </c>
      <c r="B87" s="16" t="inlineStr">
        <is>
          <t>صرف مواد للإنتاج – مزرعة الرياض</t>
        </is>
      </c>
      <c r="C87" s="16" t="inlineStr">
        <is>
          <t>OD385</t>
        </is>
      </c>
      <c r="D87" s="16" t="inlineStr">
        <is>
          <t>نيم 1-2 متر</t>
        </is>
      </c>
      <c r="E87" s="118" t="n">
        <v>1300</v>
      </c>
      <c r="F87" s="17" t="n">
        <v>33150</v>
      </c>
      <c r="G87" s="16" t="n">
        <v>1</v>
      </c>
    </row>
    <row r="88">
      <c r="A88" s="16" t="inlineStr">
        <is>
          <t>RNO</t>
        </is>
      </c>
      <c r="B88" s="16" t="inlineStr">
        <is>
          <t>صرف مواد للإنتاج – مزرعة الرياض</t>
        </is>
      </c>
      <c r="C88" s="16" t="inlineStr">
        <is>
          <t>PL1</t>
        </is>
      </c>
      <c r="D88" s="16" t="inlineStr">
        <is>
          <t>مركن زراعي خفيف ملون 9 سم</t>
        </is>
      </c>
      <c r="E88" s="118" t="n">
        <v>565000</v>
      </c>
      <c r="F88" s="17" t="n">
        <v>34200</v>
      </c>
      <c r="G88" s="16" t="n">
        <v>41</v>
      </c>
    </row>
    <row r="89">
      <c r="A89" s="16" t="inlineStr">
        <is>
          <t>RNO</t>
        </is>
      </c>
      <c r="B89" s="16" t="inlineStr">
        <is>
          <t>صرف مواد للإنتاج – مزرعة الرياض</t>
        </is>
      </c>
      <c r="C89" s="16" t="inlineStr">
        <is>
          <t>PL12</t>
        </is>
      </c>
      <c r="D89" s="16" t="inlineStr">
        <is>
          <t>صندوق - فلين للزهور</t>
        </is>
      </c>
      <c r="E89" s="118" t="n">
        <v>33399</v>
      </c>
      <c r="F89" s="17" t="n">
        <v>140619</v>
      </c>
      <c r="G89" s="16" t="n">
        <v>38</v>
      </c>
    </row>
    <row r="90">
      <c r="A90" s="16" t="inlineStr">
        <is>
          <t>RNO</t>
        </is>
      </c>
      <c r="B90" s="16" t="inlineStr">
        <is>
          <t>صرف مواد للإنتاج – مزرعة الرياض</t>
        </is>
      </c>
      <c r="C90" s="16" t="inlineStr">
        <is>
          <t>PL14</t>
        </is>
      </c>
      <c r="D90" s="16" t="inlineStr">
        <is>
          <t>مركن زراعي علاقي 19 سم</t>
        </is>
      </c>
      <c r="E90" s="118" t="n">
        <v>2100</v>
      </c>
      <c r="F90" s="17" t="n">
        <v>5531.25</v>
      </c>
      <c r="G90" s="16" t="n">
        <v>3</v>
      </c>
    </row>
    <row r="91">
      <c r="A91" s="16" t="inlineStr">
        <is>
          <t>RNO</t>
        </is>
      </c>
      <c r="B91" s="16" t="inlineStr">
        <is>
          <t>صرف مواد للإنتاج – مزرعة الرياض</t>
        </is>
      </c>
      <c r="C91" s="16" t="inlineStr">
        <is>
          <t>PL15</t>
        </is>
      </c>
      <c r="D91" s="16" t="inlineStr">
        <is>
          <t>سنادات شجر طول 3 متر</t>
        </is>
      </c>
      <c r="E91" s="118" t="n">
        <v>1350</v>
      </c>
      <c r="F91" s="17" t="n">
        <v>4725</v>
      </c>
      <c r="G91" s="16" t="n">
        <v>12</v>
      </c>
    </row>
    <row r="92">
      <c r="A92" s="16" t="inlineStr">
        <is>
          <t>RNO</t>
        </is>
      </c>
      <c r="B92" s="16" t="inlineStr">
        <is>
          <t>صرف مواد للإنتاج – مزرعة الرياض</t>
        </is>
      </c>
      <c r="C92" s="16" t="inlineStr">
        <is>
          <t>PL2</t>
        </is>
      </c>
      <c r="D92" s="16" t="inlineStr">
        <is>
          <t>مركن زراعى خفيف 12 سم</t>
        </is>
      </c>
      <c r="E92" s="118" t="n">
        <v>1000</v>
      </c>
      <c r="F92" s="17" t="n">
        <v>200</v>
      </c>
      <c r="G92" s="16" t="n">
        <v>1</v>
      </c>
    </row>
    <row r="93">
      <c r="A93" s="16" t="inlineStr">
        <is>
          <t>RNO</t>
        </is>
      </c>
      <c r="B93" s="16" t="inlineStr">
        <is>
          <t>صرف مواد للإنتاج – مزرعة الرياض</t>
        </is>
      </c>
      <c r="C93" s="16" t="inlineStr">
        <is>
          <t>PL9</t>
        </is>
      </c>
      <c r="D93" s="16" t="inlineStr">
        <is>
          <t>مركن زراعي 40 سم</t>
        </is>
      </c>
      <c r="E93" s="118" t="n">
        <v>2084</v>
      </c>
      <c r="F93" s="17" t="n">
        <v>10379.7</v>
      </c>
      <c r="G93" s="16" t="n">
        <v>5</v>
      </c>
    </row>
    <row r="94">
      <c r="A94" s="16" t="inlineStr">
        <is>
          <t>RNO</t>
        </is>
      </c>
      <c r="B94" s="16" t="inlineStr">
        <is>
          <t>صرف مواد للإنتاج – مزرعة الرياض</t>
        </is>
      </c>
      <c r="C94" s="16" t="inlineStr">
        <is>
          <t>SE100</t>
        </is>
      </c>
      <c r="D94" s="16" t="inlineStr">
        <is>
          <t>- بذور فينكا فيكتوري أبيض</t>
        </is>
      </c>
      <c r="E94" s="118" t="n">
        <v>150000</v>
      </c>
      <c r="F94" s="17" t="n">
        <v>5565</v>
      </c>
      <c r="G94" s="16" t="n">
        <v>8</v>
      </c>
    </row>
    <row r="95">
      <c r="A95" s="16" t="inlineStr">
        <is>
          <t>RNO</t>
        </is>
      </c>
      <c r="B95" s="16" t="inlineStr">
        <is>
          <t>صرف مواد للإنتاج – مزرعة الرياض</t>
        </is>
      </c>
      <c r="C95" s="16" t="inlineStr">
        <is>
          <t>SE101</t>
        </is>
      </c>
      <c r="D95" s="16" t="inlineStr">
        <is>
          <t>جذور فينكا باسيفيكا أحمر داكن</t>
        </is>
      </c>
      <c r="E95" s="118" t="n">
        <v>100000</v>
      </c>
      <c r="F95" s="17" t="n">
        <v>3657.5</v>
      </c>
      <c r="G95" s="16" t="n">
        <v>6</v>
      </c>
    </row>
    <row r="96">
      <c r="A96" s="16" t="inlineStr">
        <is>
          <t>RNO</t>
        </is>
      </c>
      <c r="B96" s="16" t="inlineStr">
        <is>
          <t>صرف مواد للإنتاج – مزرعة الرياض</t>
        </is>
      </c>
      <c r="C96" s="16" t="inlineStr">
        <is>
          <t>SE102</t>
        </is>
      </c>
      <c r="D96" s="16" t="inlineStr">
        <is>
          <t>جذور فينكا فيكتوري أحمر</t>
        </is>
      </c>
      <c r="E96" s="118" t="n">
        <v>50000</v>
      </c>
      <c r="F96" s="17" t="n">
        <v>1907.5</v>
      </c>
      <c r="G96" s="16" t="n">
        <v>3</v>
      </c>
    </row>
    <row r="97">
      <c r="A97" s="16" t="inlineStr">
        <is>
          <t>RNO</t>
        </is>
      </c>
      <c r="B97" s="16" t="inlineStr">
        <is>
          <t>صرف مواد للإنتاج – مزرعة الرياض</t>
        </is>
      </c>
      <c r="C97" s="16" t="inlineStr">
        <is>
          <t>SE103</t>
        </is>
      </c>
      <c r="D97" s="16" t="inlineStr">
        <is>
          <t>جذور - فينكا باسيفيكا أوركيد عميق</t>
        </is>
      </c>
      <c r="E97" s="118" t="n">
        <v>100000</v>
      </c>
      <c r="F97" s="17" t="n">
        <v>3710</v>
      </c>
      <c r="G97" s="16" t="n">
        <v>6</v>
      </c>
    </row>
    <row r="98">
      <c r="A98" s="16" t="inlineStr">
        <is>
          <t>RNO</t>
        </is>
      </c>
      <c r="B98" s="16" t="inlineStr">
        <is>
          <t>صرف مواد للإنتاج – مزرعة الرياض</t>
        </is>
      </c>
      <c r="C98" s="16" t="inlineStr">
        <is>
          <t>SE104</t>
        </is>
      </c>
      <c r="D98" s="16" t="inlineStr">
        <is>
          <t>جذور فينكا باسيفيكا برغندي</t>
        </is>
      </c>
      <c r="E98" s="118" t="n">
        <v>50000</v>
      </c>
      <c r="F98" s="17" t="n">
        <v>1855</v>
      </c>
      <c r="G98" s="16" t="n">
        <v>7</v>
      </c>
    </row>
    <row r="99">
      <c r="A99" s="16" t="inlineStr">
        <is>
          <t>RNO</t>
        </is>
      </c>
      <c r="B99" s="16" t="inlineStr">
        <is>
          <t>صرف مواد للإنتاج – مزرعة الرياض</t>
        </is>
      </c>
      <c r="C99" s="16" t="inlineStr">
        <is>
          <t>SE105</t>
        </is>
      </c>
      <c r="D99" s="16" t="inlineStr">
        <is>
          <t>جذور فينكا باسيفيكا برغندي هالو</t>
        </is>
      </c>
      <c r="E99" s="118" t="n">
        <v>50000</v>
      </c>
      <c r="F99" s="17" t="n">
        <v>1855</v>
      </c>
      <c r="G99" s="16" t="n">
        <v>7</v>
      </c>
    </row>
    <row r="100">
      <c r="A100" s="16" t="inlineStr">
        <is>
          <t>RNO</t>
        </is>
      </c>
      <c r="B100" s="16" t="inlineStr">
        <is>
          <t>صرف مواد للإنتاج – مزرعة الرياض</t>
        </is>
      </c>
      <c r="C100" s="16" t="inlineStr">
        <is>
          <t>SE106</t>
        </is>
      </c>
      <c r="D100" s="16" t="inlineStr">
        <is>
          <t>- بذور فينكا باسيفيكا أحمر</t>
        </is>
      </c>
      <c r="E100" s="118" t="n">
        <v>50000</v>
      </c>
      <c r="F100" s="17" t="n">
        <v>1855</v>
      </c>
      <c r="G100" s="16" t="n">
        <v>6</v>
      </c>
    </row>
    <row r="101">
      <c r="A101" s="16" t="inlineStr">
        <is>
          <t>RNO</t>
        </is>
      </c>
      <c r="B101" s="16" t="inlineStr">
        <is>
          <t>صرف مواد للإنتاج – مزرعة الرياض</t>
        </is>
      </c>
      <c r="C101" s="16" t="inlineStr">
        <is>
          <t>SE107</t>
        </is>
      </c>
      <c r="D101" s="16" t="inlineStr">
        <is>
          <t>بذور فينكا باسيفيكا مشمشي</t>
        </is>
      </c>
      <c r="E101" s="118" t="n">
        <v>25000</v>
      </c>
      <c r="F101" s="17" t="n">
        <v>980</v>
      </c>
      <c r="G101" s="16" t="n">
        <v>3</v>
      </c>
    </row>
    <row r="102">
      <c r="A102" s="16" t="inlineStr">
        <is>
          <t>RNO</t>
        </is>
      </c>
      <c r="B102" s="16" t="inlineStr">
        <is>
          <t>صرف مواد للإنتاج – مزرعة الرياض</t>
        </is>
      </c>
      <c r="C102" s="16" t="inlineStr">
        <is>
          <t>SE108</t>
        </is>
      </c>
      <c r="D102" s="16" t="inlineStr">
        <is>
          <t>- جذور فينكا من ستورم مشمشي</t>
        </is>
      </c>
      <c r="E102" s="118" t="n">
        <v>20000</v>
      </c>
      <c r="F102" s="17" t="n">
        <v>645</v>
      </c>
      <c r="G102" s="16" t="n">
        <v>3</v>
      </c>
    </row>
    <row r="103">
      <c r="A103" s="16" t="inlineStr">
        <is>
          <t>RNO</t>
        </is>
      </c>
      <c r="B103" s="16" t="inlineStr">
        <is>
          <t>صرف مواد للإنتاج – مزرعة الرياض</t>
        </is>
      </c>
      <c r="C103" s="16" t="inlineStr">
        <is>
          <t>SE109</t>
        </is>
      </c>
      <c r="D103" s="16" t="inlineStr">
        <is>
          <t>جذور فينكا باسيفيكا بولكا دوت</t>
        </is>
      </c>
      <c r="E103" s="118" t="n">
        <v>50000</v>
      </c>
      <c r="F103" s="17" t="n">
        <v>1802.5</v>
      </c>
      <c r="G103" s="16" t="n">
        <v>6</v>
      </c>
    </row>
    <row r="104">
      <c r="A104" s="16" t="inlineStr">
        <is>
          <t>RNO</t>
        </is>
      </c>
      <c r="B104" s="16" t="inlineStr">
        <is>
          <t>صرف مواد للإنتاج – مزرعة الرياض</t>
        </is>
      </c>
      <c r="C104" s="16" t="inlineStr">
        <is>
          <t>SE111</t>
        </is>
      </c>
      <c r="D104" s="16" t="inlineStr">
        <is>
          <t>بذور أمارانتس</t>
        </is>
      </c>
      <c r="E104" s="118" t="n">
        <v>20000</v>
      </c>
      <c r="F104" s="17" t="n">
        <v>207.5</v>
      </c>
      <c r="G104" s="16" t="n">
        <v>4</v>
      </c>
    </row>
    <row r="105">
      <c r="A105" s="16" t="inlineStr">
        <is>
          <t>RNO</t>
        </is>
      </c>
      <c r="B105" s="16" t="inlineStr">
        <is>
          <t>صرف مواد للإنتاج – مزرعة الرياض</t>
        </is>
      </c>
      <c r="C105" s="16" t="inlineStr">
        <is>
          <t>SE112</t>
        </is>
      </c>
      <c r="D105" s="16" t="inlineStr">
        <is>
          <t>بذور زينيا بروفيوجن أبيض</t>
        </is>
      </c>
      <c r="E105" s="118" t="n">
        <v>10000</v>
      </c>
      <c r="F105" s="17" t="n">
        <v>1612.5</v>
      </c>
      <c r="G105" s="16" t="n">
        <v>2</v>
      </c>
    </row>
    <row r="106">
      <c r="A106" s="16" t="inlineStr">
        <is>
          <t>RNO</t>
        </is>
      </c>
      <c r="B106" s="16" t="inlineStr">
        <is>
          <t>صرف مواد للإنتاج – مزرعة الرياض</t>
        </is>
      </c>
      <c r="C106" s="16" t="inlineStr">
        <is>
          <t>SE113</t>
        </is>
      </c>
      <c r="D106" s="16" t="inlineStr">
        <is>
          <t>بذور زينيا بروفيوجن أحمر</t>
        </is>
      </c>
      <c r="E106" s="118" t="n">
        <v>10000</v>
      </c>
      <c r="F106" s="17" t="n">
        <v>1612.5</v>
      </c>
      <c r="G106" s="16" t="n">
        <v>2</v>
      </c>
    </row>
    <row r="107">
      <c r="A107" s="16" t="inlineStr">
        <is>
          <t>RNO</t>
        </is>
      </c>
      <c r="B107" s="16" t="inlineStr">
        <is>
          <t>صرف مواد للإنتاج – مزرعة الرياض</t>
        </is>
      </c>
      <c r="C107" s="16" t="inlineStr">
        <is>
          <t>SE114</t>
        </is>
      </c>
      <c r="D107" s="16" t="inlineStr">
        <is>
          <t>بذور زينيا بروفيوجن أصفر</t>
        </is>
      </c>
      <c r="E107" s="118" t="n">
        <v>10000</v>
      </c>
      <c r="F107" s="17" t="n">
        <v>1612.5</v>
      </c>
      <c r="G107" s="16" t="n">
        <v>2</v>
      </c>
    </row>
    <row r="108">
      <c r="A108" s="16" t="inlineStr">
        <is>
          <t>RNO</t>
        </is>
      </c>
      <c r="B108" s="16" t="inlineStr">
        <is>
          <t>صرف مواد للإنتاج – مزرعة الرياض</t>
        </is>
      </c>
      <c r="C108" s="16" t="inlineStr">
        <is>
          <t>SE115</t>
        </is>
      </c>
      <c r="D108" s="16" t="inlineStr">
        <is>
          <t>- بذور زينيا بروفيوجن برتقالي</t>
        </is>
      </c>
      <c r="E108" s="118" t="n">
        <v>10000</v>
      </c>
      <c r="F108" s="17" t="n">
        <v>1612.5</v>
      </c>
      <c r="G108" s="16" t="n">
        <v>2</v>
      </c>
    </row>
    <row r="109">
      <c r="A109" s="16" t="inlineStr">
        <is>
          <t>RNO</t>
        </is>
      </c>
      <c r="B109" s="16" t="inlineStr">
        <is>
          <t>صرف مواد للإنتاج – مزرعة الرياض</t>
        </is>
      </c>
      <c r="C109" s="16" t="inlineStr">
        <is>
          <t>SE116</t>
        </is>
      </c>
      <c r="D109" s="16" t="inlineStr">
        <is>
          <t>بذور زينيا بروفيوجن ناري</t>
        </is>
      </c>
      <c r="E109" s="118" t="n">
        <v>10000</v>
      </c>
      <c r="F109" s="17" t="n">
        <v>1612.5</v>
      </c>
      <c r="G109" s="16" t="n">
        <v>2</v>
      </c>
    </row>
    <row r="110">
      <c r="A110" s="16" t="inlineStr">
        <is>
          <t>RNO</t>
        </is>
      </c>
      <c r="B110" s="16" t="inlineStr">
        <is>
          <t>صرف مواد للإنتاج – مزرعة الرياض</t>
        </is>
      </c>
      <c r="C110" s="16" t="inlineStr">
        <is>
          <t>SE117</t>
        </is>
      </c>
      <c r="D110" s="16" t="inlineStr">
        <is>
          <t>- بذور زينيا بروفيوجن ليموني</t>
        </is>
      </c>
      <c r="E110" s="118" t="n">
        <v>10000</v>
      </c>
      <c r="F110" s="17" t="n">
        <v>1612.5</v>
      </c>
      <c r="G110" s="16" t="n">
        <v>2</v>
      </c>
    </row>
    <row r="111">
      <c r="A111" s="16" t="inlineStr">
        <is>
          <t>RNO</t>
        </is>
      </c>
      <c r="B111" s="16" t="inlineStr">
        <is>
          <t>صرف مواد للإنتاج – مزرعة الرياض</t>
        </is>
      </c>
      <c r="C111" s="16" t="inlineStr">
        <is>
          <t>SE118</t>
        </is>
      </c>
      <c r="D111" s="16" t="inlineStr">
        <is>
          <t>بذور زينيا بروفيوجن كرزي</t>
        </is>
      </c>
      <c r="E111" s="118" t="n">
        <v>10000</v>
      </c>
      <c r="F111" s="17" t="n">
        <v>1612.5</v>
      </c>
      <c r="G111" s="16" t="n">
        <v>2</v>
      </c>
    </row>
    <row r="112">
      <c r="A112" s="16" t="inlineStr">
        <is>
          <t>RNO</t>
        </is>
      </c>
      <c r="B112" s="16" t="inlineStr">
        <is>
          <t>صرف مواد للإنتاج – مزرعة الرياض</t>
        </is>
      </c>
      <c r="C112" s="16" t="inlineStr">
        <is>
          <t>SE119</t>
        </is>
      </c>
      <c r="D112" s="16" t="inlineStr">
        <is>
          <t>- بذور زينيا بروفيوجن كرزي ثنائي اللون</t>
        </is>
      </c>
      <c r="E112" s="118" t="n">
        <v>10000</v>
      </c>
      <c r="F112" s="17" t="n">
        <v>1612.5</v>
      </c>
      <c r="G112" s="16" t="n">
        <v>2</v>
      </c>
    </row>
    <row r="113">
      <c r="A113" s="16" t="inlineStr">
        <is>
          <t>RNO</t>
        </is>
      </c>
      <c r="B113" s="16" t="inlineStr">
        <is>
          <t>صرف مواد للإنتاج – مزرعة الرياض</t>
        </is>
      </c>
      <c r="C113" s="16" t="inlineStr">
        <is>
          <t>SE120</t>
        </is>
      </c>
      <c r="D113" s="16" t="inlineStr">
        <is>
          <t>بذور زينيا بروفيوجن أحمر وأأصفر ثنائي اللون</t>
        </is>
      </c>
      <c r="E113" s="118" t="n">
        <v>40000</v>
      </c>
      <c r="F113" s="17" t="n">
        <v>6112.5</v>
      </c>
      <c r="G113" s="16" t="n">
        <v>3</v>
      </c>
    </row>
    <row r="114">
      <c r="A114" s="16" t="inlineStr">
        <is>
          <t>RNO</t>
        </is>
      </c>
      <c r="B114" s="16" t="inlineStr">
        <is>
          <t>صرف مواد للإنتاج – مزرعة الرياض</t>
        </is>
      </c>
      <c r="C114" s="16" t="inlineStr">
        <is>
          <t>SE121</t>
        </is>
      </c>
      <c r="D114" s="16" t="inlineStr">
        <is>
          <t>- بذور زينيا بروفيوجن مزدوج أبيض</t>
        </is>
      </c>
      <c r="E114" s="118" t="n">
        <v>5000</v>
      </c>
      <c r="F114" s="17" t="n">
        <v>862.5</v>
      </c>
      <c r="G114" s="16" t="n">
        <v>1</v>
      </c>
    </row>
    <row r="115">
      <c r="A115" s="16" t="inlineStr">
        <is>
          <t>RNO</t>
        </is>
      </c>
      <c r="B115" s="16" t="inlineStr">
        <is>
          <t>صرف مواد للإنتاج – مزرعة الرياض</t>
        </is>
      </c>
      <c r="C115" s="16" t="inlineStr">
        <is>
          <t>SE122</t>
        </is>
      </c>
      <c r="D115" s="16" t="inlineStr">
        <is>
          <t>- بذور زينيا بروفيوجن مزدوج أحمر</t>
        </is>
      </c>
      <c r="E115" s="118" t="n">
        <v>5000</v>
      </c>
      <c r="F115" s="17" t="n">
        <v>862.5</v>
      </c>
      <c r="G115" s="16" t="n">
        <v>1</v>
      </c>
    </row>
    <row r="116">
      <c r="A116" s="16" t="inlineStr">
        <is>
          <t>RNO</t>
        </is>
      </c>
      <c r="B116" s="16" t="inlineStr">
        <is>
          <t>صرف مواد للإنتاج – مزرعة الرياض</t>
        </is>
      </c>
      <c r="C116" s="16" t="inlineStr">
        <is>
          <t>SE123</t>
        </is>
      </c>
      <c r="D116" s="16" t="inlineStr">
        <is>
          <t>- بذور زينيا بروفيوجن مزدوج أصفر</t>
        </is>
      </c>
      <c r="E116" s="118" t="n">
        <v>5000</v>
      </c>
      <c r="F116" s="17" t="n">
        <v>862.5</v>
      </c>
      <c r="G116" s="16" t="n">
        <v>1</v>
      </c>
    </row>
    <row r="117">
      <c r="A117" s="16" t="inlineStr">
        <is>
          <t>RNO</t>
        </is>
      </c>
      <c r="B117" s="16" t="inlineStr">
        <is>
          <t>صرف مواد للإنتاج – مزرعة الرياض</t>
        </is>
      </c>
      <c r="C117" s="16" t="inlineStr">
        <is>
          <t>SE124</t>
        </is>
      </c>
      <c r="D117" s="16" t="inlineStr">
        <is>
          <t>بذور زينيا بروفيوجن مزدوج ناري</t>
        </is>
      </c>
      <c r="E117" s="118" t="n">
        <v>5000</v>
      </c>
      <c r="F117" s="17" t="n">
        <v>862.5</v>
      </c>
      <c r="G117" s="16" t="n">
        <v>1</v>
      </c>
    </row>
    <row r="118">
      <c r="A118" s="16" t="inlineStr">
        <is>
          <t>RNO</t>
        </is>
      </c>
      <c r="B118" s="16" t="inlineStr">
        <is>
          <t>صرف مواد للإنتاج – مزرعة الرياض</t>
        </is>
      </c>
      <c r="C118" s="16" t="inlineStr">
        <is>
          <t>SE125</t>
        </is>
      </c>
      <c r="D118" s="16" t="inlineStr">
        <is>
          <t>بذور زينيا بروفيوجن مزدوج كرزي حار</t>
        </is>
      </c>
      <c r="E118" s="118" t="n">
        <v>5000</v>
      </c>
      <c r="F118" s="17" t="n">
        <v>862.5</v>
      </c>
      <c r="G118" s="16" t="n">
        <v>1</v>
      </c>
    </row>
    <row r="119">
      <c r="A119" s="16" t="inlineStr">
        <is>
          <t>RNO</t>
        </is>
      </c>
      <c r="B119" s="16" t="inlineStr">
        <is>
          <t>صرف مواد للإنتاج – مزرعة الرياض</t>
        </is>
      </c>
      <c r="C119" s="16" t="inlineStr">
        <is>
          <t>SE126</t>
        </is>
      </c>
      <c r="D119" s="16" t="inlineStr">
        <is>
          <t>جذور جازانيا كيس أبيض</t>
        </is>
      </c>
      <c r="E119" s="118" t="n">
        <v>5000</v>
      </c>
      <c r="F119" s="17" t="n">
        <v>546.25</v>
      </c>
      <c r="G119" s="16" t="n">
        <v>1</v>
      </c>
    </row>
    <row r="120">
      <c r="A120" s="16" t="inlineStr">
        <is>
          <t>RNO</t>
        </is>
      </c>
      <c r="B120" s="16" t="inlineStr">
        <is>
          <t>صرف مواد للإنتاج – مزرعة الرياض</t>
        </is>
      </c>
      <c r="C120" s="16" t="inlineStr">
        <is>
          <t>SE127</t>
        </is>
      </c>
      <c r="D120" s="16" t="inlineStr">
        <is>
          <t>- بذور جازانيا كيس برتقالي</t>
        </is>
      </c>
      <c r="E120" s="118" t="n">
        <v>5000</v>
      </c>
      <c r="F120" s="17" t="n">
        <v>546.25</v>
      </c>
      <c r="G120" s="16" t="n">
        <v>1</v>
      </c>
    </row>
    <row r="121">
      <c r="A121" s="16" t="inlineStr">
        <is>
          <t>RNO</t>
        </is>
      </c>
      <c r="B121" s="16" t="inlineStr">
        <is>
          <t>صرف مواد للإنتاج – مزرعة الرياض</t>
        </is>
      </c>
      <c r="C121" s="16" t="inlineStr">
        <is>
          <t>SE128</t>
        </is>
      </c>
      <c r="D121" s="16" t="inlineStr">
        <is>
          <t>- بذور جازانيا كيس أصفر</t>
        </is>
      </c>
      <c r="E121" s="118" t="n">
        <v>5000</v>
      </c>
      <c r="F121" s="17" t="n">
        <v>546.25</v>
      </c>
      <c r="G121" s="16" t="n">
        <v>1</v>
      </c>
    </row>
    <row r="122">
      <c r="A122" s="16" t="inlineStr">
        <is>
          <t>RNO</t>
        </is>
      </c>
      <c r="B122" s="16" t="inlineStr">
        <is>
          <t>صرف مواد للإنتاج – مزرعة الرياض</t>
        </is>
      </c>
      <c r="C122" s="16" t="inlineStr">
        <is>
          <t>SE129</t>
        </is>
      </c>
      <c r="D122" s="16" t="inlineStr">
        <is>
          <t>- بذور بيلكترانثوس فير واى برتقالى</t>
        </is>
      </c>
      <c r="E122" s="118" t="n">
        <v>5000</v>
      </c>
      <c r="F122" s="17" t="n">
        <v>201.25</v>
      </c>
      <c r="G122" s="16" t="n">
        <v>1</v>
      </c>
    </row>
    <row r="123">
      <c r="A123" s="16" t="inlineStr">
        <is>
          <t>RNO</t>
        </is>
      </c>
      <c r="B123" s="16" t="inlineStr">
        <is>
          <t>صرف مواد للإنتاج – مزرعة الرياض</t>
        </is>
      </c>
      <c r="C123" s="16" t="inlineStr">
        <is>
          <t>SE130</t>
        </is>
      </c>
      <c r="D123" s="16" t="inlineStr">
        <is>
          <t>- بذور بيلكترانثوس فير واى موزابيك</t>
        </is>
      </c>
      <c r="E123" s="118" t="n">
        <v>5000</v>
      </c>
      <c r="F123" s="17" t="n">
        <v>201.25</v>
      </c>
      <c r="G123" s="16" t="n">
        <v>1</v>
      </c>
    </row>
    <row r="124">
      <c r="A124" s="16" t="inlineStr">
        <is>
          <t>RNO</t>
        </is>
      </c>
      <c r="B124" s="16" t="inlineStr">
        <is>
          <t>صرف مواد للإنتاج – مزرعة الرياض</t>
        </is>
      </c>
      <c r="C124" s="16" t="inlineStr">
        <is>
          <t>SE131</t>
        </is>
      </c>
      <c r="D124" s="16" t="inlineStr">
        <is>
          <t>- بذور سيلوزيا قرمزي</t>
        </is>
      </c>
      <c r="E124" s="118" t="n">
        <v>10000</v>
      </c>
      <c r="F124" s="17" t="n">
        <v>322.5</v>
      </c>
      <c r="G124" s="16" t="n">
        <v>2</v>
      </c>
    </row>
    <row r="125">
      <c r="A125" s="16" t="inlineStr">
        <is>
          <t>RNO</t>
        </is>
      </c>
      <c r="B125" s="16" t="inlineStr">
        <is>
          <t>صرف مواد للإنتاج – مزرعة الرياض</t>
        </is>
      </c>
      <c r="C125" s="16" t="inlineStr">
        <is>
          <t>SE132</t>
        </is>
      </c>
      <c r="D125" s="16" t="inlineStr">
        <is>
          <t>جذور سيلوزيا كيمونو شيري ريد</t>
        </is>
      </c>
      <c r="E125" s="118" t="n">
        <v>10000</v>
      </c>
      <c r="F125" s="17" t="n">
        <v>322.5</v>
      </c>
      <c r="G125" s="16" t="n">
        <v>2</v>
      </c>
    </row>
    <row r="126">
      <c r="A126" s="16" t="inlineStr">
        <is>
          <t>RNO</t>
        </is>
      </c>
      <c r="B126" s="16" t="inlineStr">
        <is>
          <t>صرف مواد للإنتاج – مزرعة الرياض</t>
        </is>
      </c>
      <c r="C126" s="16" t="inlineStr">
        <is>
          <t>SE20</t>
        </is>
      </c>
      <c r="D126" s="16" t="inlineStr">
        <is>
          <t>جذور فضية</t>
        </is>
      </c>
      <c r="E126" s="118" t="n">
        <v>20000</v>
      </c>
      <c r="F126" s="17" t="n">
        <v>345</v>
      </c>
      <c r="G126" s="16" t="n">
        <v>1</v>
      </c>
    </row>
    <row r="127">
      <c r="A127" s="16" t="inlineStr">
        <is>
          <t>RNO</t>
        </is>
      </c>
      <c r="B127" s="16" t="inlineStr">
        <is>
          <t>صرف مواد للإنتاج – مزرعة الرياض</t>
        </is>
      </c>
      <c r="C127" s="16" t="inlineStr">
        <is>
          <t>SE21</t>
        </is>
      </c>
      <c r="D127" s="16" t="inlineStr">
        <is>
          <t>جذور سيلوزيا احمر</t>
        </is>
      </c>
      <c r="E127" s="118" t="n">
        <v>10000</v>
      </c>
      <c r="F127" s="17" t="n">
        <v>268.75</v>
      </c>
      <c r="G127" s="16" t="n">
        <v>2</v>
      </c>
    </row>
    <row r="128">
      <c r="A128" s="16" t="inlineStr">
        <is>
          <t>RNO</t>
        </is>
      </c>
      <c r="B128" s="16" t="inlineStr">
        <is>
          <t>صرف مواد للإنتاج – مزرعة الرياض</t>
        </is>
      </c>
      <c r="C128" s="16" t="inlineStr">
        <is>
          <t>SE22</t>
        </is>
      </c>
      <c r="D128" s="16" t="inlineStr">
        <is>
          <t>جذور سيلوزيا اصفر</t>
        </is>
      </c>
      <c r="E128" s="118" t="n">
        <v>10000</v>
      </c>
      <c r="F128" s="17" t="n">
        <v>268.75</v>
      </c>
      <c r="G128" s="16" t="n">
        <v>2</v>
      </c>
    </row>
    <row r="129">
      <c r="A129" s="16" t="inlineStr">
        <is>
          <t>RNO</t>
        </is>
      </c>
      <c r="B129" s="16" t="inlineStr">
        <is>
          <t>صرف مواد للإنتاج – مزرعة الرياض</t>
        </is>
      </c>
      <c r="C129" s="16" t="inlineStr">
        <is>
          <t>SE23</t>
        </is>
      </c>
      <c r="D129" s="16" t="inlineStr">
        <is>
          <t>- بذور سيلوزيا برتقالي</t>
        </is>
      </c>
      <c r="E129" s="118" t="n">
        <v>10000</v>
      </c>
      <c r="F129" s="17" t="n">
        <v>268.75</v>
      </c>
      <c r="G129" s="16" t="n">
        <v>2</v>
      </c>
    </row>
    <row r="130">
      <c r="A130" s="16" t="inlineStr">
        <is>
          <t>RNO</t>
        </is>
      </c>
      <c r="B130" s="16" t="inlineStr">
        <is>
          <t>صرف مواد للإنتاج – مزرعة الرياض</t>
        </is>
      </c>
      <c r="C130" s="16" t="inlineStr">
        <is>
          <t>SE88</t>
        </is>
      </c>
      <c r="D130" s="16" t="inlineStr">
        <is>
          <t>بذور بيلكترانثوس فير واى احمر</t>
        </is>
      </c>
      <c r="E130" s="118" t="n">
        <v>5000</v>
      </c>
      <c r="F130" s="17" t="n">
        <v>201.25</v>
      </c>
      <c r="G130" s="16" t="n">
        <v>1</v>
      </c>
    </row>
    <row r="131">
      <c r="A131" s="16" t="inlineStr">
        <is>
          <t>RNO</t>
        </is>
      </c>
      <c r="B131" s="16" t="inlineStr">
        <is>
          <t>صرف مواد للإنتاج – مزرعة الرياض</t>
        </is>
      </c>
      <c r="C131" s="16" t="inlineStr">
        <is>
          <t>SE89</t>
        </is>
      </c>
      <c r="D131" s="16" t="inlineStr">
        <is>
          <t>- بذور بيلكترانثوس فير واى روبي</t>
        </is>
      </c>
      <c r="E131" s="118" t="n">
        <v>5000</v>
      </c>
      <c r="F131" s="17" t="n">
        <v>201.25</v>
      </c>
      <c r="G131" s="16" t="n">
        <v>1</v>
      </c>
    </row>
    <row r="132">
      <c r="A132" s="16" t="inlineStr">
        <is>
          <t>RNO</t>
        </is>
      </c>
      <c r="B132" s="16" t="inlineStr">
        <is>
          <t>صرف مواد للإنتاج – مزرعة الرياض</t>
        </is>
      </c>
      <c r="C132" s="16" t="inlineStr">
        <is>
          <t>SE90</t>
        </is>
      </c>
      <c r="D132" s="16" t="inlineStr">
        <is>
          <t>- جذور بيلكترانثوس فير واى بينك غامق</t>
        </is>
      </c>
      <c r="E132" s="118" t="n">
        <v>5000</v>
      </c>
      <c r="F132" s="17" t="n">
        <v>201.25</v>
      </c>
      <c r="G132" s="16" t="n">
        <v>1</v>
      </c>
    </row>
    <row r="133">
      <c r="A133" s="9" t="n"/>
      <c r="B133" s="9" t="inlineStr">
        <is>
          <t>إجمالي صرف مواد للإنتاج – مزرعة الرياض</t>
        </is>
      </c>
      <c r="C133" s="9" t="n"/>
      <c r="D133" s="9" t="n"/>
      <c r="E133" s="9">
        <f>SUM(E75:E132)</f>
        <v/>
      </c>
      <c r="F133" s="10">
        <f>SUM(F75:F132)</f>
        <v/>
      </c>
      <c r="G133" s="9" t="n"/>
    </row>
    <row r="134">
      <c r="A134" s="16" t="inlineStr">
        <is>
          <t>RNL</t>
        </is>
      </c>
      <c r="B134" s="16" t="inlineStr">
        <is>
          <t>كميات هالكة ومفقودة</t>
        </is>
      </c>
      <c r="C134" s="16" t="inlineStr">
        <is>
          <t>OD560</t>
        </is>
      </c>
      <c r="D134" s="16" t="inlineStr">
        <is>
          <t>زهور بيتونيا</t>
        </is>
      </c>
      <c r="E134" s="118" t="n">
        <v>22841</v>
      </c>
      <c r="F134" s="17" t="n">
        <v>13585.55</v>
      </c>
      <c r="G134" s="16" t="n">
        <v>9</v>
      </c>
    </row>
    <row r="135">
      <c r="A135" s="16" t="inlineStr">
        <is>
          <t>RNL</t>
        </is>
      </c>
      <c r="B135" s="16" t="inlineStr">
        <is>
          <t>كميات هالكة ومفقودة</t>
        </is>
      </c>
      <c r="C135" s="16" t="inlineStr">
        <is>
          <t>OD562</t>
        </is>
      </c>
      <c r="D135" s="16" t="inlineStr">
        <is>
          <t>زهور زينيا</t>
        </is>
      </c>
      <c r="E135" s="118" t="n">
        <v>3950</v>
      </c>
      <c r="F135" s="17" t="n">
        <v>2172.5</v>
      </c>
      <c r="G135" s="16" t="n">
        <v>3</v>
      </c>
    </row>
    <row r="136">
      <c r="A136" s="16" t="inlineStr">
        <is>
          <t>RNL</t>
        </is>
      </c>
      <c r="B136" s="16" t="inlineStr">
        <is>
          <t>كميات هالكة ومفقودة</t>
        </is>
      </c>
      <c r="C136" s="16" t="inlineStr">
        <is>
          <t>OD563</t>
        </is>
      </c>
      <c r="D136" s="16" t="inlineStr">
        <is>
          <t>زهور سيلوزيا</t>
        </is>
      </c>
      <c r="E136" s="118" t="n">
        <v>9400</v>
      </c>
      <c r="F136" s="17" t="n">
        <v>5170</v>
      </c>
      <c r="G136" s="16" t="n">
        <v>2</v>
      </c>
    </row>
    <row r="137">
      <c r="A137" s="16" t="inlineStr">
        <is>
          <t>RNL</t>
        </is>
      </c>
      <c r="B137" s="16" t="inlineStr">
        <is>
          <t>كميات هالكة ومفقودة</t>
        </is>
      </c>
      <c r="C137" s="16" t="inlineStr">
        <is>
          <t>OD564</t>
        </is>
      </c>
      <c r="D137" s="16" t="inlineStr">
        <is>
          <t>زهور امرانتس</t>
        </is>
      </c>
      <c r="E137" s="118" t="n">
        <v>150</v>
      </c>
      <c r="F137" s="17" t="n">
        <v>94.88</v>
      </c>
      <c r="G137" s="16" t="n">
        <v>1</v>
      </c>
    </row>
    <row r="138">
      <c r="A138" s="16" t="inlineStr">
        <is>
          <t>RNL</t>
        </is>
      </c>
      <c r="B138" s="16" t="inlineStr">
        <is>
          <t>كميات هالكة ومفقودة</t>
        </is>
      </c>
      <c r="C138" s="16" t="inlineStr">
        <is>
          <t>OD565</t>
        </is>
      </c>
      <c r="D138" s="16" t="inlineStr">
        <is>
          <t>زهور جازانيا</t>
        </is>
      </c>
      <c r="E138" s="118" t="n">
        <v>500</v>
      </c>
      <c r="F138" s="17" t="n">
        <v>275</v>
      </c>
      <c r="G138" s="16" t="n">
        <v>1</v>
      </c>
    </row>
    <row r="139">
      <c r="A139" s="16" t="inlineStr">
        <is>
          <t>RNL</t>
        </is>
      </c>
      <c r="B139" s="16" t="inlineStr">
        <is>
          <t>كميات هالكة ومفقودة</t>
        </is>
      </c>
      <c r="C139" s="16" t="inlineStr">
        <is>
          <t>OD566</t>
        </is>
      </c>
      <c r="D139" s="16" t="inlineStr">
        <is>
          <t>زهور فضية</t>
        </is>
      </c>
      <c r="E139" s="118" t="n">
        <v>400</v>
      </c>
      <c r="F139" s="17" t="n">
        <v>220</v>
      </c>
      <c r="G139" s="16" t="n">
        <v>1</v>
      </c>
    </row>
    <row r="140">
      <c r="A140" s="16" t="inlineStr">
        <is>
          <t>RNL</t>
        </is>
      </c>
      <c r="B140" s="16" t="inlineStr">
        <is>
          <t>كميات هالكة ومفقودة</t>
        </is>
      </c>
      <c r="C140" s="16" t="inlineStr">
        <is>
          <t>OD567</t>
        </is>
      </c>
      <c r="D140" s="16" t="inlineStr">
        <is>
          <t>زهور كيليوس</t>
        </is>
      </c>
      <c r="E140" s="118" t="n">
        <v>500</v>
      </c>
      <c r="F140" s="17" t="n">
        <v>275</v>
      </c>
      <c r="G140" s="16" t="n">
        <v>1</v>
      </c>
    </row>
    <row r="141">
      <c r="A141" s="16" t="inlineStr">
        <is>
          <t>RNL</t>
        </is>
      </c>
      <c r="B141" s="16" t="inlineStr">
        <is>
          <t>كميات هالكة ومفقودة</t>
        </is>
      </c>
      <c r="C141" s="16" t="inlineStr">
        <is>
          <t>OD569</t>
        </is>
      </c>
      <c r="D141" s="16" t="inlineStr">
        <is>
          <t>زهور فينكا روزا</t>
        </is>
      </c>
      <c r="E141" s="118" t="n">
        <v>7400</v>
      </c>
      <c r="F141" s="17" t="n">
        <v>4070</v>
      </c>
      <c r="G141" s="16" t="n">
        <v>5</v>
      </c>
    </row>
    <row r="142">
      <c r="A142" s="16" t="inlineStr">
        <is>
          <t>RNL</t>
        </is>
      </c>
      <c r="B142" s="16" t="inlineStr">
        <is>
          <t>كميات هالكة ومفقودة</t>
        </is>
      </c>
      <c r="C142" s="16" t="inlineStr">
        <is>
          <t>OD603</t>
        </is>
      </c>
      <c r="D142" s="16" t="inlineStr">
        <is>
          <t>زهور جرانيوم مركن9 سم</t>
        </is>
      </c>
      <c r="E142" s="118" t="n">
        <v>150</v>
      </c>
      <c r="F142" s="17" t="n">
        <v>155.25</v>
      </c>
      <c r="G142" s="16" t="n">
        <v>1</v>
      </c>
    </row>
    <row r="143">
      <c r="A143" s="16" t="inlineStr">
        <is>
          <t>RNL</t>
        </is>
      </c>
      <c r="B143" s="16" t="inlineStr">
        <is>
          <t>كميات هالكة ومفقودة</t>
        </is>
      </c>
      <c r="C143" s="16" t="inlineStr">
        <is>
          <t>OD634</t>
        </is>
      </c>
      <c r="D143" s="16" t="inlineStr">
        <is>
          <t>زهور ملفوف براسيكا مركن 9 سم</t>
        </is>
      </c>
      <c r="E143" s="118" t="n">
        <v>2088</v>
      </c>
      <c r="F143" s="17" t="n">
        <v>1148.4</v>
      </c>
      <c r="G143" s="16" t="n">
        <v>1</v>
      </c>
    </row>
    <row r="144">
      <c r="A144" s="16" t="inlineStr">
        <is>
          <t>RNL</t>
        </is>
      </c>
      <c r="B144" s="16" t="inlineStr">
        <is>
          <t>كميات هالكة ومفقودة</t>
        </is>
      </c>
      <c r="C144" s="16" t="inlineStr">
        <is>
          <t>OD635</t>
        </is>
      </c>
      <c r="D144" s="16" t="inlineStr">
        <is>
          <t>زهور فم السمكة مركن9 سم</t>
        </is>
      </c>
      <c r="E144" s="118" t="n">
        <v>2425</v>
      </c>
      <c r="F144" s="17" t="n">
        <v>1533.81</v>
      </c>
      <c r="G144" s="16" t="n">
        <v>5</v>
      </c>
    </row>
    <row r="145">
      <c r="A145" s="16" t="inlineStr">
        <is>
          <t>RNL</t>
        </is>
      </c>
      <c r="B145" s="16" t="inlineStr">
        <is>
          <t>كميات هالكة ومفقودة</t>
        </is>
      </c>
      <c r="C145" s="16" t="inlineStr">
        <is>
          <t>OD637</t>
        </is>
      </c>
      <c r="D145" s="16" t="inlineStr">
        <is>
          <t>زهور سالفيا مركن9 سم</t>
        </is>
      </c>
      <c r="E145" s="118" t="n">
        <v>400</v>
      </c>
      <c r="F145" s="17" t="n">
        <v>253</v>
      </c>
      <c r="G145" s="16" t="n">
        <v>1</v>
      </c>
    </row>
    <row r="146">
      <c r="A146" s="16" t="inlineStr">
        <is>
          <t>RNL</t>
        </is>
      </c>
      <c r="B146" s="16" t="inlineStr">
        <is>
          <t>كميات هالكة ومفقودة</t>
        </is>
      </c>
      <c r="C146" s="16" t="inlineStr">
        <is>
          <t>OD638</t>
        </is>
      </c>
      <c r="D146" s="16" t="inlineStr">
        <is>
          <t>زهور هيبوستس مركن 9 سم</t>
        </is>
      </c>
      <c r="E146" s="118" t="n">
        <v>1375</v>
      </c>
      <c r="F146" s="17" t="n">
        <v>825</v>
      </c>
      <c r="G146" s="16" t="n">
        <v>2</v>
      </c>
    </row>
    <row r="147">
      <c r="A147" s="16" t="inlineStr">
        <is>
          <t>RNL</t>
        </is>
      </c>
      <c r="B147" s="16" t="inlineStr">
        <is>
          <t>كميات هالكة ومفقودة</t>
        </is>
      </c>
      <c r="C147" s="16" t="inlineStr">
        <is>
          <t>OD642</t>
        </is>
      </c>
      <c r="D147" s="16" t="inlineStr">
        <is>
          <t>زهور اليسوم مركن9 سم</t>
        </is>
      </c>
      <c r="E147" s="118" t="n">
        <v>300</v>
      </c>
      <c r="F147" s="17" t="n">
        <v>189.75</v>
      </c>
      <c r="G147" s="16" t="n">
        <v>1</v>
      </c>
    </row>
    <row r="148">
      <c r="A148" s="16" t="inlineStr">
        <is>
          <t>RNL</t>
        </is>
      </c>
      <c r="B148" s="16" t="inlineStr">
        <is>
          <t>كميات هالكة ومفقودة</t>
        </is>
      </c>
      <c r="C148" s="16" t="inlineStr">
        <is>
          <t>OD643</t>
        </is>
      </c>
      <c r="D148" s="16" t="inlineStr">
        <is>
          <t>زهور سينيراريا مركن 12 سم</t>
        </is>
      </c>
      <c r="E148" s="118" t="n">
        <v>792</v>
      </c>
      <c r="F148" s="17" t="n">
        <v>1980</v>
      </c>
      <c r="G148" s="16" t="n">
        <v>1</v>
      </c>
    </row>
    <row r="149">
      <c r="A149" s="16" t="inlineStr">
        <is>
          <t>RNL</t>
        </is>
      </c>
      <c r="B149" s="16" t="inlineStr">
        <is>
          <t>كميات هالكة ومفقودة</t>
        </is>
      </c>
      <c r="C149" s="16" t="inlineStr">
        <is>
          <t>OD645</t>
        </is>
      </c>
      <c r="D149" s="16" t="inlineStr">
        <is>
          <t>زهور كالسيولاريا دانتى مركن 12 سم</t>
        </is>
      </c>
      <c r="E149" s="118" t="n">
        <v>245</v>
      </c>
      <c r="F149" s="17" t="n">
        <v>612.5</v>
      </c>
      <c r="G149" s="16" t="n">
        <v>1</v>
      </c>
    </row>
    <row r="150">
      <c r="A150" s="16" t="inlineStr">
        <is>
          <t>RNL</t>
        </is>
      </c>
      <c r="B150" s="16" t="inlineStr">
        <is>
          <t>كميات هالكة ومفقودة</t>
        </is>
      </c>
      <c r="C150" s="16" t="inlineStr">
        <is>
          <t>OD694</t>
        </is>
      </c>
      <c r="D150" s="16" t="inlineStr">
        <is>
          <t>كالنشو هولندى مركن12 سم</t>
        </is>
      </c>
      <c r="E150" s="118" t="n">
        <v>20</v>
      </c>
      <c r="F150" s="17" t="n">
        <v>69</v>
      </c>
      <c r="G150" s="16" t="n">
        <v>1</v>
      </c>
    </row>
    <row r="151">
      <c r="A151" s="16" t="inlineStr">
        <is>
          <t>RNL</t>
        </is>
      </c>
      <c r="B151" s="16" t="inlineStr">
        <is>
          <t>كميات هالكة ومفقودة</t>
        </is>
      </c>
      <c r="C151" s="16" t="inlineStr">
        <is>
          <t>OD695</t>
        </is>
      </c>
      <c r="D151" s="16" t="inlineStr">
        <is>
          <t>زهور اقحوان افريقي هولندى مركن12 سم</t>
        </is>
      </c>
      <c r="E151" s="118" t="n">
        <v>20</v>
      </c>
      <c r="F151" s="17" t="n">
        <v>69</v>
      </c>
      <c r="G151" s="16" t="n">
        <v>1</v>
      </c>
    </row>
    <row r="152">
      <c r="A152" s="16" t="inlineStr">
        <is>
          <t>RNL</t>
        </is>
      </c>
      <c r="B152" s="16" t="inlineStr">
        <is>
          <t>كميات هالكة ومفقودة</t>
        </is>
      </c>
      <c r="C152" s="16" t="inlineStr">
        <is>
          <t>SF100</t>
        </is>
      </c>
      <c r="D152" s="16" t="inlineStr">
        <is>
          <t>فينكا روزا مركن 9 سم أبيض نقطة حمراء</t>
        </is>
      </c>
      <c r="E152" s="118" t="n">
        <v>2675</v>
      </c>
      <c r="F152" s="17" t="n">
        <v>1471.25</v>
      </c>
      <c r="G152" s="16" t="n">
        <v>5</v>
      </c>
    </row>
    <row r="153">
      <c r="A153" s="16" t="inlineStr">
        <is>
          <t>RNL</t>
        </is>
      </c>
      <c r="B153" s="16" t="inlineStr">
        <is>
          <t>كميات هالكة ومفقودة</t>
        </is>
      </c>
      <c r="C153" s="16" t="inlineStr">
        <is>
          <t>SF102</t>
        </is>
      </c>
      <c r="D153" s="16" t="inlineStr">
        <is>
          <t>فينكا روزا مركن 9 سم مشمشي</t>
        </is>
      </c>
      <c r="E153" s="118" t="n">
        <v>2425</v>
      </c>
      <c r="F153" s="17" t="n">
        <v>1333.75</v>
      </c>
      <c r="G153" s="16" t="n">
        <v>5</v>
      </c>
    </row>
    <row r="154">
      <c r="A154" s="16" t="inlineStr">
        <is>
          <t>RNL</t>
        </is>
      </c>
      <c r="B154" s="16" t="inlineStr">
        <is>
          <t>كميات هالكة ومفقودة</t>
        </is>
      </c>
      <c r="C154" s="16" t="inlineStr">
        <is>
          <t>SF103</t>
        </is>
      </c>
      <c r="D154" s="16" t="inlineStr">
        <is>
          <t>فينكا روزا مركن 9 سم بينك (وردي)</t>
        </is>
      </c>
      <c r="E154" s="118" t="n">
        <v>2250</v>
      </c>
      <c r="F154" s="17" t="n">
        <v>1237.5</v>
      </c>
      <c r="G154" s="16" t="n">
        <v>2</v>
      </c>
    </row>
    <row r="155">
      <c r="A155" s="16" t="inlineStr">
        <is>
          <t>RNL</t>
        </is>
      </c>
      <c r="B155" s="16" t="inlineStr">
        <is>
          <t>كميات هالكة ومفقودة</t>
        </is>
      </c>
      <c r="C155" s="16" t="inlineStr">
        <is>
          <t>SF105</t>
        </is>
      </c>
      <c r="D155" s="16" t="inlineStr">
        <is>
          <t>فينكا روزا مركن 9 سم برغندي</t>
        </is>
      </c>
      <c r="E155" s="118" t="n">
        <v>10295</v>
      </c>
      <c r="F155" s="17" t="n">
        <v>5662.25</v>
      </c>
      <c r="G155" s="16" t="n">
        <v>8</v>
      </c>
    </row>
    <row r="156">
      <c r="A156" s="16" t="inlineStr">
        <is>
          <t>RNL</t>
        </is>
      </c>
      <c r="B156" s="16" t="inlineStr">
        <is>
          <t>كميات هالكة ومفقودة</t>
        </is>
      </c>
      <c r="C156" s="16" t="inlineStr">
        <is>
          <t>SF106</t>
        </is>
      </c>
      <c r="D156" s="16" t="inlineStr">
        <is>
          <t>فينكا روزا مركن 9 سم برغندي هالو</t>
        </is>
      </c>
      <c r="E156" s="118" t="n">
        <v>3950</v>
      </c>
      <c r="F156" s="17" t="n">
        <v>2172.5</v>
      </c>
      <c r="G156" s="16" t="n">
        <v>5</v>
      </c>
    </row>
    <row r="157">
      <c r="A157" s="16" t="inlineStr">
        <is>
          <t>RNL</t>
        </is>
      </c>
      <c r="B157" s="16" t="inlineStr">
        <is>
          <t>كميات هالكة ومفقودة</t>
        </is>
      </c>
      <c r="C157" s="16" t="inlineStr">
        <is>
          <t>SF108</t>
        </is>
      </c>
      <c r="D157" s="16" t="inlineStr">
        <is>
          <t>فينكا روزا مركن 9 سم أوركيد عميق</t>
        </is>
      </c>
      <c r="E157" s="118" t="n">
        <v>8600</v>
      </c>
      <c r="F157" s="17" t="n">
        <v>4730</v>
      </c>
      <c r="G157" s="16" t="n">
        <v>8</v>
      </c>
    </row>
    <row r="158">
      <c r="A158" s="16" t="inlineStr">
        <is>
          <t>RNL</t>
        </is>
      </c>
      <c r="B158" s="16" t="inlineStr">
        <is>
          <t>كميات هالكة ومفقودة</t>
        </is>
      </c>
      <c r="C158" s="16" t="inlineStr">
        <is>
          <t>SF123</t>
        </is>
      </c>
      <c r="D158" s="16" t="inlineStr">
        <is>
          <t>زهور زينيا سنجل مركن 9 سم أبيض</t>
        </is>
      </c>
      <c r="E158" s="118" t="n">
        <v>675</v>
      </c>
      <c r="F158" s="17" t="n">
        <v>371.25</v>
      </c>
      <c r="G158" s="16" t="n">
        <v>2</v>
      </c>
    </row>
    <row r="159">
      <c r="A159" s="16" t="inlineStr">
        <is>
          <t>RNL</t>
        </is>
      </c>
      <c r="B159" s="16" t="inlineStr">
        <is>
          <t>كميات هالكة ومفقودة</t>
        </is>
      </c>
      <c r="C159" s="16" t="inlineStr">
        <is>
          <t>SF124</t>
        </is>
      </c>
      <c r="D159" s="16" t="inlineStr">
        <is>
          <t>زهور زينيا سنجل مركن 9 سم أحمر</t>
        </is>
      </c>
      <c r="E159" s="118" t="n">
        <v>500</v>
      </c>
      <c r="F159" s="17" t="n">
        <v>275</v>
      </c>
      <c r="G159" s="16" t="n">
        <v>2</v>
      </c>
    </row>
    <row r="160">
      <c r="A160" s="16" t="inlineStr">
        <is>
          <t>RNL</t>
        </is>
      </c>
      <c r="B160" s="16" t="inlineStr">
        <is>
          <t>كميات هالكة ومفقودة</t>
        </is>
      </c>
      <c r="C160" s="16" t="inlineStr">
        <is>
          <t>SF125</t>
        </is>
      </c>
      <c r="D160" s="16" t="inlineStr">
        <is>
          <t>زهور زينيا سنجل مركن 9 سم أصفر</t>
        </is>
      </c>
      <c r="E160" s="118" t="n">
        <v>350</v>
      </c>
      <c r="F160" s="17" t="n">
        <v>192.5</v>
      </c>
      <c r="G160" s="16" t="n">
        <v>1</v>
      </c>
    </row>
    <row r="161">
      <c r="A161" s="16" t="inlineStr">
        <is>
          <t>RNL</t>
        </is>
      </c>
      <c r="B161" s="16" t="inlineStr">
        <is>
          <t>كميات هالكة ومفقودة</t>
        </is>
      </c>
      <c r="C161" s="16" t="inlineStr">
        <is>
          <t>SF126</t>
        </is>
      </c>
      <c r="D161" s="16" t="inlineStr">
        <is>
          <t>زهور زينيا سنجل مركن 9 سم برتقالي</t>
        </is>
      </c>
      <c r="E161" s="118" t="n">
        <v>300</v>
      </c>
      <c r="F161" s="17" t="n">
        <v>165</v>
      </c>
      <c r="G161" s="16" t="n">
        <v>1</v>
      </c>
    </row>
    <row r="162">
      <c r="A162" s="16" t="inlineStr">
        <is>
          <t>RNL</t>
        </is>
      </c>
      <c r="B162" s="16" t="inlineStr">
        <is>
          <t>كميات هالكة ومفقودة</t>
        </is>
      </c>
      <c r="C162" s="16" t="inlineStr">
        <is>
          <t>SF127</t>
        </is>
      </c>
      <c r="D162" s="16" t="inlineStr">
        <is>
          <t>زهور زينيا سنجل مركن 9 سم ناري</t>
        </is>
      </c>
      <c r="E162" s="118" t="n">
        <v>775</v>
      </c>
      <c r="F162" s="17" t="n">
        <v>426.25</v>
      </c>
      <c r="G162" s="16" t="n">
        <v>1</v>
      </c>
    </row>
    <row r="163">
      <c r="A163" s="16" t="inlineStr">
        <is>
          <t>RNL</t>
        </is>
      </c>
      <c r="B163" s="16" t="inlineStr">
        <is>
          <t>كميات هالكة ومفقودة</t>
        </is>
      </c>
      <c r="C163" s="16" t="inlineStr">
        <is>
          <t>SF128</t>
        </is>
      </c>
      <c r="D163" s="16" t="inlineStr">
        <is>
          <t>زهور زينيا سنجل مركن 9 سم ليموني</t>
        </is>
      </c>
      <c r="E163" s="118" t="n">
        <v>475</v>
      </c>
      <c r="F163" s="17" t="n">
        <v>261.25</v>
      </c>
      <c r="G163" s="16" t="n">
        <v>1</v>
      </c>
    </row>
    <row r="164">
      <c r="A164" s="16" t="inlineStr">
        <is>
          <t>RNL</t>
        </is>
      </c>
      <c r="B164" s="16" t="inlineStr">
        <is>
          <t>كميات هالكة ومفقودة</t>
        </is>
      </c>
      <c r="C164" s="16" t="inlineStr">
        <is>
          <t>SF129</t>
        </is>
      </c>
      <c r="D164" s="16" t="inlineStr">
        <is>
          <t>زهور زينيا سنجل مركن 9 سم كرزي</t>
        </is>
      </c>
      <c r="E164" s="118" t="n">
        <v>475</v>
      </c>
      <c r="F164" s="17" t="n">
        <v>261.25</v>
      </c>
      <c r="G164" s="16" t="n">
        <v>1</v>
      </c>
    </row>
    <row r="165">
      <c r="A165" s="16" t="inlineStr">
        <is>
          <t>RNL</t>
        </is>
      </c>
      <c r="B165" s="16" t="inlineStr">
        <is>
          <t>كميات هالكة ومفقودة</t>
        </is>
      </c>
      <c r="C165" s="16" t="inlineStr">
        <is>
          <t>SF130</t>
        </is>
      </c>
      <c r="D165" s="16" t="inlineStr">
        <is>
          <t>زهور زينيا سنجل مركن 9 سم كرزي ثنائي اللون</t>
        </is>
      </c>
      <c r="E165" s="118" t="n">
        <v>475</v>
      </c>
      <c r="F165" s="17" t="n">
        <v>261.25</v>
      </c>
      <c r="G165" s="16" t="n">
        <v>1</v>
      </c>
    </row>
    <row r="166">
      <c r="A166" s="16" t="inlineStr">
        <is>
          <t>RNL</t>
        </is>
      </c>
      <c r="B166" s="16" t="inlineStr">
        <is>
          <t>كميات هالكة ومفقودة</t>
        </is>
      </c>
      <c r="C166" s="16" t="inlineStr">
        <is>
          <t>SF131</t>
        </is>
      </c>
      <c r="D166" s="16" t="inlineStr">
        <is>
          <t>زهور زينيا سنجل مركن 9 سم أحمر وأصفر ثنائي</t>
        </is>
      </c>
      <c r="E166" s="118" t="n">
        <v>200</v>
      </c>
      <c r="F166" s="17" t="n">
        <v>110</v>
      </c>
      <c r="G166" s="16" t="n">
        <v>1</v>
      </c>
    </row>
    <row r="167">
      <c r="A167" s="16" t="inlineStr">
        <is>
          <t>RNL</t>
        </is>
      </c>
      <c r="B167" s="16" t="inlineStr">
        <is>
          <t>كميات هالكة ومفقودة</t>
        </is>
      </c>
      <c r="C167" s="16" t="inlineStr">
        <is>
          <t>SF144</t>
        </is>
      </c>
      <c r="D167" s="16" t="inlineStr">
        <is>
          <t>زهور امرانتس مركن 9 سم أحمر</t>
        </is>
      </c>
      <c r="E167" s="118" t="n">
        <v>200</v>
      </c>
      <c r="F167" s="17" t="n">
        <v>110</v>
      </c>
      <c r="G167" s="16" t="n">
        <v>1</v>
      </c>
    </row>
    <row r="168">
      <c r="A168" s="16" t="inlineStr">
        <is>
          <t>RNL</t>
        </is>
      </c>
      <c r="B168" s="16" t="inlineStr">
        <is>
          <t>كميات هالكة ومفقودة</t>
        </is>
      </c>
      <c r="C168" s="16" t="inlineStr">
        <is>
          <t>SF149</t>
        </is>
      </c>
      <c r="D168" s="16" t="inlineStr">
        <is>
          <t>زهور فضية مركن 9 سم فضي</t>
        </is>
      </c>
      <c r="E168" s="118" t="n">
        <v>150</v>
      </c>
      <c r="F168" s="17" t="n">
        <v>82.5</v>
      </c>
      <c r="G168" s="16" t="n">
        <v>1</v>
      </c>
    </row>
    <row r="169">
      <c r="A169" s="16" t="inlineStr">
        <is>
          <t>RNL</t>
        </is>
      </c>
      <c r="B169" s="16" t="inlineStr">
        <is>
          <t>كميات هالكة ومفقودة</t>
        </is>
      </c>
      <c r="C169" s="16" t="inlineStr">
        <is>
          <t>SF154</t>
        </is>
      </c>
      <c r="D169" s="16" t="inlineStr">
        <is>
          <t>زهور كيليوس مركن 9 سم أخضر فاتح</t>
        </is>
      </c>
      <c r="E169" s="118" t="n">
        <v>200</v>
      </c>
      <c r="F169" s="17" t="n">
        <v>110</v>
      </c>
      <c r="G169" s="16" t="n">
        <v>1</v>
      </c>
    </row>
    <row r="170">
      <c r="A170" s="16" t="inlineStr">
        <is>
          <t>RNL</t>
        </is>
      </c>
      <c r="B170" s="16" t="inlineStr">
        <is>
          <t>كميات هالكة ومفقودة</t>
        </is>
      </c>
      <c r="C170" s="16" t="inlineStr">
        <is>
          <t>SF164</t>
        </is>
      </c>
      <c r="D170" s="16" t="inlineStr">
        <is>
          <t>زهور جيرانيوم مركن 12 سم</t>
        </is>
      </c>
      <c r="E170" s="118" t="n">
        <v>1500</v>
      </c>
      <c r="F170" s="17" t="n">
        <v>3150</v>
      </c>
      <c r="G170" s="16" t="n">
        <v>1</v>
      </c>
    </row>
    <row r="171">
      <c r="A171" s="16" t="inlineStr">
        <is>
          <t>RNL</t>
        </is>
      </c>
      <c r="B171" s="16" t="inlineStr">
        <is>
          <t>كميات هالكة ومفقودة</t>
        </is>
      </c>
      <c r="C171" s="16" t="inlineStr">
        <is>
          <t>SF69</t>
        </is>
      </c>
      <c r="D171" s="16" t="inlineStr">
        <is>
          <t>زهور جرانيوم مركن 9 سم أبيض</t>
        </is>
      </c>
      <c r="E171" s="118" t="n">
        <v>3775</v>
      </c>
      <c r="F171" s="17" t="n">
        <v>3586.25</v>
      </c>
      <c r="G171" s="16" t="n">
        <v>1</v>
      </c>
    </row>
    <row r="172">
      <c r="A172" s="16" t="inlineStr">
        <is>
          <t>RNL</t>
        </is>
      </c>
      <c r="B172" s="16" t="inlineStr">
        <is>
          <t>كميات هالكة ومفقودة</t>
        </is>
      </c>
      <c r="C172" s="16" t="inlineStr">
        <is>
          <t>SF97</t>
        </is>
      </c>
      <c r="D172" s="16" t="inlineStr">
        <is>
          <t>فينكا روزا مركن 9 سم أبيض</t>
        </is>
      </c>
      <c r="E172" s="118" t="n">
        <v>2700</v>
      </c>
      <c r="F172" s="17" t="n">
        <v>1485</v>
      </c>
      <c r="G172" s="16" t="n">
        <v>4</v>
      </c>
    </row>
    <row r="173">
      <c r="A173" s="16" t="inlineStr">
        <is>
          <t>RNL</t>
        </is>
      </c>
      <c r="B173" s="16" t="inlineStr">
        <is>
          <t>كميات هالكة ومفقودة</t>
        </is>
      </c>
      <c r="C173" s="16" t="inlineStr">
        <is>
          <t>SF98</t>
        </is>
      </c>
      <c r="D173" s="16" t="inlineStr">
        <is>
          <t>فينكا روزا مركن 9 سم أحمر</t>
        </is>
      </c>
      <c r="E173" s="118" t="n">
        <v>4500</v>
      </c>
      <c r="F173" s="17" t="n">
        <v>2475</v>
      </c>
      <c r="G173" s="16" t="n">
        <v>6</v>
      </c>
    </row>
    <row r="174">
      <c r="A174" s="16" t="inlineStr">
        <is>
          <t>RNL</t>
        </is>
      </c>
      <c r="B174" s="16" t="inlineStr">
        <is>
          <t>كميات هالكة ومفقودة</t>
        </is>
      </c>
      <c r="C174" s="16" t="inlineStr">
        <is>
          <t>SF99</t>
        </is>
      </c>
      <c r="D174" s="16" t="inlineStr">
        <is>
          <t>فينكا روزا مركن 9 سم أحمر نقطة بيضاء</t>
        </is>
      </c>
      <c r="E174" s="118" t="n">
        <v>3575</v>
      </c>
      <c r="F174" s="17" t="n">
        <v>1966.25</v>
      </c>
      <c r="G174" s="16" t="n">
        <v>5</v>
      </c>
    </row>
    <row r="175">
      <c r="A175" s="9" t="n"/>
      <c r="B175" s="9" t="inlineStr">
        <is>
          <t>إجمالي كميات هالكة ومفقودة</t>
        </is>
      </c>
      <c r="C175" s="9" t="n"/>
      <c r="D175" s="9" t="n"/>
      <c r="E175" s="9">
        <f>SUM(E134:E174)</f>
        <v/>
      </c>
      <c r="F175" s="10">
        <f>SUM(F134:F174)</f>
        <v/>
      </c>
      <c r="G175" s="9" t="n"/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24"/>
  <sheetViews>
    <sheetView rightToLeft="1" zoomScale="10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70" customWidth="1" min="4" max="4"/>
  </cols>
  <sheetData>
    <row r="1">
      <c r="A1" s="1" t="inlineStr">
        <is>
          <t>مراجعة شيتات المسحوبات المقدمة من المحاسب</t>
        </is>
      </c>
    </row>
    <row r="2"/>
    <row r="3">
      <c r="A3" s="22" t="inlineStr">
        <is>
          <t>البند</t>
        </is>
      </c>
      <c r="B3" s="22" t="inlineStr">
        <is>
          <t>مسحوبات الرياض من تبوك</t>
        </is>
      </c>
      <c r="C3" s="22" t="inlineStr">
        <is>
          <t>مسحوبات تبوك من الرياض</t>
        </is>
      </c>
      <c r="D3" s="22" t="inlineStr">
        <is>
          <t>ملاحظة</t>
        </is>
      </c>
    </row>
    <row r="4">
      <c r="A4" s="3" t="inlineStr">
        <is>
          <t>الإجمالي المكتوب بشيت المحاسب</t>
        </is>
      </c>
      <c r="B4" s="4" t="n">
        <v>32450</v>
      </c>
      <c r="C4" s="4" t="n">
        <v>282271.2</v>
      </c>
      <c r="D4" s="3" t="n"/>
    </row>
    <row r="5">
      <c r="A5" s="3" t="inlineStr">
        <is>
          <t>الإجمالي الصحيح لبنود الشيت نفسه</t>
        </is>
      </c>
      <c r="B5" s="4" t="n">
        <v>32450</v>
      </c>
      <c r="C5" s="4" t="n">
        <v>334662.95</v>
      </c>
      <c r="D5" s="3" t="inlineStr">
        <is>
          <t>⚠ معادلة الإجمالي في شيت تبوك =SUM(F19:F113) تبدأ من الصف 19 وتسقط الصفوف 6–18 (RNP-2113 و RNP-2293 و RNP-2367 و RNP-2395) بقيمة 52,391.75</t>
        </is>
      </c>
    </row>
    <row r="6">
      <c r="A6" s="3" t="inlineStr">
        <is>
          <t>فرق الإجمالي</t>
        </is>
      </c>
      <c r="B6" s="4" t="n">
        <v>0</v>
      </c>
      <c r="C6" s="4" t="n">
        <v>52391.75</v>
      </c>
      <c r="D6" s="3" t="n"/>
    </row>
    <row r="7">
      <c r="A7" s="3" t="inlineStr">
        <is>
          <t>عدد الأسطر</t>
        </is>
      </c>
      <c r="B7" s="4" t="n">
        <v>26</v>
      </c>
      <c r="C7" s="4" t="n">
        <v>108</v>
      </c>
      <c r="D7" s="3" t="n"/>
    </row>
    <row r="8">
      <c r="A8" s="3" t="inlineStr">
        <is>
          <t>أسطر – مطابق الكمية</t>
        </is>
      </c>
      <c r="B8" s="83" t="n">
        <v>0</v>
      </c>
      <c r="C8" s="83" t="n">
        <v>60</v>
      </c>
      <c r="D8" s="3" t="n"/>
    </row>
    <row r="9">
      <c r="A9" s="3" t="inlineStr">
        <is>
          <t>أسطر – يوجد فرق</t>
        </is>
      </c>
      <c r="B9" s="83" t="n">
        <v>4</v>
      </c>
      <c r="C9" s="83" t="n">
        <v>15</v>
      </c>
      <c r="D9" s="3" t="n"/>
    </row>
    <row r="10">
      <c r="A10" s="3" t="inlineStr">
        <is>
          <t>أسطر – بدون تفصيل بالنظام</t>
        </is>
      </c>
      <c r="B10" s="83" t="n">
        <v>14</v>
      </c>
      <c r="C10" s="83" t="n">
        <v>33</v>
      </c>
      <c r="D10" s="3" t="n"/>
    </row>
    <row r="11">
      <c r="A11" s="3" t="inlineStr">
        <is>
          <t>أسطر – غير موجود بالنظام</t>
        </is>
      </c>
      <c r="B11" s="83" t="n">
        <v>8</v>
      </c>
      <c r="C11" s="83" t="n">
        <v>0</v>
      </c>
      <c r="D11" s="3" t="n"/>
    </row>
    <row r="12">
      <c r="B12" s="84" t="n"/>
      <c r="C12" s="84" t="n"/>
    </row>
    <row r="13" ht="38" customHeight="1">
      <c r="A13" s="65" t="n"/>
    </row>
    <row r="14" ht="38" customHeight="1">
      <c r="A14" s="66" t="inlineStr">
        <is>
          <t>أهم الملاحظات:</t>
        </is>
      </c>
    </row>
    <row r="15" ht="38" customHeight="1">
      <c r="A15" s="65" t="inlineStr">
        <is>
          <t>1) ⚠ خطأ في معادلة إجمالي شيت "مسحوبات تبوك من الرياض": الإجمالي الصحيح 334,662.95 وليس 282,271.20 (فرق 52,391.75).</t>
        </is>
      </c>
    </row>
    <row r="16" ht="38" customHeight="1">
      <c r="A16" s="65" t="inlineStr">
        <is>
          <t>2) كل الأسطر صحيحة حسابياً (الكمية × السعر = الإجمالي) في الشيتين.</t>
        </is>
      </c>
    </row>
    <row r="17" ht="38" customHeight="1">
      <c r="A17" s="65" t="inlineStr">
        <is>
          <t>3) الأسعار في شيتات المحاسب سعر تحويل خاص (مثل بيتونيا 0.50 بدل 0.55 بالنظام، جيرانيوم 12 بسعر 3 بدل 2) – لذلك المراجعة على الكميات. القيم لا تطابق قيم النظام.</t>
        </is>
      </c>
    </row>
    <row r="18" ht="38" customHeight="1">
      <c r="A18" s="65" t="inlineStr">
        <is>
          <t>4) ⚠ أصناف أسقطها المحاسب من سندات موجودة: بيرلايت × 100 (RNT-180)، رويليا × 94 (ISV-0010)، تيكوماريا × 250 (ISV-0081)، و6 أصناف من TRF-0107 (دورانتا 1,290 – اكاليفا 60 – فل 450 – تيكوماريا 2,384 – ياسمين 580 – تجيل 2,400).</t>
        </is>
      </c>
    </row>
    <row r="19" ht="38" customHeight="1">
      <c r="A19" s="65" t="inlineStr">
        <is>
          <t>5) ⚠ سندات بالنظام غير مدرجة نهائياً بشيتات المحاسب: من تبوك: TNR-2689 (22,137.50) و TNR-2888 (23,797.81) و TRF-0188 (934.38). إلى تبوك: RNT-2166، RNT-2141، RNT-3077، RNT-3346، RNP-2297، RNP-2427، RNP-3756، ISV-0075، و RNT-1789 و RNP-1787 (يوليو–أغسطس 2025). التفاصيل في شيت "سندات بالنظام غير مدرجة".</t>
        </is>
      </c>
    </row>
    <row r="20" ht="38" customHeight="1">
      <c r="A20" s="65" t="inlineStr">
        <is>
          <t>6) ⚠ أسطر بشيت المحاسب بدون سند بالنظام: PO-213 (بيتونيا 6,000 من تبوك في 5-4-2026) و "فرق PO الشجيرات" (7 أسطر بقيمة 2,045 بدون تاريخ ولا رقم).</t>
        </is>
      </c>
    </row>
    <row r="21" ht="38" customHeight="1">
      <c r="A21" s="65" t="inlineStr">
        <is>
          <t>7) أخطاء تواريخ: TNR-1867 مكتوب 5-8-2026 والصحيح 5-8-2025. ISV-0066 مكتوب 11-6 وبالنظام 30-6-2026. "اذن صرف 319" مكتوب 3-1 وبالنظام TNR-3441 بتاريخ 1-1-2026.</t>
        </is>
      </c>
    </row>
    <row r="22" ht="38" customHeight="1">
      <c r="A22" s="65" t="inlineStr">
        <is>
          <t>8) ⚠ اذن صرف 319 / TNR-3441: الاكاليفا 60 بشيت المحاسب مقابل 6 بالنظام.</t>
        </is>
      </c>
    </row>
    <row r="23" ht="38" customHeight="1">
      <c r="A23" s="65" t="inlineStr">
        <is>
          <t>9) عقود النظام القديم قبل يناير 2026 مسجلة بالقيمة فقط بدون بنود، فلا يمكن التحقق من كميات أسطرها (ملوّنة بالأصفر "بدون تفصيل بالنظام").</t>
        </is>
      </c>
    </row>
    <row r="24" ht="38" customHeight="1">
      <c r="A24" s="65" t="inlineStr">
        <is>
          <t>10) مطابقات مؤكدة: NS-588 = ISV-0011 + ISV-0016 (3,500 زينيا) – وهذا يفسر تكرار المرجع NS-REQ-008. السيسبانيا 240 = الصافي بعد التحويل والإرجاع – صحيح.</t>
        </is>
      </c>
    </row>
  </sheetData>
  <mergeCells count="13">
    <mergeCell ref="A1:D1"/>
    <mergeCell ref="A17:D17"/>
    <mergeCell ref="A18:D18"/>
    <mergeCell ref="A23:D23"/>
    <mergeCell ref="A22:D22"/>
    <mergeCell ref="A20:D20"/>
    <mergeCell ref="A21:D21"/>
    <mergeCell ref="A15:D15"/>
    <mergeCell ref="A24:D24"/>
    <mergeCell ref="A16:D16"/>
    <mergeCell ref="A19:D19"/>
    <mergeCell ref="A13:D13"/>
    <mergeCell ref="A14:D14"/>
  </mergeCells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24"/>
  <sheetViews>
    <sheetView rightToLeft="1" zoomScale="10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4" customWidth="1" min="5" max="5"/>
    <col width="11" customWidth="1" min="6" max="6"/>
    <col width="13" customWidth="1" min="7" max="7"/>
    <col width="14" customWidth="1" min="8" max="8"/>
    <col width="13" customWidth="1" min="9" max="9"/>
    <col width="16" customWidth="1" min="10" max="10"/>
    <col width="70" customWidth="1" min="11" max="11"/>
  </cols>
  <sheetData>
    <row r="1">
      <c r="A1" s="14" t="inlineStr">
        <is>
          <t>مسحوبات تبوك من مزرعة الرياض قبل الفترة المقررة – أوامر شراء (المورد بالمستند: مؤسسة بساتين الرياض)</t>
        </is>
      </c>
    </row>
    <row r="2">
      <c r="A2" t="inlineStr">
        <is>
          <t>الأسعار غير موجودة في المستندات (سعر الوحدة = 0.00) – خانة السعر باللون الأصفر للإدخال اليدوي، والإجمالي يُحسب تلقائياً.</t>
        </is>
      </c>
    </row>
    <row r="3"/>
    <row r="4">
      <c r="A4" s="22" t="inlineStr">
        <is>
          <t>أمر الشراء</t>
        </is>
      </c>
      <c r="B4" s="22" t="inlineStr">
        <is>
          <t>مرجع الطلب</t>
        </is>
      </c>
      <c r="C4" s="22" t="inlineStr">
        <is>
          <t>تاريخ الأمر</t>
        </is>
      </c>
      <c r="D4" s="22" t="inlineStr">
        <is>
          <t>تاريخ الوصول المتوقع</t>
        </is>
      </c>
      <c r="E4" s="22" t="inlineStr">
        <is>
          <t>الصنف</t>
        </is>
      </c>
      <c r="F4" s="22" t="inlineStr">
        <is>
          <t>الكمية</t>
        </is>
      </c>
      <c r="G4" s="22" t="inlineStr">
        <is>
          <t>سعر الوحدة (يدوي)</t>
        </is>
      </c>
      <c r="H4" s="22" t="inlineStr">
        <is>
          <t>الإجمالي</t>
        </is>
      </c>
      <c r="I4" s="22" t="inlineStr">
        <is>
          <t>تكلفة البراد / النقل</t>
        </is>
      </c>
      <c r="J4" s="22" t="inlineStr">
        <is>
          <t>من تحمّل التكلفة</t>
        </is>
      </c>
      <c r="K4" s="22" t="inlineStr">
        <is>
          <t>ملاحظة المستند</t>
        </is>
      </c>
    </row>
    <row r="5">
      <c r="A5" s="3" t="inlineStr">
        <is>
          <t>P00480</t>
        </is>
      </c>
      <c r="B5" s="3" t="inlineStr">
        <is>
          <t>45802</t>
        </is>
      </c>
      <c r="C5" s="107" t="n">
        <v>45845</v>
      </c>
      <c r="D5" s="107" t="n">
        <v>45844</v>
      </c>
      <c r="E5" s="3" t="inlineStr">
        <is>
          <t>فينكا أبيض نقطة حمراء</t>
        </is>
      </c>
      <c r="F5" s="85" t="n">
        <v>3875</v>
      </c>
      <c r="G5" s="12" t="n"/>
      <c r="H5" s="4">
        <f>F5*G5</f>
        <v/>
      </c>
      <c r="I5" s="4" t="n">
        <v>2800</v>
      </c>
      <c r="J5" s="3" t="inlineStr">
        <is>
          <t>نسما الشرق</t>
        </is>
      </c>
      <c r="K5" s="3" t="inlineStr">
        <is>
          <t>تم دفع إيجار النقل عن طريق نسما الشرق للتعميد رقم 480 - 481 مبلغ 2,800 ريال (مبلغ واحد للأمرين)</t>
        </is>
      </c>
    </row>
    <row r="6">
      <c r="A6" s="3" t="inlineStr">
        <is>
          <t>P00480</t>
        </is>
      </c>
      <c r="B6" s="3" t="inlineStr">
        <is>
          <t>45802</t>
        </is>
      </c>
      <c r="C6" s="107" t="n">
        <v>45845</v>
      </c>
      <c r="D6" s="107" t="n">
        <v>45844</v>
      </c>
      <c r="E6" s="3" t="inlineStr">
        <is>
          <t>فينكا أحمر بنقطة</t>
        </is>
      </c>
      <c r="F6" s="85" t="n">
        <v>3000</v>
      </c>
      <c r="G6" s="12" t="n"/>
      <c r="H6" s="4">
        <f>F6*G6</f>
        <v/>
      </c>
      <c r="I6" s="4" t="n"/>
      <c r="J6" s="3" t="n"/>
      <c r="K6" s="3" t="n"/>
    </row>
    <row r="7">
      <c r="A7" s="3" t="inlineStr">
        <is>
          <t>P00481</t>
        </is>
      </c>
      <c r="B7" s="3" t="inlineStr">
        <is>
          <t>NS-1466</t>
        </is>
      </c>
      <c r="C7" s="107" t="n">
        <v>45845</v>
      </c>
      <c r="D7" s="107" t="n">
        <v>45844</v>
      </c>
      <c r="E7" s="3" t="inlineStr">
        <is>
          <t>فينكا أحمر</t>
        </is>
      </c>
      <c r="F7" s="85" t="n">
        <v>5000</v>
      </c>
      <c r="G7" s="12" t="n"/>
      <c r="H7" s="4">
        <f>F7*G7</f>
        <v/>
      </c>
      <c r="I7" s="4" t="n"/>
      <c r="J7" s="3" t="inlineStr">
        <is>
          <t>نسما الشرق</t>
        </is>
      </c>
      <c r="K7" s="3" t="inlineStr">
        <is>
          <t>ضمن مبلغ النقل 2,800 المشترك مع P00480</t>
        </is>
      </c>
    </row>
    <row r="8">
      <c r="A8" s="3" t="inlineStr">
        <is>
          <t>P00481</t>
        </is>
      </c>
      <c r="B8" s="3" t="inlineStr">
        <is>
          <t>NS-1466</t>
        </is>
      </c>
      <c r="C8" s="107" t="n">
        <v>45845</v>
      </c>
      <c r="D8" s="107" t="n">
        <v>45844</v>
      </c>
      <c r="E8" s="3" t="inlineStr">
        <is>
          <t>فينكا أزرق</t>
        </is>
      </c>
      <c r="F8" s="85" t="n">
        <v>5000</v>
      </c>
      <c r="G8" s="12" t="n"/>
      <c r="H8" s="4">
        <f>F8*G8</f>
        <v/>
      </c>
      <c r="I8" s="4" t="n"/>
      <c r="J8" s="3" t="n"/>
      <c r="K8" s="3" t="n"/>
    </row>
    <row r="9">
      <c r="A9" s="3" t="inlineStr">
        <is>
          <t>P00481</t>
        </is>
      </c>
      <c r="B9" s="3" t="inlineStr">
        <is>
          <t>NS-1466</t>
        </is>
      </c>
      <c r="C9" s="107" t="n">
        <v>45845</v>
      </c>
      <c r="D9" s="107" t="n">
        <v>45844</v>
      </c>
      <c r="E9" s="3" t="inlineStr">
        <is>
          <t>فينكا أبيض</t>
        </is>
      </c>
      <c r="F9" s="85" t="n">
        <v>3000</v>
      </c>
      <c r="G9" s="12" t="n"/>
      <c r="H9" s="4">
        <f>F9*G9</f>
        <v/>
      </c>
      <c r="I9" s="4" t="n"/>
      <c r="J9" s="3" t="n"/>
      <c r="K9" s="3" t="n"/>
    </row>
    <row r="10">
      <c r="A10" s="3" t="inlineStr">
        <is>
          <t>P00481</t>
        </is>
      </c>
      <c r="B10" s="3" t="inlineStr">
        <is>
          <t>NS-1466</t>
        </is>
      </c>
      <c r="C10" s="107" t="n">
        <v>45845</v>
      </c>
      <c r="D10" s="107" t="n">
        <v>45844</v>
      </c>
      <c r="E10" s="3" t="inlineStr">
        <is>
          <t>فينكا مشمشي</t>
        </is>
      </c>
      <c r="F10" s="85" t="n">
        <v>5000</v>
      </c>
      <c r="G10" s="12" t="n"/>
      <c r="H10" s="4">
        <f>F10*G10</f>
        <v/>
      </c>
      <c r="I10" s="4" t="n"/>
      <c r="J10" s="3" t="n"/>
      <c r="K10" s="3" t="n"/>
    </row>
    <row r="11">
      <c r="A11" s="3" t="inlineStr">
        <is>
          <t>P00508</t>
        </is>
      </c>
      <c r="B11" s="3" t="inlineStr">
        <is>
          <t>49009</t>
        </is>
      </c>
      <c r="C11" s="107" t="n">
        <v>45854</v>
      </c>
      <c r="D11" s="107" t="n">
        <v>45854</v>
      </c>
      <c r="E11" s="3" t="inlineStr">
        <is>
          <t>فينكا أحمر</t>
        </is>
      </c>
      <c r="F11" s="85" t="n">
        <v>6000</v>
      </c>
      <c r="G11" s="12" t="n"/>
      <c r="H11" s="4">
        <f>F11*G11</f>
        <v/>
      </c>
      <c r="I11" s="4" t="n">
        <v>3500</v>
      </c>
      <c r="J11" s="3" t="inlineStr">
        <is>
          <t>نسما الشرق</t>
        </is>
      </c>
      <c r="K11" s="3" t="inlineStr">
        <is>
          <t>تم التحميل مع زهور أخرى من البستان ونوّارة، ودفع الإيجار 3,500 عن طريق نسما الشرق</t>
        </is>
      </c>
    </row>
    <row r="12">
      <c r="A12" s="3" t="inlineStr">
        <is>
          <t>P00508</t>
        </is>
      </c>
      <c r="B12" s="3" t="inlineStr">
        <is>
          <t>49009</t>
        </is>
      </c>
      <c r="C12" s="107" t="n">
        <v>45854</v>
      </c>
      <c r="D12" s="107" t="n">
        <v>45854</v>
      </c>
      <c r="E12" s="3" t="inlineStr">
        <is>
          <t>فينكا أبيض</t>
        </is>
      </c>
      <c r="F12" s="85" t="n">
        <v>6000</v>
      </c>
      <c r="G12" s="12" t="n"/>
      <c r="H12" s="4">
        <f>F12*G12</f>
        <v/>
      </c>
      <c r="I12" s="4" t="n"/>
      <c r="J12" s="3" t="n"/>
      <c r="K12" s="3" t="n"/>
    </row>
    <row r="13">
      <c r="A13" s="3" t="inlineStr">
        <is>
          <t>P00519</t>
        </is>
      </c>
      <c r="B13" s="3" t="inlineStr">
        <is>
          <t>47697</t>
        </is>
      </c>
      <c r="C13" s="107" t="n">
        <v>45856</v>
      </c>
      <c r="D13" s="107" t="n">
        <v>45820</v>
      </c>
      <c r="E13" s="3" t="inlineStr">
        <is>
          <t>زهور موسمية (SEASONAL FLOWERS)</t>
        </is>
      </c>
      <c r="F13" s="85" t="n">
        <v>42000</v>
      </c>
      <c r="G13" s="12" t="n"/>
      <c r="H13" s="4">
        <f>F13*G13</f>
        <v/>
      </c>
      <c r="I13" s="4" t="n">
        <v>3800</v>
      </c>
      <c r="J13" s="3" t="inlineStr">
        <is>
          <t>نسما الشرق</t>
        </is>
      </c>
      <c r="K13" s="3" t="inlineStr">
        <is>
          <t>تم حساب البراد عن طريق نسما الشرق 3,800 ريال</t>
        </is>
      </c>
    </row>
    <row r="14">
      <c r="A14" s="3" t="inlineStr">
        <is>
          <t>P00522</t>
        </is>
      </c>
      <c r="B14" s="3" t="inlineStr">
        <is>
          <t>NS-1466</t>
        </is>
      </c>
      <c r="C14" s="107" t="n">
        <v>45856</v>
      </c>
      <c r="D14" s="107" t="n">
        <v>45837</v>
      </c>
      <c r="E14" s="3" t="inlineStr">
        <is>
          <t>زهور موسمية – غير شامل التوصيل</t>
        </is>
      </c>
      <c r="F14" s="85" t="n">
        <v>15000</v>
      </c>
      <c r="G14" s="12" t="n"/>
      <c r="H14" s="4">
        <f>F14*G14</f>
        <v/>
      </c>
      <c r="I14" s="4" t="n">
        <v>3000</v>
      </c>
      <c r="J14" s="3" t="inlineStr">
        <is>
          <t>نسما الشرق</t>
        </is>
      </c>
      <c r="K14" s="3" t="inlineStr">
        <is>
          <t>غير شامل التوصيل وغير شامل إيجار البراد 3,000 – تم الحساب من نسما الشرق</t>
        </is>
      </c>
    </row>
    <row r="15">
      <c r="A15" s="3" t="inlineStr">
        <is>
          <t>P00523</t>
        </is>
      </c>
      <c r="B15" s="3" t="inlineStr">
        <is>
          <t>NS-1314</t>
        </is>
      </c>
      <c r="C15" s="107" t="n">
        <v>45856</v>
      </c>
      <c r="D15" s="107" t="n">
        <v>45820</v>
      </c>
      <c r="E15" s="3" t="inlineStr">
        <is>
          <t>زهور موسمية (SEASONAL FLOWERS)</t>
        </is>
      </c>
      <c r="F15" s="85" t="n">
        <v>9000</v>
      </c>
      <c r="G15" s="12" t="n"/>
      <c r="H15" s="4">
        <f>F15*G15</f>
        <v/>
      </c>
      <c r="I15" s="4" t="n"/>
      <c r="J15" s="3" t="inlineStr">
        <is>
          <t>جرين تاون</t>
        </is>
      </c>
      <c r="K15" s="3" t="inlineStr">
        <is>
          <t>تم حساب البراد عن طريق جرين تاون – إجمالي الحمولة 15,000 وتم قبول 9,000 فقط</t>
        </is>
      </c>
    </row>
    <row r="16">
      <c r="A16" s="9" t="n"/>
      <c r="B16" s="9" t="n"/>
      <c r="C16" s="9" t="n"/>
      <c r="D16" s="9" t="n"/>
      <c r="E16" s="9" t="inlineStr">
        <is>
          <t>الإجمالي</t>
        </is>
      </c>
      <c r="F16" s="40">
        <f>SUM(F5:F15)</f>
        <v/>
      </c>
      <c r="G16" s="9" t="n"/>
      <c r="H16" s="10">
        <f>SUM(H5:H15)</f>
        <v/>
      </c>
      <c r="I16" s="10">
        <f>SUM(I5:I15)</f>
        <v/>
      </c>
      <c r="J16" s="9" t="n"/>
      <c r="K16" s="9" t="n"/>
    </row>
    <row r="17">
      <c r="A17" s="13" t="n"/>
    </row>
    <row r="18">
      <c r="A18" s="23" t="inlineStr">
        <is>
          <t>ملاحظات:</t>
        </is>
      </c>
    </row>
    <row r="19">
      <c r="A19" s="13" t="inlineStr">
        <is>
          <t>1) P00480 و P00481 (7-7-2025): مبلغ نقل واحد 2,800 ريال للأمرين دفعته نسما الشرق.</t>
        </is>
      </c>
    </row>
    <row r="20">
      <c r="A20" s="13" t="inlineStr">
        <is>
          <t>2) ⚠ مرجع الطلب NS-1466 مستخدم في أمرين مختلفين: P00481 (7-7-2025، فينكا 18,000) و P00522 (18-7-2025، زهور موسمية 15,000) – يلزم التأكد أنهما شحنتان مختلفتان.</t>
        </is>
      </c>
    </row>
    <row r="21">
      <c r="A21" s="13" t="inlineStr">
        <is>
          <t>3) تواريخ الوصول المتوقع في P00519 و P00522 و P00523 (يونيو 2025) أسبق من تاريخ أمر الشراء (18-7-2025) – الأوامر سُجلت بعد الاستلام.</t>
        </is>
      </c>
    </row>
    <row r="22">
      <c r="A22" s="13" t="inlineStr">
        <is>
          <t>4) P00523: الحمولة 15,000 وتم قبول 9,000 فقط – الكمية المدرجة 9,000.</t>
        </is>
      </c>
    </row>
    <row r="23">
      <c r="A23" s="13" t="inlineStr">
        <is>
          <t>5) تكاليف النقل والبراد التي تحمّلتها نسما الشرق = 13,100 ريال (2,800 + 3,500 + 3,800 + 3,000)، وتكلفة براد P00523 على جرين تاون.</t>
        </is>
      </c>
    </row>
    <row r="24">
      <c r="A24" s="13" t="inlineStr">
        <is>
          <t>6) المورد المذكور بأوامر الشراء "مؤسسة بساتين الرياض". الأصناف في P00519 و P00522 و P00523 مكتوبة "زهور موسمية" بدون تفصيل.</t>
        </is>
      </c>
    </row>
  </sheetData>
  <mergeCells count="10">
    <mergeCell ref="A22:K22"/>
    <mergeCell ref="A18:K18"/>
    <mergeCell ref="A20:K20"/>
    <mergeCell ref="A21:K21"/>
    <mergeCell ref="A24:K24"/>
    <mergeCell ref="A2:K2"/>
    <mergeCell ref="A19:K19"/>
    <mergeCell ref="A17:K17"/>
    <mergeCell ref="A1:K1"/>
    <mergeCell ref="A23:K23"/>
  </mergeCells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59"/>
  <sheetViews>
    <sheetView rightToLeft="1" zoomScale="10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16" customWidth="1" min="4" max="4"/>
    <col width="20" customWidth="1" min="5" max="5"/>
    <col width="40" customWidth="1" min="6" max="6"/>
  </cols>
  <sheetData>
    <row r="1">
      <c r="A1" s="1" t="inlineStr">
        <is>
          <t>المصاريف الإدارية والوقود المدفوعة لمزرعة الرياض عن طريق مزرعة تبوك (نسما الشرق) – عامي 2025 و 2026</t>
        </is>
      </c>
    </row>
    <row r="2"/>
    <row r="3">
      <c r="A3" s="7" t="inlineStr">
        <is>
          <t>أولاً: المصاريف الإدارية 2025 (المصدر: كشف المصاريف الإدارية – البنود 49 إلى 55)</t>
        </is>
      </c>
    </row>
    <row r="4">
      <c r="A4" s="86" t="inlineStr">
        <is>
          <t>م</t>
        </is>
      </c>
      <c r="B4" s="86" t="inlineStr">
        <is>
          <t>التاريخ</t>
        </is>
      </c>
      <c r="C4" s="86" t="inlineStr">
        <is>
          <t>البيان</t>
        </is>
      </c>
      <c r="D4" s="86" t="inlineStr">
        <is>
          <t>المبلغ</t>
        </is>
      </c>
      <c r="E4" s="86" t="inlineStr">
        <is>
          <t>التصنيف</t>
        </is>
      </c>
      <c r="F4" s="86" t="inlineStr">
        <is>
          <t>ملاحظة</t>
        </is>
      </c>
    </row>
    <row r="5">
      <c r="A5" s="16" t="n">
        <v>49</v>
      </c>
      <c r="B5" s="16" t="inlineStr">
        <is>
          <t>2025</t>
        </is>
      </c>
      <c r="C5" s="16" t="inlineStr">
        <is>
          <t>رسوم تأشيرة مهندس محمد</t>
        </is>
      </c>
      <c r="D5" s="17" t="n">
        <v>2000</v>
      </c>
      <c r="E5" s="16" t="inlineStr">
        <is>
          <t>مصاريف إدارية</t>
        </is>
      </c>
      <c r="F5" s="16" t="n"/>
    </row>
    <row r="6">
      <c r="A6" s="16" t="n">
        <v>50</v>
      </c>
      <c r="B6" s="16" t="inlineStr">
        <is>
          <t>2025</t>
        </is>
      </c>
      <c r="C6" s="16" t="inlineStr">
        <is>
          <t>تأشيرة حسين مصطفى المحاسب</t>
        </is>
      </c>
      <c r="D6" s="17" t="n">
        <v>2000</v>
      </c>
      <c r="E6" s="16" t="inlineStr">
        <is>
          <t>مصاريف إدارية</t>
        </is>
      </c>
      <c r="F6" s="16" t="n"/>
    </row>
    <row r="7">
      <c r="A7" s="16" t="n">
        <v>51</v>
      </c>
      <c r="B7" s="16" t="inlineStr">
        <is>
          <t>2025</t>
        </is>
      </c>
      <c r="C7" s="16" t="inlineStr">
        <is>
          <t>نقل كفالة عظمت</t>
        </is>
      </c>
      <c r="D7" s="17" t="n">
        <v>4000</v>
      </c>
      <c r="E7" s="16" t="inlineStr">
        <is>
          <t>مصاريف إدارية</t>
        </is>
      </c>
      <c r="F7" s="16" t="n"/>
    </row>
    <row r="8">
      <c r="A8" s="16" t="n">
        <v>52</v>
      </c>
      <c r="B8" s="16" t="inlineStr">
        <is>
          <t>2025</t>
        </is>
      </c>
      <c r="C8" s="16" t="inlineStr">
        <is>
          <t>نقل كفالة العامل البنجالي 6000 + تجديد إقامة 9 شهور 7925</t>
        </is>
      </c>
      <c r="D8" s="17" t="n">
        <v>13925</v>
      </c>
      <c r="E8" s="16" t="inlineStr">
        <is>
          <t>مصاريف إدارية</t>
        </is>
      </c>
      <c r="F8" s="16" t="inlineStr">
        <is>
          <t>البند 52 = 6,000 + 7,925 = 13,925 ✓</t>
        </is>
      </c>
    </row>
    <row r="9">
      <c r="A9" s="16" t="n">
        <v>53</v>
      </c>
      <c r="B9" s="16" t="inlineStr">
        <is>
          <t>2025</t>
        </is>
      </c>
      <c r="C9" s="16" t="inlineStr">
        <is>
          <t>تجديد إقامة عظمت عام 2024 + 2025 مع التأمين الطبي</t>
        </is>
      </c>
      <c r="D9" s="17" t="n">
        <v>20700</v>
      </c>
      <c r="E9" s="16" t="inlineStr">
        <is>
          <t>مصاريف إدارية</t>
        </is>
      </c>
      <c r="F9" s="16" t="n"/>
    </row>
    <row r="10">
      <c r="A10" s="16" t="n">
        <v>54</v>
      </c>
      <c r="B10" s="16" t="inlineStr">
        <is>
          <t>2025</t>
        </is>
      </c>
      <c r="C10" s="16" t="inlineStr">
        <is>
          <t>تجديد إقامة مهندس محمد عبدالمجيد عام 2025 + التأمين الطبي</t>
        </is>
      </c>
      <c r="D10" s="17" t="n">
        <v>10650</v>
      </c>
      <c r="E10" s="16" t="inlineStr">
        <is>
          <t>مصاريف إدارية</t>
        </is>
      </c>
      <c r="F10" s="16" t="n"/>
    </row>
    <row r="11">
      <c r="A11" s="16" t="n">
        <v>55</v>
      </c>
      <c r="B11" s="16" t="inlineStr">
        <is>
          <t>2025</t>
        </is>
      </c>
      <c r="C11" s="16" t="inlineStr">
        <is>
          <t>تجديد إقامة حسين مصطفى المحاسب عام 2025 + التأمين الطبي</t>
        </is>
      </c>
      <c r="D11" s="17" t="n">
        <v>2850</v>
      </c>
      <c r="E11" s="16" t="inlineStr">
        <is>
          <t>مصاريف إدارية</t>
        </is>
      </c>
      <c r="F11" s="16" t="n"/>
    </row>
    <row r="12">
      <c r="A12" s="9" t="n"/>
      <c r="B12" s="9" t="n"/>
      <c r="C12" s="9" t="inlineStr">
        <is>
          <t>إجمالي المصاريف الإدارية 2025</t>
        </is>
      </c>
      <c r="D12" s="10">
        <f>SUM(D5:D11)</f>
        <v/>
      </c>
      <c r="E12" s="9" t="n"/>
      <c r="F12" s="9" t="n"/>
    </row>
    <row r="13"/>
    <row r="14">
      <c r="A14" s="7" t="inlineStr">
        <is>
          <t>ثانياً: المصاريف الإدارية والحكومية 2026 (المصدر: تقرير العهدة – Custody Report بتاريخ 9-8-2026)</t>
        </is>
      </c>
    </row>
    <row r="15">
      <c r="A15" s="86" t="inlineStr">
        <is>
          <t>م</t>
        </is>
      </c>
      <c r="B15" s="86" t="inlineStr">
        <is>
          <t>التاريخ</t>
        </is>
      </c>
      <c r="C15" s="86" t="inlineStr">
        <is>
          <t>البيان</t>
        </is>
      </c>
      <c r="D15" s="86" t="inlineStr">
        <is>
          <t>المبلغ</t>
        </is>
      </c>
      <c r="E15" s="86" t="inlineStr">
        <is>
          <t>التصنيف</t>
        </is>
      </c>
      <c r="F15" s="86" t="inlineStr">
        <is>
          <t>ملاحظة</t>
        </is>
      </c>
    </row>
    <row r="16">
      <c r="A16" s="16" t="n">
        <v>1</v>
      </c>
      <c r="B16" s="95" t="n">
        <v>46160</v>
      </c>
      <c r="C16" s="16" t="inlineStr">
        <is>
          <t>تجديد إقامة عماد حمدي – 104723160012238</t>
        </is>
      </c>
      <c r="D16" s="17" t="n">
        <v>2288</v>
      </c>
      <c r="E16" s="16" t="inlineStr">
        <is>
          <t>إقامات ورسوم حكومية</t>
        </is>
      </c>
      <c r="F16" s="16" t="n"/>
    </row>
    <row r="17">
      <c r="A17" s="16" t="n">
        <v>2</v>
      </c>
      <c r="B17" s="95" t="n">
        <v>46176</v>
      </c>
      <c r="C17" s="16" t="inlineStr">
        <is>
          <t>التأمين الطبي لمزرعة الرياض</t>
        </is>
      </c>
      <c r="D17" s="17" t="n">
        <v>1928.07</v>
      </c>
      <c r="E17" s="16" t="inlineStr">
        <is>
          <t>تأمين طبي</t>
        </is>
      </c>
      <c r="F17" s="16" t="n"/>
    </row>
    <row r="18">
      <c r="A18" s="16" t="n">
        <v>3</v>
      </c>
      <c r="B18" s="95" t="n">
        <v>46177</v>
      </c>
      <c r="C18" s="16" t="inlineStr">
        <is>
          <t>القيمة المضافة تبع تأمين مزرعة الرياض</t>
        </is>
      </c>
      <c r="D18" s="17" t="n">
        <v>289.21</v>
      </c>
      <c r="E18" s="16" t="inlineStr">
        <is>
          <t>تأمين طبي</t>
        </is>
      </c>
      <c r="F18" s="16" t="n"/>
    </row>
    <row r="19">
      <c r="A19" s="16" t="n">
        <v>4</v>
      </c>
      <c r="B19" s="95" t="n">
        <v>46190</v>
      </c>
      <c r="C19" s="16" t="inlineStr">
        <is>
          <t>رخص عمل عصمت الله</t>
        </is>
      </c>
      <c r="D19" s="17" t="n">
        <v>2425</v>
      </c>
      <c r="E19" s="16" t="inlineStr">
        <is>
          <t>إقامات ورسوم حكومية</t>
        </is>
      </c>
      <c r="F19" s="16" t="n"/>
    </row>
    <row r="20">
      <c r="A20" s="16" t="n">
        <v>5</v>
      </c>
      <c r="B20" s="95" t="n">
        <v>46190</v>
      </c>
      <c r="C20" s="16" t="inlineStr">
        <is>
          <t>رسوم جوازات</t>
        </is>
      </c>
      <c r="D20" s="17" t="n">
        <v>163</v>
      </c>
      <c r="E20" s="16" t="inlineStr">
        <is>
          <t>إقامات ورسوم حكومية</t>
        </is>
      </c>
      <c r="F20" s="16" t="n"/>
    </row>
    <row r="21">
      <c r="A21" s="16" t="n">
        <v>6</v>
      </c>
      <c r="B21" s="95" t="n">
        <v>46191</v>
      </c>
      <c r="C21" s="16" t="inlineStr">
        <is>
          <t>رخصة عمل حسين مصطفى</t>
        </is>
      </c>
      <c r="D21" s="17" t="n">
        <v>2425</v>
      </c>
      <c r="E21" s="16" t="inlineStr">
        <is>
          <t>إقامات ورسوم حكومية</t>
        </is>
      </c>
      <c r="F21" s="16" t="n"/>
    </row>
    <row r="22">
      <c r="A22" s="16" t="n">
        <v>7</v>
      </c>
      <c r="B22" s="95" t="n">
        <v>46191</v>
      </c>
      <c r="C22" s="16" t="inlineStr">
        <is>
          <t>رسوم جوازات حسين مصطفى</t>
        </is>
      </c>
      <c r="D22" s="17" t="n">
        <v>163</v>
      </c>
      <c r="E22" s="16" t="inlineStr">
        <is>
          <t>إقامات ورسوم حكومية</t>
        </is>
      </c>
      <c r="F22" s="16" t="n"/>
    </row>
    <row r="23">
      <c r="A23" s="16" t="n">
        <v>8</v>
      </c>
      <c r="B23" s="95" t="n">
        <v>46230</v>
      </c>
      <c r="C23" s="16" t="inlineStr">
        <is>
          <t>إيجار مزرعة الرياض</t>
        </is>
      </c>
      <c r="D23" s="17" t="n">
        <v>150000</v>
      </c>
      <c r="E23" s="16" t="inlineStr">
        <is>
          <t>إيجار</t>
        </is>
      </c>
      <c r="F23" s="16" t="n"/>
    </row>
    <row r="24">
      <c r="A24" s="16" t="n">
        <v>9</v>
      </c>
      <c r="B24" s="95" t="n">
        <v>46230</v>
      </c>
      <c r="C24" s="16" t="inlineStr">
        <is>
          <t>رخص محمد عبدالمجيد</t>
        </is>
      </c>
      <c r="D24" s="17" t="n">
        <v>2425</v>
      </c>
      <c r="E24" s="16" t="inlineStr">
        <is>
          <t>إقامات ورسوم حكومية</t>
        </is>
      </c>
      <c r="F24" s="16" t="n"/>
    </row>
    <row r="25">
      <c r="A25" s="16" t="n">
        <v>10</v>
      </c>
      <c r="B25" s="95" t="n">
        <v>46230</v>
      </c>
      <c r="C25" s="16" t="inlineStr">
        <is>
          <t>رسوم جوازات</t>
        </is>
      </c>
      <c r="D25" s="17" t="n">
        <v>163</v>
      </c>
      <c r="E25" s="16" t="inlineStr">
        <is>
          <t>إقامات ورسوم حكومية</t>
        </is>
      </c>
      <c r="F25" s="16" t="n"/>
    </row>
    <row r="26">
      <c r="A26" s="16" t="n">
        <v>11</v>
      </c>
      <c r="B26" s="95" t="n">
        <v>46230</v>
      </c>
      <c r="C26" s="16" t="inlineStr">
        <is>
          <t>سداد مخالفات مرورية / عماد حمدي</t>
        </is>
      </c>
      <c r="D26" s="17" t="n">
        <v>863</v>
      </c>
      <c r="E26" s="16" t="inlineStr">
        <is>
          <t>مخالفات مرورية</t>
        </is>
      </c>
      <c r="F26" s="16" t="n"/>
    </row>
    <row r="27">
      <c r="A27" s="16" t="n">
        <v>12</v>
      </c>
      <c r="B27" s="95" t="n">
        <v>46230</v>
      </c>
      <c r="C27" s="16" t="inlineStr">
        <is>
          <t>تجديد إقامة منير جمال</t>
        </is>
      </c>
      <c r="D27" s="17" t="n">
        <v>5175</v>
      </c>
      <c r="E27" s="16" t="inlineStr">
        <is>
          <t>إقامات ورسوم حكومية</t>
        </is>
      </c>
      <c r="F27" s="16" t="n"/>
    </row>
    <row r="28">
      <c r="A28" s="16" t="n">
        <v>13</v>
      </c>
      <c r="B28" s="95" t="n">
        <v>46230</v>
      </c>
      <c r="C28" s="16" t="inlineStr">
        <is>
          <t>رخص عمل عماد حمدي</t>
        </is>
      </c>
      <c r="D28" s="17" t="n">
        <v>2425</v>
      </c>
      <c r="E28" s="16" t="inlineStr">
        <is>
          <t>إقامات ورسوم حكومية</t>
        </is>
      </c>
      <c r="F28" s="16" t="n"/>
    </row>
    <row r="29">
      <c r="A29" s="16" t="n">
        <v>14</v>
      </c>
      <c r="B29" s="95" t="n">
        <v>46230</v>
      </c>
      <c r="C29" s="16" t="inlineStr">
        <is>
          <t>التأمين الطبي</t>
        </is>
      </c>
      <c r="D29" s="17" t="n">
        <v>258.87</v>
      </c>
      <c r="E29" s="16" t="inlineStr">
        <is>
          <t>تأمين طبي</t>
        </is>
      </c>
      <c r="F29" s="16" t="n"/>
    </row>
    <row r="30">
      <c r="A30" s="16" t="n">
        <v>15</v>
      </c>
      <c r="B30" s="95" t="n">
        <v>46230</v>
      </c>
      <c r="C30" s="16" t="inlineStr">
        <is>
          <t>شراء كفر للدينه 3010</t>
        </is>
      </c>
      <c r="D30" s="17" t="n">
        <v>400</v>
      </c>
      <c r="E30" s="16" t="inlineStr">
        <is>
          <t>مصاريف سيارات</t>
        </is>
      </c>
      <c r="F30" s="16" t="n"/>
    </row>
    <row r="31">
      <c r="A31" s="16" t="n">
        <v>16</v>
      </c>
      <c r="B31" s="95" t="n">
        <v>46230</v>
      </c>
      <c r="C31" s="16" t="inlineStr">
        <is>
          <t>سداد رخص العمل</t>
        </is>
      </c>
      <c r="D31" s="17" t="n">
        <v>2425</v>
      </c>
      <c r="E31" s="16" t="inlineStr">
        <is>
          <t>إقامات ورسوم حكومية</t>
        </is>
      </c>
      <c r="F31" s="16" t="inlineStr">
        <is>
          <t>سداد رخص العمل بدون ذكر اسم العامل</t>
        </is>
      </c>
    </row>
    <row r="32">
      <c r="A32" s="16" t="n">
        <v>17</v>
      </c>
      <c r="B32" s="95" t="n">
        <v>46230</v>
      </c>
      <c r="C32" s="16" t="inlineStr">
        <is>
          <t>رسوم جوازات محمد عبدالمجيد</t>
        </is>
      </c>
      <c r="D32" s="17" t="n">
        <v>163</v>
      </c>
      <c r="E32" s="16" t="inlineStr">
        <is>
          <t>إقامات ورسوم حكومية</t>
        </is>
      </c>
      <c r="F32" s="16" t="n"/>
    </row>
    <row r="33">
      <c r="A33" s="18" t="n">
        <v>18</v>
      </c>
      <c r="B33" s="98" t="n">
        <v>46235</v>
      </c>
      <c r="C33" s="18" t="inlineStr">
        <is>
          <t>رسوم الجوازات</t>
        </is>
      </c>
      <c r="D33" s="19" t="n">
        <v>163</v>
      </c>
      <c r="E33" s="18" t="inlineStr">
        <is>
          <t>إقامات ورسوم حكومية</t>
        </is>
      </c>
      <c r="F33" s="18" t="inlineStr">
        <is>
          <t>⚠ بتاريخ 1-8-2026 بعد نهاية الفترة 31-7-2026</t>
        </is>
      </c>
    </row>
    <row r="34">
      <c r="A34" s="9" t="n"/>
      <c r="B34" s="9" t="n"/>
      <c r="C34" s="9" t="inlineStr">
        <is>
          <t>إجمالي المصاريف الإدارية 2026 (مطابق لتقرير العهدة 174,142.15)</t>
        </is>
      </c>
      <c r="D34" s="10">
        <f>SUM(D16:D33)</f>
        <v/>
      </c>
      <c r="E34" s="9" t="n"/>
      <c r="F34" s="9" t="n"/>
    </row>
    <row r="35">
      <c r="C35" t="inlineStr">
        <is>
          <t>منها خارج الفترة (بعد 31-7-2026)</t>
        </is>
      </c>
      <c r="D35" s="58" t="n">
        <v>163</v>
      </c>
    </row>
    <row r="36">
      <c r="A36" s="9" t="n"/>
      <c r="B36" s="9" t="n"/>
      <c r="C36" s="9" t="inlineStr">
        <is>
          <t>إجمالي 2026 حتى 31-7-2026</t>
        </is>
      </c>
      <c r="D36" s="10">
        <f>D34-D35</f>
        <v/>
      </c>
      <c r="E36" s="9" t="n"/>
      <c r="F36" s="9" t="n"/>
    </row>
    <row r="37"/>
    <row r="38">
      <c r="A38" s="7" t="inlineStr">
        <is>
          <t>ثالثاً: الديزل المدفوع من نسما الشرق لسيارات المناديب</t>
        </is>
      </c>
    </row>
    <row r="39">
      <c r="A39" s="86" t="inlineStr">
        <is>
          <t>السيارة</t>
        </is>
      </c>
      <c r="B39" s="86" t="inlineStr">
        <is>
          <t>السائق</t>
        </is>
      </c>
      <c r="C39" s="86" t="inlineStr">
        <is>
          <t>نوفمبر 2025</t>
        </is>
      </c>
      <c r="D39" s="86" t="inlineStr">
        <is>
          <t>ديسمبر 2025</t>
        </is>
      </c>
      <c r="E39" s="86" t="inlineStr">
        <is>
          <t>2026 حتى 31-7-2026</t>
        </is>
      </c>
      <c r="F39" s="86" t="inlineStr">
        <is>
          <t>الإجمالي</t>
        </is>
      </c>
    </row>
    <row r="40">
      <c r="A40" s="16" t="n">
        <v>1219</v>
      </c>
      <c r="B40" s="16" t="inlineStr">
        <is>
          <t>عصمت الله خان</t>
        </is>
      </c>
      <c r="C40" s="17" t="n">
        <v>1840.94</v>
      </c>
      <c r="D40" s="17" t="n">
        <v>1752.28</v>
      </c>
      <c r="E40" s="17" t="n">
        <v>8017</v>
      </c>
      <c r="F40" s="17">
        <f>C40+D40+E40</f>
        <v/>
      </c>
    </row>
    <row r="41">
      <c r="A41" s="16" t="n">
        <v>3010</v>
      </c>
      <c r="B41" s="16" t="inlineStr">
        <is>
          <t>عماد حمدي</t>
        </is>
      </c>
      <c r="C41" s="17" t="n">
        <v>3464.26</v>
      </c>
      <c r="D41" s="17" t="n">
        <v>3196.5</v>
      </c>
      <c r="E41" s="17" t="n">
        <v>16871</v>
      </c>
      <c r="F41" s="17">
        <f>C41+D41+E41</f>
        <v/>
      </c>
    </row>
    <row r="42">
      <c r="A42" s="9" t="n"/>
      <c r="B42" s="9" t="inlineStr">
        <is>
          <t>الإجمالي</t>
        </is>
      </c>
      <c r="C42" s="10">
        <f>SUM(C40:C41)</f>
        <v/>
      </c>
      <c r="D42" s="10">
        <f>SUM(D40:D41)</f>
        <v/>
      </c>
      <c r="E42" s="10">
        <f>SUM(E40:E41)</f>
        <v/>
      </c>
      <c r="F42" s="10">
        <f>SUM(F40:F41)</f>
        <v/>
      </c>
    </row>
    <row r="43"/>
    <row r="44">
      <c r="A44" s="7" t="inlineStr">
        <is>
          <t>الملخص</t>
        </is>
      </c>
    </row>
    <row r="45">
      <c r="A45" s="86" t="n"/>
      <c r="B45" s="86" t="n"/>
      <c r="C45" s="86" t="inlineStr">
        <is>
          <t>البند</t>
        </is>
      </c>
      <c r="D45" s="86" t="inlineStr">
        <is>
          <t>2025</t>
        </is>
      </c>
      <c r="E45" s="86" t="inlineStr">
        <is>
          <t>2026</t>
        </is>
      </c>
      <c r="F45" s="86" t="inlineStr">
        <is>
          <t>الإجمالي</t>
        </is>
      </c>
    </row>
    <row r="46">
      <c r="A46" s="16" t="n"/>
      <c r="B46" s="16" t="n"/>
      <c r="C46" s="16" t="inlineStr">
        <is>
          <t>المصاريف الإدارية</t>
        </is>
      </c>
      <c r="D46" s="17">
        <f>D12</f>
        <v/>
      </c>
      <c r="E46" s="17">
        <f>D36</f>
        <v/>
      </c>
      <c r="F46" s="17">
        <f>D46+E46</f>
        <v/>
      </c>
    </row>
    <row r="47">
      <c r="A47" s="16" t="n"/>
      <c r="B47" s="16" t="n"/>
      <c r="C47" s="16" t="inlineStr">
        <is>
          <t>الديزل</t>
        </is>
      </c>
      <c r="D47" s="17">
        <f>C42+D42</f>
        <v/>
      </c>
      <c r="E47" s="17">
        <f>E42</f>
        <v/>
      </c>
      <c r="F47" s="17">
        <f>D47+E47</f>
        <v/>
      </c>
    </row>
    <row r="48">
      <c r="A48" s="9" t="n"/>
      <c r="B48" s="9" t="n"/>
      <c r="C48" s="9" t="inlineStr">
        <is>
          <t>الإجمالي المدفوع لمزرعة الرياض عن طريق تبوك</t>
        </is>
      </c>
      <c r="D48" s="10">
        <f>SUM(D46:D47)</f>
        <v/>
      </c>
      <c r="E48" s="10">
        <f>SUM(E46:E47)</f>
        <v/>
      </c>
      <c r="F48" s="10">
        <f>SUM(F46:F47)</f>
        <v/>
      </c>
    </row>
    <row r="49" ht="30" customHeight="1">
      <c r="A49" s="13" t="n"/>
    </row>
    <row r="50" ht="30" customHeight="1">
      <c r="A50" s="13" t="inlineStr">
        <is>
          <t>ملاحظات:</t>
        </is>
      </c>
    </row>
    <row r="51" ht="30" customHeight="1">
      <c r="A51" s="13" t="inlineStr">
        <is>
          <t>1) إجمالي المصاريف الإدارية 2025 = 56,125.00 ومطابق للكشف. إجمالي 2026 = 174,142.15 ومطابق لتقرير العهدة، منها 163 بتاريخ 1-8-2026 خارج الفترة.</t>
        </is>
      </c>
    </row>
    <row r="52" ht="30" customHeight="1">
      <c r="A52" s="13" t="inlineStr">
        <is>
          <t>2) إيجار مزرعة الرياض 150,000 يمثل 86% من مصاريف 2026.</t>
        </is>
      </c>
    </row>
    <row r="53" ht="30" customHeight="1">
      <c r="A53" s="13" t="inlineStr">
        <is>
          <t>3) تقرير العهدة يوضح 18 صرفاً بدون أي تسوية معتمدة (Settled = 0) – الرصيد المتبقي بالعهدة 174,142.15، يعني لم تُقدم مستندات تسوية بعد.</t>
        </is>
      </c>
    </row>
    <row r="54" ht="30" customHeight="1">
      <c r="A54" s="13" t="inlineStr">
        <is>
          <t>4) الديزل: إجمالي الشيت 35,141.98 وهو صحيح حسابياً. بيانات 2025 عن نوفمبر وديسمبر فقط، وبيانات 2026 إجمالي حتى 31-7-2026 بدون تفصيل شهري.</t>
        </is>
      </c>
    </row>
    <row r="55" ht="30" customHeight="1">
      <c r="A55" s="13" t="inlineStr">
        <is>
          <t>5) مصاريف 2025 الإدارية بدون تواريخ تفصيلية في الكشف.</t>
        </is>
      </c>
    </row>
    <row r="56"/>
    <row r="57">
      <c r="A57" s="7" t="inlineStr">
        <is>
          <t>رابعاً: تكاليف النقل خارج الرياض لصالح مزرعة تبوك (مديونية على مزرعة تبوك لصالح مزرعة الرياض)</t>
        </is>
      </c>
    </row>
    <row r="58">
      <c r="A58" s="8" t="n"/>
      <c r="B58" s="8" t="n"/>
      <c r="C58" s="8" t="inlineStr">
        <is>
          <t>البيان</t>
        </is>
      </c>
      <c r="D58" s="8" t="inlineStr">
        <is>
          <t>إجمالي الكيلومترات</t>
        </is>
      </c>
      <c r="E58" s="8" t="inlineStr">
        <is>
          <t>تكلفة الكيلومتر</t>
        </is>
      </c>
      <c r="F58" s="8" t="inlineStr">
        <is>
          <t>القيمة</t>
        </is>
      </c>
    </row>
    <row r="59">
      <c r="A59" s="25" t="n"/>
      <c r="B59" s="25" t="n"/>
      <c r="C59" s="25" t="inlineStr">
        <is>
          <t>نقل خارج الرياض بسيارات مزرعة الرياض لصالح مزرعة تبوك</t>
        </is>
      </c>
      <c r="D59" s="87" t="n">
        <v>15290</v>
      </c>
      <c r="E59" s="27" t="n">
        <v>1.3</v>
      </c>
      <c r="F59" s="27">
        <f>D59*E59</f>
        <v/>
      </c>
    </row>
  </sheetData>
  <mergeCells count="13">
    <mergeCell ref="A38:F38"/>
    <mergeCell ref="A54:F54"/>
    <mergeCell ref="A49:F49"/>
    <mergeCell ref="A52:F52"/>
    <mergeCell ref="A51:F51"/>
    <mergeCell ref="A14:F14"/>
    <mergeCell ref="A44:F44"/>
    <mergeCell ref="A1:F1"/>
    <mergeCell ref="A50:F50"/>
    <mergeCell ref="A3:F3"/>
    <mergeCell ref="A53:F53"/>
    <mergeCell ref="A55:F55"/>
    <mergeCell ref="A57:F57"/>
  </mergeCells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28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0" customWidth="1" min="5" max="5"/>
    <col width="9" customWidth="1" min="6" max="6"/>
    <col width="14" customWidth="1" min="7" max="7"/>
    <col width="24" customWidth="1" min="8" max="8"/>
    <col width="14" customWidth="1" min="9" max="9"/>
    <col width="18" customWidth="1" min="10" max="10"/>
    <col width="90" customWidth="1" min="11" max="11"/>
  </cols>
  <sheetData>
    <row r="1">
      <c r="A1" s="22" t="inlineStr">
        <is>
          <t>صف بشيت المحاسب</t>
        </is>
      </c>
      <c r="B1" s="22" t="inlineStr">
        <is>
          <t>التاريخ</t>
        </is>
      </c>
      <c r="C1" s="22" t="inlineStr">
        <is>
          <t>رقم الطلب</t>
        </is>
      </c>
      <c r="D1" s="22" t="inlineStr">
        <is>
          <t>الصنف</t>
        </is>
      </c>
      <c r="E1" s="22" t="inlineStr">
        <is>
          <t>الكمية</t>
        </is>
      </c>
      <c r="F1" s="22" t="inlineStr">
        <is>
          <t>السعر</t>
        </is>
      </c>
      <c r="G1" s="22" t="inlineStr">
        <is>
          <t>الإجمالي (محسوب)</t>
        </is>
      </c>
      <c r="H1" s="22" t="inlineStr">
        <is>
          <t>السند المقابل بالنظام</t>
        </is>
      </c>
      <c r="I1" s="22" t="inlineStr">
        <is>
          <t>كمية النظام لنفس السند</t>
        </is>
      </c>
      <c r="J1" s="22" t="inlineStr">
        <is>
          <t>الحالة</t>
        </is>
      </c>
      <c r="K1" s="22" t="inlineStr">
        <is>
          <t>الملاحظة</t>
        </is>
      </c>
    </row>
    <row r="2">
      <c r="A2" s="18" t="n">
        <v>5</v>
      </c>
      <c r="B2" s="98" t="n">
        <v>46239</v>
      </c>
      <c r="C2" s="18" t="inlineStr">
        <is>
          <t>TNR-1867</t>
        </is>
      </c>
      <c r="D2" s="18" t="inlineStr">
        <is>
          <t>حجر ديكورى ابيض مطفى 3:5سم-10كجم</t>
        </is>
      </c>
      <c r="E2" s="18" t="n">
        <v>598</v>
      </c>
      <c r="F2" s="18" t="n">
        <v>10</v>
      </c>
      <c r="G2" s="19">
        <f>E2*F2</f>
        <v/>
      </c>
      <c r="H2" s="18" t="inlineStr">
        <is>
          <t>TNR-1867</t>
        </is>
      </c>
      <c r="I2" s="18" t="n">
        <v>0</v>
      </c>
      <c r="J2" s="18" t="inlineStr">
        <is>
          <t>بدون تفصيل بالنظام</t>
        </is>
      </c>
      <c r="K2" s="18" t="inlineStr">
        <is>
          <t>تاريخ السطر 5-8-2026 خطأ – الصحيح 5-8-2025. السند بالنظام بدون تفصيل بنود (قيمته 12,165.28 شاملة الضريبة)</t>
        </is>
      </c>
    </row>
    <row r="3">
      <c r="A3" s="18" t="n">
        <v>6</v>
      </c>
      <c r="B3" s="98" t="n">
        <v>46239</v>
      </c>
      <c r="C3" s="18" t="inlineStr">
        <is>
          <t>TNR-1867</t>
        </is>
      </c>
      <c r="D3" s="18" t="inlineStr">
        <is>
          <t>ابيض لامع</t>
        </is>
      </c>
      <c r="E3" s="18" t="n">
        <v>11</v>
      </c>
      <c r="F3" s="18" t="n">
        <v>18</v>
      </c>
      <c r="G3" s="19">
        <f>E3*F3</f>
        <v/>
      </c>
      <c r="H3" s="18" t="inlineStr">
        <is>
          <t>TNR-1867</t>
        </is>
      </c>
      <c r="I3" s="18" t="n"/>
      <c r="J3" s="18" t="inlineStr">
        <is>
          <t>بدون تفصيل بالنظام</t>
        </is>
      </c>
      <c r="K3" s="18" t="n"/>
    </row>
    <row r="4">
      <c r="A4" s="18" t="n">
        <v>7</v>
      </c>
      <c r="B4" s="98" t="n">
        <v>46239</v>
      </c>
      <c r="C4" s="18" t="inlineStr">
        <is>
          <t>TNR-1867</t>
        </is>
      </c>
      <c r="D4" s="18" t="inlineStr">
        <is>
          <t xml:space="preserve">اسود لامع </t>
        </is>
      </c>
      <c r="E4" s="18" t="n">
        <v>9</v>
      </c>
      <c r="F4" s="18" t="n">
        <v>18</v>
      </c>
      <c r="G4" s="19">
        <f>E4*F4</f>
        <v/>
      </c>
      <c r="H4" s="18" t="inlineStr">
        <is>
          <t>TNR-1867</t>
        </is>
      </c>
      <c r="I4" s="18" t="n"/>
      <c r="J4" s="18" t="inlineStr">
        <is>
          <t>بدون تفصيل بالنظام</t>
        </is>
      </c>
      <c r="K4" s="18" t="n"/>
    </row>
    <row r="5">
      <c r="A5" s="18" t="n">
        <v>8</v>
      </c>
      <c r="B5" s="98" t="n">
        <v>46239</v>
      </c>
      <c r="C5" s="18" t="inlineStr">
        <is>
          <t>TNR-1867</t>
        </is>
      </c>
      <c r="D5" s="18" t="inlineStr">
        <is>
          <t xml:space="preserve">احمر لامع </t>
        </is>
      </c>
      <c r="E5" s="18" t="n">
        <v>10</v>
      </c>
      <c r="F5" s="18" t="n">
        <v>18</v>
      </c>
      <c r="G5" s="19">
        <f>E5*F5</f>
        <v/>
      </c>
      <c r="H5" s="18" t="inlineStr">
        <is>
          <t>TNR-1867</t>
        </is>
      </c>
      <c r="I5" s="18" t="n"/>
      <c r="J5" s="18" t="inlineStr">
        <is>
          <t>بدون تفصيل بالنظام</t>
        </is>
      </c>
      <c r="K5" s="18" t="n"/>
    </row>
    <row r="6">
      <c r="A6" s="18" t="n">
        <v>9</v>
      </c>
      <c r="B6" s="98" t="n">
        <v>46239</v>
      </c>
      <c r="C6" s="18" t="inlineStr">
        <is>
          <t>TNR-1867</t>
        </is>
      </c>
      <c r="D6" s="18" t="inlineStr">
        <is>
          <t>احمر مطفى</t>
        </is>
      </c>
      <c r="E6" s="18" t="n">
        <v>70</v>
      </c>
      <c r="F6" s="18" t="n">
        <v>10</v>
      </c>
      <c r="G6" s="19">
        <f>E6*F6</f>
        <v/>
      </c>
      <c r="H6" s="18" t="inlineStr">
        <is>
          <t>TNR-1867</t>
        </is>
      </c>
      <c r="I6" s="18" t="n"/>
      <c r="J6" s="18" t="inlineStr">
        <is>
          <t>بدون تفصيل بالنظام</t>
        </is>
      </c>
      <c r="K6" s="18" t="n"/>
    </row>
    <row r="7">
      <c r="A7" s="18" t="n">
        <v>10</v>
      </c>
      <c r="B7" s="98" t="n">
        <v>46239</v>
      </c>
      <c r="C7" s="18" t="inlineStr">
        <is>
          <t>TNR-1867</t>
        </is>
      </c>
      <c r="D7" s="18" t="inlineStr">
        <is>
          <t>اصفر مطفى</t>
        </is>
      </c>
      <c r="E7" s="18" t="n">
        <v>196</v>
      </c>
      <c r="F7" s="18" t="n">
        <v>10</v>
      </c>
      <c r="G7" s="19">
        <f>E7*F7</f>
        <v/>
      </c>
      <c r="H7" s="18" t="inlineStr">
        <is>
          <t>TNR-1867</t>
        </is>
      </c>
      <c r="I7" s="18" t="n"/>
      <c r="J7" s="18" t="inlineStr">
        <is>
          <t>بدون تفصيل بالنظام</t>
        </is>
      </c>
      <c r="K7" s="18" t="n"/>
    </row>
    <row r="8">
      <c r="A8" s="18" t="n">
        <v>11</v>
      </c>
      <c r="B8" s="98" t="n">
        <v>45969</v>
      </c>
      <c r="C8" s="18" t="inlineStr">
        <is>
          <t>TNR-2792</t>
        </is>
      </c>
      <c r="D8" s="18" t="inlineStr">
        <is>
          <t>جهنمية بلدى واحد عود 50سم</t>
        </is>
      </c>
      <c r="E8" s="18" t="n">
        <v>300</v>
      </c>
      <c r="F8" s="18" t="n">
        <v>2.5</v>
      </c>
      <c r="G8" s="19">
        <f>E8*F8</f>
        <v/>
      </c>
      <c r="H8" s="18" t="inlineStr">
        <is>
          <t>TNR-2792</t>
        </is>
      </c>
      <c r="I8" s="18" t="n">
        <v>0</v>
      </c>
      <c r="J8" s="18" t="inlineStr">
        <is>
          <t>بدون تفصيل بالنظام</t>
        </is>
      </c>
      <c r="K8" s="18" t="n"/>
    </row>
    <row r="9">
      <c r="A9" s="18" t="n">
        <v>12</v>
      </c>
      <c r="B9" s="98" t="n">
        <v>45969</v>
      </c>
      <c r="C9" s="18" t="inlineStr">
        <is>
          <t>TNR-2792</t>
        </is>
      </c>
      <c r="D9" s="18" t="inlineStr">
        <is>
          <t>وايتكس 50 سم</t>
        </is>
      </c>
      <c r="E9" s="18" t="n">
        <v>400</v>
      </c>
      <c r="F9" s="18" t="n">
        <v>2.5</v>
      </c>
      <c r="G9" s="19">
        <f>E9*F9</f>
        <v/>
      </c>
      <c r="H9" s="18" t="inlineStr">
        <is>
          <t>TNR-2792</t>
        </is>
      </c>
      <c r="I9" s="18" t="n"/>
      <c r="J9" s="18" t="inlineStr">
        <is>
          <t>بدون تفصيل بالنظام</t>
        </is>
      </c>
      <c r="K9" s="18" t="n"/>
    </row>
    <row r="10">
      <c r="A10" s="18" t="n">
        <v>13</v>
      </c>
      <c r="B10" s="98" t="n">
        <v>45969</v>
      </c>
      <c r="C10" s="18" t="inlineStr">
        <is>
          <t>TNR-2792</t>
        </is>
      </c>
      <c r="D10" s="18" t="inlineStr">
        <is>
          <t>دورانتا اخضر</t>
        </is>
      </c>
      <c r="E10" s="18" t="n">
        <v>300</v>
      </c>
      <c r="F10" s="18" t="n">
        <v>2.5</v>
      </c>
      <c r="G10" s="19">
        <f>E10*F10</f>
        <v/>
      </c>
      <c r="H10" s="18" t="inlineStr">
        <is>
          <t>TNR-2792</t>
        </is>
      </c>
      <c r="I10" s="18" t="n"/>
      <c r="J10" s="18" t="inlineStr">
        <is>
          <t>بدون تفصيل بالنظام</t>
        </is>
      </c>
      <c r="K10" s="18" t="n"/>
    </row>
    <row r="11">
      <c r="A11" s="18" t="n">
        <v>14</v>
      </c>
      <c r="B11" s="98" t="n">
        <v>45969</v>
      </c>
      <c r="C11" s="18" t="inlineStr">
        <is>
          <t>TNR-2792</t>
        </is>
      </c>
      <c r="D11" s="18" t="inlineStr">
        <is>
          <t>لانتانا لبناني صغير</t>
        </is>
      </c>
      <c r="E11" s="18" t="n">
        <v>100</v>
      </c>
      <c r="F11" s="18" t="n">
        <v>2.5</v>
      </c>
      <c r="G11" s="19">
        <f>E11*F11</f>
        <v/>
      </c>
      <c r="H11" s="18" t="inlineStr">
        <is>
          <t>TNR-2792</t>
        </is>
      </c>
      <c r="I11" s="18" t="n"/>
      <c r="J11" s="18" t="inlineStr">
        <is>
          <t>بدون تفصيل بالنظام</t>
        </is>
      </c>
      <c r="K11" s="18" t="n"/>
    </row>
    <row r="12">
      <c r="A12" s="18" t="n">
        <v>15</v>
      </c>
      <c r="B12" s="98" t="n">
        <v>45969</v>
      </c>
      <c r="C12" s="18" t="inlineStr">
        <is>
          <t>TNR-2792</t>
        </is>
      </c>
      <c r="D12" s="18" t="inlineStr">
        <is>
          <t>رويليا</t>
        </is>
      </c>
      <c r="E12" s="18" t="n">
        <v>300</v>
      </c>
      <c r="F12" s="18" t="n">
        <v>2.5</v>
      </c>
      <c r="G12" s="19">
        <f>E12*F12</f>
        <v/>
      </c>
      <c r="H12" s="18" t="inlineStr">
        <is>
          <t>TNR-2792</t>
        </is>
      </c>
      <c r="I12" s="18" t="n"/>
      <c r="J12" s="18" t="inlineStr">
        <is>
          <t>بدون تفصيل بالنظام</t>
        </is>
      </c>
      <c r="K12" s="18" t="n"/>
    </row>
    <row r="13">
      <c r="A13" s="18" t="n">
        <v>16</v>
      </c>
      <c r="B13" s="98" t="n">
        <v>45981</v>
      </c>
      <c r="C13" s="18" t="inlineStr">
        <is>
          <t>TNR-2938</t>
        </is>
      </c>
      <c r="D13" s="18" t="inlineStr">
        <is>
          <t>زهور بيتونيا</t>
        </is>
      </c>
      <c r="E13" s="18" t="n">
        <v>8850</v>
      </c>
      <c r="F13" s="18" t="n">
        <v>0.5</v>
      </c>
      <c r="G13" s="19">
        <f>E13*F13</f>
        <v/>
      </c>
      <c r="H13" s="18" t="inlineStr">
        <is>
          <t>TNR-2938</t>
        </is>
      </c>
      <c r="I13" s="18" t="n">
        <v>0</v>
      </c>
      <c r="J13" s="18" t="inlineStr">
        <is>
          <t>بدون تفصيل بالنظام</t>
        </is>
      </c>
      <c r="K13" s="18" t="n"/>
    </row>
    <row r="14">
      <c r="A14" s="18" t="n">
        <v>17</v>
      </c>
      <c r="B14" s="98" t="n">
        <v>45981</v>
      </c>
      <c r="C14" s="18" t="inlineStr">
        <is>
          <t>TNR-2938</t>
        </is>
      </c>
      <c r="D14" s="18" t="inlineStr">
        <is>
          <t>زهور اليسوم</t>
        </is>
      </c>
      <c r="E14" s="18" t="n">
        <v>200</v>
      </c>
      <c r="F14" s="18" t="n">
        <v>0.5</v>
      </c>
      <c r="G14" s="19">
        <f>E14*F14</f>
        <v/>
      </c>
      <c r="H14" s="18" t="inlineStr">
        <is>
          <t>TNR-2938</t>
        </is>
      </c>
      <c r="I14" s="18" t="n"/>
      <c r="J14" s="18" t="inlineStr">
        <is>
          <t>بدون تفصيل بالنظام</t>
        </is>
      </c>
      <c r="K14" s="18" t="n"/>
    </row>
    <row r="15">
      <c r="A15" s="18" t="n">
        <v>18</v>
      </c>
      <c r="B15" s="98" t="n">
        <v>46002</v>
      </c>
      <c r="C15" s="18" t="inlineStr">
        <is>
          <t>TNR-3201</t>
        </is>
      </c>
      <c r="D15" s="18" t="inlineStr">
        <is>
          <t>حجر ديكورى ابيض مطفى 3:5سم-10كجم</t>
        </is>
      </c>
      <c r="E15" s="18" t="n">
        <v>320</v>
      </c>
      <c r="F15" s="18" t="n">
        <v>10</v>
      </c>
      <c r="G15" s="19">
        <f>E15*F15</f>
        <v/>
      </c>
      <c r="H15" s="18" t="inlineStr">
        <is>
          <t>TNR-3201</t>
        </is>
      </c>
      <c r="I15" s="18" t="n">
        <v>0</v>
      </c>
      <c r="J15" s="18" t="inlineStr">
        <is>
          <t>بدون تفصيل بالنظام</t>
        </is>
      </c>
      <c r="K15" s="18" t="n"/>
    </row>
    <row r="16">
      <c r="A16" s="18" t="n">
        <v>19</v>
      </c>
      <c r="B16" s="98" t="n">
        <v>46025</v>
      </c>
      <c r="C16" s="18" t="inlineStr">
        <is>
          <t>اذن صرف 319</t>
        </is>
      </c>
      <c r="D16" s="18" t="inlineStr">
        <is>
          <t>دورانتا اخضر</t>
        </is>
      </c>
      <c r="E16" s="18" t="n">
        <v>1200</v>
      </c>
      <c r="F16" s="18" t="n">
        <v>2.5</v>
      </c>
      <c r="G16" s="19">
        <f>E16*F16</f>
        <v/>
      </c>
      <c r="H16" s="18" t="inlineStr">
        <is>
          <t>TNR-3441</t>
        </is>
      </c>
      <c r="I16" s="18" t="n">
        <v>2146</v>
      </c>
      <c r="J16" s="18" t="inlineStr">
        <is>
          <t>يوجد فرق</t>
        </is>
      </c>
      <c r="K16" s="18" t="inlineStr">
        <is>
          <t>يقابله بالنظام TNR-3441 بتاريخ 1-1-2026. ⚠ الاكاليفا: 60 بشيت المحاسب مقابل 6 بالنظام (والسند TRF-0107 يذكر 60) – يلزم التأكد</t>
        </is>
      </c>
    </row>
    <row r="17">
      <c r="A17" s="18" t="n">
        <v>20</v>
      </c>
      <c r="B17" s="98" t="n">
        <v>46025</v>
      </c>
      <c r="C17" s="18" t="inlineStr">
        <is>
          <t>اذن صرف 319</t>
        </is>
      </c>
      <c r="D17" s="18" t="inlineStr">
        <is>
          <t>تيكوماريا</t>
        </is>
      </c>
      <c r="E17" s="18" t="n">
        <v>740</v>
      </c>
      <c r="F17" s="18" t="n">
        <v>2.5</v>
      </c>
      <c r="G17" s="19">
        <f>E17*F17</f>
        <v/>
      </c>
      <c r="H17" s="18" t="inlineStr">
        <is>
          <t>TNR-3441</t>
        </is>
      </c>
      <c r="I17" s="18" t="n"/>
      <c r="J17" s="18" t="inlineStr">
        <is>
          <t>يوجد فرق</t>
        </is>
      </c>
      <c r="K17" s="18" t="n"/>
    </row>
    <row r="18">
      <c r="A18" s="18" t="n">
        <v>21</v>
      </c>
      <c r="B18" s="98" t="n">
        <v>46025</v>
      </c>
      <c r="C18" s="18" t="inlineStr">
        <is>
          <t>اذن صرف 319</t>
        </is>
      </c>
      <c r="D18" s="18" t="inlineStr">
        <is>
          <t>اكاليفيا</t>
        </is>
      </c>
      <c r="E18" s="18" t="n">
        <v>60</v>
      </c>
      <c r="F18" s="18" t="n">
        <v>2.5</v>
      </c>
      <c r="G18" s="19">
        <f>E18*F18</f>
        <v/>
      </c>
      <c r="H18" s="18" t="inlineStr">
        <is>
          <t>TNR-3441</t>
        </is>
      </c>
      <c r="I18" s="18" t="n"/>
      <c r="J18" s="18" t="inlineStr">
        <is>
          <t>يوجد فرق</t>
        </is>
      </c>
      <c r="K18" s="18" t="n"/>
    </row>
    <row r="19">
      <c r="A19" s="18" t="n">
        <v>22</v>
      </c>
      <c r="B19" s="98" t="n">
        <v>46025</v>
      </c>
      <c r="C19" s="18" t="inlineStr">
        <is>
          <t>اذن صرف 319</t>
        </is>
      </c>
      <c r="D19" s="18" t="inlineStr">
        <is>
          <t>حجر ديكورى ابيض مطفى 3:5سم-10كجم</t>
        </is>
      </c>
      <c r="E19" s="18" t="n">
        <v>200</v>
      </c>
      <c r="F19" s="18" t="n">
        <v>10</v>
      </c>
      <c r="G19" s="19">
        <f>E19*F19</f>
        <v/>
      </c>
      <c r="H19" s="18" t="inlineStr">
        <is>
          <t>TNR-3441</t>
        </is>
      </c>
      <c r="I19" s="18" t="n"/>
      <c r="J19" s="18" t="inlineStr">
        <is>
          <t>يوجد فرق</t>
        </is>
      </c>
      <c r="K19" s="18" t="n"/>
    </row>
    <row r="20">
      <c r="A20" s="34" t="n">
        <v>23</v>
      </c>
      <c r="B20" s="99" t="n">
        <v>46117</v>
      </c>
      <c r="C20" s="34" t="inlineStr">
        <is>
          <t>PO-213</t>
        </is>
      </c>
      <c r="D20" s="34" t="inlineStr">
        <is>
          <t>زهور بيتونيا</t>
        </is>
      </c>
      <c r="E20" s="34" t="n">
        <v>6000</v>
      </c>
      <c r="F20" s="34" t="n">
        <v>0.5</v>
      </c>
      <c r="G20" s="36">
        <f>E20*F20</f>
        <v/>
      </c>
      <c r="H20" s="34" t="inlineStr">
        <is>
          <t>—</t>
        </is>
      </c>
      <c r="I20" s="34" t="n">
        <v>0</v>
      </c>
      <c r="J20" s="34" t="inlineStr">
        <is>
          <t>غير موجود بالنظام</t>
        </is>
      </c>
      <c r="K20" s="34" t="inlineStr">
        <is>
          <t>⚠ لا يوجد أي سند بالنظام لترحيل بيتونيا 6,000 من تبوك بتاريخ 5-4-2026</t>
        </is>
      </c>
    </row>
    <row r="21">
      <c r="A21" s="34" t="n">
        <v>24</v>
      </c>
      <c r="B21" s="99" t="n"/>
      <c r="C21" s="34" t="inlineStr">
        <is>
          <t>فرق PO الشجيرات</t>
        </is>
      </c>
      <c r="D21" s="34" t="inlineStr">
        <is>
          <t>جهنمية بلدى واحد عود 50سم</t>
        </is>
      </c>
      <c r="E21" s="34" t="n">
        <v>270</v>
      </c>
      <c r="F21" s="34" t="n">
        <v>2.5</v>
      </c>
      <c r="G21" s="36">
        <f>E21*F21</f>
        <v/>
      </c>
      <c r="H21" s="34" t="inlineStr">
        <is>
          <t>—</t>
        </is>
      </c>
      <c r="I21" s="34" t="n">
        <v>0</v>
      </c>
      <c r="J21" s="34" t="inlineStr">
        <is>
          <t>غير موجود بالنظام</t>
        </is>
      </c>
      <c r="K21" s="34" t="inlineStr">
        <is>
          <t>⚠ بدون تاريخ وبدون رقم سند – لا يوجد مستند مؤيد بالنظام</t>
        </is>
      </c>
    </row>
    <row r="22">
      <c r="A22" s="34" t="n">
        <v>25</v>
      </c>
      <c r="B22" s="99" t="n"/>
      <c r="C22" s="34" t="inlineStr">
        <is>
          <t>فرق PO الشجيرات</t>
        </is>
      </c>
      <c r="D22" s="34" t="inlineStr">
        <is>
          <t>دورانتا اخضر</t>
        </is>
      </c>
      <c r="E22" s="34" t="n">
        <v>10</v>
      </c>
      <c r="F22" s="34" t="n">
        <v>2.5</v>
      </c>
      <c r="G22" s="36">
        <f>E22*F22</f>
        <v/>
      </c>
      <c r="H22" s="34" t="inlineStr">
        <is>
          <t>—</t>
        </is>
      </c>
      <c r="I22" s="34" t="n"/>
      <c r="J22" s="34" t="inlineStr">
        <is>
          <t>غير موجود بالنظام</t>
        </is>
      </c>
      <c r="K22" s="34" t="n"/>
    </row>
    <row r="23">
      <c r="A23" s="34" t="n">
        <v>26</v>
      </c>
      <c r="B23" s="99" t="n"/>
      <c r="C23" s="34" t="inlineStr">
        <is>
          <t>فرق PO الشجيرات</t>
        </is>
      </c>
      <c r="D23" s="34" t="inlineStr">
        <is>
          <t>لانتانا لبناني صغير</t>
        </is>
      </c>
      <c r="E23" s="34" t="n">
        <v>60</v>
      </c>
      <c r="F23" s="34" t="n">
        <v>2.5</v>
      </c>
      <c r="G23" s="36">
        <f>E23*F23</f>
        <v/>
      </c>
      <c r="H23" s="34" t="inlineStr">
        <is>
          <t>—</t>
        </is>
      </c>
      <c r="I23" s="34" t="n"/>
      <c r="J23" s="34" t="inlineStr">
        <is>
          <t>غير موجود بالنظام</t>
        </is>
      </c>
      <c r="K23" s="34" t="n"/>
    </row>
    <row r="24">
      <c r="A24" s="34" t="n">
        <v>27</v>
      </c>
      <c r="B24" s="99" t="n"/>
      <c r="C24" s="34" t="inlineStr">
        <is>
          <t>فرق PO الشجيرات</t>
        </is>
      </c>
      <c r="D24" s="34" t="inlineStr">
        <is>
          <t>رويليا</t>
        </is>
      </c>
      <c r="E24" s="34" t="n">
        <v>206</v>
      </c>
      <c r="F24" s="34" t="n">
        <v>2.5</v>
      </c>
      <c r="G24" s="36">
        <f>E24*F24</f>
        <v/>
      </c>
      <c r="H24" s="34" t="inlineStr">
        <is>
          <t>—</t>
        </is>
      </c>
      <c r="I24" s="34" t="n"/>
      <c r="J24" s="34" t="inlineStr">
        <is>
          <t>غير موجود بالنظام</t>
        </is>
      </c>
      <c r="K24" s="34" t="n"/>
    </row>
    <row r="25">
      <c r="A25" s="34" t="n">
        <v>28</v>
      </c>
      <c r="B25" s="99" t="n"/>
      <c r="C25" s="34" t="inlineStr">
        <is>
          <t>فرق PO الشجيرات</t>
        </is>
      </c>
      <c r="D25" s="34" t="inlineStr">
        <is>
          <t>تيكوماريا</t>
        </is>
      </c>
      <c r="E25" s="34" t="n">
        <v>72</v>
      </c>
      <c r="F25" s="34" t="n">
        <v>2.5</v>
      </c>
      <c r="G25" s="36">
        <f>E25*F25</f>
        <v/>
      </c>
      <c r="H25" s="34" t="inlineStr">
        <is>
          <t>—</t>
        </is>
      </c>
      <c r="I25" s="34" t="n"/>
      <c r="J25" s="34" t="inlineStr">
        <is>
          <t>غير موجود بالنظام</t>
        </is>
      </c>
      <c r="K25" s="34" t="n"/>
    </row>
    <row r="26">
      <c r="A26" s="34" t="n">
        <v>29</v>
      </c>
      <c r="B26" s="99" t="n"/>
      <c r="C26" s="34" t="inlineStr">
        <is>
          <t>فرق PO الشجيرات</t>
        </is>
      </c>
      <c r="D26" s="34" t="inlineStr">
        <is>
          <t>فل بلدى</t>
        </is>
      </c>
      <c r="E26" s="34" t="n">
        <v>50</v>
      </c>
      <c r="F26" s="34" t="n">
        <v>2.5</v>
      </c>
      <c r="G26" s="36">
        <f>E26*F26</f>
        <v/>
      </c>
      <c r="H26" s="34" t="inlineStr">
        <is>
          <t>—</t>
        </is>
      </c>
      <c r="I26" s="34" t="n"/>
      <c r="J26" s="34" t="inlineStr">
        <is>
          <t>غير موجود بالنظام</t>
        </is>
      </c>
      <c r="K26" s="34" t="n"/>
    </row>
    <row r="27">
      <c r="A27" s="34" t="n">
        <v>30</v>
      </c>
      <c r="B27" s="99" t="n"/>
      <c r="C27" s="34" t="inlineStr">
        <is>
          <t>فرق PO الشجيرات</t>
        </is>
      </c>
      <c r="D27" s="34" t="inlineStr">
        <is>
          <t>ياسمين ازرق  50 سم</t>
        </is>
      </c>
      <c r="E27" s="34" t="n">
        <v>150</v>
      </c>
      <c r="F27" s="34" t="n">
        <v>2.5</v>
      </c>
      <c r="G27" s="36">
        <f>E27*F27</f>
        <v/>
      </c>
      <c r="H27" s="34" t="inlineStr">
        <is>
          <t>—</t>
        </is>
      </c>
      <c r="I27" s="34" t="n"/>
      <c r="J27" s="34" t="inlineStr">
        <is>
          <t>غير موجود بالنظام</t>
        </is>
      </c>
      <c r="K27" s="34" t="n"/>
    </row>
    <row r="28">
      <c r="A28" s="9" t="n"/>
      <c r="B28" s="9" t="n"/>
      <c r="C28" s="9" t="n"/>
      <c r="D28" s="9" t="inlineStr">
        <is>
          <t>الإجمالي الصحيح</t>
        </is>
      </c>
      <c r="E28" s="9" t="n"/>
      <c r="F28" s="9" t="n"/>
      <c r="G28" s="10">
        <f>SUM(G2:G27)</f>
        <v/>
      </c>
      <c r="H28" s="9" t="n"/>
      <c r="I28" s="9" t="n"/>
      <c r="J28" s="9" t="n"/>
      <c r="K28" s="9" t="n"/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110"/>
  <sheetViews>
    <sheetView rightToLeft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0" customWidth="1" min="5" max="5"/>
    <col width="9" customWidth="1" min="6" max="6"/>
    <col width="14" customWidth="1" min="7" max="7"/>
    <col width="24" customWidth="1" min="8" max="8"/>
    <col width="14" customWidth="1" min="9" max="9"/>
    <col width="18" customWidth="1" min="10" max="10"/>
    <col width="90" customWidth="1" min="11" max="11"/>
  </cols>
  <sheetData>
    <row r="1">
      <c r="A1" s="22" t="inlineStr">
        <is>
          <t>صف بشيت المحاسب</t>
        </is>
      </c>
      <c r="B1" s="22" t="inlineStr">
        <is>
          <t>التاريخ</t>
        </is>
      </c>
      <c r="C1" s="22" t="inlineStr">
        <is>
          <t>رقم الطلب</t>
        </is>
      </c>
      <c r="D1" s="22" t="inlineStr">
        <is>
          <t>الصنف</t>
        </is>
      </c>
      <c r="E1" s="22" t="inlineStr">
        <is>
          <t>الكمية</t>
        </is>
      </c>
      <c r="F1" s="22" t="inlineStr">
        <is>
          <t>السعر</t>
        </is>
      </c>
      <c r="G1" s="22" t="inlineStr">
        <is>
          <t>الإجمالي (محسوب)</t>
        </is>
      </c>
      <c r="H1" s="22" t="inlineStr">
        <is>
          <t>السند المقابل بالنظام</t>
        </is>
      </c>
      <c r="I1" s="22" t="inlineStr">
        <is>
          <t>كمية النظام لنفس السند</t>
        </is>
      </c>
      <c r="J1" s="22" t="inlineStr">
        <is>
          <t>الحالة</t>
        </is>
      </c>
      <c r="K1" s="22" t="inlineStr">
        <is>
          <t>الملاحظة</t>
        </is>
      </c>
    </row>
    <row r="2">
      <c r="A2" s="18" t="n">
        <v>6</v>
      </c>
      <c r="B2" s="98" t="n">
        <v>45906</v>
      </c>
      <c r="C2" s="18" t="inlineStr">
        <is>
          <t>RNP-2113</t>
        </is>
      </c>
      <c r="D2" s="18" t="inlineStr">
        <is>
          <t>مارى جولد</t>
        </is>
      </c>
      <c r="E2" s="18" t="n">
        <v>10000</v>
      </c>
      <c r="F2" s="18" t="n">
        <v>0.5</v>
      </c>
      <c r="G2" s="19">
        <f>E2*F2</f>
        <v/>
      </c>
      <c r="H2" s="18" t="inlineStr">
        <is>
          <t>RNP-2113</t>
        </is>
      </c>
      <c r="I2" s="18" t="n">
        <v>0</v>
      </c>
      <c r="J2" s="18" t="inlineStr">
        <is>
          <t>بدون تفصيل بالنظام</t>
        </is>
      </c>
      <c r="K2" s="18" t="n"/>
    </row>
    <row r="3">
      <c r="A3" s="18" t="n">
        <v>7</v>
      </c>
      <c r="B3" s="98" t="n">
        <v>45926</v>
      </c>
      <c r="C3" s="18" t="inlineStr">
        <is>
          <t>RNP-2293</t>
        </is>
      </c>
      <c r="D3" s="18" t="inlineStr">
        <is>
          <t>زهور بيتونيا</t>
        </is>
      </c>
      <c r="E3" s="18" t="n">
        <v>6500</v>
      </c>
      <c r="F3" s="18" t="n">
        <v>0.5</v>
      </c>
      <c r="G3" s="19">
        <f>E3*F3</f>
        <v/>
      </c>
      <c r="H3" s="18" t="inlineStr">
        <is>
          <t>RNP-2293</t>
        </is>
      </c>
      <c r="I3" s="18" t="n">
        <v>0</v>
      </c>
      <c r="J3" s="18" t="inlineStr">
        <is>
          <t>بدون تفصيل بالنظام</t>
        </is>
      </c>
      <c r="K3" s="18" t="n"/>
    </row>
    <row r="4">
      <c r="A4" s="18" t="n">
        <v>8</v>
      </c>
      <c r="B4" s="98" t="n">
        <v>45926</v>
      </c>
      <c r="C4" s="18" t="inlineStr">
        <is>
          <t>RNP-2293</t>
        </is>
      </c>
      <c r="D4" s="18" t="inlineStr">
        <is>
          <t>زهور جيرانيوم مركن 12</t>
        </is>
      </c>
      <c r="E4" s="18" t="n">
        <v>500</v>
      </c>
      <c r="F4" s="18" t="n">
        <v>3.75</v>
      </c>
      <c r="G4" s="19">
        <f>E4*F4</f>
        <v/>
      </c>
      <c r="H4" s="18" t="inlineStr">
        <is>
          <t>RNP-2293</t>
        </is>
      </c>
      <c r="I4" s="18" t="n"/>
      <c r="J4" s="18" t="inlineStr">
        <is>
          <t>بدون تفصيل بالنظام</t>
        </is>
      </c>
      <c r="K4" s="18" t="n"/>
    </row>
    <row r="5">
      <c r="A5" s="18" t="n">
        <v>9</v>
      </c>
      <c r="B5" s="98" t="n">
        <v>45926</v>
      </c>
      <c r="C5" s="18" t="inlineStr">
        <is>
          <t>RNP-2293</t>
        </is>
      </c>
      <c r="D5" s="18" t="inlineStr">
        <is>
          <t>زهور ماري جولد فرنسى</t>
        </is>
      </c>
      <c r="E5" s="18" t="n">
        <v>250</v>
      </c>
      <c r="F5" s="18" t="n">
        <v>0.5</v>
      </c>
      <c r="G5" s="19">
        <f>E5*F5</f>
        <v/>
      </c>
      <c r="H5" s="18" t="inlineStr">
        <is>
          <t>RNP-2293</t>
        </is>
      </c>
      <c r="I5" s="18" t="n"/>
      <c r="J5" s="18" t="inlineStr">
        <is>
          <t>بدون تفصيل بالنظام</t>
        </is>
      </c>
      <c r="K5" s="18" t="n"/>
    </row>
    <row r="6">
      <c r="A6" s="18" t="n">
        <v>10</v>
      </c>
      <c r="B6" s="98" t="n">
        <v>45926</v>
      </c>
      <c r="C6" s="18" t="inlineStr">
        <is>
          <t>RNP-2367</t>
        </is>
      </c>
      <c r="D6" s="18" t="inlineStr">
        <is>
          <t>حجر اصفر مطفى</t>
        </is>
      </c>
      <c r="E6" s="18" t="n">
        <v>1</v>
      </c>
      <c r="F6" s="18" t="n">
        <v>10.5</v>
      </c>
      <c r="G6" s="19">
        <f>E6*F6</f>
        <v/>
      </c>
      <c r="H6" s="18" t="inlineStr">
        <is>
          <t>RNP-2367</t>
        </is>
      </c>
      <c r="I6" s="18" t="n">
        <v>0</v>
      </c>
      <c r="J6" s="18" t="inlineStr">
        <is>
          <t>بدون تفصيل بالنظام</t>
        </is>
      </c>
      <c r="K6" s="18" t="n"/>
    </row>
    <row r="7">
      <c r="A7" s="18" t="n">
        <v>11</v>
      </c>
      <c r="B7" s="98" t="n">
        <v>45937</v>
      </c>
      <c r="C7" s="18" t="inlineStr">
        <is>
          <t>RNP-2395</t>
        </is>
      </c>
      <c r="D7" s="18" t="inlineStr">
        <is>
          <t>سكندابسس مركن 19 علاقي</t>
        </is>
      </c>
      <c r="E7" s="18" t="n">
        <v>2000</v>
      </c>
      <c r="F7" s="18" t="n">
        <v>10</v>
      </c>
      <c r="G7" s="19">
        <f>E7*F7</f>
        <v/>
      </c>
      <c r="H7" s="18" t="inlineStr">
        <is>
          <t>RNT-2395</t>
        </is>
      </c>
      <c r="I7" s="18" t="n">
        <v>0</v>
      </c>
      <c r="J7" s="18" t="inlineStr">
        <is>
          <t>بدون تفصيل بالنظام</t>
        </is>
      </c>
      <c r="K7" s="18" t="inlineStr">
        <is>
          <t>رقمه بالنظام RNT-2395 (8-10-2025) – بدون تفصيل بنود بالنظام (قيمته 34,535.65 شاملة الضريبة)</t>
        </is>
      </c>
    </row>
    <row r="8">
      <c r="A8" s="18" t="n">
        <v>12</v>
      </c>
      <c r="B8" s="98" t="n">
        <v>45937</v>
      </c>
      <c r="C8" s="18" t="inlineStr">
        <is>
          <t>RNP-2395</t>
        </is>
      </c>
      <c r="D8" s="18" t="inlineStr">
        <is>
          <t>هيدرا علاقي مركن 19</t>
        </is>
      </c>
      <c r="E8" s="18" t="n">
        <v>188</v>
      </c>
      <c r="F8" s="18" t="n">
        <v>10</v>
      </c>
      <c r="G8" s="19">
        <f>E8*F8</f>
        <v/>
      </c>
      <c r="H8" s="18" t="inlineStr">
        <is>
          <t>RNT-2395</t>
        </is>
      </c>
      <c r="I8" s="18" t="n"/>
      <c r="J8" s="18" t="inlineStr">
        <is>
          <t>بدون تفصيل بالنظام</t>
        </is>
      </c>
      <c r="K8" s="18" t="n"/>
    </row>
    <row r="9">
      <c r="A9" s="18" t="n">
        <v>13</v>
      </c>
      <c r="B9" s="98" t="n">
        <v>45937</v>
      </c>
      <c r="C9" s="18" t="inlineStr">
        <is>
          <t>RNP-2395</t>
        </is>
      </c>
      <c r="D9" s="18" t="inlineStr">
        <is>
          <t>اقحوان افريقى مركن 12</t>
        </is>
      </c>
      <c r="E9" s="18" t="n">
        <v>2010</v>
      </c>
      <c r="F9" s="18" t="n">
        <v>3.25</v>
      </c>
      <c r="G9" s="19">
        <f>E9*F9</f>
        <v/>
      </c>
      <c r="H9" s="18" t="inlineStr">
        <is>
          <t>RNT-2395</t>
        </is>
      </c>
      <c r="I9" s="18" t="n"/>
      <c r="J9" s="18" t="inlineStr">
        <is>
          <t>بدون تفصيل بالنظام</t>
        </is>
      </c>
      <c r="K9" s="18" t="n"/>
    </row>
    <row r="10">
      <c r="A10" s="18" t="n">
        <v>14</v>
      </c>
      <c r="B10" s="98" t="n">
        <v>45937</v>
      </c>
      <c r="C10" s="18" t="inlineStr">
        <is>
          <t>RNP-2395</t>
        </is>
      </c>
      <c r="D10" s="18" t="inlineStr">
        <is>
          <t xml:space="preserve">هيبوستس </t>
        </is>
      </c>
      <c r="E10" s="18" t="n">
        <v>1500</v>
      </c>
      <c r="F10" s="18" t="n">
        <v>2.5</v>
      </c>
      <c r="G10" s="19">
        <f>E10*F10</f>
        <v/>
      </c>
      <c r="H10" s="18" t="inlineStr">
        <is>
          <t>RNT-2395</t>
        </is>
      </c>
      <c r="I10" s="18" t="n"/>
      <c r="J10" s="18" t="inlineStr">
        <is>
          <t>بدون تفصيل بالنظام</t>
        </is>
      </c>
      <c r="K10" s="18" t="n"/>
    </row>
    <row r="11">
      <c r="A11" s="18" t="n">
        <v>15</v>
      </c>
      <c r="B11" s="98" t="n">
        <v>45937</v>
      </c>
      <c r="C11" s="18" t="inlineStr">
        <is>
          <t>RNP-2395</t>
        </is>
      </c>
      <c r="D11" s="18" t="inlineStr">
        <is>
          <t>زهور جيرانيوم مركن 12</t>
        </is>
      </c>
      <c r="E11" s="18" t="n">
        <v>1005</v>
      </c>
      <c r="F11" s="18" t="n">
        <v>3.75</v>
      </c>
      <c r="G11" s="19">
        <f>E11*F11</f>
        <v/>
      </c>
      <c r="H11" s="18" t="inlineStr">
        <is>
          <t>RNT-2395</t>
        </is>
      </c>
      <c r="I11" s="18" t="n"/>
      <c r="J11" s="18" t="inlineStr">
        <is>
          <t>بدون تفصيل بالنظام</t>
        </is>
      </c>
      <c r="K11" s="18" t="n"/>
    </row>
    <row r="12">
      <c r="A12" s="18" t="n">
        <v>16</v>
      </c>
      <c r="B12" s="98" t="n">
        <v>45937</v>
      </c>
      <c r="C12" s="18" t="inlineStr">
        <is>
          <t>RNP-2395</t>
        </is>
      </c>
      <c r="D12" s="18" t="inlineStr">
        <is>
          <t>زهور جيرانيوم مركن 9</t>
        </is>
      </c>
      <c r="E12" s="18" t="n">
        <v>1000</v>
      </c>
      <c r="F12" s="18" t="n">
        <v>1.5</v>
      </c>
      <c r="G12" s="19">
        <f>E12*F12</f>
        <v/>
      </c>
      <c r="H12" s="18" t="inlineStr">
        <is>
          <t>RNT-2395</t>
        </is>
      </c>
      <c r="I12" s="18" t="n"/>
      <c r="J12" s="18" t="inlineStr">
        <is>
          <t>بدون تفصيل بالنظام</t>
        </is>
      </c>
      <c r="K12" s="18" t="n"/>
    </row>
    <row r="13">
      <c r="A13" s="18" t="n">
        <v>17</v>
      </c>
      <c r="B13" s="98" t="n">
        <v>45937</v>
      </c>
      <c r="C13" s="18" t="inlineStr">
        <is>
          <t>RNP-2395</t>
        </is>
      </c>
      <c r="D13" s="18" t="inlineStr">
        <is>
          <t>جهنميه تايلاندى مركن 25</t>
        </is>
      </c>
      <c r="E13" s="18" t="n">
        <v>10</v>
      </c>
      <c r="F13" s="18" t="n">
        <v>250</v>
      </c>
      <c r="G13" s="19">
        <f>E13*F13</f>
        <v/>
      </c>
      <c r="H13" s="18" t="inlineStr">
        <is>
          <t>RNT-2395</t>
        </is>
      </c>
      <c r="I13" s="18" t="n"/>
      <c r="J13" s="18" t="inlineStr">
        <is>
          <t>بدون تفصيل بالنظام</t>
        </is>
      </c>
      <c r="K13" s="18" t="n"/>
    </row>
    <row r="14">
      <c r="A14" s="18" t="n">
        <v>18</v>
      </c>
      <c r="B14" s="98" t="n">
        <v>45937</v>
      </c>
      <c r="C14" s="18" t="inlineStr">
        <is>
          <t>RNP-2395</t>
        </is>
      </c>
      <c r="D14" s="18" t="inlineStr">
        <is>
          <t>تراديسكانتيا مركن 19 علاقي</t>
        </is>
      </c>
      <c r="E14" s="18" t="n">
        <v>220</v>
      </c>
      <c r="F14" s="18" t="n">
        <v>10</v>
      </c>
      <c r="G14" s="19">
        <f>E14*F14</f>
        <v/>
      </c>
      <c r="H14" s="18" t="inlineStr">
        <is>
          <t>RNT-2395</t>
        </is>
      </c>
      <c r="I14" s="18" t="n"/>
      <c r="J14" s="18" t="inlineStr">
        <is>
          <t>بدون تفصيل بالنظام</t>
        </is>
      </c>
      <c r="K14" s="18" t="n"/>
    </row>
    <row r="15">
      <c r="A15" s="18" t="n">
        <v>19</v>
      </c>
      <c r="B15" s="98" t="n">
        <v>45947</v>
      </c>
      <c r="C15" s="18" t="inlineStr">
        <is>
          <t>RNP-2512</t>
        </is>
      </c>
      <c r="D15" s="18" t="inlineStr">
        <is>
          <t>زهور ماري جولد</t>
        </is>
      </c>
      <c r="E15" s="18" t="n">
        <v>1100</v>
      </c>
      <c r="F15" s="18" t="n">
        <v>0.5</v>
      </c>
      <c r="G15" s="19">
        <f>E15*F15</f>
        <v/>
      </c>
      <c r="H15" s="18" t="inlineStr">
        <is>
          <t>RNP-2512</t>
        </is>
      </c>
      <c r="I15" s="18" t="n">
        <v>0</v>
      </c>
      <c r="J15" s="18" t="inlineStr">
        <is>
          <t>بدون تفصيل بالنظام</t>
        </is>
      </c>
      <c r="K15" s="18" t="n"/>
    </row>
    <row r="16">
      <c r="A16" s="18" t="n">
        <v>20</v>
      </c>
      <c r="B16" s="98" t="n">
        <v>45947</v>
      </c>
      <c r="C16" s="18" t="inlineStr">
        <is>
          <t>RNP-2512</t>
        </is>
      </c>
      <c r="D16" s="18" t="inlineStr">
        <is>
          <t>زهور بيتونيا</t>
        </is>
      </c>
      <c r="E16" s="18" t="n">
        <v>3600</v>
      </c>
      <c r="F16" s="18" t="n">
        <v>0.5</v>
      </c>
      <c r="G16" s="19">
        <f>E16*F16</f>
        <v/>
      </c>
      <c r="H16" s="18" t="inlineStr">
        <is>
          <t>RNP-2512</t>
        </is>
      </c>
      <c r="I16" s="18" t="n"/>
      <c r="J16" s="18" t="inlineStr">
        <is>
          <t>بدون تفصيل بالنظام</t>
        </is>
      </c>
      <c r="K16" s="18" t="n"/>
    </row>
    <row r="17">
      <c r="A17" s="18" t="n">
        <v>21</v>
      </c>
      <c r="B17" s="98" t="n">
        <v>45947</v>
      </c>
      <c r="C17" s="18" t="inlineStr">
        <is>
          <t>RNP-2512</t>
        </is>
      </c>
      <c r="D17" s="18" t="inlineStr">
        <is>
          <t>بوتنج سويل 70 لتر</t>
        </is>
      </c>
      <c r="E17" s="18" t="n">
        <v>10</v>
      </c>
      <c r="F17" s="18" t="n">
        <v>46</v>
      </c>
      <c r="G17" s="19">
        <f>E17*F17</f>
        <v/>
      </c>
      <c r="H17" s="18" t="inlineStr">
        <is>
          <t>RNP-2512</t>
        </is>
      </c>
      <c r="I17" s="18" t="n"/>
      <c r="J17" s="18" t="inlineStr">
        <is>
          <t>بدون تفصيل بالنظام</t>
        </is>
      </c>
      <c r="K17" s="18" t="n"/>
    </row>
    <row r="18">
      <c r="A18" s="18" t="n">
        <v>22</v>
      </c>
      <c r="B18" s="98" t="n">
        <v>45954</v>
      </c>
      <c r="C18" s="18" t="inlineStr">
        <is>
          <t>RNP-2608</t>
        </is>
      </c>
      <c r="D18" s="18" t="inlineStr">
        <is>
          <t>زهور بيتونيا</t>
        </is>
      </c>
      <c r="E18" s="18" t="n">
        <v>20000</v>
      </c>
      <c r="F18" s="18" t="n">
        <v>0.5</v>
      </c>
      <c r="G18" s="19">
        <f>E18*F18</f>
        <v/>
      </c>
      <c r="H18" s="18" t="inlineStr">
        <is>
          <t>RNP-2608</t>
        </is>
      </c>
      <c r="I18" s="18" t="n">
        <v>0</v>
      </c>
      <c r="J18" s="18" t="inlineStr">
        <is>
          <t>بدون تفصيل بالنظام</t>
        </is>
      </c>
      <c r="K18" s="18" t="n"/>
    </row>
    <row r="19">
      <c r="A19" s="18" t="n">
        <v>23</v>
      </c>
      <c r="B19" s="98" t="n">
        <v>45962</v>
      </c>
      <c r="C19" s="18" t="inlineStr">
        <is>
          <t>RNP-2704</t>
        </is>
      </c>
      <c r="D19" s="18" t="inlineStr">
        <is>
          <t>زهور اقحوان افريقي مركن 12</t>
        </is>
      </c>
      <c r="E19" s="18" t="n">
        <v>750</v>
      </c>
      <c r="F19" s="18" t="n">
        <v>3.25</v>
      </c>
      <c r="G19" s="19">
        <f>E19*F19</f>
        <v/>
      </c>
      <c r="H19" s="18" t="inlineStr">
        <is>
          <t>RNP-2704</t>
        </is>
      </c>
      <c r="I19" s="18" t="n">
        <v>0</v>
      </c>
      <c r="J19" s="18" t="inlineStr">
        <is>
          <t>بدون تفصيل بالنظام</t>
        </is>
      </c>
      <c r="K19" s="18" t="n"/>
    </row>
    <row r="20">
      <c r="A20" s="18" t="n">
        <v>24</v>
      </c>
      <c r="B20" s="98" t="n">
        <v>45962</v>
      </c>
      <c r="C20" s="18" t="inlineStr">
        <is>
          <t>RNP-2704</t>
        </is>
      </c>
      <c r="D20" s="18" t="inlineStr">
        <is>
          <t>زهور قرنفل صيني</t>
        </is>
      </c>
      <c r="E20" s="18" t="n">
        <v>250</v>
      </c>
      <c r="F20" s="18" t="n">
        <v>0.5</v>
      </c>
      <c r="G20" s="19">
        <f>E20*F20</f>
        <v/>
      </c>
      <c r="H20" s="18" t="inlineStr">
        <is>
          <t>RNP-2704</t>
        </is>
      </c>
      <c r="I20" s="18" t="n"/>
      <c r="J20" s="18" t="inlineStr">
        <is>
          <t>بدون تفصيل بالنظام</t>
        </is>
      </c>
      <c r="K20" s="18" t="n"/>
    </row>
    <row r="21">
      <c r="A21" s="18" t="n">
        <v>25</v>
      </c>
      <c r="B21" s="98" t="n">
        <v>45962</v>
      </c>
      <c r="C21" s="18" t="inlineStr">
        <is>
          <t>RNP-2704</t>
        </is>
      </c>
      <c r="D21" s="18" t="inlineStr">
        <is>
          <t>لانتانا لبناني صغير</t>
        </is>
      </c>
      <c r="E21" s="18" t="n">
        <v>40</v>
      </c>
      <c r="F21" s="18" t="n">
        <v>2.5</v>
      </c>
      <c r="G21" s="19">
        <f>E21*F21</f>
        <v/>
      </c>
      <c r="H21" s="18" t="inlineStr">
        <is>
          <t>RNP-2704</t>
        </is>
      </c>
      <c r="I21" s="18" t="n"/>
      <c r="J21" s="18" t="inlineStr">
        <is>
          <t>بدون تفصيل بالنظام</t>
        </is>
      </c>
      <c r="K21" s="18" t="n"/>
    </row>
    <row r="22">
      <c r="A22" s="18" t="n">
        <v>26</v>
      </c>
      <c r="B22" s="98" t="n">
        <v>45962</v>
      </c>
      <c r="C22" s="18" t="inlineStr">
        <is>
          <t>RNP-2704</t>
        </is>
      </c>
      <c r="D22" s="18" t="inlineStr">
        <is>
          <t>بانستيم اخضر</t>
        </is>
      </c>
      <c r="E22" s="18" t="n">
        <v>150</v>
      </c>
      <c r="F22" s="18" t="n">
        <v>2.5</v>
      </c>
      <c r="G22" s="19">
        <f>E22*F22</f>
        <v/>
      </c>
      <c r="H22" s="18" t="inlineStr">
        <is>
          <t>RNP-2704</t>
        </is>
      </c>
      <c r="I22" s="18" t="n"/>
      <c r="J22" s="18" t="inlineStr">
        <is>
          <t>بدون تفصيل بالنظام</t>
        </is>
      </c>
      <c r="K22" s="18" t="n"/>
    </row>
    <row r="23">
      <c r="A23" s="18" t="n">
        <v>27</v>
      </c>
      <c r="B23" s="98" t="n">
        <v>45964</v>
      </c>
      <c r="C23" s="18" t="inlineStr">
        <is>
          <t>RNP-2748</t>
        </is>
      </c>
      <c r="D23" s="18" t="inlineStr">
        <is>
          <t>زهور جيرانيوم مركن 9</t>
        </is>
      </c>
      <c r="E23" s="18" t="n">
        <v>625</v>
      </c>
      <c r="F23" s="18" t="n">
        <v>1.5</v>
      </c>
      <c r="G23" s="19">
        <f>E23*F23</f>
        <v/>
      </c>
      <c r="H23" s="18" t="inlineStr">
        <is>
          <t>RNP-2748</t>
        </is>
      </c>
      <c r="I23" s="18" t="n">
        <v>0</v>
      </c>
      <c r="J23" s="18" t="inlineStr">
        <is>
          <t>بدون تفصيل بالنظام</t>
        </is>
      </c>
      <c r="K23" s="18" t="n"/>
    </row>
    <row r="24">
      <c r="A24" s="18" t="n">
        <v>28</v>
      </c>
      <c r="B24" s="98" t="n">
        <v>45969</v>
      </c>
      <c r="C24" s="18" t="inlineStr">
        <is>
          <t>RNP-2805</t>
        </is>
      </c>
      <c r="D24" s="18" t="inlineStr">
        <is>
          <t>زهور جيرانيوم مركن 9</t>
        </is>
      </c>
      <c r="E24" s="18" t="n">
        <v>30000</v>
      </c>
      <c r="F24" s="18" t="n">
        <v>1.5</v>
      </c>
      <c r="G24" s="19">
        <f>E24*F24</f>
        <v/>
      </c>
      <c r="H24" s="18" t="inlineStr">
        <is>
          <t>RNP-2805</t>
        </is>
      </c>
      <c r="I24" s="18" t="n">
        <v>0</v>
      </c>
      <c r="J24" s="18" t="inlineStr">
        <is>
          <t>بدون تفصيل بالنظام</t>
        </is>
      </c>
      <c r="K24" s="18" t="n"/>
    </row>
    <row r="25">
      <c r="A25" s="18" t="n">
        <v>29</v>
      </c>
      <c r="B25" s="98" t="n">
        <v>45969</v>
      </c>
      <c r="C25" s="18" t="inlineStr">
        <is>
          <t>RNP-2805</t>
        </is>
      </c>
      <c r="D25" s="18" t="inlineStr">
        <is>
          <t xml:space="preserve">زهور هيبوستس </t>
        </is>
      </c>
      <c r="E25" s="18" t="n">
        <v>1000</v>
      </c>
      <c r="F25" s="18" t="n">
        <v>0.55</v>
      </c>
      <c r="G25" s="19">
        <f>E25*F25</f>
        <v/>
      </c>
      <c r="H25" s="18" t="inlineStr">
        <is>
          <t>RNP-2805</t>
        </is>
      </c>
      <c r="I25" s="18" t="n"/>
      <c r="J25" s="18" t="inlineStr">
        <is>
          <t>بدون تفصيل بالنظام</t>
        </is>
      </c>
      <c r="K25" s="18" t="n"/>
    </row>
    <row r="26">
      <c r="A26" s="18" t="n">
        <v>30</v>
      </c>
      <c r="B26" s="98" t="n">
        <v>45999</v>
      </c>
      <c r="C26" s="18" t="inlineStr">
        <is>
          <t>RNP-3160</t>
        </is>
      </c>
      <c r="D26" s="18" t="inlineStr">
        <is>
          <t>كمبوست 10 ك</t>
        </is>
      </c>
      <c r="E26" s="18" t="n">
        <v>19</v>
      </c>
      <c r="F26" s="18" t="n">
        <v>2</v>
      </c>
      <c r="G26" s="19">
        <f>E26*F26</f>
        <v/>
      </c>
      <c r="H26" s="18" t="inlineStr">
        <is>
          <t>RNP-3160</t>
        </is>
      </c>
      <c r="I26" s="18" t="n">
        <v>0</v>
      </c>
      <c r="J26" s="18" t="inlineStr">
        <is>
          <t>بدون تفصيل بالنظام</t>
        </is>
      </c>
      <c r="K26" s="18" t="n"/>
    </row>
    <row r="27">
      <c r="A27" s="18" t="n">
        <v>31</v>
      </c>
      <c r="B27" s="98" t="n">
        <v>45999</v>
      </c>
      <c r="C27" s="18" t="inlineStr">
        <is>
          <t>RNP-3165</t>
        </is>
      </c>
      <c r="D27" s="18" t="inlineStr">
        <is>
          <t>زهور اليسوم</t>
        </is>
      </c>
      <c r="E27" s="18" t="n">
        <v>175</v>
      </c>
      <c r="F27" s="18" t="n">
        <v>0.5</v>
      </c>
      <c r="G27" s="19">
        <f>E27*F27</f>
        <v/>
      </c>
      <c r="H27" s="18" t="inlineStr">
        <is>
          <t>RNP-3165</t>
        </is>
      </c>
      <c r="I27" s="18" t="n">
        <v>0</v>
      </c>
      <c r="J27" s="18" t="inlineStr">
        <is>
          <t>بدون تفصيل بالنظام</t>
        </is>
      </c>
      <c r="K27" s="18" t="n"/>
    </row>
    <row r="28">
      <c r="A28" s="18" t="n">
        <v>32</v>
      </c>
      <c r="B28" s="98" t="n">
        <v>46011</v>
      </c>
      <c r="C28" s="18" t="inlineStr">
        <is>
          <t>RNP-3276</t>
        </is>
      </c>
      <c r="D28" s="18" t="inlineStr">
        <is>
          <t>زهور ماري جولد</t>
        </is>
      </c>
      <c r="E28" s="18" t="n">
        <v>1500</v>
      </c>
      <c r="F28" s="18" t="n">
        <v>0.5</v>
      </c>
      <c r="G28" s="19">
        <f>E28*F28</f>
        <v/>
      </c>
      <c r="H28" s="18" t="inlineStr">
        <is>
          <t>RNP-3276</t>
        </is>
      </c>
      <c r="I28" s="18" t="n">
        <v>0</v>
      </c>
      <c r="J28" s="18" t="inlineStr">
        <is>
          <t>بدون تفصيل بالنظام</t>
        </is>
      </c>
      <c r="K28" s="18" t="n"/>
    </row>
    <row r="29">
      <c r="A29" s="18" t="n">
        <v>33</v>
      </c>
      <c r="B29" s="98" t="n">
        <v>46011</v>
      </c>
      <c r="C29" s="18" t="inlineStr">
        <is>
          <t>RNP-3276</t>
        </is>
      </c>
      <c r="D29" s="18" t="inlineStr">
        <is>
          <t>زهور بيتونيا</t>
        </is>
      </c>
      <c r="E29" s="18" t="n">
        <v>5885</v>
      </c>
      <c r="F29" s="18" t="n">
        <v>0.5</v>
      </c>
      <c r="G29" s="19">
        <f>E29*F29</f>
        <v/>
      </c>
      <c r="H29" s="18" t="inlineStr">
        <is>
          <t>RNP-3276</t>
        </is>
      </c>
      <c r="I29" s="18" t="n"/>
      <c r="J29" s="18" t="inlineStr">
        <is>
          <t>بدون تفصيل بالنظام</t>
        </is>
      </c>
      <c r="K29" s="18" t="n"/>
    </row>
    <row r="30">
      <c r="A30" s="18" t="n">
        <v>34</v>
      </c>
      <c r="B30" s="98" t="n">
        <v>46011</v>
      </c>
      <c r="C30" s="18" t="inlineStr">
        <is>
          <t>RNP-3276</t>
        </is>
      </c>
      <c r="D30" s="18" t="inlineStr">
        <is>
          <t>اكاسيا جلوكا من 1 - 2 متر</t>
        </is>
      </c>
      <c r="E30" s="18" t="n">
        <v>16</v>
      </c>
      <c r="F30" s="18" t="n">
        <v>25</v>
      </c>
      <c r="G30" s="19">
        <f>E30*F30</f>
        <v/>
      </c>
      <c r="H30" s="18" t="inlineStr">
        <is>
          <t>RNP-3276</t>
        </is>
      </c>
      <c r="I30" s="18" t="n"/>
      <c r="J30" s="18" t="inlineStr">
        <is>
          <t>بدون تفصيل بالنظام</t>
        </is>
      </c>
      <c r="K30" s="18" t="n"/>
    </row>
    <row r="31">
      <c r="A31" s="25" t="n">
        <v>35</v>
      </c>
      <c r="B31" s="96" t="n">
        <v>46026</v>
      </c>
      <c r="C31" s="25" t="inlineStr">
        <is>
          <t>RNP-3432</t>
        </is>
      </c>
      <c r="D31" s="25" t="inlineStr">
        <is>
          <t>جيرانيوم مركن 12</t>
        </is>
      </c>
      <c r="E31" s="25" t="n">
        <v>17900</v>
      </c>
      <c r="F31" s="25" t="n">
        <v>3</v>
      </c>
      <c r="G31" s="27">
        <f>E31*F31</f>
        <v/>
      </c>
      <c r="H31" s="25" t="inlineStr">
        <is>
          <t>RNP-3432</t>
        </is>
      </c>
      <c r="I31" s="25" t="n">
        <v>19900</v>
      </c>
      <c r="J31" s="25" t="inlineStr">
        <is>
          <t>مطابق الكمية</t>
        </is>
      </c>
      <c r="K31" s="25" t="n"/>
    </row>
    <row r="32">
      <c r="A32" s="25" t="n">
        <v>36</v>
      </c>
      <c r="B32" s="96" t="n">
        <v>46026</v>
      </c>
      <c r="C32" s="25" t="inlineStr">
        <is>
          <t>RNP-3432</t>
        </is>
      </c>
      <c r="D32" s="25" t="inlineStr">
        <is>
          <t>زهور اليسوم</t>
        </is>
      </c>
      <c r="E32" s="25" t="n">
        <v>2000</v>
      </c>
      <c r="F32" s="25" t="n">
        <v>0.5</v>
      </c>
      <c r="G32" s="27">
        <f>E32*F32</f>
        <v/>
      </c>
      <c r="H32" s="25" t="inlineStr">
        <is>
          <t>RNP-3432</t>
        </is>
      </c>
      <c r="I32" s="25" t="n"/>
      <c r="J32" s="25" t="inlineStr">
        <is>
          <t>مطابق الكمية</t>
        </is>
      </c>
      <c r="K32" s="25" t="n"/>
    </row>
    <row r="33">
      <c r="A33" s="25" t="n">
        <v>37</v>
      </c>
      <c r="B33" s="96" t="n">
        <v>46026</v>
      </c>
      <c r="C33" s="25" t="inlineStr">
        <is>
          <t>RNP-3433</t>
        </is>
      </c>
      <c r="D33" s="25" t="inlineStr">
        <is>
          <t>زهور جيرانيوم مركن 9</t>
        </is>
      </c>
      <c r="E33" s="25" t="n">
        <v>1400</v>
      </c>
      <c r="F33" s="25" t="n">
        <v>1.5</v>
      </c>
      <c r="G33" s="27">
        <f>E33*F33</f>
        <v/>
      </c>
      <c r="H33" s="25" t="inlineStr">
        <is>
          <t>RNP-3433</t>
        </is>
      </c>
      <c r="I33" s="25" t="n">
        <v>5000</v>
      </c>
      <c r="J33" s="25" t="inlineStr">
        <is>
          <t>مطابق الكمية</t>
        </is>
      </c>
      <c r="K33" s="25" t="n"/>
    </row>
    <row r="34">
      <c r="A34" s="25" t="n">
        <v>38</v>
      </c>
      <c r="B34" s="96" t="n">
        <v>46026</v>
      </c>
      <c r="C34" s="25" t="inlineStr">
        <is>
          <t>RNP-3433</t>
        </is>
      </c>
      <c r="D34" s="25" t="inlineStr">
        <is>
          <t>زهور بيتونيا</t>
        </is>
      </c>
      <c r="E34" s="25" t="n">
        <v>1000</v>
      </c>
      <c r="F34" s="25" t="n">
        <v>0.5</v>
      </c>
      <c r="G34" s="27">
        <f>E34*F34</f>
        <v/>
      </c>
      <c r="H34" s="25" t="inlineStr">
        <is>
          <t>RNP-3433</t>
        </is>
      </c>
      <c r="I34" s="25" t="n"/>
      <c r="J34" s="25" t="inlineStr">
        <is>
          <t>مطابق الكمية</t>
        </is>
      </c>
      <c r="K34" s="25" t="n"/>
    </row>
    <row r="35">
      <c r="A35" s="25" t="n">
        <v>39</v>
      </c>
      <c r="B35" s="96" t="n">
        <v>46026</v>
      </c>
      <c r="C35" s="25" t="inlineStr">
        <is>
          <t>RNP-3433</t>
        </is>
      </c>
      <c r="D35" s="25" t="inlineStr">
        <is>
          <t>زهور ماري جولد</t>
        </is>
      </c>
      <c r="E35" s="25" t="n">
        <v>600</v>
      </c>
      <c r="F35" s="25" t="n">
        <v>0.5</v>
      </c>
      <c r="G35" s="27">
        <f>E35*F35</f>
        <v/>
      </c>
      <c r="H35" s="25" t="inlineStr">
        <is>
          <t>RNP-3433</t>
        </is>
      </c>
      <c r="I35" s="25" t="n"/>
      <c r="J35" s="25" t="inlineStr">
        <is>
          <t>مطابق الكمية</t>
        </is>
      </c>
      <c r="K35" s="25" t="n"/>
    </row>
    <row r="36">
      <c r="A36" s="25" t="n">
        <v>40</v>
      </c>
      <c r="B36" s="96" t="n">
        <v>46026</v>
      </c>
      <c r="C36" s="25" t="inlineStr">
        <is>
          <t>RNP-3433</t>
        </is>
      </c>
      <c r="D36" s="25" t="inlineStr">
        <is>
          <t>زهور اليسوم</t>
        </is>
      </c>
      <c r="E36" s="25" t="n">
        <v>2000</v>
      </c>
      <c r="F36" s="25" t="n">
        <v>0.5</v>
      </c>
      <c r="G36" s="27">
        <f>E36*F36</f>
        <v/>
      </c>
      <c r="H36" s="25" t="inlineStr">
        <is>
          <t>RNP-3433</t>
        </is>
      </c>
      <c r="I36" s="25" t="n"/>
      <c r="J36" s="25" t="inlineStr">
        <is>
          <t>مطابق الكمية</t>
        </is>
      </c>
      <c r="K36" s="25" t="n"/>
    </row>
    <row r="37">
      <c r="A37" s="25" t="n">
        <v>41</v>
      </c>
      <c r="B37" s="96" t="n">
        <v>46026</v>
      </c>
      <c r="C37" s="25" t="inlineStr">
        <is>
          <t>RNT-3434</t>
        </is>
      </c>
      <c r="D37" s="25" t="inlineStr">
        <is>
          <t>زهور ماري جولد</t>
        </is>
      </c>
      <c r="E37" s="25" t="n">
        <v>2000</v>
      </c>
      <c r="F37" s="25" t="n">
        <v>0.5</v>
      </c>
      <c r="G37" s="27">
        <f>E37*F37</f>
        <v/>
      </c>
      <c r="H37" s="25" t="inlineStr">
        <is>
          <t>RNT-3434</t>
        </is>
      </c>
      <c r="I37" s="25" t="n">
        <v>2000</v>
      </c>
      <c r="J37" s="25" t="inlineStr">
        <is>
          <t>مطابق الكمية</t>
        </is>
      </c>
      <c r="K37" s="25" t="n"/>
    </row>
    <row r="38">
      <c r="A38" s="25" t="n">
        <v>42</v>
      </c>
      <c r="B38" s="96" t="n">
        <v>46029</v>
      </c>
      <c r="C38" s="25" t="inlineStr">
        <is>
          <t>RNP-3491</t>
        </is>
      </c>
      <c r="D38" s="25" t="inlineStr">
        <is>
          <t>زهور بيتونيا</t>
        </is>
      </c>
      <c r="E38" s="25" t="n">
        <v>2200</v>
      </c>
      <c r="F38" s="25" t="n">
        <v>0.5</v>
      </c>
      <c r="G38" s="27">
        <f>E38*F38</f>
        <v/>
      </c>
      <c r="H38" s="25" t="inlineStr">
        <is>
          <t>RNP-3491</t>
        </is>
      </c>
      <c r="I38" s="25" t="n">
        <v>4100</v>
      </c>
      <c r="J38" s="25" t="inlineStr">
        <is>
          <t>مطابق الكمية</t>
        </is>
      </c>
      <c r="K38" s="25" t="n"/>
    </row>
    <row r="39">
      <c r="A39" s="25" t="n">
        <v>43</v>
      </c>
      <c r="B39" s="96" t="n">
        <v>46029</v>
      </c>
      <c r="C39" s="25" t="inlineStr">
        <is>
          <t>RNP-3491</t>
        </is>
      </c>
      <c r="D39" s="25" t="inlineStr">
        <is>
          <t>زهور اليسوم</t>
        </is>
      </c>
      <c r="E39" s="25" t="n">
        <v>700</v>
      </c>
      <c r="F39" s="25" t="n">
        <v>0.5</v>
      </c>
      <c r="G39" s="27">
        <f>E39*F39</f>
        <v/>
      </c>
      <c r="H39" s="25" t="inlineStr">
        <is>
          <t>RNP-3491</t>
        </is>
      </c>
      <c r="I39" s="25" t="n"/>
      <c r="J39" s="25" t="inlineStr">
        <is>
          <t>مطابق الكمية</t>
        </is>
      </c>
      <c r="K39" s="25" t="n"/>
    </row>
    <row r="40">
      <c r="A40" s="25" t="n">
        <v>44</v>
      </c>
      <c r="B40" s="96" t="n">
        <v>46029</v>
      </c>
      <c r="C40" s="25" t="inlineStr">
        <is>
          <t>RNP-3491</t>
        </is>
      </c>
      <c r="D40" s="25" t="inlineStr">
        <is>
          <t>دورانتا اخضر</t>
        </is>
      </c>
      <c r="E40" s="25" t="n">
        <v>1200</v>
      </c>
      <c r="F40" s="25" t="n">
        <v>2.5</v>
      </c>
      <c r="G40" s="27">
        <f>E40*F40</f>
        <v/>
      </c>
      <c r="H40" s="25" t="inlineStr">
        <is>
          <t>RNP-3491</t>
        </is>
      </c>
      <c r="I40" s="25" t="n"/>
      <c r="J40" s="25" t="inlineStr">
        <is>
          <t>مطابق الكمية</t>
        </is>
      </c>
      <c r="K40" s="25" t="n"/>
    </row>
    <row r="41">
      <c r="A41" s="25" t="n">
        <v>45</v>
      </c>
      <c r="B41" s="96" t="n">
        <v>46033</v>
      </c>
      <c r="C41" s="25" t="inlineStr">
        <is>
          <t>RNP-3520</t>
        </is>
      </c>
      <c r="D41" s="25" t="inlineStr">
        <is>
          <t>زهور بيتونيا</t>
        </is>
      </c>
      <c r="E41" s="25" t="n">
        <v>6000</v>
      </c>
      <c r="F41" s="25" t="n">
        <v>0.5</v>
      </c>
      <c r="G41" s="27">
        <f>E41*F41</f>
        <v/>
      </c>
      <c r="H41" s="25" t="inlineStr">
        <is>
          <t>RNP-3520</t>
        </is>
      </c>
      <c r="I41" s="25" t="n">
        <v>6000</v>
      </c>
      <c r="J41" s="25" t="inlineStr">
        <is>
          <t>مطابق الكمية</t>
        </is>
      </c>
      <c r="K41" s="25" t="n"/>
    </row>
    <row r="42">
      <c r="A42" s="18" t="n">
        <v>46</v>
      </c>
      <c r="B42" s="98" t="n">
        <v>46040</v>
      </c>
      <c r="C42" s="18" t="inlineStr">
        <is>
          <t>RNP-3586</t>
        </is>
      </c>
      <c r="D42" s="18" t="inlineStr">
        <is>
          <t>تيكوماريا</t>
        </is>
      </c>
      <c r="E42" s="18" t="n">
        <v>34</v>
      </c>
      <c r="F42" s="18" t="n">
        <v>2.5</v>
      </c>
      <c r="G42" s="19">
        <f>E42*F42</f>
        <v/>
      </c>
      <c r="H42" s="18" t="inlineStr">
        <is>
          <t>RNP-3586</t>
        </is>
      </c>
      <c r="I42" s="18" t="n">
        <v>0</v>
      </c>
      <c r="J42" s="18" t="inlineStr">
        <is>
          <t>بدون تفصيل بالنظام</t>
        </is>
      </c>
      <c r="K42" s="18" t="n"/>
    </row>
    <row r="43">
      <c r="A43" s="25" t="n">
        <v>47</v>
      </c>
      <c r="B43" s="96" t="n">
        <v>46042</v>
      </c>
      <c r="C43" s="25" t="inlineStr">
        <is>
          <t>RNT-3604</t>
        </is>
      </c>
      <c r="D43" s="25" t="inlineStr">
        <is>
          <t>تراديسكانتيا مركن 19 علاقي</t>
        </is>
      </c>
      <c r="E43" s="25" t="n">
        <v>270</v>
      </c>
      <c r="F43" s="25" t="n">
        <v>10</v>
      </c>
      <c r="G43" s="27">
        <f>E43*F43</f>
        <v/>
      </c>
      <c r="H43" s="25" t="inlineStr">
        <is>
          <t>RNT-3604</t>
        </is>
      </c>
      <c r="I43" s="25" t="n">
        <v>2770</v>
      </c>
      <c r="J43" s="25" t="inlineStr">
        <is>
          <t>مطابق الكمية</t>
        </is>
      </c>
      <c r="K43" s="25" t="n"/>
    </row>
    <row r="44">
      <c r="A44" s="25" t="n">
        <v>48</v>
      </c>
      <c r="B44" s="96" t="n">
        <v>46042</v>
      </c>
      <c r="C44" s="25" t="inlineStr">
        <is>
          <t>RNT-3604</t>
        </is>
      </c>
      <c r="D44" s="25" t="inlineStr">
        <is>
          <t>كلانشو هولندي مركن 12</t>
        </is>
      </c>
      <c r="E44" s="25" t="n">
        <v>1500</v>
      </c>
      <c r="F44" s="25" t="n">
        <v>4</v>
      </c>
      <c r="G44" s="27">
        <f>E44*F44</f>
        <v/>
      </c>
      <c r="H44" s="25" t="inlineStr">
        <is>
          <t>RNT-3604</t>
        </is>
      </c>
      <c r="I44" s="25" t="n"/>
      <c r="J44" s="25" t="inlineStr">
        <is>
          <t>مطابق الكمية</t>
        </is>
      </c>
      <c r="K44" s="25" t="n"/>
    </row>
    <row r="45">
      <c r="A45" s="25" t="n">
        <v>49</v>
      </c>
      <c r="B45" s="96" t="n">
        <v>46042</v>
      </c>
      <c r="C45" s="25" t="inlineStr">
        <is>
          <t>RNT-3604</t>
        </is>
      </c>
      <c r="D45" s="25" t="inlineStr">
        <is>
          <t>زهور قرنفل صيني</t>
        </is>
      </c>
      <c r="E45" s="25" t="n">
        <v>1000</v>
      </c>
      <c r="F45" s="25" t="n">
        <v>0.5</v>
      </c>
      <c r="G45" s="27">
        <f>E45*F45</f>
        <v/>
      </c>
      <c r="H45" s="25" t="inlineStr">
        <is>
          <t>RNT-3604</t>
        </is>
      </c>
      <c r="I45" s="25" t="n"/>
      <c r="J45" s="25" t="inlineStr">
        <is>
          <t>مطابق الكمية</t>
        </is>
      </c>
      <c r="K45" s="25" t="n"/>
    </row>
    <row r="46">
      <c r="A46" s="18" t="n">
        <v>50</v>
      </c>
      <c r="B46" s="98" t="n">
        <v>46042</v>
      </c>
      <c r="C46" s="18" t="inlineStr">
        <is>
          <t>RNP-3613</t>
        </is>
      </c>
      <c r="D46" s="18" t="inlineStr">
        <is>
          <t>جيرانيوم مركن 12</t>
        </is>
      </c>
      <c r="E46" s="18" t="n">
        <v>450</v>
      </c>
      <c r="F46" s="18" t="n">
        <v>3</v>
      </c>
      <c r="G46" s="19">
        <f>E46*F46</f>
        <v/>
      </c>
      <c r="H46" s="18" t="inlineStr">
        <is>
          <t>RNP-3613</t>
        </is>
      </c>
      <c r="I46" s="18" t="n">
        <v>0</v>
      </c>
      <c r="J46" s="18" t="inlineStr">
        <is>
          <t>بدون تفصيل بالنظام</t>
        </is>
      </c>
      <c r="K46" s="18" t="n"/>
    </row>
    <row r="47">
      <c r="A47" s="18" t="n">
        <v>51</v>
      </c>
      <c r="B47" s="98" t="n">
        <v>46042</v>
      </c>
      <c r="C47" s="18" t="inlineStr">
        <is>
          <t>RNP-3613</t>
        </is>
      </c>
      <c r="D47" s="18" t="inlineStr">
        <is>
          <t>نخيل سايكس 30 سم</t>
        </is>
      </c>
      <c r="E47" s="18" t="n">
        <v>4</v>
      </c>
      <c r="F47" s="18" t="n">
        <v>262.5</v>
      </c>
      <c r="G47" s="19">
        <f>E47*F47</f>
        <v/>
      </c>
      <c r="H47" s="18" t="inlineStr">
        <is>
          <t>RNP-3613</t>
        </is>
      </c>
      <c r="I47" s="18" t="n"/>
      <c r="J47" s="18" t="inlineStr">
        <is>
          <t>بدون تفصيل بالنظام</t>
        </is>
      </c>
      <c r="K47" s="18" t="n"/>
    </row>
    <row r="48">
      <c r="A48" s="18" t="n">
        <v>52</v>
      </c>
      <c r="B48" s="98" t="n">
        <v>46042</v>
      </c>
      <c r="C48" s="18" t="inlineStr">
        <is>
          <t>RNP-3613</t>
        </is>
      </c>
      <c r="D48" s="18" t="inlineStr">
        <is>
          <t>جهنمية بلدي 50 سم</t>
        </is>
      </c>
      <c r="E48" s="18" t="n">
        <v>30</v>
      </c>
      <c r="F48" s="18" t="n">
        <v>5</v>
      </c>
      <c r="G48" s="19">
        <f>E48*F48</f>
        <v/>
      </c>
      <c r="H48" s="18" t="inlineStr">
        <is>
          <t>RNP-3613</t>
        </is>
      </c>
      <c r="I48" s="18" t="n"/>
      <c r="J48" s="18" t="inlineStr">
        <is>
          <t>بدون تفصيل بالنظام</t>
        </is>
      </c>
      <c r="K48" s="18" t="n"/>
    </row>
    <row r="49">
      <c r="A49" s="25" t="n">
        <v>53</v>
      </c>
      <c r="B49" s="96" t="n">
        <v>46060</v>
      </c>
      <c r="C49" s="25" t="inlineStr">
        <is>
          <t>RNP-3767</t>
        </is>
      </c>
      <c r="D49" s="25" t="inlineStr">
        <is>
          <t>زهور اقحوان افريقي هولندي مركن 12</t>
        </is>
      </c>
      <c r="E49" s="25" t="n">
        <v>1785</v>
      </c>
      <c r="F49" s="25" t="n">
        <v>3.25</v>
      </c>
      <c r="G49" s="27">
        <f>E49*F49</f>
        <v/>
      </c>
      <c r="H49" s="25" t="inlineStr">
        <is>
          <t>RNP-3767</t>
        </is>
      </c>
      <c r="I49" s="25" t="n">
        <v>3785</v>
      </c>
      <c r="J49" s="25" t="inlineStr">
        <is>
          <t>مطابق الكمية</t>
        </is>
      </c>
      <c r="K49" s="25" t="n"/>
    </row>
    <row r="50">
      <c r="A50" s="25" t="n">
        <v>54</v>
      </c>
      <c r="B50" s="96" t="n">
        <v>46060</v>
      </c>
      <c r="C50" s="25" t="inlineStr">
        <is>
          <t>RNP-3767</t>
        </is>
      </c>
      <c r="D50" s="25" t="inlineStr">
        <is>
          <t>زهور ملفوف مركن 9</t>
        </is>
      </c>
      <c r="E50" s="25" t="n">
        <v>2000</v>
      </c>
      <c r="F50" s="25" t="n">
        <v>0.5</v>
      </c>
      <c r="G50" s="27">
        <f>E50*F50</f>
        <v/>
      </c>
      <c r="H50" s="25" t="inlineStr">
        <is>
          <t>RNP-3767</t>
        </is>
      </c>
      <c r="I50" s="25" t="n"/>
      <c r="J50" s="25" t="inlineStr">
        <is>
          <t>مطابق الكمية</t>
        </is>
      </c>
      <c r="K50" s="25" t="n"/>
    </row>
    <row r="51">
      <c r="A51" s="25" t="n">
        <v>55</v>
      </c>
      <c r="B51" s="96" t="n">
        <v>46064</v>
      </c>
      <c r="C51" s="25" t="inlineStr">
        <is>
          <t>RNT-3805</t>
        </is>
      </c>
      <c r="D51" s="25" t="inlineStr">
        <is>
          <t>زهور اقحوان افريقي هولندي مركن 12</t>
        </is>
      </c>
      <c r="E51" s="25" t="n">
        <v>90</v>
      </c>
      <c r="F51" s="25" t="n">
        <v>3.25</v>
      </c>
      <c r="G51" s="27">
        <f>E51*F51</f>
        <v/>
      </c>
      <c r="H51" s="25" t="inlineStr">
        <is>
          <t>RNT-3805</t>
        </is>
      </c>
      <c r="I51" s="25" t="n">
        <v>708</v>
      </c>
      <c r="J51" s="25" t="inlineStr">
        <is>
          <t>مطابق الكمية</t>
        </is>
      </c>
      <c r="K51" s="25" t="n"/>
    </row>
    <row r="52">
      <c r="A52" s="25" t="n">
        <v>56</v>
      </c>
      <c r="B52" s="96" t="n">
        <v>46064</v>
      </c>
      <c r="C52" s="25" t="inlineStr">
        <is>
          <t>RNT-3805</t>
        </is>
      </c>
      <c r="D52" s="25" t="inlineStr">
        <is>
          <t>زهور اقحوان افريقي مركن 9</t>
        </is>
      </c>
      <c r="E52" s="25" t="n">
        <v>150</v>
      </c>
      <c r="F52" s="25" t="n">
        <v>1.5</v>
      </c>
      <c r="G52" s="27">
        <f>E52*F52</f>
        <v/>
      </c>
      <c r="H52" s="25" t="inlineStr">
        <is>
          <t>RNT-3805</t>
        </is>
      </c>
      <c r="I52" s="25" t="n"/>
      <c r="J52" s="25" t="inlineStr">
        <is>
          <t>مطابق الكمية</t>
        </is>
      </c>
      <c r="K52" s="25" t="n"/>
    </row>
    <row r="53">
      <c r="A53" s="25" t="n">
        <v>57</v>
      </c>
      <c r="B53" s="96" t="n">
        <v>46064</v>
      </c>
      <c r="C53" s="25" t="inlineStr">
        <is>
          <t>RNT-3805</t>
        </is>
      </c>
      <c r="D53" s="25" t="inlineStr">
        <is>
          <t>زهور منثور مركن 9</t>
        </is>
      </c>
      <c r="E53" s="25" t="n">
        <v>150</v>
      </c>
      <c r="F53" s="25" t="n">
        <v>0.5</v>
      </c>
      <c r="G53" s="27">
        <f>E53*F53</f>
        <v/>
      </c>
      <c r="H53" s="25" t="inlineStr">
        <is>
          <t>RNT-3805</t>
        </is>
      </c>
      <c r="I53" s="25" t="n"/>
      <c r="J53" s="25" t="inlineStr">
        <is>
          <t>مطابق الكمية</t>
        </is>
      </c>
      <c r="K53" s="25" t="n"/>
    </row>
    <row r="54">
      <c r="A54" s="25" t="n">
        <v>58</v>
      </c>
      <c r="B54" s="96" t="n">
        <v>46064</v>
      </c>
      <c r="C54" s="25" t="inlineStr">
        <is>
          <t>RNT-3805</t>
        </is>
      </c>
      <c r="D54" s="25" t="inlineStr">
        <is>
          <t>زهور جيرانيوم  هولندي مركن12</t>
        </is>
      </c>
      <c r="E54" s="25" t="n">
        <v>180</v>
      </c>
      <c r="F54" s="25" t="n">
        <v>3.75</v>
      </c>
      <c r="G54" s="27">
        <f>E54*F54</f>
        <v/>
      </c>
      <c r="H54" s="25" t="inlineStr">
        <is>
          <t>RNT-3805</t>
        </is>
      </c>
      <c r="I54" s="25" t="n"/>
      <c r="J54" s="25" t="inlineStr">
        <is>
          <t>مطابق الكمية</t>
        </is>
      </c>
      <c r="K54" s="25" t="n"/>
    </row>
    <row r="55">
      <c r="A55" s="25" t="n">
        <v>59</v>
      </c>
      <c r="B55" s="96" t="n">
        <v>46064</v>
      </c>
      <c r="C55" s="25" t="inlineStr">
        <is>
          <t>RNT-3805</t>
        </is>
      </c>
      <c r="D55" s="25" t="inlineStr">
        <is>
          <t>زهور قرنفل امريكي 12</t>
        </is>
      </c>
      <c r="E55" s="25" t="n">
        <v>90</v>
      </c>
      <c r="F55" s="25" t="n">
        <v>4</v>
      </c>
      <c r="G55" s="27">
        <f>E55*F55</f>
        <v/>
      </c>
      <c r="H55" s="25" t="inlineStr">
        <is>
          <t>RNT-3805</t>
        </is>
      </c>
      <c r="I55" s="25" t="n"/>
      <c r="J55" s="25" t="inlineStr">
        <is>
          <t>مطابق الكمية</t>
        </is>
      </c>
      <c r="K55" s="25" t="n"/>
    </row>
    <row r="56">
      <c r="A56" s="25" t="n">
        <v>60</v>
      </c>
      <c r="B56" s="96" t="n">
        <v>46064</v>
      </c>
      <c r="C56" s="25" t="inlineStr">
        <is>
          <t>RNT-3805</t>
        </is>
      </c>
      <c r="D56" s="25" t="inlineStr">
        <is>
          <t>زهور سينيراريا 12</t>
        </is>
      </c>
      <c r="E56" s="25" t="n">
        <v>48</v>
      </c>
      <c r="F56" s="25" t="n">
        <v>2.5</v>
      </c>
      <c r="G56" s="27">
        <f>E56*F56</f>
        <v/>
      </c>
      <c r="H56" s="25" t="inlineStr">
        <is>
          <t>RNT-3805</t>
        </is>
      </c>
      <c r="I56" s="25" t="n"/>
      <c r="J56" s="25" t="inlineStr">
        <is>
          <t>مطابق الكمية</t>
        </is>
      </c>
      <c r="K56" s="25" t="n"/>
    </row>
    <row r="57">
      <c r="A57" s="25" t="n">
        <v>61</v>
      </c>
      <c r="B57" s="96" t="n">
        <v>46068</v>
      </c>
      <c r="C57" s="25" t="inlineStr">
        <is>
          <t>RNP-3839</t>
        </is>
      </c>
      <c r="D57" s="25" t="inlineStr">
        <is>
          <t>زهور بيتونيا</t>
        </is>
      </c>
      <c r="E57" s="25" t="n">
        <v>312</v>
      </c>
      <c r="F57" s="25" t="n">
        <v>0.5</v>
      </c>
      <c r="G57" s="27">
        <f>E57*F57</f>
        <v/>
      </c>
      <c r="H57" s="25" t="inlineStr">
        <is>
          <t>RNP-3839</t>
        </is>
      </c>
      <c r="I57" s="25" t="n">
        <v>1248</v>
      </c>
      <c r="J57" s="25" t="inlineStr">
        <is>
          <t>مطابق الكمية</t>
        </is>
      </c>
      <c r="K57" s="25" t="n"/>
    </row>
    <row r="58">
      <c r="A58" s="25" t="n">
        <v>62</v>
      </c>
      <c r="B58" s="96" t="n">
        <v>46068</v>
      </c>
      <c r="C58" s="25" t="inlineStr">
        <is>
          <t>RNP-3839</t>
        </is>
      </c>
      <c r="D58" s="25" t="inlineStr">
        <is>
          <t>زهور منثور مركن 9</t>
        </is>
      </c>
      <c r="E58" s="25" t="n">
        <v>312</v>
      </c>
      <c r="F58" s="25" t="n">
        <v>0.5</v>
      </c>
      <c r="G58" s="27">
        <f>E58*F58</f>
        <v/>
      </c>
      <c r="H58" s="25" t="inlineStr">
        <is>
          <t>RNP-3839</t>
        </is>
      </c>
      <c r="I58" s="25" t="n"/>
      <c r="J58" s="25" t="inlineStr">
        <is>
          <t>مطابق الكمية</t>
        </is>
      </c>
      <c r="K58" s="25" t="n"/>
    </row>
    <row r="59">
      <c r="A59" s="25" t="n">
        <v>63</v>
      </c>
      <c r="B59" s="96" t="n">
        <v>46068</v>
      </c>
      <c r="C59" s="25" t="inlineStr">
        <is>
          <t>RNP-3839</t>
        </is>
      </c>
      <c r="D59" s="25" t="inlineStr">
        <is>
          <t>زهور سالفيا مركن 9</t>
        </is>
      </c>
      <c r="E59" s="25" t="n">
        <v>312</v>
      </c>
      <c r="F59" s="25" t="n">
        <v>0.6</v>
      </c>
      <c r="G59" s="27">
        <f>E59*F59</f>
        <v/>
      </c>
      <c r="H59" s="25" t="inlineStr">
        <is>
          <t>RNP-3839</t>
        </is>
      </c>
      <c r="I59" s="25" t="n"/>
      <c r="J59" s="25" t="inlineStr">
        <is>
          <t>مطابق الكمية</t>
        </is>
      </c>
      <c r="K59" s="25" t="n"/>
    </row>
    <row r="60">
      <c r="A60" s="25" t="n">
        <v>64</v>
      </c>
      <c r="B60" s="96" t="n">
        <v>46068</v>
      </c>
      <c r="C60" s="25" t="inlineStr">
        <is>
          <t>RNP-3839</t>
        </is>
      </c>
      <c r="D60" s="25" t="inlineStr">
        <is>
          <t>زهور ملفوف مركن 9</t>
        </is>
      </c>
      <c r="E60" s="25" t="n">
        <v>312</v>
      </c>
      <c r="F60" s="25" t="n">
        <v>0.5</v>
      </c>
      <c r="G60" s="27">
        <f>E60*F60</f>
        <v/>
      </c>
      <c r="H60" s="25" t="inlineStr">
        <is>
          <t>RNP-3839</t>
        </is>
      </c>
      <c r="I60" s="25" t="n"/>
      <c r="J60" s="25" t="inlineStr">
        <is>
          <t>مطابق الكمية</t>
        </is>
      </c>
      <c r="K60" s="25" t="n"/>
    </row>
    <row r="61">
      <c r="A61" s="18" t="n">
        <v>65</v>
      </c>
      <c r="B61" s="98" t="n">
        <v>46104</v>
      </c>
      <c r="C61" s="18" t="inlineStr">
        <is>
          <t>RNT-180</t>
        </is>
      </c>
      <c r="D61" s="18" t="inlineStr">
        <is>
          <t>كلانشو هولندي مركن 12</t>
        </is>
      </c>
      <c r="E61" s="18" t="n">
        <v>420</v>
      </c>
      <c r="F61" s="18" t="n">
        <v>4</v>
      </c>
      <c r="G61" s="19">
        <f>E61*F61</f>
        <v/>
      </c>
      <c r="H61" s="18" t="inlineStr">
        <is>
          <t>RNT-180</t>
        </is>
      </c>
      <c r="I61" s="18" t="n">
        <v>3095</v>
      </c>
      <c r="J61" s="18" t="inlineStr">
        <is>
          <t>يوجد فرق</t>
        </is>
      </c>
      <c r="K61" s="18" t="inlineStr">
        <is>
          <t>⚠ المحاسب أسقط بند بيرلايت 100 لتر × 100 (3,250 بسعر 32.5) الموجود بالسند</t>
        </is>
      </c>
    </row>
    <row r="62">
      <c r="A62" s="18" t="n">
        <v>66</v>
      </c>
      <c r="B62" s="98" t="n">
        <v>46104</v>
      </c>
      <c r="C62" s="18" t="inlineStr">
        <is>
          <t>RNT-180</t>
        </is>
      </c>
      <c r="D62" s="18" t="inlineStr">
        <is>
          <t xml:space="preserve">زهور هيبوستس </t>
        </is>
      </c>
      <c r="E62" s="18" t="n">
        <v>1575</v>
      </c>
      <c r="F62" s="18" t="n">
        <v>0.55</v>
      </c>
      <c r="G62" s="19">
        <f>E62*F62</f>
        <v/>
      </c>
      <c r="H62" s="18" t="inlineStr">
        <is>
          <t>RNT-180</t>
        </is>
      </c>
      <c r="I62" s="18" t="n"/>
      <c r="J62" s="18" t="inlineStr">
        <is>
          <t>يوجد فرق</t>
        </is>
      </c>
      <c r="K62" s="18" t="n"/>
    </row>
    <row r="63">
      <c r="A63" s="18" t="n">
        <v>67</v>
      </c>
      <c r="B63" s="98" t="n">
        <v>46104</v>
      </c>
      <c r="C63" s="18" t="inlineStr">
        <is>
          <t>RNT-180</t>
        </is>
      </c>
      <c r="D63" s="18" t="inlineStr">
        <is>
          <t>زهور اقحوان افريقي مركن 9</t>
        </is>
      </c>
      <c r="E63" s="18" t="n">
        <v>1000</v>
      </c>
      <c r="F63" s="18" t="n">
        <v>1.5</v>
      </c>
      <c r="G63" s="19">
        <f>E63*F63</f>
        <v/>
      </c>
      <c r="H63" s="18" t="inlineStr">
        <is>
          <t>RNT-180</t>
        </is>
      </c>
      <c r="I63" s="18" t="n"/>
      <c r="J63" s="18" t="inlineStr">
        <is>
          <t>يوجد فرق</t>
        </is>
      </c>
      <c r="K63" s="18" t="n"/>
    </row>
    <row r="64">
      <c r="A64" s="25" t="n">
        <v>68</v>
      </c>
      <c r="B64" s="96" t="n">
        <v>46120</v>
      </c>
      <c r="C64" s="25" t="inlineStr">
        <is>
          <t>RNP-208</t>
        </is>
      </c>
      <c r="D64" s="25" t="inlineStr">
        <is>
          <t>زهور زينيا</t>
        </is>
      </c>
      <c r="E64" s="25" t="n">
        <v>4000</v>
      </c>
      <c r="F64" s="25" t="n">
        <v>0.5</v>
      </c>
      <c r="G64" s="27">
        <f>E64*F64</f>
        <v/>
      </c>
      <c r="H64" s="25" t="inlineStr">
        <is>
          <t>RNP-208</t>
        </is>
      </c>
      <c r="I64" s="25" t="n">
        <v>4000</v>
      </c>
      <c r="J64" s="25" t="inlineStr">
        <is>
          <t>مطابق الكمية</t>
        </is>
      </c>
      <c r="K64" s="25" t="n"/>
    </row>
    <row r="65">
      <c r="A65" s="25" t="n">
        <v>69</v>
      </c>
      <c r="B65" s="96" t="n">
        <v>46121</v>
      </c>
      <c r="C65" s="25" t="inlineStr">
        <is>
          <t>RNP-213</t>
        </is>
      </c>
      <c r="D65" s="25" t="inlineStr">
        <is>
          <t>زهور امرانتس</t>
        </is>
      </c>
      <c r="E65" s="25" t="n">
        <v>700</v>
      </c>
      <c r="F65" s="25" t="n">
        <v>0.5</v>
      </c>
      <c r="G65" s="27">
        <f>E65*F65</f>
        <v/>
      </c>
      <c r="H65" s="25" t="inlineStr">
        <is>
          <t>RNP-213</t>
        </is>
      </c>
      <c r="I65" s="25" t="n">
        <v>1400</v>
      </c>
      <c r="J65" s="25" t="inlineStr">
        <is>
          <t>مطابق الكمية</t>
        </is>
      </c>
      <c r="K65" s="25" t="n"/>
    </row>
    <row r="66">
      <c r="A66" s="25" t="n">
        <v>70</v>
      </c>
      <c r="B66" s="96" t="n">
        <v>46121</v>
      </c>
      <c r="C66" s="25" t="inlineStr">
        <is>
          <t>RNP-213</t>
        </is>
      </c>
      <c r="D66" s="25" t="inlineStr">
        <is>
          <t>زهور فينكا روزا</t>
        </is>
      </c>
      <c r="E66" s="25" t="n">
        <v>700</v>
      </c>
      <c r="F66" s="25" t="n">
        <v>0.5</v>
      </c>
      <c r="G66" s="27">
        <f>E66*F66</f>
        <v/>
      </c>
      <c r="H66" s="25" t="inlineStr">
        <is>
          <t>RNP-213</t>
        </is>
      </c>
      <c r="I66" s="25" t="n"/>
      <c r="J66" s="25" t="inlineStr">
        <is>
          <t>مطابق الكمية</t>
        </is>
      </c>
      <c r="K66" s="25" t="n"/>
    </row>
    <row r="67">
      <c r="A67" s="25" t="n">
        <v>71</v>
      </c>
      <c r="B67" s="96" t="n">
        <v>46121</v>
      </c>
      <c r="C67" s="25" t="inlineStr">
        <is>
          <t>RNT-211</t>
        </is>
      </c>
      <c r="D67" s="25" t="inlineStr">
        <is>
          <t>زهور اقحوان افريقي مركن 9</t>
        </is>
      </c>
      <c r="E67" s="25" t="n">
        <v>1650</v>
      </c>
      <c r="F67" s="25" t="n">
        <v>1.5</v>
      </c>
      <c r="G67" s="27">
        <f>E67*F67</f>
        <v/>
      </c>
      <c r="H67" s="25" t="inlineStr">
        <is>
          <t>RNT-211</t>
        </is>
      </c>
      <c r="I67" s="25" t="n">
        <v>2400</v>
      </c>
      <c r="J67" s="25" t="inlineStr">
        <is>
          <t>مطابق الكمية</t>
        </is>
      </c>
      <c r="K67" s="25" t="n"/>
    </row>
    <row r="68">
      <c r="A68" s="25" t="n">
        <v>72</v>
      </c>
      <c r="B68" s="96" t="n">
        <v>46121</v>
      </c>
      <c r="C68" s="25" t="inlineStr">
        <is>
          <t>RNT-211</t>
        </is>
      </c>
      <c r="D68" s="25" t="inlineStr">
        <is>
          <t>زهور فينكا روزا</t>
        </is>
      </c>
      <c r="E68" s="25" t="n">
        <v>750</v>
      </c>
      <c r="F68" s="25" t="n">
        <v>0.5</v>
      </c>
      <c r="G68" s="27">
        <f>E68*F68</f>
        <v/>
      </c>
      <c r="H68" s="25" t="inlineStr">
        <is>
          <t>RNT-211</t>
        </is>
      </c>
      <c r="I68" s="25" t="n"/>
      <c r="J68" s="25" t="inlineStr">
        <is>
          <t>مطابق الكمية</t>
        </is>
      </c>
      <c r="K68" s="25" t="n"/>
    </row>
    <row r="69">
      <c r="A69" s="25" t="n">
        <v>73</v>
      </c>
      <c r="B69" s="96" t="n">
        <v>46123</v>
      </c>
      <c r="C69" s="25" t="inlineStr">
        <is>
          <t>RNP-216</t>
        </is>
      </c>
      <c r="D69" s="25" t="inlineStr">
        <is>
          <t>زهور جازانيا</t>
        </is>
      </c>
      <c r="E69" s="25" t="n">
        <v>50</v>
      </c>
      <c r="F69" s="25" t="n">
        <v>0.5</v>
      </c>
      <c r="G69" s="27">
        <f>E69*F69</f>
        <v/>
      </c>
      <c r="H69" s="25" t="inlineStr">
        <is>
          <t>RNP-216</t>
        </is>
      </c>
      <c r="I69" s="25" t="n">
        <v>100</v>
      </c>
      <c r="J69" s="25" t="inlineStr">
        <is>
          <t>مطابق الكمية</t>
        </is>
      </c>
      <c r="K69" s="25" t="n"/>
    </row>
    <row r="70">
      <c r="A70" s="25" t="n">
        <v>74</v>
      </c>
      <c r="B70" s="96" t="n">
        <v>46123</v>
      </c>
      <c r="C70" s="25" t="inlineStr">
        <is>
          <t>RNP-216</t>
        </is>
      </c>
      <c r="D70" s="25" t="inlineStr">
        <is>
          <t>زهور زينيا</t>
        </is>
      </c>
      <c r="E70" s="25" t="n">
        <v>50</v>
      </c>
      <c r="F70" s="25" t="n">
        <v>0.5</v>
      </c>
      <c r="G70" s="27">
        <f>E70*F70</f>
        <v/>
      </c>
      <c r="H70" s="25" t="inlineStr">
        <is>
          <t>RNP-216</t>
        </is>
      </c>
      <c r="I70" s="25" t="n"/>
      <c r="J70" s="25" t="inlineStr">
        <is>
          <t>مطابق الكمية</t>
        </is>
      </c>
      <c r="K70" s="25" t="n"/>
    </row>
    <row r="71">
      <c r="A71" s="25" t="n">
        <v>75</v>
      </c>
      <c r="B71" s="96" t="n">
        <v>46127</v>
      </c>
      <c r="C71" s="25" t="inlineStr">
        <is>
          <t>RNP-224</t>
        </is>
      </c>
      <c r="D71" s="25" t="inlineStr">
        <is>
          <t>زهور فينكا روزا</t>
        </is>
      </c>
      <c r="E71" s="25" t="n">
        <v>1000</v>
      </c>
      <c r="F71" s="25" t="n">
        <v>0.5</v>
      </c>
      <c r="G71" s="27">
        <f>E71*F71</f>
        <v/>
      </c>
      <c r="H71" s="25" t="inlineStr">
        <is>
          <t>RNP-224</t>
        </is>
      </c>
      <c r="I71" s="25" t="n">
        <v>1000</v>
      </c>
      <c r="J71" s="25" t="inlineStr">
        <is>
          <t>مطابق الكمية</t>
        </is>
      </c>
      <c r="K71" s="25" t="n"/>
    </row>
    <row r="72">
      <c r="A72" s="25" t="n">
        <v>76</v>
      </c>
      <c r="B72" s="96" t="n">
        <v>46138</v>
      </c>
      <c r="C72" s="25" t="inlineStr">
        <is>
          <t>RNP-243</t>
        </is>
      </c>
      <c r="D72" s="25" t="inlineStr">
        <is>
          <t>زهور زينيا</t>
        </is>
      </c>
      <c r="E72" s="25" t="n">
        <v>7000</v>
      </c>
      <c r="F72" s="25" t="n">
        <v>0.5</v>
      </c>
      <c r="G72" s="27">
        <f>E72*F72</f>
        <v/>
      </c>
      <c r="H72" s="25" t="inlineStr">
        <is>
          <t>RNP-243</t>
        </is>
      </c>
      <c r="I72" s="25" t="n">
        <v>8000</v>
      </c>
      <c r="J72" s="25" t="inlineStr">
        <is>
          <t>مطابق الكمية</t>
        </is>
      </c>
      <c r="K72" s="25" t="n"/>
    </row>
    <row r="73">
      <c r="A73" s="25" t="n">
        <v>77</v>
      </c>
      <c r="B73" s="96" t="n">
        <v>46138</v>
      </c>
      <c r="C73" s="25" t="inlineStr">
        <is>
          <t>RNP-243</t>
        </is>
      </c>
      <c r="D73" s="25" t="inlineStr">
        <is>
          <t>زهور امرانتس</t>
        </is>
      </c>
      <c r="E73" s="25" t="n">
        <v>1000</v>
      </c>
      <c r="F73" s="25" t="n">
        <v>0.5</v>
      </c>
      <c r="G73" s="27">
        <f>E73*F73</f>
        <v/>
      </c>
      <c r="H73" s="25" t="inlineStr">
        <is>
          <t>RNP-243</t>
        </is>
      </c>
      <c r="I73" s="25" t="n"/>
      <c r="J73" s="25" t="inlineStr">
        <is>
          <t>مطابق الكمية</t>
        </is>
      </c>
      <c r="K73" s="25" t="n"/>
    </row>
    <row r="74">
      <c r="A74" s="25" t="n">
        <v>78</v>
      </c>
      <c r="B74" s="96" t="n">
        <v>46144</v>
      </c>
      <c r="C74" s="25" t="inlineStr">
        <is>
          <t>RNP-260</t>
        </is>
      </c>
      <c r="D74" s="25" t="inlineStr">
        <is>
          <t>زهور فينكا روزا</t>
        </is>
      </c>
      <c r="E74" s="25" t="n">
        <v>400</v>
      </c>
      <c r="F74" s="25" t="n">
        <v>0.5</v>
      </c>
      <c r="G74" s="27">
        <f>E74*F74</f>
        <v/>
      </c>
      <c r="H74" s="25" t="inlineStr">
        <is>
          <t>RNP-260</t>
        </is>
      </c>
      <c r="I74" s="25" t="n">
        <v>800</v>
      </c>
      <c r="J74" s="25" t="inlineStr">
        <is>
          <t>مطابق الكمية</t>
        </is>
      </c>
      <c r="K74" s="25" t="n"/>
    </row>
    <row r="75">
      <c r="A75" s="25" t="n">
        <v>79</v>
      </c>
      <c r="B75" s="96" t="n">
        <v>46144</v>
      </c>
      <c r="C75" s="25" t="inlineStr">
        <is>
          <t>RNP-260</t>
        </is>
      </c>
      <c r="D75" s="25" t="inlineStr">
        <is>
          <t>زهور زينيا</t>
        </is>
      </c>
      <c r="E75" s="25" t="n">
        <v>400</v>
      </c>
      <c r="F75" s="25" t="n">
        <v>0.5</v>
      </c>
      <c r="G75" s="27">
        <f>E75*F75</f>
        <v/>
      </c>
      <c r="H75" s="25" t="inlineStr">
        <is>
          <t>RNP-260</t>
        </is>
      </c>
      <c r="I75" s="25" t="n"/>
      <c r="J75" s="25" t="inlineStr">
        <is>
          <t>مطابق الكمية</t>
        </is>
      </c>
      <c r="K75" s="25" t="n"/>
    </row>
    <row r="76">
      <c r="A76" s="25" t="n">
        <v>80</v>
      </c>
      <c r="B76" s="96" t="n">
        <v>46147</v>
      </c>
      <c r="C76" s="25" t="inlineStr">
        <is>
          <t>RNP-266</t>
        </is>
      </c>
      <c r="D76" s="25" t="inlineStr">
        <is>
          <t>زهور فينكا روزا</t>
        </is>
      </c>
      <c r="E76" s="25" t="n">
        <v>1720</v>
      </c>
      <c r="F76" s="25" t="n">
        <v>0.5</v>
      </c>
      <c r="G76" s="27">
        <f>E76*F76</f>
        <v/>
      </c>
      <c r="H76" s="25" t="inlineStr">
        <is>
          <t>RNP-266</t>
        </is>
      </c>
      <c r="I76" s="25" t="n">
        <v>2720</v>
      </c>
      <c r="J76" s="25" t="inlineStr">
        <is>
          <t>مطابق الكمية</t>
        </is>
      </c>
      <c r="K76" s="25" t="n"/>
    </row>
    <row r="77">
      <c r="A77" s="25" t="n">
        <v>81</v>
      </c>
      <c r="B77" s="96" t="n">
        <v>46147</v>
      </c>
      <c r="C77" s="25" t="inlineStr">
        <is>
          <t>RNP-266</t>
        </is>
      </c>
      <c r="D77" s="25" t="inlineStr">
        <is>
          <t>زهور جازانيا</t>
        </is>
      </c>
      <c r="E77" s="25" t="n">
        <v>1000</v>
      </c>
      <c r="F77" s="25" t="n">
        <v>0.5</v>
      </c>
      <c r="G77" s="27">
        <f>E77*F77</f>
        <v/>
      </c>
      <c r="H77" s="25" t="inlineStr">
        <is>
          <t>RNP-266</t>
        </is>
      </c>
      <c r="I77" s="25" t="n"/>
      <c r="J77" s="25" t="inlineStr">
        <is>
          <t>مطابق الكمية</t>
        </is>
      </c>
      <c r="K77" s="25" t="n"/>
    </row>
    <row r="78">
      <c r="A78" s="25" t="n">
        <v>82</v>
      </c>
      <c r="B78" s="96" t="n">
        <v>46160</v>
      </c>
      <c r="C78" s="25" t="inlineStr">
        <is>
          <t>RNP-299</t>
        </is>
      </c>
      <c r="D78" s="25" t="inlineStr">
        <is>
          <t>زهور فينكا روزا</t>
        </is>
      </c>
      <c r="E78" s="25" t="n">
        <v>26000</v>
      </c>
      <c r="F78" s="25" t="n">
        <v>0.5</v>
      </c>
      <c r="G78" s="27">
        <f>E78*F78</f>
        <v/>
      </c>
      <c r="H78" s="25" t="inlineStr">
        <is>
          <t>RNP-299</t>
        </is>
      </c>
      <c r="I78" s="25" t="n">
        <v>26000</v>
      </c>
      <c r="J78" s="25" t="inlineStr">
        <is>
          <t>مطابق الكمية</t>
        </is>
      </c>
      <c r="K78" s="25" t="n"/>
    </row>
    <row r="79">
      <c r="A79" s="25" t="n">
        <v>83</v>
      </c>
      <c r="B79" s="96" t="n">
        <v>46163</v>
      </c>
      <c r="C79" s="25" t="inlineStr">
        <is>
          <t>RNP-301</t>
        </is>
      </c>
      <c r="D79" s="25" t="inlineStr">
        <is>
          <t>زهور زينيا</t>
        </is>
      </c>
      <c r="E79" s="25" t="n">
        <v>24000</v>
      </c>
      <c r="F79" s="25" t="n">
        <v>0.5</v>
      </c>
      <c r="G79" s="27">
        <f>E79*F79</f>
        <v/>
      </c>
      <c r="H79" s="25" t="inlineStr">
        <is>
          <t>RNP-301</t>
        </is>
      </c>
      <c r="I79" s="25" t="n">
        <v>39500</v>
      </c>
      <c r="J79" s="25" t="inlineStr">
        <is>
          <t>مطابق الكمية</t>
        </is>
      </c>
      <c r="K79" s="25" t="n"/>
    </row>
    <row r="80">
      <c r="A80" s="25" t="n">
        <v>84</v>
      </c>
      <c r="B80" s="96" t="n">
        <v>46163</v>
      </c>
      <c r="C80" s="25" t="inlineStr">
        <is>
          <t>RNP-301</t>
        </is>
      </c>
      <c r="D80" s="25" t="inlineStr">
        <is>
          <t>زهور فينكا روزا</t>
        </is>
      </c>
      <c r="E80" s="25" t="n">
        <v>15500</v>
      </c>
      <c r="F80" s="25" t="n">
        <v>0.5</v>
      </c>
      <c r="G80" s="27">
        <f>E80*F80</f>
        <v/>
      </c>
      <c r="H80" s="25" t="inlineStr">
        <is>
          <t>RNP-301</t>
        </is>
      </c>
      <c r="I80" s="25" t="n"/>
      <c r="J80" s="25" t="inlineStr">
        <is>
          <t>مطابق الكمية</t>
        </is>
      </c>
      <c r="K80" s="25" t="n"/>
    </row>
    <row r="81">
      <c r="A81" s="25" t="n">
        <v>85</v>
      </c>
      <c r="B81" s="96" t="n">
        <v>46184</v>
      </c>
      <c r="C81" s="25" t="inlineStr">
        <is>
          <t>NS-0759</t>
        </is>
      </c>
      <c r="D81" s="25" t="inlineStr">
        <is>
          <t>زهور فينكا روزا</t>
        </is>
      </c>
      <c r="E81" s="25" t="n">
        <v>4000</v>
      </c>
      <c r="F81" s="25" t="n">
        <v>0.5</v>
      </c>
      <c r="G81" s="27">
        <f>E81*F81</f>
        <v/>
      </c>
      <c r="H81" s="25" t="inlineStr">
        <is>
          <t>ISV-0005</t>
        </is>
      </c>
      <c r="I81" s="25" t="n">
        <v>4000</v>
      </c>
      <c r="J81" s="25" t="inlineStr">
        <is>
          <t>مطابق الكمية</t>
        </is>
      </c>
      <c r="K81" s="25" t="n"/>
    </row>
    <row r="82">
      <c r="A82" s="25" t="n">
        <v>86</v>
      </c>
      <c r="B82" s="96" t="n">
        <v>46184</v>
      </c>
      <c r="C82" s="25" t="inlineStr">
        <is>
          <t>NS-575</t>
        </is>
      </c>
      <c r="D82" s="25" t="inlineStr">
        <is>
          <t>زهور زينيا</t>
        </is>
      </c>
      <c r="E82" s="25" t="n">
        <v>1200</v>
      </c>
      <c r="F82" s="25" t="n">
        <v>0.5</v>
      </c>
      <c r="G82" s="27">
        <f>E82*F82</f>
        <v/>
      </c>
      <c r="H82" s="25" t="inlineStr">
        <is>
          <t>ISV-0004</t>
        </is>
      </c>
      <c r="I82" s="25" t="n">
        <v>2000</v>
      </c>
      <c r="J82" s="25" t="inlineStr">
        <is>
          <t>مطابق الكمية</t>
        </is>
      </c>
      <c r="K82" s="25" t="n"/>
    </row>
    <row r="83">
      <c r="A83" s="25" t="n">
        <v>87</v>
      </c>
      <c r="B83" s="96" t="n">
        <v>46184</v>
      </c>
      <c r="C83" s="25" t="inlineStr">
        <is>
          <t>NS-575</t>
        </is>
      </c>
      <c r="D83" s="25" t="inlineStr">
        <is>
          <t>زهور امرانتس</t>
        </is>
      </c>
      <c r="E83" s="25" t="n">
        <v>500</v>
      </c>
      <c r="F83" s="25" t="n">
        <v>0.5</v>
      </c>
      <c r="G83" s="27">
        <f>E83*F83</f>
        <v/>
      </c>
      <c r="H83" s="25" t="inlineStr">
        <is>
          <t>ISV-0004</t>
        </is>
      </c>
      <c r="I83" s="25" t="n"/>
      <c r="J83" s="25" t="inlineStr">
        <is>
          <t>مطابق الكمية</t>
        </is>
      </c>
      <c r="K83" s="25" t="n"/>
    </row>
    <row r="84">
      <c r="A84" s="25" t="n">
        <v>88</v>
      </c>
      <c r="B84" s="96" t="n">
        <v>46184</v>
      </c>
      <c r="C84" s="25" t="inlineStr">
        <is>
          <t>NS-575</t>
        </is>
      </c>
      <c r="D84" s="25" t="inlineStr">
        <is>
          <t>زهور فضية</t>
        </is>
      </c>
      <c r="E84" s="25" t="n">
        <v>300</v>
      </c>
      <c r="F84" s="25" t="n">
        <v>0.5</v>
      </c>
      <c r="G84" s="27">
        <f>E84*F84</f>
        <v/>
      </c>
      <c r="H84" s="25" t="inlineStr">
        <is>
          <t>ISV-0004</t>
        </is>
      </c>
      <c r="I84" s="25" t="n"/>
      <c r="J84" s="25" t="inlineStr">
        <is>
          <t>مطابق الكمية</t>
        </is>
      </c>
      <c r="K84" s="25" t="n"/>
    </row>
    <row r="85">
      <c r="A85" s="18" t="n">
        <v>89</v>
      </c>
      <c r="B85" s="98" t="n">
        <v>46184</v>
      </c>
      <c r="C85" s="18" t="inlineStr">
        <is>
          <t>ISV-0066</t>
        </is>
      </c>
      <c r="D85" s="18" t="inlineStr">
        <is>
          <t>زهور فينكا روزا</t>
        </is>
      </c>
      <c r="E85" s="18" t="n">
        <v>40000</v>
      </c>
      <c r="F85" s="18" t="n">
        <v>0.5</v>
      </c>
      <c r="G85" s="19">
        <f>E85*F85</f>
        <v/>
      </c>
      <c r="H85" s="18" t="inlineStr">
        <is>
          <t>ISV-0066</t>
        </is>
      </c>
      <c r="I85" s="18" t="n">
        <v>40000</v>
      </c>
      <c r="J85" s="18" t="inlineStr">
        <is>
          <t>يوجد فرق</t>
        </is>
      </c>
      <c r="K85" s="18" t="inlineStr">
        <is>
          <t>⚠ التاريخ بشيت المحاسب 11-6 وبالنظام 30-6-2026</t>
        </is>
      </c>
    </row>
    <row r="86">
      <c r="A86" s="18" t="n">
        <v>90</v>
      </c>
      <c r="B86" s="98" t="n">
        <v>46187</v>
      </c>
      <c r="C86" s="18" t="inlineStr">
        <is>
          <t>NS-0755</t>
        </is>
      </c>
      <c r="D86" s="18" t="inlineStr">
        <is>
          <t>زهور فينكا روزا</t>
        </is>
      </c>
      <c r="E86" s="18" t="n">
        <v>3500</v>
      </c>
      <c r="F86" s="18" t="n">
        <v>0.5</v>
      </c>
      <c r="G86" s="19">
        <f>E86*F86</f>
        <v/>
      </c>
      <c r="H86" s="18" t="inlineStr">
        <is>
          <t>ISV-0010، ISV-0038</t>
        </is>
      </c>
      <c r="I86" s="18" t="n">
        <v>7005</v>
      </c>
      <c r="J86" s="18" t="inlineStr">
        <is>
          <t>يوجد فرق</t>
        </is>
      </c>
      <c r="K86" s="18" t="inlineStr">
        <is>
          <t>يقابله ISV-0010 (14-6) و ISV-0038 (24-6 – جهنمية كبير 5). ⚠ المحاسب أسقط بند رويليا × 94 الموجود بالسند ISV-0010. نفس رقم الطلب NS-0755 استُخدم لتاريخين</t>
        </is>
      </c>
    </row>
    <row r="87">
      <c r="A87" s="18" t="n">
        <v>91</v>
      </c>
      <c r="B87" s="98" t="n">
        <v>46187</v>
      </c>
      <c r="C87" s="18" t="inlineStr">
        <is>
          <t>NS-0755</t>
        </is>
      </c>
      <c r="D87" s="18" t="inlineStr">
        <is>
          <t>زهور زينيا</t>
        </is>
      </c>
      <c r="E87" s="18" t="n">
        <v>3500</v>
      </c>
      <c r="F87" s="18" t="n">
        <v>0.5</v>
      </c>
      <c r="G87" s="19">
        <f>E87*F87</f>
        <v/>
      </c>
      <c r="H87" s="18" t="inlineStr">
        <is>
          <t>ISV-0010، ISV-0038</t>
        </is>
      </c>
      <c r="I87" s="18" t="n"/>
      <c r="J87" s="18" t="inlineStr">
        <is>
          <t>يوجد فرق</t>
        </is>
      </c>
      <c r="K87" s="18" t="n"/>
    </row>
    <row r="88">
      <c r="A88" s="18" t="n">
        <v>92</v>
      </c>
      <c r="B88" s="98" t="n">
        <v>46187</v>
      </c>
      <c r="C88" s="18" t="inlineStr">
        <is>
          <t>NS-0755</t>
        </is>
      </c>
      <c r="D88" s="18" t="inlineStr">
        <is>
          <t>اكاسيا جلوكا من 1 - 2 متر</t>
        </is>
      </c>
      <c r="E88" s="18" t="n">
        <v>6</v>
      </c>
      <c r="F88" s="18" t="n">
        <v>25</v>
      </c>
      <c r="G88" s="19">
        <f>E88*F88</f>
        <v/>
      </c>
      <c r="H88" s="18" t="inlineStr">
        <is>
          <t>ISV-0010، ISV-0038</t>
        </is>
      </c>
      <c r="I88" s="18" t="n"/>
      <c r="J88" s="18" t="inlineStr">
        <is>
          <t>يوجد فرق</t>
        </is>
      </c>
      <c r="K88" s="18" t="n"/>
    </row>
    <row r="89">
      <c r="A89" s="18" t="n">
        <v>93</v>
      </c>
      <c r="B89" s="98" t="n">
        <v>46187</v>
      </c>
      <c r="C89" s="18" t="inlineStr">
        <is>
          <t>NS-0755</t>
        </is>
      </c>
      <c r="D89" s="18" t="inlineStr">
        <is>
          <t>كف مريم 1.5 : 2 م</t>
        </is>
      </c>
      <c r="E89" s="18" t="n">
        <v>6</v>
      </c>
      <c r="F89" s="18" t="n">
        <v>5.5</v>
      </c>
      <c r="G89" s="19">
        <f>E89*F89</f>
        <v/>
      </c>
      <c r="H89" s="18" t="inlineStr">
        <is>
          <t>ISV-0010، ISV-0038</t>
        </is>
      </c>
      <c r="I89" s="18" t="n"/>
      <c r="J89" s="18" t="inlineStr">
        <is>
          <t>يوجد فرق</t>
        </is>
      </c>
      <c r="K89" s="18" t="n"/>
    </row>
    <row r="90">
      <c r="A90" s="18" t="n">
        <v>97</v>
      </c>
      <c r="B90" s="98" t="n">
        <v>46197</v>
      </c>
      <c r="C90" s="18" t="inlineStr">
        <is>
          <t>NS-0755</t>
        </is>
      </c>
      <c r="D90" s="18" t="inlineStr">
        <is>
          <t>جهنمية كروية تايلندي كبير</t>
        </is>
      </c>
      <c r="E90" s="18" t="n">
        <v>5</v>
      </c>
      <c r="F90" s="18" t="n">
        <v>300</v>
      </c>
      <c r="G90" s="19">
        <f>E90*F90</f>
        <v/>
      </c>
      <c r="H90" s="18" t="inlineStr">
        <is>
          <t>ISV-0010، ISV-0038</t>
        </is>
      </c>
      <c r="I90" s="18" t="n"/>
      <c r="J90" s="18" t="inlineStr">
        <is>
          <t>يوجد فرق</t>
        </is>
      </c>
      <c r="K90" s="18" t="n"/>
    </row>
    <row r="91">
      <c r="A91" s="25" t="n">
        <v>94</v>
      </c>
      <c r="B91" s="96" t="n">
        <v>46187</v>
      </c>
      <c r="C91" s="25" t="inlineStr">
        <is>
          <t>NS-588</t>
        </is>
      </c>
      <c r="D91" s="25" t="inlineStr">
        <is>
          <t>زهور زينيا</t>
        </is>
      </c>
      <c r="E91" s="25" t="n">
        <v>3500</v>
      </c>
      <c r="F91" s="25" t="n">
        <v>0.5</v>
      </c>
      <c r="G91" s="27">
        <f>E91*F91</f>
        <v/>
      </c>
      <c r="H91" s="25" t="inlineStr">
        <is>
          <t>ISV-0011، ISV-0016</t>
        </is>
      </c>
      <c r="I91" s="25" t="n">
        <v>3500</v>
      </c>
      <c r="J91" s="25" t="inlineStr">
        <is>
          <t>مطابق الكمية</t>
        </is>
      </c>
      <c r="K91" s="25" t="inlineStr">
        <is>
          <t>يقابله سندان ISV-0011 (2,000) و ISV-0016 (1,500) = 3,500 – مطابق (وهذا يفسر تكرار مرجع NS-REQ-008)</t>
        </is>
      </c>
    </row>
    <row r="92">
      <c r="A92" s="25" t="n">
        <v>95</v>
      </c>
      <c r="B92" s="96" t="n">
        <v>46190</v>
      </c>
      <c r="C92" s="25" t="inlineStr">
        <is>
          <t>ISV-0017</t>
        </is>
      </c>
      <c r="D92" s="25" t="inlineStr">
        <is>
          <t>جهنمية كروية تايلندي صغير</t>
        </is>
      </c>
      <c r="E92" s="25" t="n">
        <v>2</v>
      </c>
      <c r="F92" s="25" t="n">
        <v>250</v>
      </c>
      <c r="G92" s="27">
        <f>E92*F92</f>
        <v/>
      </c>
      <c r="H92" s="25" t="inlineStr">
        <is>
          <t>ISV-0017</t>
        </is>
      </c>
      <c r="I92" s="25" t="n">
        <v>2</v>
      </c>
      <c r="J92" s="25" t="inlineStr">
        <is>
          <t>مطابق الكمية</t>
        </is>
      </c>
      <c r="K92" s="25" t="n"/>
    </row>
    <row r="93">
      <c r="A93" s="25" t="n">
        <v>96</v>
      </c>
      <c r="B93" s="96" t="n">
        <v>46195</v>
      </c>
      <c r="C93" s="25" t="inlineStr">
        <is>
          <t>NS-0786</t>
        </is>
      </c>
      <c r="D93" s="25" t="inlineStr">
        <is>
          <t>اكاسيا جلوكا من 1 - 2 متر</t>
        </is>
      </c>
      <c r="E93" s="25" t="n">
        <v>150</v>
      </c>
      <c r="F93" s="25" t="n">
        <v>25</v>
      </c>
      <c r="G93" s="27">
        <f>E93*F93</f>
        <v/>
      </c>
      <c r="H93" s="25" t="inlineStr">
        <is>
          <t>ISV-0026</t>
        </is>
      </c>
      <c r="I93" s="25" t="n">
        <v>150</v>
      </c>
      <c r="J93" s="25" t="inlineStr">
        <is>
          <t>مطابق الكمية</t>
        </is>
      </c>
      <c r="K93" s="25" t="n"/>
    </row>
    <row r="94">
      <c r="A94" s="25" t="n">
        <v>98</v>
      </c>
      <c r="B94" s="96" t="n">
        <v>46200</v>
      </c>
      <c r="C94" s="25" t="inlineStr">
        <is>
          <t>NS-471</t>
        </is>
      </c>
      <c r="D94" s="25" t="inlineStr">
        <is>
          <t>زهور فينكا روزا</t>
        </is>
      </c>
      <c r="E94" s="25" t="n">
        <v>8000</v>
      </c>
      <c r="F94" s="25" t="n">
        <v>0.5</v>
      </c>
      <c r="G94" s="27">
        <f>E94*F94</f>
        <v/>
      </c>
      <c r="H94" s="25" t="inlineStr">
        <is>
          <t>ISV-0048</t>
        </is>
      </c>
      <c r="I94" s="25" t="n">
        <v>8000</v>
      </c>
      <c r="J94" s="25" t="inlineStr">
        <is>
          <t>مطابق الكمية</t>
        </is>
      </c>
      <c r="K94" s="25" t="n"/>
    </row>
    <row r="95">
      <c r="A95" s="25" t="n">
        <v>99</v>
      </c>
      <c r="B95" s="96" t="n">
        <v>46201</v>
      </c>
      <c r="C95" s="25" t="inlineStr">
        <is>
          <t>NS-470</t>
        </is>
      </c>
      <c r="D95" s="25" t="inlineStr">
        <is>
          <t>زهور فينكا روزا</t>
        </is>
      </c>
      <c r="E95" s="25" t="n">
        <v>35500</v>
      </c>
      <c r="F95" s="25" t="n">
        <v>0.5</v>
      </c>
      <c r="G95" s="27">
        <f>E95*F95</f>
        <v/>
      </c>
      <c r="H95" s="25" t="inlineStr">
        <is>
          <t>ISV-0054</t>
        </is>
      </c>
      <c r="I95" s="25" t="n">
        <v>35500</v>
      </c>
      <c r="J95" s="25" t="inlineStr">
        <is>
          <t>مطابق الكمية</t>
        </is>
      </c>
      <c r="K95" s="25" t="n"/>
    </row>
    <row r="96">
      <c r="A96" s="25" t="n">
        <v>100</v>
      </c>
      <c r="B96" s="96" t="n">
        <v>46205</v>
      </c>
      <c r="C96" s="25" t="inlineStr">
        <is>
          <t>ISV-0073</t>
        </is>
      </c>
      <c r="D96" s="25" t="inlineStr">
        <is>
          <t>زهور فينكا روزا</t>
        </is>
      </c>
      <c r="E96" s="25" t="n">
        <v>10000</v>
      </c>
      <c r="F96" s="25" t="n">
        <v>0.5</v>
      </c>
      <c r="G96" s="27">
        <f>E96*F96</f>
        <v/>
      </c>
      <c r="H96" s="25" t="inlineStr">
        <is>
          <t>ISV-0073</t>
        </is>
      </c>
      <c r="I96" s="25" t="n">
        <v>10000</v>
      </c>
      <c r="J96" s="25" t="inlineStr">
        <is>
          <t>مطابق الكمية</t>
        </is>
      </c>
      <c r="K96" s="25" t="n"/>
    </row>
    <row r="97">
      <c r="A97" s="18" t="n">
        <v>101</v>
      </c>
      <c r="B97" s="98" t="n">
        <v>46209</v>
      </c>
      <c r="C97" s="18" t="inlineStr">
        <is>
          <t>NS-0807</t>
        </is>
      </c>
      <c r="D97" s="18" t="inlineStr">
        <is>
          <t>زهور فينكا روزا</t>
        </is>
      </c>
      <c r="E97" s="18" t="n">
        <v>1300</v>
      </c>
      <c r="F97" s="18" t="n">
        <v>0.5</v>
      </c>
      <c r="G97" s="19">
        <f>E97*F97</f>
        <v/>
      </c>
      <c r="H97" s="18" t="inlineStr">
        <is>
          <t>ISV-0081</t>
        </is>
      </c>
      <c r="I97" s="18" t="n">
        <v>1578</v>
      </c>
      <c r="J97" s="18" t="inlineStr">
        <is>
          <t>يوجد فرق</t>
        </is>
      </c>
      <c r="K97" s="18" t="inlineStr">
        <is>
          <t>يقابله ISV-0081. ⚠ المحاسب أسقط بند تيكوماريا 50 سم × 250 الموجود بالسند</t>
        </is>
      </c>
    </row>
    <row r="98">
      <c r="A98" s="18" t="n">
        <v>102</v>
      </c>
      <c r="B98" s="98" t="n">
        <v>46209</v>
      </c>
      <c r="C98" s="18" t="inlineStr">
        <is>
          <t>NS-0807</t>
        </is>
      </c>
      <c r="D98" s="18" t="inlineStr">
        <is>
          <t>تراديسكانتيا مركن 19 علاقي</t>
        </is>
      </c>
      <c r="E98" s="18" t="n">
        <v>25</v>
      </c>
      <c r="F98" s="18" t="n">
        <v>10</v>
      </c>
      <c r="G98" s="19">
        <f>E98*F98</f>
        <v/>
      </c>
      <c r="H98" s="18" t="inlineStr">
        <is>
          <t>ISV-0081</t>
        </is>
      </c>
      <c r="I98" s="18" t="n"/>
      <c r="J98" s="18" t="inlineStr">
        <is>
          <t>يوجد فرق</t>
        </is>
      </c>
      <c r="K98" s="18" t="n"/>
    </row>
    <row r="99">
      <c r="A99" s="18" t="n">
        <v>103</v>
      </c>
      <c r="B99" s="98" t="n">
        <v>46209</v>
      </c>
      <c r="C99" s="18" t="inlineStr">
        <is>
          <t>NS-0807</t>
        </is>
      </c>
      <c r="D99" s="18" t="inlineStr">
        <is>
          <t>نخيل سايكس 40 سم</t>
        </is>
      </c>
      <c r="E99" s="18" t="n">
        <v>3</v>
      </c>
      <c r="F99" s="18" t="n">
        <v>400</v>
      </c>
      <c r="G99" s="19">
        <f>E99*F99</f>
        <v/>
      </c>
      <c r="H99" s="18" t="inlineStr">
        <is>
          <t>ISV-0081</t>
        </is>
      </c>
      <c r="I99" s="18" t="n"/>
      <c r="J99" s="18" t="inlineStr">
        <is>
          <t>يوجد فرق</t>
        </is>
      </c>
      <c r="K99" s="18" t="n"/>
    </row>
    <row r="100">
      <c r="A100" s="25" t="n">
        <v>104</v>
      </c>
      <c r="B100" s="96" t="n">
        <v>46214</v>
      </c>
      <c r="C100" s="25" t="inlineStr">
        <is>
          <t>ISV-0090</t>
        </is>
      </c>
      <c r="D100" s="25" t="inlineStr">
        <is>
          <t>زهور فينكا روزا</t>
        </is>
      </c>
      <c r="E100" s="25" t="n">
        <v>1800</v>
      </c>
      <c r="F100" s="25" t="n">
        <v>0.5</v>
      </c>
      <c r="G100" s="27">
        <f>E100*F100</f>
        <v/>
      </c>
      <c r="H100" s="25" t="inlineStr">
        <is>
          <t>ISV-0090</t>
        </is>
      </c>
      <c r="I100" s="25" t="n">
        <v>1800</v>
      </c>
      <c r="J100" s="25" t="inlineStr">
        <is>
          <t>مطابق الكمية</t>
        </is>
      </c>
      <c r="K100" s="25" t="n"/>
    </row>
    <row r="101">
      <c r="A101" s="25" t="n">
        <v>105</v>
      </c>
      <c r="B101" s="96" t="n">
        <v>46214</v>
      </c>
      <c r="C101" s="25" t="inlineStr">
        <is>
          <t>ISV-0091</t>
        </is>
      </c>
      <c r="D101" s="25" t="inlineStr">
        <is>
          <t>زهور فينكا روزا</t>
        </is>
      </c>
      <c r="E101" s="25" t="n">
        <v>600</v>
      </c>
      <c r="F101" s="25" t="n">
        <v>0.5</v>
      </c>
      <c r="G101" s="27">
        <f>E101*F101</f>
        <v/>
      </c>
      <c r="H101" s="25" t="inlineStr">
        <is>
          <t>ISV-0091</t>
        </is>
      </c>
      <c r="I101" s="25" t="n">
        <v>600</v>
      </c>
      <c r="J101" s="25" t="inlineStr">
        <is>
          <t>مطابق الكمية</t>
        </is>
      </c>
      <c r="K101" s="25" t="n"/>
    </row>
    <row r="102">
      <c r="A102" s="25" t="n">
        <v>106</v>
      </c>
      <c r="B102" s="96" t="n">
        <v>46214</v>
      </c>
      <c r="C102" s="25" t="inlineStr">
        <is>
          <t>ISV-0092</t>
        </is>
      </c>
      <c r="D102" s="25" t="inlineStr">
        <is>
          <t>زهور فينكا روزا</t>
        </is>
      </c>
      <c r="E102" s="25" t="n">
        <v>1500</v>
      </c>
      <c r="F102" s="25" t="n">
        <v>0.5</v>
      </c>
      <c r="G102" s="27">
        <f>E102*F102</f>
        <v/>
      </c>
      <c r="H102" s="25" t="inlineStr">
        <is>
          <t>ISV-0092</t>
        </is>
      </c>
      <c r="I102" s="25" t="n">
        <v>1500</v>
      </c>
      <c r="J102" s="25" t="inlineStr">
        <is>
          <t>مطابق الكمية</t>
        </is>
      </c>
      <c r="K102" s="25" t="n"/>
    </row>
    <row r="103">
      <c r="A103" s="18" t="n">
        <v>107</v>
      </c>
      <c r="B103" s="98" t="n">
        <v>46214</v>
      </c>
      <c r="C103" s="18" t="inlineStr">
        <is>
          <t>RNT - 205</t>
        </is>
      </c>
      <c r="D103" s="18" t="inlineStr">
        <is>
          <t>سكندابسس مركن 19 علاقي</t>
        </is>
      </c>
      <c r="E103" s="18" t="n">
        <v>300</v>
      </c>
      <c r="F103" s="18" t="n">
        <v>10</v>
      </c>
      <c r="G103" s="19">
        <f>E103*F103</f>
        <v/>
      </c>
      <c r="H103" s="18" t="inlineStr">
        <is>
          <t>TRF-0107، TRF-0122، TRF-0120</t>
        </is>
      </c>
      <c r="I103" s="18" t="n"/>
      <c r="J103" s="18" t="inlineStr">
        <is>
          <t>يوجد فرق</t>
        </is>
      </c>
      <c r="K103" s="18" t="inlineStr">
        <is>
          <t>⚠ يقابله TRF-0107 (9 أصناف) + TRF-0122 − TRF-0120. المحاسب أدرج 3 أصناف فقط وأسقط 6 أصناف من TRF-0107: دورانتا 1,290، اكاليفا 60، فل بلدي 450، تيكوماريا 2,384، ياسمين أزرق 580، تجيل كروي 2,400 (قيمتها 14,550 بدون ضريبة). السيسبانيا 240 = الصافي بعد المرتجع – صحيح</t>
        </is>
      </c>
    </row>
    <row r="104">
      <c r="A104" s="18" t="n">
        <v>108</v>
      </c>
      <c r="B104" s="98" t="n">
        <v>46214</v>
      </c>
      <c r="C104" s="18" t="inlineStr">
        <is>
          <t>RNT - 205</t>
        </is>
      </c>
      <c r="D104" s="18" t="inlineStr">
        <is>
          <t>هيدرا علاقي مركن 19</t>
        </is>
      </c>
      <c r="E104" s="18" t="n">
        <v>100</v>
      </c>
      <c r="F104" s="18" t="n">
        <v>10</v>
      </c>
      <c r="G104" s="19">
        <f>E104*F104</f>
        <v/>
      </c>
      <c r="H104" s="18" t="inlineStr">
        <is>
          <t>TRF-0107، TRF-0122، TRF-0120</t>
        </is>
      </c>
      <c r="I104" s="18" t="n"/>
      <c r="J104" s="18" t="inlineStr">
        <is>
          <t>يوجد فرق</t>
        </is>
      </c>
      <c r="K104" s="18" t="n"/>
    </row>
    <row r="105">
      <c r="A105" s="18" t="n">
        <v>109</v>
      </c>
      <c r="B105" s="98" t="n">
        <v>46214</v>
      </c>
      <c r="C105" s="18" t="inlineStr">
        <is>
          <t>RNT - 205</t>
        </is>
      </c>
      <c r="D105" s="18" t="inlineStr">
        <is>
          <t xml:space="preserve">سيسلبانيا 1 - 2 متر </t>
        </is>
      </c>
      <c r="E105" s="18" t="n">
        <v>240</v>
      </c>
      <c r="F105" s="18" t="n">
        <v>25.5</v>
      </c>
      <c r="G105" s="19">
        <f>E105*F105</f>
        <v/>
      </c>
      <c r="H105" s="18" t="inlineStr">
        <is>
          <t>TRF-0107، TRF-0122، TRF-0120</t>
        </is>
      </c>
      <c r="I105" s="18" t="n"/>
      <c r="J105" s="18" t="inlineStr">
        <is>
          <t>يوجد فرق</t>
        </is>
      </c>
      <c r="K105" s="18" t="n"/>
    </row>
    <row r="106">
      <c r="A106" s="25" t="n">
        <v>110</v>
      </c>
      <c r="B106" s="96" t="n">
        <v>46229</v>
      </c>
      <c r="C106" s="25" t="inlineStr">
        <is>
          <t>ISV-0127</t>
        </is>
      </c>
      <c r="D106" s="25" t="inlineStr">
        <is>
          <t>زهور فينكا روزا</t>
        </is>
      </c>
      <c r="E106" s="25" t="n">
        <v>2720</v>
      </c>
      <c r="F106" s="25" t="n">
        <v>0.5</v>
      </c>
      <c r="G106" s="27">
        <f>E106*F106</f>
        <v/>
      </c>
      <c r="H106" s="25" t="inlineStr">
        <is>
          <t>ISV-0127</t>
        </is>
      </c>
      <c r="I106" s="25" t="n">
        <v>2720</v>
      </c>
      <c r="J106" s="25" t="inlineStr">
        <is>
          <t>مطابق الكمية</t>
        </is>
      </c>
      <c r="K106" s="25" t="n"/>
    </row>
    <row r="107">
      <c r="A107" s="25" t="n">
        <v>111</v>
      </c>
      <c r="B107" s="96" t="n">
        <v>46229</v>
      </c>
      <c r="C107" s="25" t="inlineStr">
        <is>
          <t>ISV-0128</t>
        </is>
      </c>
      <c r="D107" s="25" t="inlineStr">
        <is>
          <t>زهور فينكا روزا</t>
        </is>
      </c>
      <c r="E107" s="25" t="n">
        <v>4700</v>
      </c>
      <c r="F107" s="25" t="n">
        <v>0.5</v>
      </c>
      <c r="G107" s="27">
        <f>E107*F107</f>
        <v/>
      </c>
      <c r="H107" s="25" t="inlineStr">
        <is>
          <t>ISV-0128</t>
        </is>
      </c>
      <c r="I107" s="25" t="n">
        <v>4720</v>
      </c>
      <c r="J107" s="25" t="inlineStr">
        <is>
          <t>مطابق الكمية</t>
        </is>
      </c>
      <c r="K107" s="25" t="n"/>
    </row>
    <row r="108">
      <c r="A108" s="25" t="n">
        <v>112</v>
      </c>
      <c r="B108" s="96" t="n">
        <v>46229</v>
      </c>
      <c r="C108" s="25" t="inlineStr">
        <is>
          <t>ISV-0128</t>
        </is>
      </c>
      <c r="D108" s="25" t="inlineStr">
        <is>
          <t>جهنمية بلدي1 متر</t>
        </is>
      </c>
      <c r="E108" s="25" t="n">
        <v>10</v>
      </c>
      <c r="F108" s="25" t="n">
        <v>6</v>
      </c>
      <c r="G108" s="27">
        <f>E108*F108</f>
        <v/>
      </c>
      <c r="H108" s="25" t="inlineStr">
        <is>
          <t>ISV-0128</t>
        </is>
      </c>
      <c r="I108" s="25" t="n"/>
      <c r="J108" s="25" t="inlineStr">
        <is>
          <t>مطابق الكمية</t>
        </is>
      </c>
      <c r="K108" s="25" t="n"/>
    </row>
    <row r="109">
      <c r="A109" s="25" t="n">
        <v>113</v>
      </c>
      <c r="B109" s="96" t="n">
        <v>46229</v>
      </c>
      <c r="C109" s="25" t="inlineStr">
        <is>
          <t>ISV-0128</t>
        </is>
      </c>
      <c r="D109" s="25" t="inlineStr">
        <is>
          <t>فيكس بندا 50 سم</t>
        </is>
      </c>
      <c r="E109" s="25" t="n">
        <v>10</v>
      </c>
      <c r="F109" s="25" t="n">
        <v>10</v>
      </c>
      <c r="G109" s="27">
        <f>E109*F109</f>
        <v/>
      </c>
      <c r="H109" s="25" t="inlineStr">
        <is>
          <t>ISV-0128</t>
        </is>
      </c>
      <c r="I109" s="25" t="n"/>
      <c r="J109" s="25" t="inlineStr">
        <is>
          <t>مطابق الكمية</t>
        </is>
      </c>
      <c r="K109" s="25" t="n"/>
    </row>
    <row r="110">
      <c r="A110" s="9" t="n"/>
      <c r="B110" s="9" t="n"/>
      <c r="C110" s="9" t="n"/>
      <c r="D110" s="9" t="inlineStr">
        <is>
          <t>الإجمالي الصحيح</t>
        </is>
      </c>
      <c r="E110" s="9" t="n"/>
      <c r="F110" s="9" t="n"/>
      <c r="G110" s="10">
        <f>SUM(G2:G109)</f>
        <v/>
      </c>
      <c r="H110" s="9" t="n"/>
      <c r="I110" s="9" t="n"/>
      <c r="J110" s="9" t="n"/>
      <c r="K110" s="9" t="n"/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G16"/>
  <sheetViews>
    <sheetView rightToLeft="1" zoomScale="10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0" customWidth="1" min="4" max="4"/>
    <col width="15" customWidth="1" min="5" max="5"/>
    <col width="70" customWidth="1" min="6" max="6"/>
    <col width="50" customWidth="1" min="7" max="7"/>
  </cols>
  <sheetData>
    <row r="1">
      <c r="A1" s="22" t="inlineStr">
        <is>
          <t>الشيت الذي يجب أن تُدرج فيه</t>
        </is>
      </c>
      <c r="B1" s="22" t="inlineStr">
        <is>
          <t>رقم السند</t>
        </is>
      </c>
      <c r="C1" s="22" t="inlineStr">
        <is>
          <t>التاريخ</t>
        </is>
      </c>
      <c r="D1" s="22" t="inlineStr">
        <is>
          <t>الجهة</t>
        </is>
      </c>
      <c r="E1" s="22" t="inlineStr">
        <is>
          <t>القيمة بالنظام</t>
        </is>
      </c>
      <c r="F1" s="22" t="inlineStr">
        <is>
          <t>الأصناف والكميات</t>
        </is>
      </c>
      <c r="G1" s="22" t="inlineStr">
        <is>
          <t>ملاحظة</t>
        </is>
      </c>
    </row>
    <row r="2">
      <c r="A2" s="3" t="inlineStr">
        <is>
          <t>مسحوبات الرياض من تبوك</t>
        </is>
      </c>
      <c r="B2" s="3" t="inlineStr">
        <is>
          <t>TNR-2689</t>
        </is>
      </c>
      <c r="C2" s="107" t="n">
        <v>45959</v>
      </c>
      <c r="D2" s="3" t="inlineStr">
        <is>
          <t>WHOLESALE DEPARTMENT TABUK NURSERY</t>
        </is>
      </c>
      <c r="E2" s="4" t="n">
        <v>22137.5</v>
      </c>
      <c r="F2" s="3" t="inlineStr">
        <is>
          <t>بدون تفصيل بنود بالنظام</t>
        </is>
      </c>
      <c r="G2" s="3" t="n"/>
    </row>
    <row r="3">
      <c r="A3" s="3" t="inlineStr">
        <is>
          <t>مسحوبات الرياض من تبوك</t>
        </is>
      </c>
      <c r="B3" s="3" t="inlineStr">
        <is>
          <t>TNR-2888</t>
        </is>
      </c>
      <c r="C3" s="107" t="n">
        <v>45976</v>
      </c>
      <c r="D3" s="3" t="inlineStr">
        <is>
          <t>WHOLESALE DEPARTMENT TABUK NURSERY</t>
        </is>
      </c>
      <c r="E3" s="4" t="n">
        <v>23797.81</v>
      </c>
      <c r="F3" s="3" t="inlineStr">
        <is>
          <t>بدون تفصيل بنود بالنظام</t>
        </is>
      </c>
      <c r="G3" s="3" t="n"/>
    </row>
    <row r="4">
      <c r="A4" s="3" t="inlineStr">
        <is>
          <t>مسحوبات الرياض من تبوك</t>
        </is>
      </c>
      <c r="B4" s="3" t="inlineStr">
        <is>
          <t>TRF-0188</t>
        </is>
      </c>
      <c r="C4" s="107" t="n">
        <v>46231</v>
      </c>
      <c r="D4" s="3" t="inlineStr">
        <is>
          <t>تبوك ← الرياض</t>
        </is>
      </c>
      <c r="E4" s="4" t="n">
        <v>934.38</v>
      </c>
      <c r="F4" s="3" t="inlineStr">
        <is>
          <t>بيرلايت 100 لتر × 25</t>
        </is>
      </c>
      <c r="G4" s="3" t="n"/>
    </row>
    <row r="5">
      <c r="A5" s="3" t="inlineStr">
        <is>
          <t>مسحوبات تبوك من الرياض</t>
        </is>
      </c>
      <c r="B5" s="3" t="inlineStr">
        <is>
          <t>RNT-1789</t>
        </is>
      </c>
      <c r="C5" s="107" t="n">
        <v>45863</v>
      </c>
      <c r="D5" s="3" t="inlineStr">
        <is>
          <t>TRANSACTIONS BETWEEN RIYADH -TABUK NURSERY</t>
        </is>
      </c>
      <c r="E5" s="4" t="n">
        <v>5483.2</v>
      </c>
      <c r="F5" s="3" t="inlineStr">
        <is>
          <t>بدون تفصيل بنود بالنظام</t>
        </is>
      </c>
      <c r="G5" s="3" t="inlineStr">
        <is>
          <t>قبل 30-7-2025 لكن شيت المحاسب يبدأ من 1-7-2025</t>
        </is>
      </c>
    </row>
    <row r="6">
      <c r="A6" s="3" t="inlineStr">
        <is>
          <t>مسحوبات تبوك من الرياض</t>
        </is>
      </c>
      <c r="B6" s="3" t="inlineStr">
        <is>
          <t>RNT-2166</t>
        </is>
      </c>
      <c r="C6" s="107" t="n">
        <v>45887</v>
      </c>
      <c r="D6" s="3" t="inlineStr">
        <is>
          <t>TRANSACTIONS BETWEEN RIYADH -TABUK NURSERY</t>
        </is>
      </c>
      <c r="E6" s="4" t="n">
        <v>7475</v>
      </c>
      <c r="F6" s="3" t="inlineStr">
        <is>
          <t>بدون تفصيل بنود بالنظام</t>
        </is>
      </c>
      <c r="G6" s="3" t="n"/>
    </row>
    <row r="7">
      <c r="A7" s="3" t="inlineStr">
        <is>
          <t>مسحوبات تبوك من الرياض</t>
        </is>
      </c>
      <c r="B7" s="3" t="inlineStr">
        <is>
          <t>RNT-2141</t>
        </is>
      </c>
      <c r="C7" s="107" t="n">
        <v>45909</v>
      </c>
      <c r="D7" s="3" t="inlineStr">
        <is>
          <t>TRANSACTIONS BETWEEN RIYADH -TABUK NURSERY</t>
        </is>
      </c>
      <c r="E7" s="4" t="n">
        <v>8855</v>
      </c>
      <c r="F7" s="3" t="inlineStr">
        <is>
          <t>بدون تفصيل بنود بالنظام</t>
        </is>
      </c>
      <c r="G7" s="3" t="n"/>
    </row>
    <row r="8">
      <c r="A8" s="3" t="inlineStr">
        <is>
          <t>مسحوبات تبوك من الرياض</t>
        </is>
      </c>
      <c r="B8" s="3" t="inlineStr">
        <is>
          <t>RNT-3077</t>
        </is>
      </c>
      <c r="C8" s="107" t="n">
        <v>45992</v>
      </c>
      <c r="D8" s="3" t="inlineStr">
        <is>
          <t>TRANSACTIONS BETWEEN RIYADH -TABUK NURSERY</t>
        </is>
      </c>
      <c r="E8" s="4" t="n">
        <v>4305.03</v>
      </c>
      <c r="F8" s="3" t="inlineStr">
        <is>
          <t>بدون تفصيل بنود بالنظام</t>
        </is>
      </c>
      <c r="G8" s="3" t="n"/>
    </row>
    <row r="9">
      <c r="A9" s="3" t="inlineStr">
        <is>
          <t>مسحوبات تبوك من الرياض</t>
        </is>
      </c>
      <c r="B9" s="3" t="inlineStr">
        <is>
          <t>RNT-3346</t>
        </is>
      </c>
      <c r="C9" s="107" t="n">
        <v>46016</v>
      </c>
      <c r="D9" s="3" t="inlineStr">
        <is>
          <t>TRANSACTIONS BETWEEN RIYADH -TABUK NURSERY</t>
        </is>
      </c>
      <c r="E9" s="4" t="n">
        <v>1765.25</v>
      </c>
      <c r="F9" s="3" t="inlineStr">
        <is>
          <t>بدون تفصيل بنود بالنظام</t>
        </is>
      </c>
      <c r="G9" s="3" t="n"/>
    </row>
    <row r="10">
      <c r="A10" s="3" t="inlineStr">
        <is>
          <t>مسحوبات تبوك من الرياض</t>
        </is>
      </c>
      <c r="B10" s="3" t="inlineStr">
        <is>
          <t>RNP-2297</t>
        </is>
      </c>
      <c r="C10" s="107" t="n">
        <v>45926</v>
      </c>
      <c r="D10" s="3" t="inlineStr">
        <is>
          <t>NESMA ELSHARQ COMPANY-PROJECTS</t>
        </is>
      </c>
      <c r="E10" s="4" t="n">
        <v>5433.75</v>
      </c>
      <c r="F10" s="3" t="inlineStr">
        <is>
          <t>بدون تفصيل بنود بالنظام</t>
        </is>
      </c>
      <c r="G10" s="3" t="n"/>
    </row>
    <row r="11">
      <c r="A11" s="3" t="inlineStr">
        <is>
          <t>مسحوبات تبوك من الرياض</t>
        </is>
      </c>
      <c r="B11" s="3" t="inlineStr">
        <is>
          <t>RNP-2427</t>
        </is>
      </c>
      <c r="C11" s="107" t="n">
        <v>45938</v>
      </c>
      <c r="D11" s="3" t="inlineStr">
        <is>
          <t>NESMA ELSHARQ COMPANY-PROJECTS</t>
        </is>
      </c>
      <c r="E11" s="4" t="n">
        <v>7078.25</v>
      </c>
      <c r="F11" s="3" t="inlineStr">
        <is>
          <t>بدون تفصيل بنود بالنظام</t>
        </is>
      </c>
      <c r="G11" s="3" t="n"/>
    </row>
    <row r="12">
      <c r="A12" s="3" t="inlineStr">
        <is>
          <t>مسحوبات تبوك من الرياض</t>
        </is>
      </c>
      <c r="B12" s="3" t="inlineStr">
        <is>
          <t>RNP-3756</t>
        </is>
      </c>
      <c r="C12" s="107" t="n">
        <v>46057</v>
      </c>
      <c r="D12" s="3" t="inlineStr">
        <is>
          <t>NESMA ELSHARQ COMPANY- PROJECTS</t>
        </is>
      </c>
      <c r="E12" s="4" t="n">
        <v>747.5</v>
      </c>
      <c r="F12" s="3" t="inlineStr">
        <is>
          <t>ياسمين هندي كبير × 20</t>
        </is>
      </c>
      <c r="G12" s="3" t="n"/>
    </row>
    <row r="13">
      <c r="A13" s="3" t="inlineStr">
        <is>
          <t>مسحوبات تبوك من الرياض</t>
        </is>
      </c>
      <c r="B13" s="3" t="inlineStr">
        <is>
          <t>ISV-0075</t>
        </is>
      </c>
      <c r="C13" s="107" t="n">
        <v>46207</v>
      </c>
      <c r="D13" s="3" t="inlineStr">
        <is>
          <t>REQ:رائد الخير</t>
        </is>
      </c>
      <c r="E13" s="4" t="n">
        <v>2750</v>
      </c>
      <c r="F13" s="3" t="inlineStr">
        <is>
          <t>بدون تفصيل بنود بالنظام</t>
        </is>
      </c>
      <c r="G13" s="3" t="inlineStr">
        <is>
          <t>موجود بالأرشيف فقط – صنفان، الجهة: رائد الخير</t>
        </is>
      </c>
    </row>
    <row r="14">
      <c r="A14" s="3" t="inlineStr">
        <is>
          <t>مسحوبات تبوك من الرياض</t>
        </is>
      </c>
      <c r="B14" s="3" t="inlineStr">
        <is>
          <t>RNP-1787</t>
        </is>
      </c>
      <c r="C14" s="107" t="n">
        <v>45863</v>
      </c>
      <c r="D14" s="3" t="inlineStr">
        <is>
          <t>NESMA ELSHARQ COMPANY-PROJECTS</t>
        </is>
      </c>
      <c r="E14" s="4" t="n">
        <v>18975</v>
      </c>
      <c r="F14" s="3" t="inlineStr">
        <is>
          <t>بدون تفصيل بنود بالنظام</t>
        </is>
      </c>
      <c r="G14" s="3" t="inlineStr">
        <is>
          <t>رقم مكرر لحركتين – حركة 4-8-2025 جهتها WHOLESALE DEPARTMENT RIYADH (قد لا تخص تبوك)</t>
        </is>
      </c>
    </row>
    <row r="15">
      <c r="A15" s="3" t="inlineStr">
        <is>
          <t>مسحوبات تبوك من الرياض</t>
        </is>
      </c>
      <c r="B15" s="3" t="inlineStr">
        <is>
          <t>RNP-1787</t>
        </is>
      </c>
      <c r="C15" s="107" t="n">
        <v>45873</v>
      </c>
      <c r="D15" s="3" t="inlineStr">
        <is>
          <t>WHOLESALE DEPARTMENT RIYADH NURSERY</t>
        </is>
      </c>
      <c r="E15" s="4" t="n">
        <v>20872.5</v>
      </c>
      <c r="F15" s="3" t="inlineStr">
        <is>
          <t>بدون تفصيل بنود بالنظام</t>
        </is>
      </c>
      <c r="G15" s="3" t="inlineStr">
        <is>
          <t>رقم مكرر لحركتين – حركة 4-8-2025 جهتها WHOLESALE DEPARTMENT RIYADH (قد لا تخص تبوك)</t>
        </is>
      </c>
    </row>
    <row r="16">
      <c r="A16" s="3" t="inlineStr">
        <is>
          <t>مسحوبات تبوك من الرياض</t>
        </is>
      </c>
      <c r="B16" s="3" t="inlineStr">
        <is>
          <t>TRF-0107 (جزء)</t>
        </is>
      </c>
      <c r="C16" s="107" t="n">
        <v>46214</v>
      </c>
      <c r="D16" s="3" t="inlineStr">
        <is>
          <t>الرياض ← تبوك</t>
        </is>
      </c>
      <c r="E16" s="4" t="n">
        <v>16732.5</v>
      </c>
      <c r="F16" s="3" t="inlineStr">
        <is>
          <t>دورانتا × 1,290، اكاليفا × 60، فل بلدي × 450، تيكوماريا 50 سم × 2,384، ياسمين أزرق × 580، تجيل كروي مركن 9 × 2,400</t>
        </is>
      </c>
      <c r="G16" s="3" t="inlineStr">
        <is>
          <t>6 أصناف أسقطها المحاسب من السند (14,550 + ضريبة 15%)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2026-09-28T06:51:06Z</dcterms:created>
  <dcterms:modified xsi:type="dcterms:W3CDTF">2026-09-28T13:06:06Z</dcterms:modified>
</cp:coreProperties>
</file>