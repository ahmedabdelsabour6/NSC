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حساب أبو مازن" sheetId="6" state="visible" r:id="rId6"/>
    <sheet name="إيرادات قبل الفترة" sheetId="7" state="visible" r:id="rId7"/>
    <sheet name="تحقق سند أبو خالد" sheetId="8" state="visible" r:id="rId8"/>
    <sheet name="مبيعات - الملخص" sheetId="9" state="visible" r:id="rId9"/>
    <sheet name="الحركة المدمجة" sheetId="10" state="visible" r:id="rId10"/>
    <sheet name="مبيعات - شهري" sheetId="11" state="visible" r:id="rId11"/>
    <sheet name="مبيعات قبل 30.7.2025" sheetId="12" state="visible" r:id="rId12"/>
    <sheet name="مبيعات عصمت" sheetId="13" state="visible" r:id="rId13"/>
    <sheet name="مبيعات عماد" sheetId="14" state="visible" r:id="rId14"/>
    <sheet name="مبيعات أبو خالد" sheetId="15" state="visible" r:id="rId15"/>
    <sheet name="أبو خالد - تفصيل البنود" sheetId="16" state="visible" r:id="rId16"/>
    <sheet name="الفواتير المبدئية" sheetId="17" state="visible" r:id="rId17"/>
    <sheet name="فواتير - حسب المندوب" sheetId="18" state="visible" r:id="rId18"/>
    <sheet name="فواتير - شهري" sheetId="19" state="visible" r:id="rId19"/>
    <sheet name="مطابقة العقود" sheetId="20" state="visible" r:id="rId20"/>
    <sheet name="فواتير عقودها غير مسجلة" sheetId="21" state="visible" r:id="rId21"/>
    <sheet name="الفواتير مقابل الكشف" sheetId="22" state="visible" r:id="rId22"/>
    <sheet name="قيود كشف بدون فاتورة" sheetId="23" state="visible" r:id="rId23"/>
    <sheet name="مصروفات - الملخص" sheetId="24" state="visible" r:id="rId24"/>
    <sheet name="مصروفات التأسيس" sheetId="25" state="visible" r:id="rId25"/>
    <sheet name="مصروفات قبل 30.7.2025" sheetId="26" state="visible" r:id="rId26"/>
    <sheet name="أوامر الشراء 2026" sheetId="27" state="visible" r:id="rId27"/>
    <sheet name="العهد - التفصيل" sheetId="28" state="visible" r:id="rId28"/>
    <sheet name="العهد - الملخص" sheetId="29" state="visible" r:id="rId29"/>
    <sheet name="مصروفات الخزنة (كشف الحساب)" sheetId="30" state="visible" r:id="rId30"/>
    <sheet name="خزنة الرياض 6-7 2026" sheetId="31" state="visible" r:id="rId31"/>
    <sheet name="أرصدة العملاء والموردين" sheetId="32" state="visible" r:id="rId32"/>
    <sheet name="مصروفات 2025 - تفصيل" sheetId="33" state="visible" r:id="rId33"/>
    <sheet name="مصروفات 2025 - ملخص" sheetId="34" state="visible" r:id="rId34"/>
    <sheet name="مواد - الملخص" sheetId="35" state="visible" r:id="rId35"/>
    <sheet name="مواد - سجل العقود" sheetId="36" state="visible" r:id="rId36"/>
    <sheet name="مواد - تفصيل البنود" sheetId="37" state="visible" r:id="rId37"/>
    <sheet name="مواد - الكميات حسب الصنف" sheetId="38" state="visible" r:id="rId38"/>
    <sheet name="مسحوبات - ملخص المراجعة" sheetId="39" state="visible" r:id="rId39"/>
    <sheet name="مسحوبات تبوك قبل الفترة" sheetId="40" state="visible" r:id="rId40"/>
    <sheet name="مصاريف إدارية وديزل تبوك" sheetId="41" state="visible" r:id="rId41"/>
    <sheet name="مسحوبات الرياض من تبوك" sheetId="42" state="visible" r:id="rId42"/>
    <sheet name="مسحوبات تبوك من الرياض" sheetId="43" state="visible" r:id="rId43"/>
    <sheet name="سندات غير مدرجة بالمحاسب" sheetId="44" state="visible" r:id="rId44"/>
  </sheets>
  <definedNames>
    <definedName name="_xlnm._FilterDatabase" localSheetId="9" hidden="1">'الحركة المدمجة'!$A$1:$J$360</definedName>
    <definedName name="_xlnm._FilterDatabase" localSheetId="12" hidden="1">'مبيعات عصمت'!$A$1:$I$255</definedName>
    <definedName name="_xlnm._FilterDatabase" localSheetId="13" hidden="1">'مبيعات عماد'!$A$1:$I$59</definedName>
    <definedName name="_xlnm._FilterDatabase" localSheetId="14" hidden="1">'مبيعات أبو خالد'!$A$1:$I$48</definedName>
    <definedName name="_xlnm._FilterDatabase" localSheetId="16" hidden="1">'الفواتير المبدئية'!$A$2:$H$241</definedName>
    <definedName name="_xlnm._FilterDatabase" localSheetId="19" hidden="1">'مطابقة العقود'!$A$1:$I$251</definedName>
    <definedName name="_xlnm._FilterDatabase" localSheetId="26" hidden="1">'أوامر الشراء 2026'!$A$1:$L$32</definedName>
    <definedName name="_xlnm._FilterDatabase" localSheetId="27" hidden="1">'العهد - التفصيل'!$A$1:$I$179</definedName>
    <definedName name="_xlnm._FilterDatabase" localSheetId="29" hidden="1">'مصروفات الخزنة (كشف الحساب)'!$A$1:$I$198</definedName>
    <definedName name="_xlnm._FilterDatabase" localSheetId="32" hidden="1">'مصروفات 2025 - تفصيل'!$A$1:$L$307</definedName>
    <definedName name="_xlnm._FilterDatabase" localSheetId="35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yyyy-mm-dd"/>
    <numFmt numFmtId="166" formatCode="#,##0.##"/>
    <numFmt numFmtId="167" formatCode="yyyy-mm-dd h:mm:ss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(2024)</t>
        </is>
      </c>
      <c r="B12" s="4">
        <f>'مصروفات التأسيس'!E27</f>
        <v/>
      </c>
      <c r="C12" s="4" t="n"/>
      <c r="D12" s="3" t="inlineStr">
        <is>
          <t>ممولة من أبو مازن / نسما</t>
        </is>
      </c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3"/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n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11" t="n">
        <v>1</v>
      </c>
      <c r="B11" s="11" t="inlineStr">
        <is>
          <t>تسديد لأبو خالد من المديونية (18-5-2026)</t>
        </is>
      </c>
      <c r="C11" s="12" t="n">
        <v>2000</v>
      </c>
      <c r="D11" s="11" t="inlineStr">
        <is>
          <t>كشف الخزنة – مستند 156</t>
        </is>
      </c>
      <c r="E11" s="11" t="inlineStr">
        <is>
          <t>⚠ مسجل على حساب أبو خالد – يلزم التأكيد إن كان يخصه أو يخص أبو مازن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ضخ نقدي في مصاريف تشغيل المزرعة</t>
        </is>
      </c>
      <c r="C21" s="4" t="n">
        <v>189235</v>
      </c>
      <c r="D21" s="3" t="inlineStr">
        <is>
          <t>بيان صاحب الحساب</t>
        </is>
      </c>
      <c r="E21" s="3" t="n"/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11" t="n">
        <v>1</v>
      </c>
      <c r="B20" s="11" t="inlineStr">
        <is>
          <t>مصروفات التأسيس كاملة</t>
        </is>
      </c>
      <c r="C20" s="12">
        <f>'مصروفات التأسيس'!E27</f>
        <v/>
      </c>
      <c r="D20" s="11" t="inlineStr">
        <is>
          <t>كشف مصروفات التأسيس</t>
        </is>
      </c>
      <c r="E20" s="11" t="inlineStr">
        <is>
          <t>⚠ البند 23 (دينة عماد 123,000) تاريخه 1-11-2025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2"/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0"/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3"/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3"/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6"/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0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/>
    <row r="29">
      <c r="A29" s="59" t="inlineStr">
        <is>
          <t>حسب طريقة الدفع</t>
        </is>
      </c>
    </row>
    <row r="30">
      <c r="A30" s="16" t="n"/>
      <c r="B30" s="16" t="n"/>
      <c r="C30" s="16" t="inlineStr">
        <is>
          <t>البنك السعودي</t>
        </is>
      </c>
      <c r="D30" s="16" t="n"/>
      <c r="E30" s="17">
        <f>SUMIFS(E3:E26,D3:D26,C30)</f>
        <v/>
      </c>
      <c r="F30" s="16" t="n"/>
    </row>
    <row r="31">
      <c r="A31" s="16" t="n"/>
      <c r="B31" s="16" t="n"/>
      <c r="C31" s="16" t="inlineStr">
        <is>
          <t>بنك الرياض</t>
        </is>
      </c>
      <c r="D31" s="16" t="n"/>
      <c r="E31" s="17">
        <f>SUMIFS(E3:E26,D3:D26,C31)</f>
        <v/>
      </c>
      <c r="F31" s="16" t="n"/>
    </row>
    <row r="32">
      <c r="A32" s="16" t="n"/>
      <c r="B32" s="16" t="n"/>
      <c r="C32" s="16" t="inlineStr">
        <is>
          <t>بنك ساب</t>
        </is>
      </c>
      <c r="D32" s="16" t="n"/>
      <c r="E32" s="17">
        <f>SUMIFS(E3:E26,D3:D26,C32)</f>
        <v/>
      </c>
      <c r="F32" s="16" t="n"/>
    </row>
    <row r="33">
      <c r="A33" s="16" t="n"/>
      <c r="B33" s="16" t="n"/>
      <c r="C33" s="16" t="inlineStr">
        <is>
          <t>أبومازن</t>
        </is>
      </c>
      <c r="D33" s="16" t="n"/>
      <c r="E33" s="17">
        <f>SUMIFS(E3:E26,D3:D26,C33)</f>
        <v/>
      </c>
      <c r="F33" s="16" t="n"/>
    </row>
    <row r="34" ht="32" customHeight="1">
      <c r="A34" s="13" t="n"/>
    </row>
    <row r="35" ht="32" customHeight="1">
      <c r="A35" s="13" t="inlineStr">
        <is>
          <t>ملاحظات:</t>
        </is>
      </c>
    </row>
    <row r="36" ht="32" customHeight="1">
      <c r="A36" s="13" t="inlineStr">
        <is>
          <t>1) الإجمالي 1,089,735.80 مطابق لمجموع البنود.</t>
        </is>
      </c>
    </row>
    <row r="37" ht="32" customHeight="1">
      <c r="A37" s="13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38" ht="32" customHeight="1">
      <c r="A38" s="13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39" ht="32" customHeight="1">
      <c r="A39" s="13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0" ht="32" customHeight="1">
      <c r="A40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8">
    <mergeCell ref="A38:F38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6"/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3"/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7"/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6"/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2"/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1"/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6"/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شركة الجزيرة الحديثة الزراعية</t>
        </is>
      </c>
      <c r="D129" s="16" t="inlineStr">
        <is>
          <t>WHK-2364</t>
        </is>
      </c>
      <c r="E129" s="16" t="inlineStr">
        <is>
          <t>مرفق طلب التوريد</t>
        </is>
      </c>
      <c r="F129" s="17" t="n">
        <v>36956.52</v>
      </c>
      <c r="G129" s="16" t="n">
        <v>15</v>
      </c>
      <c r="H129" s="17" t="n">
        <v>42500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مشتريات زهور لعقد عرعر (WHK-2364)</t>
        </is>
      </c>
      <c r="L129" s="16" t="inlineStr">
        <is>
          <t>تكلفة زهور مشتراة لتوريد عقد عرعر لأبو خالد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شركة الجزيرة الحديثة الزراعية</t>
        </is>
      </c>
      <c r="D142" s="16" t="inlineStr">
        <is>
          <t>WHK-2364</t>
        </is>
      </c>
      <c r="E142" s="16" t="inlineStr">
        <is>
          <t>مرفق طلب التوريد</t>
        </is>
      </c>
      <c r="F142" s="17" t="n">
        <v>34173.91</v>
      </c>
      <c r="G142" s="16" t="n">
        <v>15</v>
      </c>
      <c r="H142" s="17" t="n">
        <v>39300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مشتريات زهور لعقد عرعر (WHK-2364)</t>
        </is>
      </c>
      <c r="L142" s="16" t="inlineStr">
        <is>
          <t>تكلفة زهور مشتراة لتوريد عقد عرعر لأبو خالد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16" t="n">
        <v>183</v>
      </c>
      <c r="B184" s="95" t="n">
        <v>45954</v>
      </c>
      <c r="C184" s="16" t="inlineStr">
        <is>
          <t>شركة الجزيرة الحديثة الزراعية</t>
        </is>
      </c>
      <c r="D184" s="16" t="inlineStr">
        <is>
          <t>WHK-2364</t>
        </is>
      </c>
      <c r="E184" s="16" t="inlineStr">
        <is>
          <t>مرفق طلب التوريد</t>
        </is>
      </c>
      <c r="F184" s="17" t="n">
        <v>35740</v>
      </c>
      <c r="G184" s="16" t="n">
        <v>0</v>
      </c>
      <c r="H184" s="17" t="n">
        <v>35740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مشتريات زهور لعقد عرعر (WHK-2364)</t>
        </is>
      </c>
      <c r="L184" s="16" t="inlineStr">
        <is>
          <t>تكلفة زهور مشتراة لتوريد عقد عرعر لأبو خالد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16" t="n">
        <v>210</v>
      </c>
      <c r="B211" s="95" t="n">
        <v>45966</v>
      </c>
      <c r="C211" s="16" t="inlineStr">
        <is>
          <t>شركة الجزيرة الحديثة الزراعية</t>
        </is>
      </c>
      <c r="D211" s="16" t="inlineStr">
        <is>
          <t>WHK-2364</t>
        </is>
      </c>
      <c r="E211" s="16" t="inlineStr">
        <is>
          <t>مرفق طلب التوريد</t>
        </is>
      </c>
      <c r="F211" s="17" t="n">
        <v>19312.5</v>
      </c>
      <c r="G211" s="16" t="n">
        <v>0</v>
      </c>
      <c r="H211" s="17" t="n">
        <v>19312.5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مشتريات زهور لعقد عرعر (WHK-2364)</t>
        </is>
      </c>
      <c r="L211" s="16" t="inlineStr">
        <is>
          <t>تكلفة زهور مشتراة لتوريد عقد عرعر لأبو خالد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34" t="n">
        <v>289</v>
      </c>
      <c r="B290" s="99" t="n">
        <v>46016</v>
      </c>
      <c r="C290" s="34" t="inlineStr">
        <is>
          <t>شركة الجزيرة الحديثة الزراعية</t>
        </is>
      </c>
      <c r="D290" s="34" t="inlineStr">
        <is>
          <t>WHK-2364</t>
        </is>
      </c>
      <c r="E290" s="34" t="inlineStr">
        <is>
          <t>مرفق طلب التوريد</t>
        </is>
      </c>
      <c r="F290" s="36" t="n">
        <v>21250</v>
      </c>
      <c r="G290" s="34" t="n">
        <v>0</v>
      </c>
      <c r="H290" s="36" t="n">
        <v>21250</v>
      </c>
      <c r="I290" s="34" t="inlineStr">
        <is>
          <t>لا</t>
        </is>
      </c>
      <c r="J290" s="34" t="inlineStr">
        <is>
          <t>مزرعة الرياض (عهدة/صندوق)</t>
        </is>
      </c>
      <c r="K290" s="34" t="inlineStr">
        <is>
          <t>مشتريات زهور لعقد عرعر (WHK-2364)</t>
        </is>
      </c>
      <c r="L290" s="34" t="inlineStr">
        <is>
          <t>⚠ غير مدفوع – مديونية قائمة | تكلفة زهور مشتراة لتوريد عقد عرعر لأبو خالد</t>
        </is>
      </c>
    </row>
    <row r="291">
      <c r="A291" s="18" t="n">
        <v>290</v>
      </c>
      <c r="B291" s="98" t="n">
        <v>46016</v>
      </c>
      <c r="C291" s="18" t="inlineStr">
        <is>
          <t>شركة الجزيرة الحديثة الزراعية</t>
        </is>
      </c>
      <c r="D291" s="18" t="inlineStr">
        <is>
          <t>WHK-2364</t>
        </is>
      </c>
      <c r="E291" s="18" t="inlineStr">
        <is>
          <t>مرفق طلب التوريد</t>
        </is>
      </c>
      <c r="F291" s="19" t="n">
        <v>20000</v>
      </c>
      <c r="G291" s="18" t="n">
        <v>0</v>
      </c>
      <c r="H291" s="19" t="n">
        <v>20000</v>
      </c>
      <c r="I291" s="18" t="inlineStr">
        <is>
          <t>نعم</t>
        </is>
      </c>
      <c r="J291" s="18" t="inlineStr">
        <is>
          <t>مزرعة الرياض (عهدة/صندوق)</t>
        </is>
      </c>
      <c r="K291" s="18" t="inlineStr">
        <is>
          <t>مشتريات زهور لعقد عرعر (WHK-2364)</t>
        </is>
      </c>
      <c r="L291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18" t="n">
        <v>291</v>
      </c>
      <c r="B292" s="98" t="n">
        <v>46016</v>
      </c>
      <c r="C292" s="18" t="inlineStr">
        <is>
          <t>شركة الجزيرة الحديثة الزراعية</t>
        </is>
      </c>
      <c r="D292" s="18" t="inlineStr">
        <is>
          <t>WHK-2364</t>
        </is>
      </c>
      <c r="E292" s="18" t="inlineStr">
        <is>
          <t>مرفق طلب التوريد</t>
        </is>
      </c>
      <c r="F292" s="19" t="n">
        <v>20000</v>
      </c>
      <c r="G292" s="18" t="n">
        <v>0</v>
      </c>
      <c r="H292" s="19" t="n">
        <v>20000</v>
      </c>
      <c r="I292" s="18" t="inlineStr">
        <is>
          <t>نعم</t>
        </is>
      </c>
      <c r="J292" s="18" t="inlineStr">
        <is>
          <t>مزرعة الرياض (عهدة/صندوق)</t>
        </is>
      </c>
      <c r="K292" s="18" t="inlineStr">
        <is>
          <t>مشتريات زهور لعقد عرعر (WHK-2364)</t>
        </is>
      </c>
      <c r="L292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2"/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6"/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7"/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3"/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2"/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3"/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3"/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7"/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3"/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6"/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2026-09-28T07:08:01Z</dcterms:modified>
</cp:coreProperties>
</file>