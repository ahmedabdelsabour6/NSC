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صروفات الخزنة (كشف الحساب)" sheetId="32" state="visible" r:id="rId32"/>
    <sheet name="خزنة الرياض 6-7 2026" sheetId="33" state="visible" r:id="rId33"/>
    <sheet name="صرف بدون بيان" sheetId="34" state="visible" r:id="rId34"/>
    <sheet name="أرصدة العملاء والموردين" sheetId="35" state="visible" r:id="rId35"/>
    <sheet name="مصروفات 2025 - تفصيل" sheetId="36" state="visible" r:id="rId36"/>
    <sheet name="مصروفات 2025 - ملخص" sheetId="37" state="visible" r:id="rId37"/>
    <sheet name="مواد - الملخص" sheetId="38" state="visible" r:id="rId38"/>
    <sheet name="مواد - سجل العقود" sheetId="39" state="visible" r:id="rId39"/>
    <sheet name="مواد - تفصيل البنود" sheetId="40" state="visible" r:id="rId40"/>
    <sheet name="مواد - الكميات حسب الصنف" sheetId="41" state="visible" r:id="rId41"/>
    <sheet name="مسحوبات - ملخص المراجعة" sheetId="42" state="visible" r:id="rId42"/>
    <sheet name="مسحوبات تبوك قبل الفترة" sheetId="43" state="visible" r:id="rId43"/>
    <sheet name="مصاريف إدارية وديزل تبوك" sheetId="44" state="visible" r:id="rId44"/>
    <sheet name="مسحوبات الرياض من تبوك" sheetId="45" state="visible" r:id="rId45"/>
    <sheet name="مسحوبات تبوك من الرياض" sheetId="46" state="visible" r:id="rId46"/>
    <sheet name="سندات غير مدرجة بالمحاسب" sheetId="47" state="visible" r:id="rId47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1" hidden="1">'مصروفات الخزنة (كشف الحساب)'!$A$1:$I$198</definedName>
    <definedName name="_xlnm._FilterDatabase" localSheetId="35" hidden="1">'مصروفات 2025 - تفصيل'!$A$1:$L$307</definedName>
    <definedName name="_xlnm._FilterDatabase" localSheetId="38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8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مع الفواتير والجزيرة وترحيلات تبوك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تفصيل'!H308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الحساب)'!F199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والموردين'!F42</f>
        <v/>
      </c>
      <c r="C29" s="4" t="n"/>
      <c r="D29" s="3" t="inlineStr">
        <is>
          <t>PO-0777 بقيمته كاملة لحين معرفة المسدد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/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/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بالقيمة الكاملة</t>
        </is>
      </c>
      <c r="C5" s="4" t="n">
        <v>440000</v>
      </c>
      <c r="D5" s="3" t="inlineStr">
        <is>
          <t>ملف المبيعات – مبيعات أبو خالد</t>
        </is>
      </c>
      <c r="E5" s="3" t="n"/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(Cash Payment)</t>
        </is>
      </c>
      <c r="C16" s="4" t="n">
        <v>763323.8100000001</v>
      </c>
      <c r="D16" s="3" t="inlineStr">
        <is>
          <t>كشف الحساب – عميل 5000</t>
        </is>
      </c>
      <c r="E16" s="3" t="inlineStr">
        <is>
          <t>سداد لمسحوباته وليست دعماً. تشمل توريدات نقدية من المبيعات + مشتريات دفعها عن المزرعة (زهور الجزيرة لعقد عرعر 199,353 – بذور بساتين قديم 147,745.75 – بيتموس 53,475 – جهنمية وسايكس 49,550 – غرس نجد 14,515 – مراكن 20,000 ...)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مساهمة أبو خالد في التأسيس – تُضاف لمصروفات التأسيس (الإجمالي 1,278,970.80)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11" t="n">
        <v>3</v>
      </c>
      <c r="B23" s="11" t="inlineStr">
        <is>
          <t>أوامر شراء بساتين الرياض مدفوعة جزئياً – PO-0777</t>
        </is>
      </c>
      <c r="C23" s="12" t="n">
        <v>66420</v>
      </c>
      <c r="D23" s="11" t="inlineStr">
        <is>
          <t>ملف أوامر الشراء 2026</t>
        </is>
      </c>
      <c r="E23" s="11" t="inlineStr">
        <is>
          <t>⚠ القيمة كاملة – يُخصم المسدد عند معرفته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2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6" customWidth="1" min="3" max="3"/>
    <col width="12" customWidth="1" min="4" max="4"/>
    <col width="16" customWidth="1" min="5" max="5"/>
    <col width="22" customWidth="1" min="6" max="6"/>
    <col width="60" customWidth="1" min="7" max="7"/>
  </cols>
  <sheetData>
    <row r="1">
      <c r="A1" s="1" t="inlineStr">
        <is>
          <t>مطابقة كميات عقد عرعر WHK-2364 (زهور بيتونيا – 440,000 ريال)</t>
        </is>
      </c>
    </row>
    <row r="3">
      <c r="A3" s="15" t="inlineStr">
        <is>
          <t>م</t>
        </is>
      </c>
      <c r="B3" s="15" t="inlineStr">
        <is>
          <t>مصدر الكمية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فاتورة 40 – من مخزون المزرعة (8-11-2025)</t>
        </is>
      </c>
      <c r="C4" s="85" t="n">
        <v>40000</v>
      </c>
      <c r="D4" s="3" t="n">
        <v>0.55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فاتورة 45 – من مخزون المزرعة (11-11-2025)</t>
        </is>
      </c>
      <c r="C5" s="85" t="n">
        <v>41250</v>
      </c>
      <c r="D5" s="3" t="n">
        <v>0.55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فاتورة 54 – من مخزون المزرعة (20-11-2025)</t>
        </is>
      </c>
      <c r="C6" s="85" t="n">
        <v>42000</v>
      </c>
      <c r="D6" s="3" t="n">
        <v>0.55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فاتورة 84 – من مخزون المزرعة (11-12-2025)</t>
        </is>
      </c>
      <c r="C7" s="85" t="n">
        <v>42500</v>
      </c>
      <c r="D7" s="3" t="n">
        <v>0.55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فاتورة 100 – بيتونيا (28-12-2025)</t>
        </is>
      </c>
      <c r="C8" s="85" t="n">
        <v>30000</v>
      </c>
      <c r="D8" s="3" t="n">
        <v>0.55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فاتورة 100 – ماري جولد (28-12-2025)</t>
        </is>
      </c>
      <c r="C9" s="85" t="n">
        <v>10000</v>
      </c>
      <c r="D9" s="3" t="n">
        <v>0.6</v>
      </c>
      <c r="E9" s="4">
        <f>C9*D9</f>
        <v/>
      </c>
      <c r="F9" s="3" t="inlineStr">
        <is>
          <t>RN-INV#100</t>
        </is>
      </c>
      <c r="G9" s="3" t="inlineStr">
        <is>
          <t>صنف مختلف (ماري جولد) بسعر 0.60</t>
        </is>
      </c>
    </row>
    <row r="10">
      <c r="A10" s="3" t="n">
        <v>7</v>
      </c>
      <c r="B10" s="3" t="inlineStr">
        <is>
          <t>مشتريات من الجزيرة الحديثة</t>
        </is>
      </c>
      <c r="C10" s="85" t="n">
        <v>392450</v>
      </c>
      <c r="D10" s="3" t="n">
        <v>0.55</v>
      </c>
      <c r="E10" s="4">
        <f>C10*D10</f>
        <v/>
      </c>
      <c r="F10" s="3" t="inlineStr">
        <is>
          <t>كشف الخزنة 28-2-2026 (زهور الجزيرة -392450)</t>
        </is>
      </c>
      <c r="G10" s="3" t="inlineStr">
        <is>
          <t>اشترتها المزرعة بسعر 0.50 = 196,225</t>
        </is>
      </c>
    </row>
    <row r="11">
      <c r="A11" s="11" t="n">
        <v>8</v>
      </c>
      <c r="B11" s="11" t="inlineStr">
        <is>
          <t>ترحيل من تبوك (سندان)</t>
        </is>
      </c>
      <c r="C11" s="119" t="n">
        <v>69625</v>
      </c>
      <c r="D11" s="11" t="n">
        <v>0.55</v>
      </c>
      <c r="E11" s="12">
        <f>C11*D11</f>
        <v/>
      </c>
      <c r="F11" s="11" t="inlineStr">
        <is>
          <t>كشف الخزنة 28-2-2026 (زهور تبوك 69625×0.55)</t>
        </is>
      </c>
      <c r="G11" s="11" t="inlineStr">
        <is>
          <t>⚠ السندان TNR-2689 (19,250 قبل الضريبة) و TNR-2888 (20,693.75) = 72,625 حبة بسعر 0.55 – فرق 3,000 حبة عن الكشف</t>
        </is>
      </c>
    </row>
    <row r="12">
      <c r="A12" s="9" t="inlineStr"/>
      <c r="B12" s="9" t="inlineStr">
        <is>
          <t>إجمالي الكميات المسلّمة للعقد</t>
        </is>
      </c>
      <c r="C12" s="40">
        <f>SUM(C4:C11)</f>
        <v/>
      </c>
      <c r="D12" s="9" t="inlineStr"/>
      <c r="E12" s="10">
        <f>SUM(E4:E11)</f>
        <v/>
      </c>
      <c r="F12" s="9" t="n"/>
      <c r="G12" s="9" t="n"/>
    </row>
    <row r="13">
      <c r="A13" s="16" t="inlineStr"/>
      <c r="B13" s="16" t="inlineStr">
        <is>
          <t>قيمة العقد كاملة</t>
        </is>
      </c>
      <c r="C13" s="41">
        <f>E13/D13</f>
        <v/>
      </c>
      <c r="D13" s="16" t="n">
        <v>0.55</v>
      </c>
      <c r="E13" s="17" t="n">
        <v>440000</v>
      </c>
      <c r="F13" s="16" t="inlineStr"/>
      <c r="G13" s="16" t="inlineStr">
        <is>
          <t>الكمية المقابلة لقيمة العقد بسعر 0.55</t>
        </is>
      </c>
    </row>
    <row r="14">
      <c r="A14" s="120" t="inlineStr"/>
      <c r="B14" s="120" t="inlineStr">
        <is>
          <t>الفرق (غير مغطى بفاتورة أو شراء أو ترحيل)</t>
        </is>
      </c>
      <c r="C14" s="121">
        <f>C13-C12</f>
        <v/>
      </c>
      <c r="D14" s="120" t="inlineStr"/>
      <c r="E14" s="122">
        <f>E13-E12</f>
        <v/>
      </c>
      <c r="F14" s="120" t="inlineStr"/>
      <c r="G14" s="120" t="inlineStr">
        <is>
          <t>⚠ لا توجد كميات مقابلة لهذا الفرق</t>
        </is>
      </c>
    </row>
    <row r="15">
      <c r="A15" s="16" t="inlineStr"/>
      <c r="B15" s="16" t="inlineStr">
        <is>
          <t>لو اعتُمدت كمية سندي تبوك (72,625) بدل 69,625</t>
        </is>
      </c>
      <c r="C15" s="16" t="inlineStr"/>
      <c r="D15" s="16" t="inlineStr"/>
      <c r="E15" s="17">
        <f>E14-1650</f>
        <v/>
      </c>
      <c r="F15" s="16" t="inlineStr"/>
      <c r="G15" s="16" t="inlineStr">
        <is>
          <t>الفرق يصبح 70,546.25</t>
        </is>
      </c>
    </row>
    <row r="16" ht="40" customHeight="1">
      <c r="A16" s="13" t="inlineStr"/>
    </row>
    <row r="17" ht="40" customHeight="1">
      <c r="A17" s="13" t="inlineStr">
        <is>
          <t>ملاحظات:</t>
        </is>
      </c>
    </row>
    <row r="18" ht="40" customHeight="1">
      <c r="A18" s="13" t="inlineStr">
        <is>
          <t>1) الكميات المسلّمة لعقد عرعر من المصادر الثلاثة = 667,825 حبة بقيمة 367,803.75، بينما قيمة العقد 440,000 تعادل 800,000 حبة بسعر 0.55 – يوجد 131,266 حبة تقريباً (72,196.25) بدون كمية مقابلة.</t>
        </is>
      </c>
    </row>
    <row r="19" ht="40" customHeight="1">
      <c r="A19" s="13" t="inlineStr">
        <is>
          <t>2) ⚠ مشتريات الجزيرة لعقد عرعر مسجلة مرتين: في مصروفات 2025 (7 حركات = 198,102.50) وفي كشف الخزنة كسداد من أبو خالد (196,225 بتاريخ 28-2-2026) – يلزم تحديد من دفعها فعلاً لتجنب الاحتساب مرتين.</t>
        </is>
      </c>
    </row>
    <row r="20" ht="40" customHeight="1">
      <c r="A20" s="13" t="inlineStr">
        <is>
          <t>3) سعر الشراء من الجزيرة 0.50 وسعر البيع لعرعر 0.55.</t>
        </is>
      </c>
    </row>
    <row r="21" ht="40" customHeight="1">
      <c r="A21" s="13" t="inlineStr">
        <is>
          <t>أسئلة هذه المشكلة: (أ) ما الكمية المتفق عليها في عقد عرعر وسعرها؟ (ب) هل توجد كميات أخرى سُلمت للعقد غير المذكورة؟ (ج) هل دفع أبو خالد الجزيرة (196,225) أم دفعتها المزرعة ضمن مصروفات 2025؟</t>
        </is>
      </c>
    </row>
  </sheetData>
  <mergeCells count="7">
    <mergeCell ref="A1:G1"/>
    <mergeCell ref="A17:G17"/>
    <mergeCell ref="A18:G18"/>
    <mergeCell ref="A21:G21"/>
    <mergeCell ref="A20:G20"/>
    <mergeCell ref="A16:G16"/>
    <mergeCell ref="A19:G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409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215847.5</v>
      </c>
      <c r="F5" s="34" t="inlineStr">
        <is>
          <t>م/ عادل أبو خالد</t>
        </is>
      </c>
      <c r="G5" s="34" t="inlineStr">
        <is>
          <t>زهور الجزيرة -392450</t>
        </is>
      </c>
      <c r="H5" s="34" t="inlineStr">
        <is>
          <t>طلبية عرعر – بدون فاتورة مبدئية، تحتاج مستند (عدد×سعر مذكور بالبيان)</t>
        </is>
      </c>
    </row>
    <row r="6">
      <c r="A6" s="34" t="n">
        <v>410</v>
      </c>
      <c r="B6" s="34" t="inlineStr">
        <is>
          <t>1</t>
        </is>
      </c>
      <c r="C6" s="99" t="n">
        <v>46081</v>
      </c>
      <c r="D6" s="34" t="inlineStr">
        <is>
          <t>WHK-2364</t>
        </is>
      </c>
      <c r="E6" s="36" t="n">
        <v>38293.75</v>
      </c>
      <c r="F6" s="34" t="inlineStr">
        <is>
          <t>م/ عادل أبو خالد</t>
        </is>
      </c>
      <c r="G6" s="34" t="inlineStr">
        <is>
          <t>زهور تبوك - 69625*.55</t>
        </is>
      </c>
      <c r="H6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المبلغ المدفوع غير موضح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100370</v>
      </c>
      <c r="D9" s="3" t="inlineStr">
        <is>
          <t>غير المدفوع + المدفوع جزئياً بالكامل لحين معرفة المسدد من PO-0777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>
        <f>H31</f>
        <v/>
      </c>
      <c r="L31" s="11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I19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3" t="n">
        <v>156</v>
      </c>
      <c r="B157" s="107" t="n">
        <v>46081</v>
      </c>
      <c r="C157" s="3" t="inlineStr">
        <is>
          <t>1</t>
        </is>
      </c>
      <c r="D157" s="3" t="inlineStr">
        <is>
          <t>مصروف</t>
        </is>
      </c>
      <c r="E157" s="3" t="inlineStr">
        <is>
          <t>زهور الجزيرة - عقد عرعر</t>
        </is>
      </c>
      <c r="F157" s="4" t="n">
        <v>196225</v>
      </c>
      <c r="G157" s="3" t="inlineStr">
        <is>
          <t>نباتات وبذور</t>
        </is>
      </c>
      <c r="H157" s="3" t="n"/>
      <c r="I157" s="3" t="n"/>
    </row>
    <row r="158">
      <c r="A158" s="3" t="n">
        <v>157</v>
      </c>
      <c r="B158" s="107" t="n">
        <v>46081</v>
      </c>
      <c r="C158" s="3" t="inlineStr">
        <is>
          <t>1</t>
        </is>
      </c>
      <c r="D158" s="3" t="inlineStr">
        <is>
          <t>مصروف</t>
        </is>
      </c>
      <c r="E158" s="3" t="inlineStr">
        <is>
          <t>مشتريات فلين مستعمل الجزيرة</t>
        </is>
      </c>
      <c r="F158" s="4" t="n">
        <v>3128</v>
      </c>
      <c r="G158" s="3" t="inlineStr">
        <is>
          <t>مستلزمات إنتاج (فلين)</t>
        </is>
      </c>
      <c r="H158" s="3" t="n"/>
      <c r="I158" s="3" t="n"/>
    </row>
    <row r="159">
      <c r="A159" s="11" t="n">
        <v>158</v>
      </c>
      <c r="B159" s="106" t="n">
        <v>46081</v>
      </c>
      <c r="C159" s="11" t="inlineStr">
        <is>
          <t>125</t>
        </is>
      </c>
      <c r="D159" s="11" t="inlineStr">
        <is>
          <t>مصروف</t>
        </is>
      </c>
      <c r="E159" s="11" t="inlineStr">
        <is>
          <t>مشتريات جهنمية كروية</t>
        </is>
      </c>
      <c r="F159" s="12" t="n">
        <v>37550</v>
      </c>
      <c r="G159" s="11" t="inlineStr">
        <is>
          <t>نباتات وبذور</t>
        </is>
      </c>
      <c r="H159" s="11" t="inlineStr">
        <is>
          <t>مشتل الجوده المطلقه  2025-08-11</t>
        </is>
      </c>
      <c r="I159" s="11" t="n"/>
    </row>
    <row r="160">
      <c r="A160" s="11" t="n">
        <v>159</v>
      </c>
      <c r="B160" s="106" t="n">
        <v>46081</v>
      </c>
      <c r="C160" s="11" t="inlineStr">
        <is>
          <t>125</t>
        </is>
      </c>
      <c r="D160" s="11" t="inlineStr">
        <is>
          <t>مصروف</t>
        </is>
      </c>
      <c r="E160" s="11" t="inlineStr">
        <is>
          <t>مشتريات شجر سايكس</t>
        </is>
      </c>
      <c r="F160" s="12" t="n">
        <v>12000</v>
      </c>
      <c r="G160" s="11" t="inlineStr">
        <is>
          <t>نباتات وبذور</t>
        </is>
      </c>
      <c r="H160" s="11" t="inlineStr">
        <is>
          <t>مشتل الجوده المطلقه  2025-08-11</t>
        </is>
      </c>
      <c r="I160" s="11" t="n"/>
    </row>
    <row r="161">
      <c r="A161" s="11" t="n">
        <v>160</v>
      </c>
      <c r="B161" s="106" t="n">
        <v>46081</v>
      </c>
      <c r="C161" s="11" t="inlineStr">
        <is>
          <t>124</t>
        </is>
      </c>
      <c r="D161" s="11" t="inlineStr">
        <is>
          <t>مصروف</t>
        </is>
      </c>
      <c r="E161" s="11" t="inlineStr">
        <is>
          <t>مشتريات غرس نجد</t>
        </is>
      </c>
      <c r="F161" s="12" t="n">
        <v>14515</v>
      </c>
      <c r="G161" s="11" t="inlineStr">
        <is>
          <t>نباتات وبذور</t>
        </is>
      </c>
      <c r="H161" s="11" t="inlineStr">
        <is>
          <t>PO-295، شركة غرس نجد الزراعي 2025-08-04</t>
        </is>
      </c>
      <c r="I161" s="11" t="n"/>
    </row>
    <row r="162">
      <c r="A162" s="3" t="n">
        <v>161</v>
      </c>
      <c r="B162" s="107" t="n">
        <v>46081</v>
      </c>
      <c r="C162" s="3" t="inlineStr">
        <is>
          <t>126</t>
        </is>
      </c>
      <c r="D162" s="3" t="inlineStr">
        <is>
          <t>مصروف</t>
        </is>
      </c>
      <c r="E162" s="3" t="inlineStr">
        <is>
          <t>بذور بساتين الرياض - قديم</t>
        </is>
      </c>
      <c r="F162" s="4" t="n">
        <v>147745.75</v>
      </c>
      <c r="G162" s="3" t="inlineStr">
        <is>
          <t>نباتات وبذور</t>
        </is>
      </c>
      <c r="H162" s="3" t="n"/>
      <c r="I162" s="3" t="n"/>
    </row>
    <row r="163">
      <c r="A163" s="11" t="n">
        <v>162</v>
      </c>
      <c r="B163" s="106" t="n">
        <v>46081</v>
      </c>
      <c r="C163" s="11" t="inlineStr">
        <is>
          <t>123</t>
        </is>
      </c>
      <c r="D163" s="11" t="inlineStr">
        <is>
          <t>مصروف</t>
        </is>
      </c>
      <c r="E163" s="11" t="inlineStr">
        <is>
          <t>شراء فلين 4000 حبه</t>
        </is>
      </c>
      <c r="F163" s="12" t="n">
        <v>9660</v>
      </c>
      <c r="G163" s="11" t="inlineStr">
        <is>
          <t>مستلزمات إنتاج (فلين)</t>
        </is>
      </c>
      <c r="H163" s="11" t="inlineStr">
        <is>
          <t>PO-294، PO-228-REV1</t>
        </is>
      </c>
      <c r="I163" s="11" t="n"/>
    </row>
    <row r="164">
      <c r="A164" s="11" t="n">
        <v>163</v>
      </c>
      <c r="B164" s="106" t="n">
        <v>46084</v>
      </c>
      <c r="C164" s="11" t="inlineStr">
        <is>
          <t>127</t>
        </is>
      </c>
      <c r="D164" s="11" t="inlineStr">
        <is>
          <t>مصروف</t>
        </is>
      </c>
      <c r="E164" s="11" t="inlineStr">
        <is>
          <t>قيمة شراء 500 كيس بيتموس</t>
        </is>
      </c>
      <c r="F164" s="12" t="n">
        <v>53475</v>
      </c>
      <c r="G164" s="11" t="inlineStr">
        <is>
          <t>مواد زراعية</t>
        </is>
      </c>
      <c r="H164" s="11" t="inlineStr">
        <is>
          <t>PO-309، PO-267</t>
        </is>
      </c>
      <c r="I164" s="11" t="n"/>
    </row>
    <row r="165">
      <c r="A165" s="11" t="n">
        <v>164</v>
      </c>
      <c r="B165" s="106" t="n">
        <v>46085</v>
      </c>
      <c r="C165" s="11" t="inlineStr">
        <is>
          <t>128</t>
        </is>
      </c>
      <c r="D165" s="11" t="inlineStr">
        <is>
          <t>مصروف</t>
        </is>
      </c>
      <c r="E165" s="11" t="inlineStr">
        <is>
          <t>مصاريف من عهدة حسين 2-2026</t>
        </is>
      </c>
      <c r="F165" s="12" t="n">
        <v>3628</v>
      </c>
      <c r="G165" s="11" t="inlineStr">
        <is>
          <t>تعزيز/تصفية عهدة</t>
        </is>
      </c>
      <c r="H165" s="11" t="inlineStr">
        <is>
          <t>عهدة حسين مصطفى 2026-03-02</t>
        </is>
      </c>
      <c r="I165" s="11" t="n"/>
    </row>
    <row r="166">
      <c r="A166" s="3" t="n">
        <v>165</v>
      </c>
      <c r="B166" s="107" t="n">
        <v>46098</v>
      </c>
      <c r="C166" s="3" t="inlineStr">
        <is>
          <t>135</t>
        </is>
      </c>
      <c r="D166" s="3" t="inlineStr">
        <is>
          <t>مصروف</t>
        </is>
      </c>
      <c r="E166" s="3" t="inlineStr">
        <is>
          <t>مصاريف من عهدة حسين 3-2026</t>
        </is>
      </c>
      <c r="F166" s="4" t="n">
        <v>2110</v>
      </c>
      <c r="G166" s="3" t="inlineStr">
        <is>
          <t>تعزيز/تصفية عهدة</t>
        </is>
      </c>
      <c r="H166" s="3" t="n"/>
      <c r="I166" s="3" t="n"/>
    </row>
    <row r="167">
      <c r="A167" s="11" t="n">
        <v>166</v>
      </c>
      <c r="B167" s="106" t="n">
        <v>46089</v>
      </c>
      <c r="C167" s="11" t="inlineStr">
        <is>
          <t>129</t>
        </is>
      </c>
      <c r="D167" s="11" t="inlineStr">
        <is>
          <t>مصروف</t>
        </is>
      </c>
      <c r="E167" s="11" t="inlineStr">
        <is>
          <t>شراء حديد مخلبي 10 علبة</t>
        </is>
      </c>
      <c r="F167" s="12" t="n">
        <v>500</v>
      </c>
      <c r="G167" s="11" t="inlineStr">
        <is>
          <t>مصروفات تشغيل متنوعة</t>
        </is>
      </c>
      <c r="H167" s="11" t="inlineStr">
        <is>
          <t>مصنعيات 2025-07-28، عهدة حسين مصطفى 2026-07-02، عهدة عظمت الله خان 2026-06-29</t>
        </is>
      </c>
      <c r="I167" s="11" t="n"/>
    </row>
    <row r="168">
      <c r="A168" s="3" t="n">
        <v>167</v>
      </c>
      <c r="B168" s="107" t="n">
        <v>46090</v>
      </c>
      <c r="C168" s="3" t="inlineStr">
        <is>
          <t>130</t>
        </is>
      </c>
      <c r="D168" s="3" t="inlineStr">
        <is>
          <t>مصروف – رواتب</t>
        </is>
      </c>
      <c r="E168" s="3" t="inlineStr">
        <is>
          <t>رواتب شهر 2-2026</t>
        </is>
      </c>
      <c r="F168" s="4" t="n">
        <v>32899</v>
      </c>
      <c r="G168" s="3" t="inlineStr">
        <is>
          <t>رواتب</t>
        </is>
      </c>
      <c r="H168" s="3" t="n"/>
      <c r="I168" s="3" t="n"/>
    </row>
    <row r="169">
      <c r="A169" s="3" t="n">
        <v>168</v>
      </c>
      <c r="B169" s="107" t="n">
        <v>46090</v>
      </c>
      <c r="C169" s="3" t="inlineStr">
        <is>
          <t>131</t>
        </is>
      </c>
      <c r="D169" s="3" t="inlineStr">
        <is>
          <t>مصروف</t>
        </is>
      </c>
      <c r="E169" s="3" t="inlineStr">
        <is>
          <t>منصرف لابوخالد تعليمات أبو مازن</t>
        </is>
      </c>
      <c r="F169" s="4" t="n">
        <v>100000</v>
      </c>
      <c r="G169" s="3" t="inlineStr">
        <is>
          <t>مسحوبات شركاء</t>
        </is>
      </c>
      <c r="H169" s="3" t="n"/>
      <c r="I169" s="3" t="n"/>
    </row>
    <row r="170">
      <c r="A170" s="3" t="n">
        <v>169</v>
      </c>
      <c r="B170" s="107" t="n">
        <v>46090</v>
      </c>
      <c r="C170" s="3" t="inlineStr">
        <is>
          <t>132</t>
        </is>
      </c>
      <c r="D170" s="3" t="inlineStr">
        <is>
          <t>مصروف</t>
        </is>
      </c>
      <c r="E170" s="3" t="inlineStr">
        <is>
          <t>كهرباء  المزرعة عن 3-2026</t>
        </is>
      </c>
      <c r="F170" s="4" t="n">
        <v>3085.56</v>
      </c>
      <c r="G170" s="3" t="inlineStr">
        <is>
          <t>كهرباء وخدمات</t>
        </is>
      </c>
      <c r="H170" s="3" t="n"/>
      <c r="I170" s="3" t="n"/>
    </row>
    <row r="171">
      <c r="A171" s="11" t="n">
        <v>170</v>
      </c>
      <c r="B171" s="106" t="n">
        <v>46095</v>
      </c>
      <c r="C171" s="11" t="inlineStr">
        <is>
          <t>134</t>
        </is>
      </c>
      <c r="D171" s="11" t="inlineStr">
        <is>
          <t>مصروف</t>
        </is>
      </c>
      <c r="E171" s="11" t="inlineStr">
        <is>
          <t>شراء مركن مقاس 9</t>
        </is>
      </c>
      <c r="F171" s="12" t="n">
        <v>10000</v>
      </c>
      <c r="G171" s="11" t="inlineStr">
        <is>
          <t>مستلزمات إنتاج (مراكن)</t>
        </is>
      </c>
      <c r="H171" s="11" t="inlineStr">
        <is>
          <t>PO-313</t>
        </is>
      </c>
      <c r="I171" s="11" t="n"/>
    </row>
    <row r="172">
      <c r="A172" s="11" t="n">
        <v>171</v>
      </c>
      <c r="B172" s="106" t="n">
        <v>46099</v>
      </c>
      <c r="C172" s="11" t="inlineStr">
        <is>
          <t>142</t>
        </is>
      </c>
      <c r="D172" s="11" t="inlineStr">
        <is>
          <t>مصروف</t>
        </is>
      </c>
      <c r="E172" s="11" t="inlineStr">
        <is>
          <t>عهدة حسين 7-4-2026</t>
        </is>
      </c>
      <c r="F172" s="12" t="n">
        <v>3266.5</v>
      </c>
      <c r="G172" s="11" t="inlineStr">
        <is>
          <t>تعزيز/تصفية عهدة</t>
        </is>
      </c>
      <c r="H172" s="11" t="inlineStr">
        <is>
          <t>عهدة حسين مصطفى 2026-04-06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136</t>
        </is>
      </c>
      <c r="D173" s="11" t="inlineStr">
        <is>
          <t>مصروف</t>
        </is>
      </c>
      <c r="E173" s="11" t="inlineStr">
        <is>
          <t>شراء سندات لاشجار</t>
        </is>
      </c>
      <c r="F173" s="12" t="n">
        <v>6000</v>
      </c>
      <c r="G173" s="11" t="inlineStr">
        <is>
          <t>مصروفات تشغيل متنوعة</t>
        </is>
      </c>
      <c r="H173" s="11" t="inlineStr">
        <is>
          <t>PO-365</t>
        </is>
      </c>
      <c r="I173" s="11" t="n"/>
    </row>
    <row r="174">
      <c r="A174" s="11" t="n">
        <v>173</v>
      </c>
      <c r="B174" s="106" t="n">
        <v>46104</v>
      </c>
      <c r="C174" s="11" t="inlineStr">
        <is>
          <t>137</t>
        </is>
      </c>
      <c r="D174" s="11" t="inlineStr">
        <is>
          <t>مصروف</t>
        </is>
      </c>
      <c r="E174" s="11" t="inlineStr">
        <is>
          <t>فاتورة فلين</t>
        </is>
      </c>
      <c r="F174" s="12" t="n">
        <v>4200</v>
      </c>
      <c r="G174" s="11" t="inlineStr">
        <is>
          <t>مستلزمات إنتاج (فلين)</t>
        </is>
      </c>
      <c r="H174" s="11" t="inlineStr">
        <is>
          <t>PO-366</t>
        </is>
      </c>
      <c r="I174" s="11" t="n"/>
    </row>
    <row r="175">
      <c r="A175" s="11" t="n">
        <v>174</v>
      </c>
      <c r="B175" s="106" t="n">
        <v>46104</v>
      </c>
      <c r="C175" s="11" t="inlineStr">
        <is>
          <t>138</t>
        </is>
      </c>
      <c r="D175" s="11" t="inlineStr">
        <is>
          <t>مصروف</t>
        </is>
      </c>
      <c r="E175" s="11" t="inlineStr">
        <is>
          <t>شراء كمبوست</t>
        </is>
      </c>
      <c r="F175" s="12" t="n">
        <v>400</v>
      </c>
      <c r="G175" s="11" t="inlineStr">
        <is>
          <t>مصروفات تشغيل متنوعة</t>
        </is>
      </c>
      <c r="H175" s="11" t="inlineStr">
        <is>
          <t>ورشة الرحالة لصيانة  2025-12-17</t>
        </is>
      </c>
      <c r="I175" s="11" t="n"/>
    </row>
    <row r="176">
      <c r="A176" s="11" t="n">
        <v>175</v>
      </c>
      <c r="B176" s="106" t="n">
        <v>46105</v>
      </c>
      <c r="C176" s="11" t="inlineStr">
        <is>
          <t>139</t>
        </is>
      </c>
      <c r="D176" s="11" t="inlineStr">
        <is>
          <t>مصروف</t>
        </is>
      </c>
      <c r="E176" s="11" t="inlineStr">
        <is>
          <t>شراء بيتموس 500 كيس</t>
        </is>
      </c>
      <c r="F176" s="12" t="n">
        <v>53475</v>
      </c>
      <c r="G176" s="11" t="inlineStr">
        <is>
          <t>مواد زراعية</t>
        </is>
      </c>
      <c r="H176" s="11" t="inlineStr">
        <is>
          <t>PO-309، PO-267</t>
        </is>
      </c>
      <c r="I176" s="11" t="n"/>
    </row>
    <row r="177">
      <c r="A177" s="11" t="n">
        <v>176</v>
      </c>
      <c r="B177" s="106" t="n">
        <v>46112</v>
      </c>
      <c r="C177" s="11" t="inlineStr">
        <is>
          <t>141</t>
        </is>
      </c>
      <c r="D177" s="11" t="inlineStr">
        <is>
          <t>مصروف</t>
        </is>
      </c>
      <c r="E177" s="11" t="inlineStr">
        <is>
          <t>قيمة شراء مركن 19 علاقة</t>
        </is>
      </c>
      <c r="F177" s="12" t="n">
        <v>4000</v>
      </c>
      <c r="G177" s="11" t="inlineStr">
        <is>
          <t>مستلزمات إنتاج (مراكن)</t>
        </is>
      </c>
      <c r="H177" s="11" t="inlineStr">
        <is>
          <t>PO-404-REV1</t>
        </is>
      </c>
      <c r="I177" s="11" t="n"/>
    </row>
    <row r="178">
      <c r="A178" s="11" t="n">
        <v>177</v>
      </c>
      <c r="B178" s="106" t="n">
        <v>46132</v>
      </c>
      <c r="C178" s="11" t="inlineStr">
        <is>
          <t>145</t>
        </is>
      </c>
      <c r="D178" s="11" t="inlineStr">
        <is>
          <t>مصروف</t>
        </is>
      </c>
      <c r="E178" s="11" t="inlineStr">
        <is>
          <t>عهدة حسين 20-4-2026</t>
        </is>
      </c>
      <c r="F178" s="12" t="n">
        <v>3306</v>
      </c>
      <c r="G178" s="11" t="inlineStr">
        <is>
          <t>تعزيز/تصفية عهدة</t>
        </is>
      </c>
      <c r="H178" s="11" t="inlineStr">
        <is>
          <t>عهدة حسين مصطفى 2026-04-19</t>
        </is>
      </c>
      <c r="I178" s="11" t="n"/>
    </row>
    <row r="179">
      <c r="A179" s="11" t="n">
        <v>178</v>
      </c>
      <c r="B179" s="106" t="n">
        <v>46119</v>
      </c>
      <c r="C179" s="11" t="inlineStr">
        <is>
          <t>140</t>
        </is>
      </c>
      <c r="D179" s="11" t="inlineStr">
        <is>
          <t>مصروف</t>
        </is>
      </c>
      <c r="E179" s="11" t="inlineStr">
        <is>
          <t>نولون نقل بيرلايت الدمام</t>
        </is>
      </c>
      <c r="F179" s="12" t="n">
        <v>500</v>
      </c>
      <c r="G179" s="11" t="inlineStr">
        <is>
          <t>مصروفات تشغيل متنوعة</t>
        </is>
      </c>
      <c r="H179" s="11" t="inlineStr">
        <is>
          <t>مصنعيات 2025-07-28، عهدة حسين مصطفى 2026-07-02، عهدة عظمت الله خان 2026-06-29</t>
        </is>
      </c>
      <c r="I179" s="11" t="n"/>
    </row>
    <row r="180">
      <c r="A180" s="3" t="n">
        <v>179</v>
      </c>
      <c r="B180" s="107" t="n">
        <v>46123</v>
      </c>
      <c r="C180" s="3" t="inlineStr">
        <is>
          <t>143</t>
        </is>
      </c>
      <c r="D180" s="3" t="inlineStr">
        <is>
          <t>مصروف</t>
        </is>
      </c>
      <c r="E180" s="3" t="inlineStr">
        <is>
          <t>كهرباء  المزرعة عن 4-2026</t>
        </is>
      </c>
      <c r="F180" s="4" t="n">
        <v>2904</v>
      </c>
      <c r="G180" s="3" t="inlineStr">
        <is>
          <t>كهرباء وخدمات</t>
        </is>
      </c>
      <c r="H180" s="3" t="n"/>
      <c r="I180" s="3" t="n"/>
    </row>
    <row r="181">
      <c r="A181" s="3" t="n">
        <v>180</v>
      </c>
      <c r="B181" s="107" t="n">
        <v>46125</v>
      </c>
      <c r="C181" s="3" t="inlineStr">
        <is>
          <t>144</t>
        </is>
      </c>
      <c r="D181" s="3" t="inlineStr">
        <is>
          <t>مصروف</t>
        </is>
      </c>
      <c r="E181" s="3" t="inlineStr">
        <is>
          <t>شراء حديد مخلبي وسم فئران</t>
        </is>
      </c>
      <c r="F181" s="4" t="n">
        <v>1095</v>
      </c>
      <c r="G181" s="3" t="inlineStr">
        <is>
          <t>مصروفات تشغيل متنوعة</t>
        </is>
      </c>
      <c r="H181" s="3" t="n"/>
      <c r="I181" s="3" t="n"/>
    </row>
    <row r="182">
      <c r="A182" s="11" t="n">
        <v>181</v>
      </c>
      <c r="B182" s="106" t="n">
        <v>46133</v>
      </c>
      <c r="C182" s="11" t="inlineStr">
        <is>
          <t>146</t>
        </is>
      </c>
      <c r="D182" s="11" t="inlineStr">
        <is>
          <t>مصروف</t>
        </is>
      </c>
      <c r="E182" s="11" t="inlineStr">
        <is>
          <t>شراء مركن مقاس 9 -400 الاف</t>
        </is>
      </c>
      <c r="F182" s="12" t="n">
        <v>20000</v>
      </c>
      <c r="G182" s="11" t="inlineStr">
        <is>
          <t>مستلزمات إنتاج (مراكن)</t>
        </is>
      </c>
      <c r="H182" s="11" t="inlineStr">
        <is>
          <t>PO-419، شركة الجزيرة الحديثة 2025-12-25، شركة الجزيرة الحديثة 2025-12-25</t>
        </is>
      </c>
      <c r="I182" s="11" t="n"/>
    </row>
    <row r="183">
      <c r="A183" s="3" t="n">
        <v>182</v>
      </c>
      <c r="B183" s="107" t="n">
        <v>46134</v>
      </c>
      <c r="C183" s="3" t="inlineStr">
        <is>
          <t>147</t>
        </is>
      </c>
      <c r="D183" s="3" t="inlineStr">
        <is>
          <t>مصروف – رواتب</t>
        </is>
      </c>
      <c r="E183" s="3" t="inlineStr">
        <is>
          <t>مرتبات شهر 3-2026</t>
        </is>
      </c>
      <c r="F183" s="4" t="n">
        <v>33165</v>
      </c>
      <c r="G183" s="3" t="inlineStr">
        <is>
          <t>رواتب</t>
        </is>
      </c>
      <c r="H183" s="3" t="n"/>
      <c r="I183" s="3" t="n"/>
    </row>
    <row r="184">
      <c r="A184" s="3" t="n">
        <v>183</v>
      </c>
      <c r="B184" s="107" t="n">
        <v>46173</v>
      </c>
      <c r="C184" s="3" t="inlineStr">
        <is>
          <t>160</t>
        </is>
      </c>
      <c r="D184" s="3" t="inlineStr">
        <is>
          <t>مصروف</t>
        </is>
      </c>
      <c r="E184" s="3" t="inlineStr">
        <is>
          <t>عهدة حسين 22-4-2026</t>
        </is>
      </c>
      <c r="F184" s="4" t="n">
        <v>13942.5</v>
      </c>
      <c r="G184" s="3" t="inlineStr">
        <is>
          <t>تعزيز/تصفية عهدة</t>
        </is>
      </c>
      <c r="H184" s="3" t="n"/>
      <c r="I184" s="3" t="n"/>
    </row>
    <row r="185">
      <c r="A185" s="3" t="n">
        <v>184</v>
      </c>
      <c r="B185" s="107" t="n">
        <v>46141</v>
      </c>
      <c r="C185" s="3" t="inlineStr">
        <is>
          <t>148</t>
        </is>
      </c>
      <c r="D185" s="3" t="inlineStr">
        <is>
          <t>مصروف</t>
        </is>
      </c>
      <c r="E185" s="3" t="inlineStr">
        <is>
          <t>سداد GPS س عصمت</t>
        </is>
      </c>
      <c r="F185" s="4" t="n">
        <v>536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46141</v>
      </c>
      <c r="C186" s="11" t="inlineStr">
        <is>
          <t>149</t>
        </is>
      </c>
      <c r="D186" s="11" t="inlineStr">
        <is>
          <t>مصروف</t>
        </is>
      </c>
      <c r="E186" s="11" t="inlineStr">
        <is>
          <t>سداد نقاط س عصمت</t>
        </is>
      </c>
      <c r="F186" s="12" t="n">
        <v>115</v>
      </c>
      <c r="G186" s="11" t="inlineStr">
        <is>
          <t>مصروفات تشغيل متنوعة</t>
        </is>
      </c>
      <c r="H186" s="11" t="inlineStr">
        <is>
          <t>هاتف الموبايل 2025-12-17، هاتف الموبايل 2025-12-04، هاتف الموبايل 2025-11-22</t>
        </is>
      </c>
      <c r="I186" s="11" t="n"/>
    </row>
    <row r="187">
      <c r="A187" s="3" t="n">
        <v>186</v>
      </c>
      <c r="B187" s="107" t="n">
        <v>46142</v>
      </c>
      <c r="C187" s="3" t="inlineStr">
        <is>
          <t>150</t>
        </is>
      </c>
      <c r="D187" s="3" t="inlineStr">
        <is>
          <t>مصروف</t>
        </is>
      </c>
      <c r="E187" s="3" t="inlineStr">
        <is>
          <t>سداد تامين سيارة عصمت</t>
        </is>
      </c>
      <c r="F187" s="4" t="n">
        <v>1870</v>
      </c>
      <c r="G187" s="3" t="inlineStr">
        <is>
          <t>مصروفات تشغيل متنوعة</t>
        </is>
      </c>
      <c r="H187" s="3" t="n"/>
      <c r="I187" s="3" t="n"/>
    </row>
    <row r="188">
      <c r="A188" s="11" t="n">
        <v>187</v>
      </c>
      <c r="B188" s="106" t="n">
        <v>46147</v>
      </c>
      <c r="C188" s="11" t="inlineStr">
        <is>
          <t>151</t>
        </is>
      </c>
      <c r="D188" s="11" t="inlineStr">
        <is>
          <t>مصروف</t>
        </is>
      </c>
      <c r="E188" s="11" t="inlineStr">
        <is>
          <t>شراء 2 كيس سماد سنجرال</t>
        </is>
      </c>
      <c r="F188" s="12" t="n">
        <v>700</v>
      </c>
      <c r="G188" s="11" t="inlineStr">
        <is>
          <t>مواد زراعية</t>
        </is>
      </c>
      <c r="H188" s="11" t="inlineStr">
        <is>
          <t>PO-585، مؤسسة محمد عبدالله ل 2025-11-23</t>
        </is>
      </c>
      <c r="I188" s="11" t="n"/>
    </row>
    <row r="189">
      <c r="A189" s="3" t="n">
        <v>188</v>
      </c>
      <c r="B189" s="107" t="n">
        <v>46149</v>
      </c>
      <c r="C189" s="3" t="inlineStr">
        <is>
          <t>152</t>
        </is>
      </c>
      <c r="D189" s="3" t="inlineStr">
        <is>
          <t>مصروف – رواتب</t>
        </is>
      </c>
      <c r="E189" s="3" t="inlineStr">
        <is>
          <t>مرتبات شهر 4-2026</t>
        </is>
      </c>
      <c r="F189" s="4" t="n">
        <v>31722</v>
      </c>
      <c r="G189" s="3" t="inlineStr">
        <is>
          <t>رواتب</t>
        </is>
      </c>
      <c r="H189" s="3" t="n"/>
      <c r="I189" s="3" t="n"/>
    </row>
    <row r="190">
      <c r="A190" s="11" t="n">
        <v>189</v>
      </c>
      <c r="B190" s="106" t="n">
        <v>46155</v>
      </c>
      <c r="C190" s="11" t="inlineStr">
        <is>
          <t>153</t>
        </is>
      </c>
      <c r="D190" s="11" t="inlineStr">
        <is>
          <t>مصروف</t>
        </is>
      </c>
      <c r="E190" s="11" t="inlineStr">
        <is>
          <t>شراء فلين 5000 حبه</t>
        </is>
      </c>
      <c r="F190" s="12" t="n">
        <v>13250</v>
      </c>
      <c r="G190" s="11" t="inlineStr">
        <is>
          <t>مستلزمات إنتاج (فلين)</t>
        </is>
      </c>
      <c r="H190" s="11" t="inlineStr">
        <is>
          <t>PO-557، PO-506</t>
        </is>
      </c>
      <c r="I190" s="11" t="n"/>
    </row>
    <row r="191">
      <c r="A191" s="11" t="n">
        <v>190</v>
      </c>
      <c r="B191" s="106" t="n">
        <v>46155</v>
      </c>
      <c r="C191" s="11" t="inlineStr">
        <is>
          <t>154</t>
        </is>
      </c>
      <c r="D191" s="11" t="inlineStr">
        <is>
          <t>مصروف</t>
        </is>
      </c>
      <c r="E191" s="11" t="inlineStr">
        <is>
          <t>شراء فلين 5000 حبه</t>
        </is>
      </c>
      <c r="F191" s="12" t="n">
        <v>13250</v>
      </c>
      <c r="G191" s="11" t="inlineStr">
        <is>
          <t>مستلزمات إنتاج (فلين)</t>
        </is>
      </c>
      <c r="H191" s="11" t="inlineStr">
        <is>
          <t>PO-557، PO-506</t>
        </is>
      </c>
      <c r="I191" s="11" t="n"/>
    </row>
    <row r="192">
      <c r="A192" s="3" t="n">
        <v>191</v>
      </c>
      <c r="B192" s="107" t="n">
        <v>46155</v>
      </c>
      <c r="C192" s="3" t="inlineStr">
        <is>
          <t>155</t>
        </is>
      </c>
      <c r="D192" s="3" t="inlineStr">
        <is>
          <t>مصروف</t>
        </is>
      </c>
      <c r="E192" s="3" t="inlineStr">
        <is>
          <t>شراء بذور</t>
        </is>
      </c>
      <c r="F192" s="4" t="n">
        <v>4800</v>
      </c>
      <c r="G192" s="3" t="inlineStr">
        <is>
          <t>نباتات وبذور</t>
        </is>
      </c>
      <c r="H192" s="3" t="n"/>
      <c r="I192" s="3" t="n"/>
    </row>
    <row r="193">
      <c r="A193" s="11" t="n">
        <v>192</v>
      </c>
      <c r="B193" s="106" t="n">
        <v>46160</v>
      </c>
      <c r="C193" s="11" t="inlineStr">
        <is>
          <t>156</t>
        </is>
      </c>
      <c r="D193" s="11" t="inlineStr">
        <is>
          <t>أبو خالد</t>
        </is>
      </c>
      <c r="E193" s="11" t="inlineStr">
        <is>
          <t>تسديد لابوخالد من المديونية</t>
        </is>
      </c>
      <c r="F193" s="12" t="n">
        <v>2000</v>
      </c>
      <c r="G193" s="11" t="inlineStr">
        <is>
          <t>مسحوبات شركاء</t>
        </is>
      </c>
      <c r="H193" s="11" t="inlineStr">
        <is>
          <t>PO-210، عهدة حسين مصطفى 2026-06-07</t>
        </is>
      </c>
      <c r="I193" s="11" t="inlineStr">
        <is>
          <t>مسجل على حساب أبو خالد</t>
        </is>
      </c>
    </row>
    <row r="194">
      <c r="A194" s="11" t="n">
        <v>193</v>
      </c>
      <c r="B194" s="106" t="n">
        <v>46163</v>
      </c>
      <c r="C194" s="11" t="inlineStr">
        <is>
          <t>157</t>
        </is>
      </c>
      <c r="D194" s="11" t="inlineStr">
        <is>
          <t>مصروف</t>
        </is>
      </c>
      <c r="E194" s="11" t="inlineStr">
        <is>
          <t>توريد نقدي لادارة - ابومازن</t>
        </is>
      </c>
      <c r="F194" s="12" t="n">
        <v>13000</v>
      </c>
      <c r="G194" s="11" t="inlineStr">
        <is>
          <t>مسحوبات شركاء</t>
        </is>
      </c>
      <c r="H194" s="11" t="inlineStr">
        <is>
          <t>ورشة الرحالة لصيانة  2025-12-17، شركة التاج المميزة ا 2025-11-17</t>
        </is>
      </c>
      <c r="I194" s="11" t="n"/>
    </row>
    <row r="195">
      <c r="A195" s="3" t="n">
        <v>194</v>
      </c>
      <c r="B195" s="107" t="n">
        <v>46165</v>
      </c>
      <c r="C195" s="3" t="inlineStr">
        <is>
          <t>158</t>
        </is>
      </c>
      <c r="D195" s="3" t="inlineStr">
        <is>
          <t>مصروف</t>
        </is>
      </c>
      <c r="E195" s="3" t="inlineStr">
        <is>
          <t>سلفة عماد حمدي - مخالفات المرور</t>
        </is>
      </c>
      <c r="F195" s="4" t="n">
        <v>1351</v>
      </c>
      <c r="G195" s="3" t="inlineStr">
        <is>
          <t>مصروفات تشغيل متنوعة</t>
        </is>
      </c>
      <c r="H195" s="3" t="n"/>
      <c r="I195" s="3" t="n"/>
    </row>
    <row r="196">
      <c r="A196" s="115" t="n">
        <v>195</v>
      </c>
      <c r="B196" s="116" t="n">
        <v>46173</v>
      </c>
      <c r="C196" s="115" t="inlineStr">
        <is>
          <t>159</t>
        </is>
      </c>
      <c r="D196" s="115" t="inlineStr">
        <is>
          <t>مصروف – رواتب</t>
        </is>
      </c>
      <c r="E196" s="115" t="inlineStr">
        <is>
          <t>رواتب شهر 5-2026 (المبلغ مكتوب بخانة البيان 29,457 والمبلغ صفر)</t>
        </is>
      </c>
      <c r="F196" s="117" t="n">
        <v>0</v>
      </c>
      <c r="G196" s="115" t="inlineStr">
        <is>
          <t>رواتب</t>
        </is>
      </c>
      <c r="H196" s="115" t="n"/>
      <c r="I196" s="115" t="inlineStr">
        <is>
          <t>مبلغ صفر – البيان مسجل بدون قيمة</t>
        </is>
      </c>
    </row>
    <row r="197">
      <c r="A197" s="115" t="n">
        <v>196</v>
      </c>
      <c r="B197" s="116" t="n">
        <v>46174</v>
      </c>
      <c r="C197" s="115" t="inlineStr">
        <is>
          <t>111</t>
        </is>
      </c>
      <c r="D197" s="115" t="inlineStr">
        <is>
          <t>مصروف</t>
        </is>
      </c>
      <c r="E197" s="115" t="inlineStr">
        <is>
          <t>مصروفات من عهدة حسين جديد</t>
        </is>
      </c>
      <c r="F197" s="117" t="n">
        <v>0</v>
      </c>
      <c r="G197" s="115" t="inlineStr">
        <is>
          <t>تعزيز/تصفية عهدة</t>
        </is>
      </c>
      <c r="H197" s="115" t="n"/>
      <c r="I197" s="115" t="inlineStr">
        <is>
          <t>مبلغ صفر – البيان مسجل بدون قيمة</t>
        </is>
      </c>
    </row>
    <row r="198">
      <c r="A198" s="115" t="n">
        <v>197</v>
      </c>
      <c r="B198" s="116" t="n">
        <v>46176</v>
      </c>
      <c r="C198" s="115" t="inlineStr">
        <is>
          <t>161</t>
        </is>
      </c>
      <c r="D198" s="115" t="inlineStr">
        <is>
          <t>مصروف</t>
        </is>
      </c>
      <c r="E198" s="115" t="inlineStr">
        <is>
          <t>دفع فاتورة كهرباء شهر 5-2026</t>
        </is>
      </c>
      <c r="F198" s="117" t="n">
        <v>0</v>
      </c>
      <c r="G198" s="115" t="inlineStr">
        <is>
          <t>كهرباء وخدمات</t>
        </is>
      </c>
      <c r="H198" s="115" t="n"/>
      <c r="I198" s="115" t="inlineStr">
        <is>
          <t>مبلغ صفر – البيان مسجل بدون قيمة</t>
        </is>
      </c>
    </row>
    <row r="199">
      <c r="A199" s="9" t="n"/>
      <c r="B199" s="9" t="n"/>
      <c r="C199" s="9" t="n"/>
      <c r="D199" s="9" t="n"/>
      <c r="E199" s="9" t="inlineStr">
        <is>
          <t>الإجمالي</t>
        </is>
      </c>
      <c r="F199" s="10">
        <f>SUM(F2:F198)</f>
        <v/>
      </c>
      <c r="G199" s="9" t="n"/>
      <c r="H199" s="9" t="n"/>
      <c r="I199" s="9" t="n"/>
    </row>
  </sheetData>
  <autoFilter ref="A1:I19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1" t="n">
        <v>34</v>
      </c>
      <c r="B36" s="11" t="inlineStr">
        <is>
          <t>DIS-Riyadh-0012</t>
        </is>
      </c>
      <c r="C36" s="106" t="n">
        <v>46204</v>
      </c>
      <c r="D36" s="11" t="inlineStr">
        <is>
          <t>صرف</t>
        </is>
      </c>
      <c r="E36" s="11" t="inlineStr">
        <is>
          <t>ENG.AHMED ABDELSABOUR</t>
        </is>
      </c>
      <c r="F36" s="12" t="n"/>
      <c r="G36" s="12" t="n">
        <v>11000</v>
      </c>
      <c r="H36" s="11" t="inlineStr">
        <is>
          <t>⚠ صرف 11,000 لموظف نسما – بدون بيان (هل هو مسحوبات أبو مازن؟)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3" t="n">
        <v>4</v>
      </c>
      <c r="B6" s="3" t="inlineStr">
        <is>
          <t>DIS-Riyadh-0012</t>
        </is>
      </c>
      <c r="C6" s="107" t="n">
        <v>46204</v>
      </c>
      <c r="D6" s="4" t="n">
        <v>11000</v>
      </c>
      <c r="E6" s="3" t="inlineStr">
        <is>
          <t>ENG.AHMED ABDELSABOUR</t>
        </is>
      </c>
      <c r="F6" s="3" t="inlineStr">
        <is>
          <t>تقرير الخزنة – صفحة 5 سطر 117</t>
        </is>
      </c>
      <c r="G6" s="3" t="inlineStr">
        <is>
          <t>صفحة "خزنة الرياض 6-7 2026"</t>
        </is>
      </c>
      <c r="H6" s="3" t="inlineStr">
        <is>
          <t>هل هو تحويل لأبو مازن؟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/>
  </sheetPr>
  <dimension ref="A1:G42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8" t="n">
        <v>2</v>
      </c>
      <c r="B40" s="18" t="inlineStr">
        <is>
          <t>بساتين الرياض – PO-0777 (24-6-2026)</t>
        </is>
      </c>
      <c r="C40" s="18" t="inlineStr"/>
      <c r="D40" s="19" t="n">
        <v>66420</v>
      </c>
      <c r="E40" s="19" t="n"/>
      <c r="F40" s="19">
        <f>D40-IF(E40="",0,E40)</f>
        <v/>
      </c>
      <c r="G40" s="18" t="inlineStr">
        <is>
          <t>⚠ مدفوع جزئياً – المسدد غير معروف</t>
        </is>
      </c>
    </row>
    <row r="41">
      <c r="A41" s="16" t="n">
        <v>3</v>
      </c>
      <c r="B41" s="16" t="inlineStr">
        <is>
          <t>شركة الجزيرة الحديثة – عقد عرعر (25-12-2025)</t>
        </is>
      </c>
      <c r="C41" s="16" t="inlineStr"/>
      <c r="D41" s="17" t="n">
        <v>21250</v>
      </c>
      <c r="E41" s="17" t="n">
        <v>0</v>
      </c>
      <c r="F41" s="17">
        <f>D41-IF(E41="",0,E41)</f>
        <v/>
      </c>
      <c r="G41" s="16" t="inlineStr">
        <is>
          <t>غير مدفوع</t>
        </is>
      </c>
    </row>
    <row r="42">
      <c r="A42" s="9" t="inlineStr"/>
      <c r="B42" s="9" t="inlineStr">
        <is>
          <t>الإجمالي</t>
        </is>
      </c>
      <c r="C42" s="9" t="inlineStr"/>
      <c r="D42" s="10">
        <f>SUM(D39:D41)</f>
        <v/>
      </c>
      <c r="E42" s="9" t="inlineStr"/>
      <c r="F42" s="10">
        <f>SUM(F39:F41)</f>
        <v/>
      </c>
      <c r="G42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شركة الجزيرة الحديثة الزراعية</t>
        </is>
      </c>
      <c r="D129" s="16" t="inlineStr">
        <is>
          <t>WHK-2364</t>
        </is>
      </c>
      <c r="E129" s="16" t="inlineStr">
        <is>
          <t>مرفق طلب التوريد</t>
        </is>
      </c>
      <c r="F129" s="17" t="n">
        <v>36956.52</v>
      </c>
      <c r="G129" s="16" t="n">
        <v>15</v>
      </c>
      <c r="H129" s="17" t="n">
        <v>42500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مشتريات زهور لعقد عرعر (WHK-2364)</t>
        </is>
      </c>
      <c r="L129" s="16" t="inlineStr">
        <is>
          <t>تكلفة زهور مشتراة لتوريد عقد عرعر لأبو خالد</t>
        </is>
      </c>
    </row>
    <row r="130">
      <c r="A130" s="16" t="n">
        <v>129</v>
      </c>
      <c r="B130" s="95" t="n">
        <v>45935</v>
      </c>
      <c r="C130" s="16" t="inlineStr">
        <is>
          <t>اللوازم المكتبية</t>
        </is>
      </c>
      <c r="D130" s="16" t="inlineStr">
        <is>
          <t>RIYADH NURSERY</t>
        </is>
      </c>
      <c r="E130" s="16" t="inlineStr">
        <is>
          <t>شراء ادوات للطبخ</t>
        </is>
      </c>
      <c r="F130" s="17" t="n">
        <v>224.35</v>
      </c>
      <c r="G130" s="16" t="n">
        <v>15</v>
      </c>
      <c r="H130" s="17" t="n">
        <v>258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مصروفات إدارية وأخرى</t>
        </is>
      </c>
      <c r="L130" s="16" t="n"/>
    </row>
    <row r="131">
      <c r="A131" s="16" t="n">
        <v>130</v>
      </c>
      <c r="B131" s="95" t="n">
        <v>45935</v>
      </c>
      <c r="C131" s="16" t="inlineStr">
        <is>
          <t>شركة سائح لى للبلاستيك المحدوده</t>
        </is>
      </c>
      <c r="D131" s="16" t="inlineStr">
        <is>
          <t>RIYADH NURSERY</t>
        </is>
      </c>
      <c r="E131" s="16" t="inlineStr">
        <is>
          <t>شراء صناديق فلين</t>
        </is>
      </c>
      <c r="F131" s="17" t="n">
        <v>1780.8</v>
      </c>
      <c r="G131" s="16" t="n">
        <v>15</v>
      </c>
      <c r="H131" s="17" t="n">
        <v>2047.92</v>
      </c>
      <c r="I131" s="16" t="inlineStr">
        <is>
          <t>نعم</t>
        </is>
      </c>
      <c r="J131" s="16" t="inlineStr">
        <is>
          <t>مزرعة الرياض (عهدة/صندوق)</t>
        </is>
      </c>
      <c r="K131" s="16" t="inlineStr">
        <is>
          <t>مستلزمات إنتاج (مراكن/فلين/مفارش)</t>
        </is>
      </c>
      <c r="L131" s="16" t="n"/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8" t="n">
        <v>133</v>
      </c>
      <c r="B134" s="98" t="n">
        <v>45935</v>
      </c>
      <c r="C134" s="18" t="inlineStr">
        <is>
          <t>شركة سائح لى للبلاستيك المحدوده</t>
        </is>
      </c>
      <c r="D134" s="18" t="inlineStr">
        <is>
          <t>RIYADH NURSERY</t>
        </is>
      </c>
      <c r="E134" s="18" t="n"/>
      <c r="F134" s="19" t="n">
        <v>1965.6</v>
      </c>
      <c r="G134" s="18" t="n">
        <v>15</v>
      </c>
      <c r="H134" s="19" t="n">
        <v>2260.44</v>
      </c>
      <c r="I134" s="18" t="inlineStr">
        <is>
          <t>نعم</t>
        </is>
      </c>
      <c r="J134" s="18" t="inlineStr">
        <is>
          <t>مزرعة الرياض (عهدة/صندوق)</t>
        </is>
      </c>
      <c r="K134" s="18" t="inlineStr">
        <is>
          <t>مستلزمات إنتاج (مراكن/فلين/مفارش)</t>
        </is>
      </c>
      <c r="L134" s="18" t="inlineStr">
        <is>
          <t>⚠ نفس المورد ونفس التاريخ ونفس القيمة مكرر – يلزم التأكد</t>
        </is>
      </c>
    </row>
    <row r="135">
      <c r="A135" s="16" t="n">
        <v>134</v>
      </c>
      <c r="B135" s="95" t="n">
        <v>45936</v>
      </c>
      <c r="C135" s="16" t="inlineStr">
        <is>
          <t>مؤسسة تلال الربيع للمفارش</t>
        </is>
      </c>
      <c r="D135" s="16" t="inlineStr">
        <is>
          <t>RIYADH NURSERY</t>
        </is>
      </c>
      <c r="E135" s="16" t="n"/>
      <c r="F135" s="17" t="n">
        <v>105</v>
      </c>
      <c r="G135" s="16" t="n">
        <v>15</v>
      </c>
      <c r="H135" s="17" t="n">
        <v>120.75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مصروفات إدارية وأخرى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ورشة زهرة الجنادل</t>
        </is>
      </c>
      <c r="D136" s="16" t="inlineStr">
        <is>
          <t>RIYADH NURSERY</t>
        </is>
      </c>
      <c r="E136" s="16" t="n"/>
      <c r="F136" s="17" t="n">
        <v>147.83</v>
      </c>
      <c r="G136" s="16" t="n">
        <v>15</v>
      </c>
      <c r="H136" s="17" t="n">
        <v>170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صيانة سيارات ومعدات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شركة سائح لى للبلاستيك المحدوده</t>
        </is>
      </c>
      <c r="D137" s="16" t="inlineStr">
        <is>
          <t>RIYADH NURSERY</t>
        </is>
      </c>
      <c r="E137" s="16" t="n"/>
      <c r="F137" s="17" t="n">
        <v>1965.6</v>
      </c>
      <c r="G137" s="16" t="n">
        <v>15</v>
      </c>
      <c r="H137" s="17" t="n">
        <v>2260.44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مستلزمات إنتاج (مراكن/فلين/مفارش)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217.39</v>
      </c>
      <c r="G138" s="16" t="n">
        <v>15</v>
      </c>
      <c r="H138" s="17" t="n">
        <v>250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45936</v>
      </c>
      <c r="C139" s="16" t="inlineStr">
        <is>
          <t>الوقود</t>
        </is>
      </c>
      <c r="D139" s="16" t="inlineStr">
        <is>
          <t>RIYADH NURSERY</t>
        </is>
      </c>
      <c r="E139" s="16" t="n"/>
      <c r="F139" s="17" t="n">
        <v>173.91</v>
      </c>
      <c r="G139" s="16" t="n">
        <v>15</v>
      </c>
      <c r="H139" s="17" t="n">
        <v>200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وقود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صيانة</t>
        </is>
      </c>
      <c r="D140" s="16" t="inlineStr">
        <is>
          <t>RIYADH NURSERY</t>
        </is>
      </c>
      <c r="E140" s="16" t="n"/>
      <c r="F140" s="17" t="n">
        <v>26.09</v>
      </c>
      <c r="G140" s="16" t="n">
        <v>15</v>
      </c>
      <c r="H140" s="17" t="n">
        <v>30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صيانة وإنشاءات المزرعة</t>
        </is>
      </c>
      <c r="L140" s="16" t="n"/>
    </row>
    <row r="141">
      <c r="A141" s="16" t="n">
        <v>140</v>
      </c>
      <c r="B141" s="95" t="n">
        <v>45938</v>
      </c>
      <c r="C141" s="16" t="inlineStr">
        <is>
          <t>إصلاحات</t>
        </is>
      </c>
      <c r="D141" s="16" t="inlineStr">
        <is>
          <t>RIYADH NURSERY</t>
        </is>
      </c>
      <c r="E141" s="16" t="inlineStr">
        <is>
          <t>300 ريال ايجار لودر يطلع</t>
        </is>
      </c>
      <c r="F141" s="17" t="n">
        <v>260.87</v>
      </c>
      <c r="G141" s="16" t="n">
        <v>15</v>
      </c>
      <c r="H141" s="17" t="n">
        <v>300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شركة الجزيرة الحديثة الزراعية</t>
        </is>
      </c>
      <c r="D142" s="16" t="inlineStr">
        <is>
          <t>WHK-2364</t>
        </is>
      </c>
      <c r="E142" s="16" t="inlineStr">
        <is>
          <t>مرفق طلب التوريد</t>
        </is>
      </c>
      <c r="F142" s="17" t="n">
        <v>34173.91</v>
      </c>
      <c r="G142" s="16" t="n">
        <v>15</v>
      </c>
      <c r="H142" s="17" t="n">
        <v>39300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مشتريات زهور لعقد عرعر (WHK-2364)</t>
        </is>
      </c>
      <c r="L142" s="16" t="inlineStr">
        <is>
          <t>تكلفة زهور مشتراة لتوريد عقد عرعر لأبو خالد</t>
        </is>
      </c>
    </row>
    <row r="143">
      <c r="A143" s="16" t="n">
        <v>142</v>
      </c>
      <c r="B143" s="95" t="n">
        <v>45939</v>
      </c>
      <c r="C143" s="16" t="inlineStr">
        <is>
          <t>شركة امجاد الخليج</t>
        </is>
      </c>
      <c r="D143" s="16" t="inlineStr">
        <is>
          <t>RIYADH NURSERY</t>
        </is>
      </c>
      <c r="E143" s="16" t="inlineStr">
        <is>
          <t>51000 مركن 12 تم تعديل سع</t>
        </is>
      </c>
      <c r="F143" s="17" t="n">
        <v>8160</v>
      </c>
      <c r="G143" s="16" t="n">
        <v>0</v>
      </c>
      <c r="H143" s="17" t="n">
        <v>8160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45939</v>
      </c>
      <c r="C144" s="16" t="inlineStr">
        <is>
          <t>الوقود</t>
        </is>
      </c>
      <c r="D144" s="16" t="inlineStr">
        <is>
          <t>RIYADH NURSERY</t>
        </is>
      </c>
      <c r="E144" s="16" t="n"/>
      <c r="F144" s="17" t="n">
        <v>30.43</v>
      </c>
      <c r="G144" s="16" t="n">
        <v>15</v>
      </c>
      <c r="H144" s="17" t="n">
        <v>35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وقود</t>
        </is>
      </c>
      <c r="L144" s="16" t="n"/>
    </row>
    <row r="145">
      <c r="A145" s="16" t="n">
        <v>144</v>
      </c>
      <c r="B145" s="95" t="n">
        <v>45939</v>
      </c>
      <c r="C145" s="16" t="inlineStr">
        <is>
          <t>شركة محمد مبارك المسعودى للتجاره</t>
        </is>
      </c>
      <c r="D145" s="16" t="inlineStr">
        <is>
          <t>RIYADH NURSERY</t>
        </is>
      </c>
      <c r="E145" s="16" t="inlineStr">
        <is>
          <t>شراء ثلاجه وفريزر</t>
        </is>
      </c>
      <c r="F145" s="17" t="n">
        <v>1478.26</v>
      </c>
      <c r="G145" s="16" t="n">
        <v>15</v>
      </c>
      <c r="H145" s="17" t="n">
        <v>1700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البرمجيات</t>
        </is>
      </c>
      <c r="D146" s="16" t="inlineStr">
        <is>
          <t>RIYADH NURSERY</t>
        </is>
      </c>
      <c r="E146" s="16" t="n"/>
      <c r="F146" s="17" t="n">
        <v>891.3</v>
      </c>
      <c r="G146" s="16" t="n">
        <v>15</v>
      </c>
      <c r="H146" s="17" t="n">
        <v>1025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مصروفات إدارية وأخرى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شركة زهور المدينة التجارية</t>
        </is>
      </c>
      <c r="D147" s="16" t="inlineStr">
        <is>
          <t>RIYADH NURSERY</t>
        </is>
      </c>
      <c r="E147" s="16" t="n"/>
      <c r="F147" s="17" t="n">
        <v>686.96</v>
      </c>
      <c r="G147" s="16" t="n">
        <v>15</v>
      </c>
      <c r="H147" s="17" t="n">
        <v>790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مصروفات إدارية وأخرى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ينابع المئويه لتحلية المياه</t>
        </is>
      </c>
      <c r="D148" s="16" t="inlineStr">
        <is>
          <t>RIYADH NURSERY</t>
        </is>
      </c>
      <c r="E148" s="16" t="n"/>
      <c r="F148" s="17" t="n">
        <v>52.17</v>
      </c>
      <c r="G148" s="16" t="n">
        <v>15</v>
      </c>
      <c r="H148" s="17" t="n">
        <v>60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خدمات (كهرباء/مياه/اتصالات)</t>
        </is>
      </c>
      <c r="L148" s="16" t="n"/>
    </row>
    <row r="149">
      <c r="A149" s="16" t="n">
        <v>148</v>
      </c>
      <c r="B149" s="95" t="n">
        <v>45940</v>
      </c>
      <c r="C149" s="16" t="inlineStr">
        <is>
          <t>الوقود</t>
        </is>
      </c>
      <c r="D149" s="16" t="inlineStr">
        <is>
          <t>RIYADH NURSERY</t>
        </is>
      </c>
      <c r="E149" s="16" t="n"/>
      <c r="F149" s="17" t="n">
        <v>30.45</v>
      </c>
      <c r="G149" s="16" t="n">
        <v>15</v>
      </c>
      <c r="H149" s="17" t="n">
        <v>35.02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وقود</t>
        </is>
      </c>
      <c r="L149" s="16" t="n"/>
    </row>
    <row r="150">
      <c r="A150" s="16" t="n">
        <v>149</v>
      </c>
      <c r="B150" s="95" t="n">
        <v>45940</v>
      </c>
      <c r="C150" s="16" t="inlineStr">
        <is>
          <t>الوقود</t>
        </is>
      </c>
      <c r="D150" s="16" t="inlineStr">
        <is>
          <t>RIYADH NURSERY</t>
        </is>
      </c>
      <c r="E150" s="16" t="n"/>
      <c r="F150" s="17" t="n">
        <v>204.35</v>
      </c>
      <c r="G150" s="16" t="n">
        <v>15</v>
      </c>
      <c r="H150" s="17" t="n">
        <v>235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وقود</t>
        </is>
      </c>
      <c r="L150" s="16" t="n"/>
    </row>
    <row r="151">
      <c r="A151" s="16" t="n">
        <v>150</v>
      </c>
      <c r="B151" s="95" t="n">
        <v>45941</v>
      </c>
      <c r="C151" s="16" t="inlineStr">
        <is>
          <t>مصنع شركة سانح لى للبلاستيك</t>
        </is>
      </c>
      <c r="D151" s="16" t="inlineStr">
        <is>
          <t>RIYADH NURSERY-PO955</t>
        </is>
      </c>
      <c r="E151" s="16" t="n"/>
      <c r="F151" s="17" t="n">
        <v>1965.6</v>
      </c>
      <c r="G151" s="16" t="n">
        <v>15</v>
      </c>
      <c r="H151" s="17" t="n">
        <v>2260.44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مستلزمات إنتاج (مراكن/فلين/مفارش)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رواتب</t>
        </is>
      </c>
      <c r="D152" s="16" t="inlineStr">
        <is>
          <t>RIYADH NURSERY</t>
        </is>
      </c>
      <c r="E152" s="16" t="n"/>
      <c r="F152" s="17" t="n">
        <v>19565.22</v>
      </c>
      <c r="G152" s="16" t="n">
        <v>15</v>
      </c>
      <c r="H152" s="17" t="n">
        <v>22500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رواتب وعمولات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رواتب</t>
        </is>
      </c>
      <c r="D153" s="16" t="inlineStr">
        <is>
          <t>RIYADH NURSERY</t>
        </is>
      </c>
      <c r="E153" s="16" t="n"/>
      <c r="F153" s="17" t="n">
        <v>20388.7</v>
      </c>
      <c r="G153" s="16" t="n">
        <v>15</v>
      </c>
      <c r="H153" s="17" t="n">
        <v>23447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رواتب وعمولات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مصنع شركة سانح لى للبلاستيك</t>
        </is>
      </c>
      <c r="D154" s="16" t="inlineStr">
        <is>
          <t>RIYADH NURSERY-PO958</t>
        </is>
      </c>
      <c r="E154" s="16" t="n"/>
      <c r="F154" s="17" t="n">
        <v>1965.6</v>
      </c>
      <c r="G154" s="16" t="n">
        <v>15</v>
      </c>
      <c r="H154" s="17" t="n">
        <v>2260.44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مستلزمات إنتاج (مراكن/فلين/مفارش)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HETA NURSERYS</t>
        </is>
      </c>
      <c r="D155" s="16" t="inlineStr">
        <is>
          <t>RIYADH NURSERY - PO959</t>
        </is>
      </c>
      <c r="E155" s="16" t="n"/>
      <c r="F155" s="17" t="n">
        <v>4065.22</v>
      </c>
      <c r="G155" s="16" t="n">
        <v>15</v>
      </c>
      <c r="H155" s="17" t="n">
        <v>4675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45942</v>
      </c>
      <c r="C156" s="16" t="inlineStr">
        <is>
          <t>HETA NURSERYS</t>
        </is>
      </c>
      <c r="D156" s="16" t="inlineStr">
        <is>
          <t>RIYADH NURSERY-PO956</t>
        </is>
      </c>
      <c r="E156" s="16" t="n"/>
      <c r="F156" s="17" t="n">
        <v>11920.65</v>
      </c>
      <c r="G156" s="16" t="n">
        <v>15</v>
      </c>
      <c r="H156" s="17" t="n">
        <v>13708.75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مشتريات نباتات وبذور</t>
        </is>
      </c>
      <c r="L156" s="16" t="n"/>
    </row>
    <row r="157">
      <c r="A157" s="16" t="n">
        <v>156</v>
      </c>
      <c r="B157" s="95" t="n">
        <v>45942</v>
      </c>
      <c r="C157" s="16" t="inlineStr">
        <is>
          <t>موسسة الدلتا الخضراء للتجاره</t>
        </is>
      </c>
      <c r="D157" s="16" t="inlineStr">
        <is>
          <t>RIYADH NURSERY</t>
        </is>
      </c>
      <c r="E157" s="16" t="n"/>
      <c r="F157" s="17" t="n">
        <v>515</v>
      </c>
      <c r="G157" s="16" t="n">
        <v>15</v>
      </c>
      <c r="H157" s="17" t="n">
        <v>592.25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مشتريات نباتات وبذور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هاتف الموبايل</t>
        </is>
      </c>
      <c r="D158" s="16" t="inlineStr">
        <is>
          <t>RIYADH NURSERY</t>
        </is>
      </c>
      <c r="E158" s="16" t="inlineStr">
        <is>
          <t>شحن جوال عصمت</t>
        </is>
      </c>
      <c r="F158" s="17" t="n">
        <v>100</v>
      </c>
      <c r="G158" s="16" t="n">
        <v>15</v>
      </c>
      <c r="H158" s="17" t="n">
        <v>115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خدمات (كهرباء/مياه/اتصالات)</t>
        </is>
      </c>
      <c r="L158" s="16" t="n"/>
    </row>
    <row r="159">
      <c r="A159" s="16" t="n">
        <v>158</v>
      </c>
      <c r="B159" s="95" t="n">
        <v>45943</v>
      </c>
      <c r="C159" s="16" t="inlineStr">
        <is>
          <t>مؤسسة تركي بن محمد العتيبي للشحن</t>
        </is>
      </c>
      <c r="D159" s="16" t="inlineStr">
        <is>
          <t>RIYADH NURSERY</t>
        </is>
      </c>
      <c r="E159" s="16" t="n"/>
      <c r="F159" s="17" t="n">
        <v>69.56999999999999</v>
      </c>
      <c r="G159" s="16" t="n">
        <v>15</v>
      </c>
      <c r="H159" s="17" t="n">
        <v>80.01000000000001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مصروفات إدارية وأخرى</t>
        </is>
      </c>
      <c r="L159" s="16" t="n"/>
    </row>
    <row r="160">
      <c r="A160" s="16" t="n">
        <v>159</v>
      </c>
      <c r="B160" s="95" t="n">
        <v>45943</v>
      </c>
      <c r="C160" s="16" t="inlineStr">
        <is>
          <t>اللوازم المكتبية</t>
        </is>
      </c>
      <c r="D160" s="16" t="inlineStr">
        <is>
          <t>RIYADH NURSERY</t>
        </is>
      </c>
      <c r="E160" s="16" t="n"/>
      <c r="F160" s="17" t="n">
        <v>43.26</v>
      </c>
      <c r="G160" s="16" t="n">
        <v>15</v>
      </c>
      <c r="H160" s="17" t="n">
        <v>49.75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45944</v>
      </c>
      <c r="C161" s="16" t="inlineStr">
        <is>
          <t>مؤسسة المحترف الامثل للتجارة - سباكة</t>
        </is>
      </c>
      <c r="D161" s="16" t="inlineStr">
        <is>
          <t>RIYADH NURSERY</t>
        </is>
      </c>
      <c r="E161" s="16" t="n"/>
      <c r="F161" s="17" t="n">
        <v>234</v>
      </c>
      <c r="G161" s="16" t="n">
        <v>15</v>
      </c>
      <c r="H161" s="17" t="n">
        <v>269.1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صيانة وإنشاءات المزرعة</t>
        </is>
      </c>
      <c r="L161" s="16" t="n"/>
    </row>
    <row r="162">
      <c r="A162" s="16" t="n">
        <v>161</v>
      </c>
      <c r="B162" s="95" t="n">
        <v>45944</v>
      </c>
      <c r="C162" s="16" t="inlineStr">
        <is>
          <t>مؤسسة قاعدة الركن التجارية - معدات زراعبة</t>
        </is>
      </c>
      <c r="D162" s="16" t="inlineStr">
        <is>
          <t>RIYADH NURSERY</t>
        </is>
      </c>
      <c r="E162" s="16" t="n"/>
      <c r="F162" s="17" t="n">
        <v>104.35</v>
      </c>
      <c r="G162" s="16" t="n">
        <v>15</v>
      </c>
      <c r="H162" s="17" t="n">
        <v>120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مصروفات إدارية وأخرى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HETA NURSERYS</t>
        </is>
      </c>
      <c r="D163" s="16" t="inlineStr">
        <is>
          <t>RIYADH NURSERY - PO1003</t>
        </is>
      </c>
      <c r="E163" s="16" t="n"/>
      <c r="F163" s="17" t="n">
        <v>3826.09</v>
      </c>
      <c r="G163" s="16" t="n">
        <v>15</v>
      </c>
      <c r="H163" s="17" t="n">
        <v>4400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مشتريات نباتات وبذور</t>
        </is>
      </c>
      <c r="L163" s="16" t="n"/>
    </row>
    <row r="164">
      <c r="A164" s="16" t="n">
        <v>163</v>
      </c>
      <c r="B164" s="95" t="n">
        <v>45945</v>
      </c>
      <c r="C164" s="16" t="inlineStr">
        <is>
          <t>مؤسسة رغدان للزراعه</t>
        </is>
      </c>
      <c r="D164" s="16" t="inlineStr">
        <is>
          <t>RIYADH NURSERY</t>
        </is>
      </c>
      <c r="E164" s="16" t="n"/>
      <c r="F164" s="17" t="n">
        <v>225.22</v>
      </c>
      <c r="G164" s="16" t="n">
        <v>15</v>
      </c>
      <c r="H164" s="17" t="n">
        <v>259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مشتريات نباتات وبذور</t>
        </is>
      </c>
      <c r="L164" s="16" t="n"/>
    </row>
    <row r="165">
      <c r="A165" s="16" t="n">
        <v>164</v>
      </c>
      <c r="B165" s="95" t="n">
        <v>45945</v>
      </c>
      <c r="C165" s="16" t="inlineStr">
        <is>
          <t>رواتب</t>
        </is>
      </c>
      <c r="D165" s="16" t="inlineStr">
        <is>
          <t>RIYADH NURSERY</t>
        </is>
      </c>
      <c r="E165" s="16" t="n"/>
      <c r="F165" s="17" t="n">
        <v>695.65</v>
      </c>
      <c r="G165" s="16" t="n">
        <v>15</v>
      </c>
      <c r="H165" s="17" t="n">
        <v>800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رواتب وعمولات</t>
        </is>
      </c>
      <c r="L165" s="16" t="n"/>
    </row>
    <row r="166">
      <c r="A166" s="16" t="n">
        <v>165</v>
      </c>
      <c r="B166" s="95" t="n">
        <v>45946</v>
      </c>
      <c r="C166" s="16" t="inlineStr">
        <is>
          <t>مؤسسة المحترف الامثل للتجارة - سباكة</t>
        </is>
      </c>
      <c r="D166" s="16" t="inlineStr">
        <is>
          <t>RIYADH NURSERY</t>
        </is>
      </c>
      <c r="E166" s="16" t="n"/>
      <c r="F166" s="17" t="n">
        <v>86</v>
      </c>
      <c r="G166" s="16" t="n">
        <v>15</v>
      </c>
      <c r="H166" s="17" t="n">
        <v>98.90000000000001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صيانة وإنشاءات المزرعة</t>
        </is>
      </c>
      <c r="L166" s="16" t="n"/>
    </row>
    <row r="167">
      <c r="A167" s="16" t="n">
        <v>166</v>
      </c>
      <c r="B167" s="95" t="n">
        <v>45946</v>
      </c>
      <c r="C167" s="16" t="inlineStr">
        <is>
          <t>مؤسسة رواد سلام للتجارة</t>
        </is>
      </c>
      <c r="D167" s="16" t="inlineStr">
        <is>
          <t>RIYADH NURSERY</t>
        </is>
      </c>
      <c r="E167" s="16" t="n"/>
      <c r="F167" s="17" t="n">
        <v>478.26</v>
      </c>
      <c r="G167" s="16" t="n">
        <v>15</v>
      </c>
      <c r="H167" s="17" t="n">
        <v>550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مواد زراعية (بيتموس/بيرلايت/أسمدة/مبيدات)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HETA NURSERYS</t>
        </is>
      </c>
      <c r="D168" s="16" t="inlineStr">
        <is>
          <t>RIYADH NURSERY - PO1020</t>
        </is>
      </c>
      <c r="E168" s="16" t="n"/>
      <c r="F168" s="17" t="n">
        <v>2869.57</v>
      </c>
      <c r="G168" s="16" t="n">
        <v>15</v>
      </c>
      <c r="H168" s="17" t="n">
        <v>3300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مشتريات نباتات وبذور</t>
        </is>
      </c>
      <c r="L168" s="16" t="n"/>
    </row>
    <row r="169">
      <c r="A169" s="16" t="n">
        <v>168</v>
      </c>
      <c r="B169" s="95" t="n">
        <v>45948</v>
      </c>
      <c r="C169" s="16" t="inlineStr">
        <is>
          <t>سامي نقل - نولون</t>
        </is>
      </c>
      <c r="D169" s="16" t="inlineStr">
        <is>
          <t>RIYADH NURSERY</t>
        </is>
      </c>
      <c r="E169" s="16" t="n"/>
      <c r="F169" s="17" t="n">
        <v>304.35</v>
      </c>
      <c r="G169" s="16" t="n">
        <v>15</v>
      </c>
      <c r="H169" s="17" t="n">
        <v>350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مصروفات إدارية وأخرى</t>
        </is>
      </c>
      <c r="L169" s="16" t="n"/>
    </row>
    <row r="170">
      <c r="A170" s="16" t="n">
        <v>169</v>
      </c>
      <c r="B170" s="95" t="n">
        <v>45948</v>
      </c>
      <c r="C170" s="16" t="inlineStr">
        <is>
          <t>مبسط العجفة لمواد البناء</t>
        </is>
      </c>
      <c r="D170" s="16" t="inlineStr">
        <is>
          <t>RIYADH NURSERY</t>
        </is>
      </c>
      <c r="E170" s="16" t="n"/>
      <c r="F170" s="17" t="n">
        <v>1869.57</v>
      </c>
      <c r="G170" s="16" t="n">
        <v>15</v>
      </c>
      <c r="H170" s="17" t="n">
        <v>2150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صيانة وإنشاءات المزرعة</t>
        </is>
      </c>
      <c r="L170" s="16" t="n"/>
    </row>
    <row r="171">
      <c r="A171" s="16" t="n">
        <v>170</v>
      </c>
      <c r="B171" s="95" t="n">
        <v>45949</v>
      </c>
      <c r="C171" s="16" t="inlineStr">
        <is>
          <t>مصنع شركة سانح لى للبلاستيك</t>
        </is>
      </c>
      <c r="D171" s="16" t="inlineStr">
        <is>
          <t>RIYADH NURSERY - PO1023</t>
        </is>
      </c>
      <c r="E171" s="16" t="inlineStr">
        <is>
          <t>PO 1023</t>
        </is>
      </c>
      <c r="F171" s="17" t="n">
        <v>1965.6</v>
      </c>
      <c r="G171" s="16" t="n">
        <v>15</v>
      </c>
      <c r="H171" s="17" t="n">
        <v>2260.44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مستلزمات إنتاج (مراكن/فلين/مفارش)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ينابع المئويه لتحلية المياه</t>
        </is>
      </c>
      <c r="D172" s="16" t="inlineStr">
        <is>
          <t>RIYADH NURSERY</t>
        </is>
      </c>
      <c r="E172" s="16" t="n"/>
      <c r="F172" s="17" t="n">
        <v>52.17</v>
      </c>
      <c r="G172" s="16" t="n">
        <v>15</v>
      </c>
      <c r="H172" s="17" t="n">
        <v>60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خدمات (كهرباء/مياه/اتصالات)</t>
        </is>
      </c>
      <c r="L172" s="16" t="n"/>
    </row>
    <row r="173">
      <c r="A173" s="16" t="n">
        <v>172</v>
      </c>
      <c r="B173" s="95" t="n">
        <v>45950</v>
      </c>
      <c r="C173" s="16" t="inlineStr">
        <is>
          <t>مبسط العجفة لمواد البناء</t>
        </is>
      </c>
      <c r="D173" s="16" t="inlineStr">
        <is>
          <t>RIYADH NURSERY</t>
        </is>
      </c>
      <c r="E173" s="16" t="n"/>
      <c r="F173" s="17" t="n">
        <v>330.43</v>
      </c>
      <c r="G173" s="16" t="n">
        <v>15</v>
      </c>
      <c r="H173" s="17" t="n">
        <v>380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صيانة وإنشاءات المزرعة</t>
        </is>
      </c>
      <c r="L173" s="16" t="n"/>
    </row>
    <row r="174">
      <c r="A174" s="16" t="n">
        <v>173</v>
      </c>
      <c r="B174" s="95" t="n">
        <v>45950</v>
      </c>
      <c r="C174" s="16" t="inlineStr">
        <is>
          <t>مصنع شركة سانح لى للبلاستيك</t>
        </is>
      </c>
      <c r="D174" s="16" t="inlineStr">
        <is>
          <t>RIYADH NURSERY - PO1034</t>
        </is>
      </c>
      <c r="E174" s="16" t="inlineStr">
        <is>
          <t>PO 1034</t>
        </is>
      </c>
      <c r="F174" s="17" t="n">
        <v>1965.6</v>
      </c>
      <c r="G174" s="16" t="n">
        <v>15</v>
      </c>
      <c r="H174" s="17" t="n">
        <v>2260.44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مستلزمات إنتاج (مراكن/فلين/مفارش)</t>
        </is>
      </c>
      <c r="L174" s="16" t="n"/>
    </row>
    <row r="175">
      <c r="A175" s="16" t="n">
        <v>174</v>
      </c>
      <c r="B175" s="95" t="n">
        <v>45951</v>
      </c>
      <c r="C175" s="16" t="inlineStr">
        <is>
          <t>مؤسسة تلال الربيع للمفارش</t>
        </is>
      </c>
      <c r="D175" s="16" t="inlineStr">
        <is>
          <t>RIYADH NURSERY</t>
        </is>
      </c>
      <c r="E175" s="16" t="n"/>
      <c r="F175" s="17" t="n">
        <v>1382.39</v>
      </c>
      <c r="G175" s="16" t="n">
        <v>15</v>
      </c>
      <c r="H175" s="17" t="n">
        <v>1589.75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45951</v>
      </c>
      <c r="C176" s="16" t="inlineStr">
        <is>
          <t>مؤسسة المحترف الامثل للتجارة - سباكة</t>
        </is>
      </c>
      <c r="D176" s="16" t="inlineStr">
        <is>
          <t>RIYADH NURSERY</t>
        </is>
      </c>
      <c r="E176" s="16" t="inlineStr">
        <is>
          <t>شحن جوال عصمت</t>
        </is>
      </c>
      <c r="F176" s="17" t="n">
        <v>310</v>
      </c>
      <c r="G176" s="16" t="n">
        <v>15</v>
      </c>
      <c r="H176" s="17" t="n">
        <v>356.5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صيانة وإنشاءات المزرعة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مؤسسة النمور للخدمات التسويقية</t>
        </is>
      </c>
      <c r="D177" s="16" t="inlineStr">
        <is>
          <t>RIYADH NURSERY</t>
        </is>
      </c>
      <c r="E177" s="16" t="n"/>
      <c r="F177" s="17" t="n">
        <v>173.91</v>
      </c>
      <c r="G177" s="16" t="n">
        <v>15</v>
      </c>
      <c r="H177" s="17" t="n">
        <v>200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مصروفات إدارية وأخرى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موسسة بيت الوسيط لتجاره</t>
        </is>
      </c>
      <c r="D178" s="16" t="inlineStr">
        <is>
          <t>RIYADH NURSERY</t>
        </is>
      </c>
      <c r="E178" s="16" t="n"/>
      <c r="F178" s="17" t="n">
        <v>260.87</v>
      </c>
      <c r="G178" s="16" t="n">
        <v>15</v>
      </c>
      <c r="H178" s="17" t="n">
        <v>300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مواد زراعية (بيتموس/بيرلايت/أسمدة/مبيدات)</t>
        </is>
      </c>
      <c r="L178" s="16" t="n"/>
    </row>
    <row r="179">
      <c r="A179" s="16" t="n">
        <v>178</v>
      </c>
      <c r="B179" s="95" t="n">
        <v>45953</v>
      </c>
      <c r="C179" s="16" t="inlineStr">
        <is>
          <t>شركة التكامل</t>
        </is>
      </c>
      <c r="D179" s="16" t="inlineStr">
        <is>
          <t>RIYADH NURSERY</t>
        </is>
      </c>
      <c r="E179" s="16" t="n"/>
      <c r="F179" s="17" t="n">
        <v>730.3200000000001</v>
      </c>
      <c r="G179" s="16" t="n">
        <v>15</v>
      </c>
      <c r="H179" s="17" t="n">
        <v>839.87</v>
      </c>
      <c r="I179" s="16" t="inlineStr">
        <is>
          <t>نعم</t>
        </is>
      </c>
      <c r="J179" s="16" t="inlineStr">
        <is>
          <t>مزرعة الرياض (عهدة/صندوق)</t>
        </is>
      </c>
      <c r="K179" s="16" t="inlineStr">
        <is>
          <t>مشتريات نباتات وبذور</t>
        </is>
      </c>
      <c r="L179" s="16" t="n"/>
    </row>
    <row r="180">
      <c r="A180" s="16" t="n">
        <v>179</v>
      </c>
      <c r="B180" s="95" t="n">
        <v>45953</v>
      </c>
      <c r="C180" s="16" t="inlineStr">
        <is>
          <t>مؤسسة هيلاء عبيد الدوسرى</t>
        </is>
      </c>
      <c r="D180" s="16" t="inlineStr">
        <is>
          <t>RIYADH NURSERY</t>
        </is>
      </c>
      <c r="E180" s="16" t="n"/>
      <c r="F180" s="17" t="n">
        <v>204.35</v>
      </c>
      <c r="G180" s="16" t="n">
        <v>15</v>
      </c>
      <c r="H180" s="17" t="n">
        <v>235</v>
      </c>
      <c r="I180" s="16" t="inlineStr">
        <is>
          <t>نعم</t>
        </is>
      </c>
      <c r="J180" s="16" t="inlineStr">
        <is>
          <t>مزرعة الرياض (عهدة/صندوق)</t>
        </is>
      </c>
      <c r="K180" s="16" t="inlineStr">
        <is>
          <t>مصروفات إدارية وأخرى</t>
        </is>
      </c>
      <c r="L180" s="16" t="n"/>
    </row>
    <row r="181">
      <c r="A181" s="18" t="n">
        <v>180</v>
      </c>
      <c r="B181" s="98" t="n">
        <v>45953</v>
      </c>
      <c r="C181" s="18" t="inlineStr">
        <is>
          <t>شركة المدارات السعودية للتجارة والاستيراد</t>
        </is>
      </c>
      <c r="D181" s="18" t="inlineStr">
        <is>
          <t>RIYADH NURSERY - PO1040</t>
        </is>
      </c>
      <c r="E181" s="18" t="inlineStr">
        <is>
          <t>تم التحويل البنكى من نسما</t>
        </is>
      </c>
      <c r="F181" s="19" t="n">
        <v>44000</v>
      </c>
      <c r="G181" s="18" t="n">
        <v>15</v>
      </c>
      <c r="H181" s="19" t="n">
        <v>50600</v>
      </c>
      <c r="I181" s="18" t="inlineStr">
        <is>
          <t>نعم</t>
        </is>
      </c>
      <c r="J181" s="18" t="inlineStr">
        <is>
          <t>مزرعة تبوك (نسما) – تحويل بنكي</t>
        </is>
      </c>
      <c r="K181" s="18" t="inlineStr">
        <is>
          <t>مواد زراعية (بيتموس/بيرلايت/أسمدة/مبيدات)</t>
        </is>
      </c>
      <c r="L1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18" t="n">
        <v>181</v>
      </c>
      <c r="B182" s="98" t="n">
        <v>45953</v>
      </c>
      <c r="C182" s="18" t="inlineStr">
        <is>
          <t>شركة المدارات السعودية للتجارة والاستيراد</t>
        </is>
      </c>
      <c r="D182" s="18" t="inlineStr">
        <is>
          <t>RIYADH NURSERY - PO1043</t>
        </is>
      </c>
      <c r="E182" s="18" t="inlineStr">
        <is>
          <t>اذن صرف نقدية 8</t>
        </is>
      </c>
      <c r="F182" s="19" t="n">
        <v>44000</v>
      </c>
      <c r="G182" s="18" t="n">
        <v>15</v>
      </c>
      <c r="H182" s="19" t="n">
        <v>50600</v>
      </c>
      <c r="I182" s="18" t="inlineStr">
        <is>
          <t>نعم</t>
        </is>
      </c>
      <c r="J182" s="18" t="inlineStr">
        <is>
          <t>مزرعة الرياض (عهدة/صندوق)</t>
        </is>
      </c>
      <c r="K182" s="18" t="inlineStr">
        <is>
          <t>مواد زراعية (بيتموس/بيرلايت/أسمدة/مبيدات)</t>
        </is>
      </c>
      <c r="L182" s="18" t="inlineStr">
        <is>
          <t>⚠ نفس المورد ونفس التاريخ ونفس القيمة مكرر – يلزم التأكد</t>
        </is>
      </c>
    </row>
    <row r="183">
      <c r="A183" s="16" t="n">
        <v>182</v>
      </c>
      <c r="B183" s="95" t="n">
        <v>45953</v>
      </c>
      <c r="C183" s="16" t="inlineStr">
        <is>
          <t>شركة المدارات السعودية للتجارة والاستيراد</t>
        </is>
      </c>
      <c r="D183" s="16" t="inlineStr">
        <is>
          <t>RIYADH NURSERY - PO1042</t>
        </is>
      </c>
      <c r="E183" s="16" t="inlineStr">
        <is>
          <t>اذن صرف نقدية 8</t>
        </is>
      </c>
      <c r="F183" s="17" t="n">
        <v>20000</v>
      </c>
      <c r="G183" s="16" t="n">
        <v>15</v>
      </c>
      <c r="H183" s="17" t="n">
        <v>23000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مواد زراعية (بيتموس/بيرلايت/أسمدة/مبيدات)</t>
        </is>
      </c>
      <c r="L183" s="16" t="n"/>
    </row>
    <row r="184">
      <c r="A184" s="16" t="n">
        <v>183</v>
      </c>
      <c r="B184" s="95" t="n">
        <v>45954</v>
      </c>
      <c r="C184" s="16" t="inlineStr">
        <is>
          <t>شركة الجزيرة الحديثة الزراعية</t>
        </is>
      </c>
      <c r="D184" s="16" t="inlineStr">
        <is>
          <t>WHK-2364</t>
        </is>
      </c>
      <c r="E184" s="16" t="inlineStr">
        <is>
          <t>مرفق طلب التوريد</t>
        </is>
      </c>
      <c r="F184" s="17" t="n">
        <v>35740</v>
      </c>
      <c r="G184" s="16" t="n">
        <v>0</v>
      </c>
      <c r="H184" s="17" t="n">
        <v>35740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مشتريات زهور لعقد عرعر (WHK-2364)</t>
        </is>
      </c>
      <c r="L184" s="16" t="inlineStr">
        <is>
          <t>تكلفة زهور مشتراة لتوريد عقد عرعر لأبو خالد</t>
        </is>
      </c>
    </row>
    <row r="185">
      <c r="A185" s="16" t="n">
        <v>184</v>
      </c>
      <c r="B185" s="95" t="n">
        <v>45955</v>
      </c>
      <c r="C185" s="16" t="inlineStr">
        <is>
          <t>مؤسسة هيلاء عبيد الدوسرى</t>
        </is>
      </c>
      <c r="D185" s="16" t="inlineStr">
        <is>
          <t>RIYADH NURSERY</t>
        </is>
      </c>
      <c r="E185" s="16" t="n"/>
      <c r="F185" s="17" t="n">
        <v>204.35</v>
      </c>
      <c r="G185" s="16" t="n">
        <v>15</v>
      </c>
      <c r="H185" s="17" t="n">
        <v>235</v>
      </c>
      <c r="I185" s="16" t="inlineStr">
        <is>
          <t>نعم</t>
        </is>
      </c>
      <c r="J185" s="16" t="inlineStr">
        <is>
          <t>مزرعة الرياض (عهدة/صندوق)</t>
        </is>
      </c>
      <c r="K185" s="16" t="inlineStr">
        <is>
          <t>مصروفات إدارية وأخرى</t>
        </is>
      </c>
      <c r="L185" s="16" t="n"/>
    </row>
    <row r="186">
      <c r="A186" s="16" t="n">
        <v>185</v>
      </c>
      <c r="B186" s="95" t="n">
        <v>45955</v>
      </c>
      <c r="C186" s="16" t="inlineStr">
        <is>
          <t>مؤسسة بساتين الرياض</t>
        </is>
      </c>
      <c r="D186" s="16" t="inlineStr">
        <is>
          <t>RIYADH NURSERY - PO1046</t>
        </is>
      </c>
      <c r="E186" s="16" t="inlineStr">
        <is>
          <t>PO 1046</t>
        </is>
      </c>
      <c r="F186" s="17" t="n">
        <v>12017.39</v>
      </c>
      <c r="G186" s="16" t="n">
        <v>15</v>
      </c>
      <c r="H186" s="17" t="n">
        <v>13820</v>
      </c>
      <c r="I186" s="16" t="inlineStr">
        <is>
          <t>نعم</t>
        </is>
      </c>
      <c r="J186" s="16" t="inlineStr">
        <is>
          <t>مزرعة الرياض (عهدة/صندوق)</t>
        </is>
      </c>
      <c r="K186" s="16" t="inlineStr">
        <is>
          <t>مشتريات نباتات وبذور</t>
        </is>
      </c>
      <c r="L186" s="16" t="n"/>
    </row>
    <row r="187">
      <c r="A187" s="16" t="n">
        <v>186</v>
      </c>
      <c r="B187" s="95" t="n">
        <v>45955</v>
      </c>
      <c r="C187" s="16" t="inlineStr">
        <is>
          <t>شركة التاج المميزة التجارية</t>
        </is>
      </c>
      <c r="D187" s="16" t="inlineStr">
        <is>
          <t>RIYADH NURSERY - PO1057+PO1061</t>
        </is>
      </c>
      <c r="E187" s="16" t="inlineStr">
        <is>
          <t>PO1061+PO1057</t>
        </is>
      </c>
      <c r="F187" s="17" t="n">
        <v>10750</v>
      </c>
      <c r="G187" s="16" t="n">
        <v>15</v>
      </c>
      <c r="H187" s="17" t="n">
        <v>12362.5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مواد زراعية (بيتموس/بيرلايت/أسمدة/مبيدات)</t>
        </is>
      </c>
      <c r="L187" s="16" t="n"/>
    </row>
    <row r="188">
      <c r="A188" s="18" t="n">
        <v>187</v>
      </c>
      <c r="B188" s="98" t="n">
        <v>45955</v>
      </c>
      <c r="C188" s="18" t="inlineStr">
        <is>
          <t>مصنع شركة سانح لى للبلاستيك</t>
        </is>
      </c>
      <c r="D188" s="18" t="inlineStr">
        <is>
          <t>RIYADH NURSERY - PO1049</t>
        </is>
      </c>
      <c r="E188" s="18" t="inlineStr">
        <is>
          <t>PO 1049</t>
        </is>
      </c>
      <c r="F188" s="19" t="n">
        <v>1965.6</v>
      </c>
      <c r="G188" s="18" t="n">
        <v>15</v>
      </c>
      <c r="H188" s="19" t="n">
        <v>2260.44</v>
      </c>
      <c r="I188" s="18" t="inlineStr">
        <is>
          <t>نعم</t>
        </is>
      </c>
      <c r="J188" s="18" t="inlineStr">
        <is>
          <t>مزرعة الرياض (عهدة/صندوق)</t>
        </is>
      </c>
      <c r="K188" s="18" t="inlineStr">
        <is>
          <t>مستلزمات إنتاج (مراكن/فلين/مفارش)</t>
        </is>
      </c>
      <c r="L188" s="18" t="inlineStr">
        <is>
          <t>⚠ نفس المورد ونفس التاريخ ونفس القيمة مكرر – يلزم التأكد</t>
        </is>
      </c>
    </row>
    <row r="189">
      <c r="A189" s="18" t="n">
        <v>188</v>
      </c>
      <c r="B189" s="98" t="n">
        <v>45955</v>
      </c>
      <c r="C189" s="18" t="inlineStr">
        <is>
          <t>مصنع شركة سانح لى للبلاستيك</t>
        </is>
      </c>
      <c r="D189" s="18" t="inlineStr">
        <is>
          <t>RIYADH NURSERY - PO1048</t>
        </is>
      </c>
      <c r="E189" s="18" t="inlineStr">
        <is>
          <t>PO 1048</t>
        </is>
      </c>
      <c r="F189" s="19" t="n">
        <v>1965.6</v>
      </c>
      <c r="G189" s="18" t="n">
        <v>15</v>
      </c>
      <c r="H189" s="19" t="n">
        <v>2260.44</v>
      </c>
      <c r="I189" s="18" t="inlineStr">
        <is>
          <t>نعم</t>
        </is>
      </c>
      <c r="J189" s="18" t="inlineStr">
        <is>
          <t>مزرعة الرياض (عهدة/صندوق)</t>
        </is>
      </c>
      <c r="K189" s="18" t="inlineStr">
        <is>
          <t>مستلزمات إنتاج (مراكن/فلين/مفارش)</t>
        </is>
      </c>
      <c r="L189" s="18" t="inlineStr">
        <is>
          <t>⚠ نفس المورد ونفس التاريخ ونفس القيمة مكرر – يلزم التأكد</t>
        </is>
      </c>
    </row>
    <row r="190">
      <c r="A190" s="16" t="n">
        <v>189</v>
      </c>
      <c r="B190" s="95" t="n">
        <v>45956</v>
      </c>
      <c r="C190" s="16" t="inlineStr">
        <is>
          <t>مؤسسة الجودة النوعية للتجارة</t>
        </is>
      </c>
      <c r="D190" s="16" t="inlineStr">
        <is>
          <t>RIYADH NURSERY</t>
        </is>
      </c>
      <c r="E190" s="16" t="n"/>
      <c r="F190" s="17" t="n">
        <v>240</v>
      </c>
      <c r="G190" s="16" t="n">
        <v>15</v>
      </c>
      <c r="H190" s="17" t="n">
        <v>276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مشتريات نباتات وبذور</t>
        </is>
      </c>
      <c r="L190" s="16" t="n"/>
    </row>
    <row r="191">
      <c r="A191" s="16" t="n">
        <v>190</v>
      </c>
      <c r="B191" s="95" t="n">
        <v>45956</v>
      </c>
      <c r="C191" s="16" t="inlineStr">
        <is>
          <t>الوقود</t>
        </is>
      </c>
      <c r="D191" s="16" t="inlineStr">
        <is>
          <t>RIYADH NURSERY</t>
        </is>
      </c>
      <c r="E191" s="16" t="inlineStr">
        <is>
          <t>باقي فواتير الديزل</t>
        </is>
      </c>
      <c r="F191" s="17" t="n">
        <v>878.63</v>
      </c>
      <c r="G191" s="16" t="n">
        <v>15</v>
      </c>
      <c r="H191" s="17" t="n">
        <v>1010.42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وقود</t>
        </is>
      </c>
      <c r="L191" s="16" t="n"/>
    </row>
    <row r="192">
      <c r="A192" s="16" t="n">
        <v>191</v>
      </c>
      <c r="B192" s="95" t="n">
        <v>45956</v>
      </c>
      <c r="C192" s="16" t="inlineStr">
        <is>
          <t>الوقود</t>
        </is>
      </c>
      <c r="D192" s="16" t="inlineStr">
        <is>
          <t>RIYADH NURSERY</t>
        </is>
      </c>
      <c r="E192" s="16" t="inlineStr">
        <is>
          <t>فواتير ديزل من يوم 2-10 ح</t>
        </is>
      </c>
      <c r="F192" s="17" t="n">
        <v>773.91</v>
      </c>
      <c r="G192" s="16" t="n">
        <v>15</v>
      </c>
      <c r="H192" s="17" t="n">
        <v>890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وقود</t>
        </is>
      </c>
      <c r="L192" s="16" t="n"/>
    </row>
    <row r="193">
      <c r="A193" s="16" t="n">
        <v>192</v>
      </c>
      <c r="B193" s="95" t="n">
        <v>45957</v>
      </c>
      <c r="C193" s="16" t="inlineStr">
        <is>
          <t>مصنع شركة سانح لى للبلاستيك</t>
        </is>
      </c>
      <c r="D193" s="16" t="inlineStr">
        <is>
          <t>RIYADH NURSERY</t>
        </is>
      </c>
      <c r="E193" s="16" t="inlineStr">
        <is>
          <t>PO 1066</t>
        </is>
      </c>
      <c r="F193" s="17" t="n">
        <v>1965.6</v>
      </c>
      <c r="G193" s="16" t="n">
        <v>15</v>
      </c>
      <c r="H193" s="17" t="n">
        <v>2260.44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مستلزمات إنتاج (مراكن/فلين/مفارش)</t>
        </is>
      </c>
      <c r="L193" s="16" t="n"/>
    </row>
    <row r="194">
      <c r="A194" s="16" t="n">
        <v>193</v>
      </c>
      <c r="B194" s="95" t="n">
        <v>45957</v>
      </c>
      <c r="C194" s="16" t="inlineStr">
        <is>
          <t>هاتف الموبايل</t>
        </is>
      </c>
      <c r="D194" s="16" t="inlineStr">
        <is>
          <t>RIYADH NURSERY</t>
        </is>
      </c>
      <c r="E194" s="16" t="inlineStr">
        <is>
          <t>شحن جوال م - محمد</t>
        </is>
      </c>
      <c r="F194" s="17" t="n">
        <v>100</v>
      </c>
      <c r="G194" s="16" t="n">
        <v>15</v>
      </c>
      <c r="H194" s="17" t="n">
        <v>115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45958</v>
      </c>
      <c r="C195" s="16" t="inlineStr">
        <is>
          <t>مؤسسة المرافق والجودة للمقاولات العامة</t>
        </is>
      </c>
      <c r="D195" s="16" t="inlineStr">
        <is>
          <t>RIYADH NURSERY</t>
        </is>
      </c>
      <c r="E195" s="16" t="n"/>
      <c r="F195" s="17" t="n">
        <v>43</v>
      </c>
      <c r="G195" s="16" t="n">
        <v>15</v>
      </c>
      <c r="H195" s="17" t="n">
        <v>49.45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صيانة وإنشاءات المزرعة</t>
        </is>
      </c>
      <c r="L195" s="16" t="n"/>
    </row>
    <row r="196">
      <c r="A196" s="16" t="n">
        <v>195</v>
      </c>
      <c r="B196" s="95" t="n">
        <v>45958</v>
      </c>
      <c r="C196" s="16" t="inlineStr">
        <is>
          <t>الوقود</t>
        </is>
      </c>
      <c r="D196" s="16" t="inlineStr">
        <is>
          <t>RIYADH NURSERY</t>
        </is>
      </c>
      <c r="E196" s="16" t="n"/>
      <c r="F196" s="17" t="n">
        <v>246.97</v>
      </c>
      <c r="G196" s="16" t="n">
        <v>15</v>
      </c>
      <c r="H196" s="17" t="n">
        <v>284.01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وقود</t>
        </is>
      </c>
      <c r="L196" s="16" t="n"/>
    </row>
    <row r="197">
      <c r="A197" s="16" t="n">
        <v>196</v>
      </c>
      <c r="B197" s="95" t="n">
        <v>45958</v>
      </c>
      <c r="C197" s="16" t="inlineStr">
        <is>
          <t>الشركة السعوديه للكهرباء</t>
        </is>
      </c>
      <c r="D197" s="16" t="inlineStr">
        <is>
          <t>RIYADH NURSERY</t>
        </is>
      </c>
      <c r="E197" s="16" t="n"/>
      <c r="F197" s="17" t="n">
        <v>4499.47</v>
      </c>
      <c r="G197" s="16" t="n">
        <v>15</v>
      </c>
      <c r="H197" s="17" t="n">
        <v>5174.39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خدمات (كهرباء/مياه/اتصالات)</t>
        </is>
      </c>
      <c r="L197" s="16" t="n"/>
    </row>
    <row r="198">
      <c r="A198" s="16" t="n">
        <v>197</v>
      </c>
      <c r="B198" s="95" t="n">
        <v>45959</v>
      </c>
      <c r="C198" s="16" t="inlineStr">
        <is>
          <t>مؤسسة اصداء الصحة للسباكة والكهرباء</t>
        </is>
      </c>
      <c r="D198" s="16" t="inlineStr">
        <is>
          <t>RIYADH NURSERY</t>
        </is>
      </c>
      <c r="E198" s="16" t="n"/>
      <c r="F198" s="17" t="n">
        <v>71.3</v>
      </c>
      <c r="G198" s="16" t="n">
        <v>15</v>
      </c>
      <c r="H198" s="17" t="n">
        <v>82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45959</v>
      </c>
      <c r="C199" s="16" t="inlineStr">
        <is>
          <t>اللوازم المكتبية</t>
        </is>
      </c>
      <c r="D199" s="16" t="inlineStr">
        <is>
          <t>RIYADH NURSERY</t>
        </is>
      </c>
      <c r="E199" s="16" t="n"/>
      <c r="F199" s="17" t="n">
        <v>75.22</v>
      </c>
      <c r="G199" s="16" t="n">
        <v>15</v>
      </c>
      <c r="H199" s="17" t="n">
        <v>86.5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مصروفات إدارية وأخرى</t>
        </is>
      </c>
      <c r="L199" s="16" t="n"/>
    </row>
    <row r="200">
      <c r="A200" s="16" t="n">
        <v>199</v>
      </c>
      <c r="B200" s="95" t="n">
        <v>45960</v>
      </c>
      <c r="C200" s="16" t="inlineStr">
        <is>
          <t>مؤسسة المحترف الامثل للتجارة - سباكة</t>
        </is>
      </c>
      <c r="D200" s="16" t="inlineStr">
        <is>
          <t>RIYADH NURSERY</t>
        </is>
      </c>
      <c r="E200" s="16" t="n"/>
      <c r="F200" s="17" t="n">
        <v>97</v>
      </c>
      <c r="G200" s="16" t="n">
        <v>15</v>
      </c>
      <c r="H200" s="17" t="n">
        <v>111.55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صيانة وإنشاءات المزرعة</t>
        </is>
      </c>
      <c r="L200" s="16" t="n"/>
    </row>
    <row r="201">
      <c r="A201" s="16" t="n">
        <v>200</v>
      </c>
      <c r="B201" s="95" t="n">
        <v>45960</v>
      </c>
      <c r="C201" s="16" t="inlineStr">
        <is>
          <t>هاتف الموبايل</t>
        </is>
      </c>
      <c r="D201" s="16" t="inlineStr">
        <is>
          <t>RIYADH NURSERY</t>
        </is>
      </c>
      <c r="E201" s="16" t="n"/>
      <c r="F201" s="17" t="n">
        <v>77.39</v>
      </c>
      <c r="G201" s="16" t="n">
        <v>15</v>
      </c>
      <c r="H201" s="17" t="n">
        <v>89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خدمات (كهرباء/مياه/اتصالات)</t>
        </is>
      </c>
      <c r="L201" s="16" t="n"/>
    </row>
    <row r="202">
      <c r="A202" s="16" t="n">
        <v>201</v>
      </c>
      <c r="B202" s="95" t="n">
        <v>45960</v>
      </c>
      <c r="C202" s="16" t="inlineStr">
        <is>
          <t>مصنع شركة سانح لى للبلاستيك</t>
        </is>
      </c>
      <c r="D202" s="16" t="inlineStr">
        <is>
          <t>RIYADH NURSERY - PO1080</t>
        </is>
      </c>
      <c r="E202" s="16" t="n"/>
      <c r="F202" s="17" t="n">
        <v>1965.6</v>
      </c>
      <c r="G202" s="16" t="n">
        <v>15</v>
      </c>
      <c r="H202" s="17" t="n">
        <v>2260.44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مستلزمات إنتاج (مراكن/فلين/مفارش)</t>
        </is>
      </c>
      <c r="L202" s="16" t="n"/>
    </row>
    <row r="203">
      <c r="A203" s="16" t="n">
        <v>202</v>
      </c>
      <c r="B203" s="95" t="n">
        <v>45961</v>
      </c>
      <c r="C203" s="16" t="inlineStr">
        <is>
          <t>مؤسسة بساتين الرياض</t>
        </is>
      </c>
      <c r="D203" s="16" t="inlineStr">
        <is>
          <t>RIYADH NURSERY</t>
        </is>
      </c>
      <c r="E203" s="16" t="n"/>
      <c r="F203" s="17" t="n">
        <v>495.65</v>
      </c>
      <c r="G203" s="16" t="n">
        <v>15</v>
      </c>
      <c r="H203" s="17" t="n">
        <v>570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45961</v>
      </c>
      <c r="C204" s="16" t="inlineStr">
        <is>
          <t>HETA NURSERYS</t>
        </is>
      </c>
      <c r="D204" s="16" t="inlineStr">
        <is>
          <t>RIYADH NURSERY</t>
        </is>
      </c>
      <c r="E204" s="16" t="n"/>
      <c r="F204" s="17" t="n">
        <v>6130.43</v>
      </c>
      <c r="G204" s="16" t="n">
        <v>15</v>
      </c>
      <c r="H204" s="17" t="n">
        <v>7050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6" t="n">
        <v>204</v>
      </c>
      <c r="B205" s="95" t="n">
        <v>45962</v>
      </c>
      <c r="C205" s="16" t="inlineStr">
        <is>
          <t>ينابع المئويه لتحلية المياه</t>
        </is>
      </c>
      <c r="D205" s="16" t="inlineStr">
        <is>
          <t>RIYADH NURSERY</t>
        </is>
      </c>
      <c r="E205" s="16" t="n"/>
      <c r="F205" s="17" t="n">
        <v>52.17</v>
      </c>
      <c r="G205" s="16" t="n">
        <v>15</v>
      </c>
      <c r="H205" s="17" t="n">
        <v>60</v>
      </c>
      <c r="I205" s="16" t="inlineStr">
        <is>
          <t>نعم</t>
        </is>
      </c>
      <c r="J205" s="16" t="inlineStr">
        <is>
          <t>مزرعة الرياض (عهدة/صندوق)</t>
        </is>
      </c>
      <c r="K205" s="16" t="inlineStr">
        <is>
          <t>خدمات (كهرباء/مياه/اتصالات)</t>
        </is>
      </c>
      <c r="L205" s="16" t="n"/>
    </row>
    <row r="206">
      <c r="A206" s="16" t="n">
        <v>205</v>
      </c>
      <c r="B206" s="95" t="n">
        <v>45963</v>
      </c>
      <c r="C206" s="16" t="inlineStr">
        <is>
          <t>HETA NURSERYS</t>
        </is>
      </c>
      <c r="D206" s="16" t="inlineStr">
        <is>
          <t>RIYADH NURSERY - PO1090</t>
        </is>
      </c>
      <c r="E206" s="16" t="n"/>
      <c r="F206" s="17" t="n">
        <v>6105.01</v>
      </c>
      <c r="G206" s="16" t="n">
        <v>15</v>
      </c>
      <c r="H206" s="17" t="n">
        <v>7020.76</v>
      </c>
      <c r="I206" s="16" t="inlineStr">
        <is>
          <t>نعم</t>
        </is>
      </c>
      <c r="J206" s="16" t="inlineStr">
        <is>
          <t>مزرعة الرياض (عهدة/صندوق)</t>
        </is>
      </c>
      <c r="K206" s="16" t="inlineStr">
        <is>
          <t>مشتريات نباتات وبذور</t>
        </is>
      </c>
      <c r="L206" s="16" t="n"/>
    </row>
    <row r="207">
      <c r="A207" s="16" t="n">
        <v>206</v>
      </c>
      <c r="B207" s="95" t="n">
        <v>45964</v>
      </c>
      <c r="C207" s="16" t="inlineStr">
        <is>
          <t>HETA NURSERYS</t>
        </is>
      </c>
      <c r="D207" s="16" t="inlineStr">
        <is>
          <t>RIYADH NURSERY - PO1094</t>
        </is>
      </c>
      <c r="E207" s="16" t="inlineStr">
        <is>
          <t>PO 1094</t>
        </is>
      </c>
      <c r="F207" s="17" t="n">
        <v>5826.09</v>
      </c>
      <c r="G207" s="16" t="n">
        <v>15</v>
      </c>
      <c r="H207" s="17" t="n">
        <v>6700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مشتريات نباتات وبذور</t>
        </is>
      </c>
      <c r="L207" s="16" t="n"/>
    </row>
    <row r="208">
      <c r="A208" s="18" t="n">
        <v>207</v>
      </c>
      <c r="B208" s="98" t="n">
        <v>45965</v>
      </c>
      <c r="C208" s="18" t="inlineStr">
        <is>
          <t>مصنع شركة سانح لى للبلاستيك</t>
        </is>
      </c>
      <c r="D208" s="18" t="inlineStr">
        <is>
          <t>RIYADH NURSERY - PO1096</t>
        </is>
      </c>
      <c r="E208" s="18" t="inlineStr">
        <is>
          <t>سداد اذن صرف رقم 10</t>
        </is>
      </c>
      <c r="F208" s="19" t="n">
        <v>1965.6</v>
      </c>
      <c r="G208" s="18" t="n">
        <v>15</v>
      </c>
      <c r="H208" s="19" t="n">
        <v>2260.44</v>
      </c>
      <c r="I208" s="18" t="inlineStr">
        <is>
          <t>نعم</t>
        </is>
      </c>
      <c r="J208" s="18" t="inlineStr">
        <is>
          <t>مزرعة الرياض (عهدة/صندوق)</t>
        </is>
      </c>
      <c r="K208" s="18" t="inlineStr">
        <is>
          <t>مستلزمات إنتاج (مراكن/فلين/مفارش)</t>
        </is>
      </c>
      <c r="L208" s="18" t="inlineStr">
        <is>
          <t>⚠ نفس المورد ونفس التاريخ ونفس القيمة مكرر – يلزم التأكد</t>
        </is>
      </c>
    </row>
    <row r="209">
      <c r="A209" s="18" t="n">
        <v>208</v>
      </c>
      <c r="B209" s="98" t="n">
        <v>45965</v>
      </c>
      <c r="C209" s="18" t="inlineStr">
        <is>
          <t>مصنع شركة سانح لى للبلاستيك</t>
        </is>
      </c>
      <c r="D209" s="18" t="inlineStr">
        <is>
          <t>RIYADH NURSERY - PO1097</t>
        </is>
      </c>
      <c r="E209" s="18" t="inlineStr">
        <is>
          <t>سداد اذن صرف رقم 10</t>
        </is>
      </c>
      <c r="F209" s="19" t="n">
        <v>1965.6</v>
      </c>
      <c r="G209" s="18" t="n">
        <v>15</v>
      </c>
      <c r="H209" s="19" t="n">
        <v>2260.44</v>
      </c>
      <c r="I209" s="18" t="inlineStr">
        <is>
          <t>نعم</t>
        </is>
      </c>
      <c r="J209" s="18" t="inlineStr">
        <is>
          <t>مزرعة الرياض (عهدة/صندوق)</t>
        </is>
      </c>
      <c r="K209" s="18" t="inlineStr">
        <is>
          <t>مستلزمات إنتاج (مراكن/فلين/مفارش)</t>
        </is>
      </c>
      <c r="L209" s="18" t="inlineStr">
        <is>
          <t>⚠ نفس المورد ونفس التاريخ ونفس القيمة مكرر – يلزم التأكد</t>
        </is>
      </c>
    </row>
    <row r="210">
      <c r="A210" s="16" t="n">
        <v>209</v>
      </c>
      <c r="B210" s="95" t="n">
        <v>45965</v>
      </c>
      <c r="C210" s="16" t="inlineStr">
        <is>
          <t>الوقود</t>
        </is>
      </c>
      <c r="D210" s="16" t="inlineStr">
        <is>
          <t>RIYADH NURSERY</t>
        </is>
      </c>
      <c r="E210" s="16" t="n"/>
      <c r="F210" s="17" t="n">
        <v>60.87</v>
      </c>
      <c r="G210" s="16" t="n">
        <v>15</v>
      </c>
      <c r="H210" s="17" t="n">
        <v>70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وقود</t>
        </is>
      </c>
      <c r="L210" s="16" t="n"/>
    </row>
    <row r="211">
      <c r="A211" s="16" t="n">
        <v>210</v>
      </c>
      <c r="B211" s="95" t="n">
        <v>45966</v>
      </c>
      <c r="C211" s="16" t="inlineStr">
        <is>
          <t>شركة الجزيرة الحديثة الزراعية</t>
        </is>
      </c>
      <c r="D211" s="16" t="inlineStr">
        <is>
          <t>WHK-2364</t>
        </is>
      </c>
      <c r="E211" s="16" t="inlineStr">
        <is>
          <t>مرفق طلب التوريد</t>
        </is>
      </c>
      <c r="F211" s="17" t="n">
        <v>19312.5</v>
      </c>
      <c r="G211" s="16" t="n">
        <v>0</v>
      </c>
      <c r="H211" s="17" t="n">
        <v>19312.5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مشتريات زهور لعقد عرعر (WHK-2364)</t>
        </is>
      </c>
      <c r="L211" s="16" t="inlineStr">
        <is>
          <t>تكلفة زهور مشتراة لتوريد عقد عرعر لأبو خالد</t>
        </is>
      </c>
    </row>
    <row r="212">
      <c r="A212" s="16" t="n">
        <v>211</v>
      </c>
      <c r="B212" s="95" t="n">
        <v>45967</v>
      </c>
      <c r="C212" s="16" t="inlineStr">
        <is>
          <t>شركة ايراد المتحدة التجارية</t>
        </is>
      </c>
      <c r="D212" s="16" t="inlineStr">
        <is>
          <t>RIYADH NURSERY - PO1111</t>
        </is>
      </c>
      <c r="E212" s="16" t="inlineStr">
        <is>
          <t>اذن صرف رقم 11</t>
        </is>
      </c>
      <c r="F212" s="17" t="n">
        <v>3874</v>
      </c>
      <c r="G212" s="16" t="n">
        <v>15</v>
      </c>
      <c r="H212" s="17" t="n">
        <v>4455.1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مواد زراعية (بيتموس/بيرلايت/أسمدة/مبيدات)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اللوازم المكتبية</t>
        </is>
      </c>
      <c r="D213" s="16" t="inlineStr">
        <is>
          <t>RIYADH NURSERY</t>
        </is>
      </c>
      <c r="E213" s="16" t="n"/>
      <c r="F213" s="17" t="n">
        <v>38.22</v>
      </c>
      <c r="G213" s="16" t="n">
        <v>15</v>
      </c>
      <c r="H213" s="17" t="n">
        <v>43.95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مصروفات إدارية وأخرى</t>
        </is>
      </c>
      <c r="L213" s="16" t="n"/>
    </row>
    <row r="214">
      <c r="A214" s="16" t="n">
        <v>213</v>
      </c>
      <c r="B214" s="95" t="n">
        <v>45969</v>
      </c>
      <c r="C214" s="16" t="inlineStr">
        <is>
          <t>هاتف الموبايل</t>
        </is>
      </c>
      <c r="D214" s="16" t="inlineStr">
        <is>
          <t>RIYADH NURSERY</t>
        </is>
      </c>
      <c r="E214" s="16" t="n"/>
      <c r="F214" s="17" t="n">
        <v>100</v>
      </c>
      <c r="G214" s="16" t="n">
        <v>15</v>
      </c>
      <c r="H214" s="17" t="n">
        <v>115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خدمات (كهرباء/مياه/اتصالات)</t>
        </is>
      </c>
      <c r="L214" s="16" t="n"/>
    </row>
    <row r="215">
      <c r="A215" s="16" t="n">
        <v>214</v>
      </c>
      <c r="B215" s="95" t="n">
        <v>45969</v>
      </c>
      <c r="C215" s="16" t="inlineStr">
        <is>
          <t>شركة موفق للمقاولات المحدودة</t>
        </is>
      </c>
      <c r="D215" s="16" t="inlineStr">
        <is>
          <t>RIYADH NURSERY</t>
        </is>
      </c>
      <c r="E215" s="16" t="n"/>
      <c r="F215" s="17" t="n">
        <v>246</v>
      </c>
      <c r="G215" s="16" t="n">
        <v>15</v>
      </c>
      <c r="H215" s="17" t="n">
        <v>282.9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صيانة وإنشاءات المزرعة</t>
        </is>
      </c>
      <c r="L215" s="16" t="n"/>
    </row>
    <row r="216">
      <c r="A216" s="16" t="n">
        <v>215</v>
      </c>
      <c r="B216" s="95" t="n">
        <v>45969</v>
      </c>
      <c r="C216" s="16" t="inlineStr">
        <is>
          <t>مؤسسة المحترف الامثل للتجارة - سباكة</t>
        </is>
      </c>
      <c r="D216" s="16" t="inlineStr">
        <is>
          <t>RIYADH NURSERY</t>
        </is>
      </c>
      <c r="E216" s="16" t="n"/>
      <c r="F216" s="17" t="n">
        <v>528</v>
      </c>
      <c r="G216" s="16" t="n">
        <v>15</v>
      </c>
      <c r="H216" s="17" t="n">
        <v>607.2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صيانة وإنشاءات المزرعة</t>
        </is>
      </c>
      <c r="L216" s="16" t="n"/>
    </row>
    <row r="217">
      <c r="A217" s="16" t="n">
        <v>216</v>
      </c>
      <c r="B217" s="95" t="n">
        <v>45969</v>
      </c>
      <c r="C217" s="16" t="inlineStr">
        <is>
          <t>مصنع شركة سانح لى للبلاستيك</t>
        </is>
      </c>
      <c r="D217" s="16" t="inlineStr">
        <is>
          <t>RIYADH NURSERY - PO1110</t>
        </is>
      </c>
      <c r="E217" s="16" t="inlineStr">
        <is>
          <t>اذن صرف رقم 13</t>
        </is>
      </c>
      <c r="F217" s="17" t="n">
        <v>1965.6</v>
      </c>
      <c r="G217" s="16" t="n">
        <v>15</v>
      </c>
      <c r="H217" s="17" t="n">
        <v>2260.44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مستلزمات إنتاج (مراكن/فلين/مفارش)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الشركة المصرية الالمانية للانتاج الزراعي</t>
        </is>
      </c>
      <c r="D218" s="16" t="inlineStr">
        <is>
          <t>RIYADH NURSERY - PO1119</t>
        </is>
      </c>
      <c r="E218" s="16" t="inlineStr">
        <is>
          <t>مرفق وصل السداد</t>
        </is>
      </c>
      <c r="F218" s="17" t="n">
        <v>35112</v>
      </c>
      <c r="G218" s="16" t="n">
        <v>15</v>
      </c>
      <c r="H218" s="17" t="n">
        <v>40378.8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مشتريات نباتات وبذور</t>
        </is>
      </c>
      <c r="L218" s="16" t="n"/>
    </row>
    <row r="219">
      <c r="A219" s="16" t="n">
        <v>218</v>
      </c>
      <c r="B219" s="95" t="n">
        <v>45970</v>
      </c>
      <c r="C219" s="16" t="inlineStr">
        <is>
          <t>الشركة المصرية الالمانية للانتاج الزراعي</t>
        </is>
      </c>
      <c r="D219" s="16" t="inlineStr">
        <is>
          <t>RIYADH NURSERY - PO1120</t>
        </is>
      </c>
      <c r="E219" s="16" t="inlineStr">
        <is>
          <t>اذن صرف رقم 53</t>
        </is>
      </c>
      <c r="F219" s="17" t="n">
        <v>37442</v>
      </c>
      <c r="G219" s="16" t="n">
        <v>0</v>
      </c>
      <c r="H219" s="17" t="n">
        <v>37442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مشتريات نباتات وبذور</t>
        </is>
      </c>
      <c r="L219" s="16" t="n"/>
    </row>
    <row r="220">
      <c r="A220" s="16" t="n">
        <v>219</v>
      </c>
      <c r="B220" s="95" t="n">
        <v>45970</v>
      </c>
      <c r="C220" s="16" t="inlineStr">
        <is>
          <t>HETA NURSERYS</t>
        </is>
      </c>
      <c r="D220" s="16" t="inlineStr">
        <is>
          <t>RIYADH NURSERY - PO1118</t>
        </is>
      </c>
      <c r="E220" s="16" t="inlineStr">
        <is>
          <t>سداد بيد م - عادل</t>
        </is>
      </c>
      <c r="F220" s="17" t="n">
        <v>20586.96</v>
      </c>
      <c r="G220" s="16" t="n">
        <v>15</v>
      </c>
      <c r="H220" s="17" t="n">
        <v>23675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مشتريات نباتات وبذور</t>
        </is>
      </c>
      <c r="L220" s="16" t="n"/>
    </row>
    <row r="221">
      <c r="A221" s="16" t="n">
        <v>220</v>
      </c>
      <c r="B221" s="95" t="n">
        <v>45970</v>
      </c>
      <c r="C221" s="16" t="inlineStr">
        <is>
          <t>HETA NURSERYS</t>
        </is>
      </c>
      <c r="D221" s="16" t="inlineStr">
        <is>
          <t>RIYADH NURSERY - PO1117</t>
        </is>
      </c>
      <c r="E221" s="16" t="inlineStr">
        <is>
          <t>سداد بيد م - عادل</t>
        </is>
      </c>
      <c r="F221" s="17" t="n">
        <v>9704.35</v>
      </c>
      <c r="G221" s="16" t="n">
        <v>15</v>
      </c>
      <c r="H221" s="17" t="n">
        <v>11160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مشتريات نباتات وبذور</t>
        </is>
      </c>
      <c r="L221" s="16" t="n"/>
    </row>
    <row r="222">
      <c r="A222" s="16" t="n">
        <v>221</v>
      </c>
      <c r="B222" s="95" t="n">
        <v>45970</v>
      </c>
      <c r="C222" s="16" t="inlineStr">
        <is>
          <t>مصنع شركة سانح لى للبلاستيك</t>
        </is>
      </c>
      <c r="D222" s="16" t="inlineStr">
        <is>
          <t>RIYADH NURSERY - PO1114</t>
        </is>
      </c>
      <c r="E222" s="16" t="inlineStr">
        <is>
          <t>اذن صرف رقم 13</t>
        </is>
      </c>
      <c r="F222" s="17" t="n">
        <v>1965.6</v>
      </c>
      <c r="G222" s="16" t="n">
        <v>15</v>
      </c>
      <c r="H222" s="17" t="n">
        <v>2260.44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مستلزمات إنتاج (مراكن/فلين/مفارش)</t>
        </is>
      </c>
      <c r="L222" s="16" t="n"/>
    </row>
    <row r="223">
      <c r="A223" s="16" t="n">
        <v>222</v>
      </c>
      <c r="B223" s="95" t="n">
        <v>45972</v>
      </c>
      <c r="C223" s="16" t="inlineStr">
        <is>
          <t>مصنع شركة سانح لى للبلاستيك</t>
        </is>
      </c>
      <c r="D223" s="16" t="inlineStr">
        <is>
          <t>RIYADH NURSERY - PO1124</t>
        </is>
      </c>
      <c r="E223" s="16" t="inlineStr">
        <is>
          <t>اذن صرف رقم 15</t>
        </is>
      </c>
      <c r="F223" s="17" t="n">
        <v>1965.6</v>
      </c>
      <c r="G223" s="16" t="n">
        <v>15</v>
      </c>
      <c r="H223" s="17" t="n">
        <v>2260.44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مستلزمات إنتاج (مراكن/فلين/مفارش)</t>
        </is>
      </c>
      <c r="L223" s="16" t="n"/>
    </row>
    <row r="224">
      <c r="A224" s="16" t="n">
        <v>223</v>
      </c>
      <c r="B224" s="95" t="n">
        <v>45973</v>
      </c>
      <c r="C224" s="16" t="inlineStr">
        <is>
          <t>مصنع شركة سانح لى للبلاستيك</t>
        </is>
      </c>
      <c r="D224" s="16" t="inlineStr">
        <is>
          <t>RIYADH NURSERY - PO1042</t>
        </is>
      </c>
      <c r="E224" s="16" t="inlineStr">
        <is>
          <t>اذن صرف رقم 15</t>
        </is>
      </c>
      <c r="F224" s="17" t="n">
        <v>2486.4</v>
      </c>
      <c r="G224" s="16" t="n">
        <v>15</v>
      </c>
      <c r="H224" s="17" t="n">
        <v>2859.36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مستلزمات إنتاج (مراكن/فلين/مفارش)</t>
        </is>
      </c>
      <c r="L224" s="16" t="n"/>
    </row>
    <row r="225">
      <c r="A225" s="16" t="n">
        <v>224</v>
      </c>
      <c r="B225" s="95" t="n">
        <v>45973</v>
      </c>
      <c r="C225" s="16" t="inlineStr">
        <is>
          <t>محطة المجمع لخدمات السيارات</t>
        </is>
      </c>
      <c r="D225" s="16" t="inlineStr">
        <is>
          <t>RIYADH NURSERY</t>
        </is>
      </c>
      <c r="E225" s="16" t="n"/>
      <c r="F225" s="17" t="n">
        <v>104.35</v>
      </c>
      <c r="G225" s="16" t="n">
        <v>15</v>
      </c>
      <c r="H225" s="17" t="n">
        <v>120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صيانة سيارات ومعدات</t>
        </is>
      </c>
      <c r="L225" s="16" t="n"/>
    </row>
    <row r="226">
      <c r="A226" s="16" t="n">
        <v>225</v>
      </c>
      <c r="B226" s="95" t="n">
        <v>45973</v>
      </c>
      <c r="C226" s="16" t="inlineStr">
        <is>
          <t>شركة اليمنى للسيارات</t>
        </is>
      </c>
      <c r="D226" s="16" t="inlineStr">
        <is>
          <t>RIYADH NURSERY</t>
        </is>
      </c>
      <c r="E226" s="16" t="n"/>
      <c r="F226" s="17" t="n">
        <v>25.07</v>
      </c>
      <c r="G226" s="16" t="n">
        <v>15</v>
      </c>
      <c r="H226" s="17" t="n">
        <v>28.83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صيانة سيارات ومعدات</t>
        </is>
      </c>
      <c r="L226" s="16" t="n"/>
    </row>
    <row r="227">
      <c r="A227" s="16" t="n">
        <v>226</v>
      </c>
      <c r="B227" s="95" t="n">
        <v>45973</v>
      </c>
      <c r="C227" s="16" t="inlineStr">
        <is>
          <t>شركة اليمنى للسيارات</t>
        </is>
      </c>
      <c r="D227" s="16" t="inlineStr">
        <is>
          <t>RIYADH NURSERY</t>
        </is>
      </c>
      <c r="E227" s="16" t="n"/>
      <c r="F227" s="17" t="n">
        <v>308.6</v>
      </c>
      <c r="G227" s="16" t="n">
        <v>15</v>
      </c>
      <c r="H227" s="17" t="n">
        <v>354.89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صيانة سيارات ومعدات</t>
        </is>
      </c>
      <c r="L227" s="16" t="n"/>
    </row>
    <row r="228">
      <c r="A228" s="16" t="n">
        <v>227</v>
      </c>
      <c r="B228" s="95" t="n">
        <v>45974</v>
      </c>
      <c r="C228" s="16" t="inlineStr">
        <is>
          <t>رواتب</t>
        </is>
      </c>
      <c r="D228" s="16" t="inlineStr">
        <is>
          <t>RIYADH NURSERY</t>
        </is>
      </c>
      <c r="E228" s="16" t="inlineStr">
        <is>
          <t>اذن صرف رقم 14</t>
        </is>
      </c>
      <c r="F228" s="17" t="n">
        <v>32939.13</v>
      </c>
      <c r="G228" s="16" t="n">
        <v>15</v>
      </c>
      <c r="H228" s="17" t="n">
        <v>37880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رواتب وعمولات</t>
        </is>
      </c>
      <c r="L228" s="16" t="n"/>
    </row>
    <row r="229">
      <c r="A229" s="16" t="n">
        <v>228</v>
      </c>
      <c r="B229" s="95" t="n">
        <v>45977</v>
      </c>
      <c r="C229" s="16" t="inlineStr">
        <is>
          <t>العمولة</t>
        </is>
      </c>
      <c r="D229" s="16" t="inlineStr">
        <is>
          <t>RIYADH NURSERY</t>
        </is>
      </c>
      <c r="E229" s="16" t="inlineStr">
        <is>
          <t>اذن صرف رقم 16</t>
        </is>
      </c>
      <c r="F229" s="17" t="n">
        <v>1160.87</v>
      </c>
      <c r="G229" s="16" t="n">
        <v>15</v>
      </c>
      <c r="H229" s="17" t="n">
        <v>1335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رواتب وعمولات</t>
        </is>
      </c>
      <c r="L229" s="16" t="n"/>
    </row>
    <row r="230">
      <c r="A230" s="16" t="n">
        <v>229</v>
      </c>
      <c r="B230" s="95" t="n">
        <v>45978</v>
      </c>
      <c r="C230" s="16" t="inlineStr">
        <is>
          <t>شركة التاج المميزة التجارية</t>
        </is>
      </c>
      <c r="D230" s="16" t="inlineStr">
        <is>
          <t>RIYADH NURSERY - PO1178</t>
        </is>
      </c>
      <c r="E230" s="16" t="inlineStr">
        <is>
          <t>سداد بيد م - عادل</t>
        </is>
      </c>
      <c r="F230" s="17" t="n">
        <v>13000</v>
      </c>
      <c r="G230" s="16" t="n">
        <v>0</v>
      </c>
      <c r="H230" s="17" t="n">
        <v>13000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مواد زراعية (بيتموس/بيرلايت/أسمدة/مبيدات)</t>
        </is>
      </c>
      <c r="L230" s="16" t="n"/>
    </row>
    <row r="231">
      <c r="A231" s="16" t="n">
        <v>230</v>
      </c>
      <c r="B231" s="95" t="n">
        <v>45978</v>
      </c>
      <c r="C231" s="16" t="inlineStr">
        <is>
          <t>ينابع المئويه لتحلية المياه</t>
        </is>
      </c>
      <c r="D231" s="16" t="inlineStr">
        <is>
          <t>RIYADH NURSERY</t>
        </is>
      </c>
      <c r="E231" s="16" t="n"/>
      <c r="F231" s="17" t="n">
        <v>52.17</v>
      </c>
      <c r="G231" s="16" t="n">
        <v>15</v>
      </c>
      <c r="H231" s="17" t="n">
        <v>60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خدمات (كهرباء/مياه/اتصالات)</t>
        </is>
      </c>
      <c r="L231" s="16" t="n"/>
    </row>
    <row r="232">
      <c r="A232" s="16" t="n">
        <v>231</v>
      </c>
      <c r="B232" s="95" t="n">
        <v>45978</v>
      </c>
      <c r="C232" s="16" t="inlineStr">
        <is>
          <t>مصنع شركة سانح لى للبلاستيك</t>
        </is>
      </c>
      <c r="D232" s="16" t="inlineStr">
        <is>
          <t>RIYADH NURSERY - PO1177</t>
        </is>
      </c>
      <c r="E232" s="16" t="inlineStr">
        <is>
          <t>17اذن صرف رقم</t>
        </is>
      </c>
      <c r="F232" s="17" t="n">
        <v>1965.6</v>
      </c>
      <c r="G232" s="16" t="n">
        <v>15</v>
      </c>
      <c r="H232" s="17" t="n">
        <v>2260.44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مستلزمات إنتاج (مراكن/فلين/مفارش)</t>
        </is>
      </c>
      <c r="L232" s="16" t="n"/>
    </row>
    <row r="233">
      <c r="A233" s="16" t="n">
        <v>232</v>
      </c>
      <c r="B233" s="95" t="n">
        <v>45980</v>
      </c>
      <c r="C233" s="16" t="inlineStr">
        <is>
          <t>GULF PERITE COMPANY</t>
        </is>
      </c>
      <c r="D233" s="16" t="inlineStr">
        <is>
          <t>RIYADH NURSERY</t>
        </is>
      </c>
      <c r="E233" s="16" t="inlineStr">
        <is>
          <t>مرفق طلب التوريد</t>
        </is>
      </c>
      <c r="F233" s="17" t="n">
        <v>17446.96</v>
      </c>
      <c r="G233" s="16" t="n">
        <v>15</v>
      </c>
      <c r="H233" s="17" t="n">
        <v>20064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مواد زراعية (بيتموس/بيرلايت/أسمدة/مبيدات)</t>
        </is>
      </c>
      <c r="L233" s="16" t="n"/>
    </row>
    <row r="234">
      <c r="A234" s="16" t="n">
        <v>233</v>
      </c>
      <c r="B234" s="95" t="n">
        <v>45981</v>
      </c>
      <c r="C234" s="16" t="inlineStr">
        <is>
          <t>مصنع شركة سانح لى للبلاستيك</t>
        </is>
      </c>
      <c r="D234" s="16" t="inlineStr">
        <is>
          <t>RIYADH NURSERY - PO1197</t>
        </is>
      </c>
      <c r="E234" s="16" t="inlineStr">
        <is>
          <t>18سداد باذن صرف رقم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45981</v>
      </c>
      <c r="C235" s="16" t="inlineStr">
        <is>
          <t>اللوازم المكتبية</t>
        </is>
      </c>
      <c r="D235" s="16" t="inlineStr">
        <is>
          <t>RIYADH NURSERY</t>
        </is>
      </c>
      <c r="E235" s="16" t="inlineStr">
        <is>
          <t>19باذن صرف رقم</t>
        </is>
      </c>
      <c r="F235" s="17" t="n">
        <v>173.91</v>
      </c>
      <c r="G235" s="16" t="n">
        <v>15</v>
      </c>
      <c r="H235" s="17" t="n">
        <v>200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مصروفات إدارية وأخرى</t>
        </is>
      </c>
      <c r="L235" s="16" t="n"/>
    </row>
    <row r="236">
      <c r="A236" s="16" t="n">
        <v>235</v>
      </c>
      <c r="B236" s="95" t="n">
        <v>45981</v>
      </c>
      <c r="C236" s="16" t="inlineStr">
        <is>
          <t>مؤسسة المحترف الامثل للتجارة - سباكة</t>
        </is>
      </c>
      <c r="D236" s="16" t="inlineStr">
        <is>
          <t>RIYADH NURSERY</t>
        </is>
      </c>
      <c r="E236" s="16" t="n"/>
      <c r="F236" s="17" t="n">
        <v>45</v>
      </c>
      <c r="G236" s="16" t="n">
        <v>15</v>
      </c>
      <c r="H236" s="17" t="n">
        <v>51.75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صيانة وإنشاءات المزرعة</t>
        </is>
      </c>
      <c r="L236" s="16" t="n"/>
    </row>
    <row r="237">
      <c r="A237" s="16" t="n">
        <v>236</v>
      </c>
      <c r="B237" s="95" t="n">
        <v>45983</v>
      </c>
      <c r="C237" s="16" t="inlineStr">
        <is>
          <t>هاتف الموبايل</t>
        </is>
      </c>
      <c r="D237" s="16" t="inlineStr">
        <is>
          <t>RIYADH NURSERY</t>
        </is>
      </c>
      <c r="E237" s="16" t="inlineStr">
        <is>
          <t>اذن صرف رقم 21</t>
        </is>
      </c>
      <c r="F237" s="17" t="n">
        <v>100</v>
      </c>
      <c r="G237" s="16" t="n">
        <v>15</v>
      </c>
      <c r="H237" s="17" t="n">
        <v>115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خدمات (كهرباء/مياه/اتصالات)</t>
        </is>
      </c>
      <c r="L237" s="16" t="n"/>
    </row>
    <row r="238">
      <c r="A238" s="16" t="n">
        <v>237</v>
      </c>
      <c r="B238" s="95" t="n">
        <v>45983</v>
      </c>
      <c r="C238" s="16" t="inlineStr">
        <is>
          <t>مصنع شركة سانح لى للبلاستيك</t>
        </is>
      </c>
      <c r="D238" s="16" t="inlineStr">
        <is>
          <t>RIYADH NURSERY - PO1216</t>
        </is>
      </c>
      <c r="E238" s="16" t="inlineStr">
        <is>
          <t>اذن صرف رقم 20</t>
        </is>
      </c>
      <c r="F238" s="17" t="n">
        <v>1965.6</v>
      </c>
      <c r="G238" s="16" t="n">
        <v>15</v>
      </c>
      <c r="H238" s="17" t="n">
        <v>2260.44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مستلزمات إنتاج (مراكن/فلين/مفارش)</t>
        </is>
      </c>
      <c r="L238" s="16" t="n"/>
    </row>
    <row r="239">
      <c r="A239" s="16" t="n">
        <v>238</v>
      </c>
      <c r="B239" s="95" t="n">
        <v>45984</v>
      </c>
      <c r="C239" s="16" t="inlineStr">
        <is>
          <t>مصنع شركة سانح لى للبلاستيك</t>
        </is>
      </c>
      <c r="D239" s="16" t="inlineStr">
        <is>
          <t>RIYADH NURSERY - PO1217</t>
        </is>
      </c>
      <c r="E239" s="16" t="inlineStr">
        <is>
          <t>اذن صرف رقم 22</t>
        </is>
      </c>
      <c r="F239" s="17" t="n">
        <v>1965.6</v>
      </c>
      <c r="G239" s="16" t="n">
        <v>15</v>
      </c>
      <c r="H239" s="17" t="n">
        <v>2260.44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مستلزمات إنتاج (مراكن/فلين/مفارش)</t>
        </is>
      </c>
      <c r="L239" s="16" t="n"/>
    </row>
    <row r="240">
      <c r="A240" s="16" t="n">
        <v>239</v>
      </c>
      <c r="B240" s="95" t="n">
        <v>45984</v>
      </c>
      <c r="C240" s="16" t="inlineStr">
        <is>
          <t>عائشة لادوات السباكة والكهرباء</t>
        </is>
      </c>
      <c r="D240" s="16" t="inlineStr">
        <is>
          <t>RIYADH NURSERY</t>
        </is>
      </c>
      <c r="E240" s="16" t="n"/>
      <c r="F240" s="17" t="n">
        <v>100</v>
      </c>
      <c r="G240" s="16" t="n">
        <v>0</v>
      </c>
      <c r="H240" s="17" t="n">
        <v>100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خدمات (كهرباء/مياه/اتصالات)</t>
        </is>
      </c>
      <c r="L240" s="16" t="n"/>
    </row>
    <row r="241">
      <c r="A241" s="16" t="n">
        <v>240</v>
      </c>
      <c r="B241" s="95" t="n">
        <v>45984</v>
      </c>
      <c r="C241" s="16" t="inlineStr">
        <is>
          <t>مؤسسة محمد عبدالله لبيع الاجهزة المستعملة</t>
        </is>
      </c>
      <c r="D241" s="16" t="inlineStr">
        <is>
          <t>RIYADH NURSERY</t>
        </is>
      </c>
      <c r="E241" s="16" t="n"/>
      <c r="F241" s="17" t="n">
        <v>700</v>
      </c>
      <c r="G241" s="16" t="n">
        <v>0</v>
      </c>
      <c r="H241" s="17" t="n">
        <v>700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مصروفات إدارية وأخرى</t>
        </is>
      </c>
      <c r="L241" s="16" t="n"/>
    </row>
    <row r="242">
      <c r="A242" s="16" t="n">
        <v>241</v>
      </c>
      <c r="B242" s="95" t="n">
        <v>45984</v>
      </c>
      <c r="C242" s="16" t="inlineStr">
        <is>
          <t>GULF PERITE COMPANY</t>
        </is>
      </c>
      <c r="D242" s="16" t="inlineStr">
        <is>
          <t>RIYADH NURSERY - PO1189</t>
        </is>
      </c>
      <c r="E242" s="16" t="inlineStr">
        <is>
          <t>سداد من فرع تبوك</t>
        </is>
      </c>
      <c r="F242" s="17" t="n">
        <v>20064</v>
      </c>
      <c r="G242" s="16" t="n">
        <v>0</v>
      </c>
      <c r="H242" s="17" t="n">
        <v>20064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مواد زراعية (بيتموس/بيرلايت/أسمدة/مبيدات)</t>
        </is>
      </c>
      <c r="L242" s="16" t="n"/>
    </row>
    <row r="243">
      <c r="A243" s="16" t="n">
        <v>242</v>
      </c>
      <c r="B243" s="95" t="n">
        <v>45985</v>
      </c>
      <c r="C243" s="16" t="inlineStr">
        <is>
          <t>شركة التاج المميزة التجارية</t>
        </is>
      </c>
      <c r="D243" s="16" t="inlineStr">
        <is>
          <t>RIYADH NURSERY - PO1213</t>
        </is>
      </c>
      <c r="E243" s="16" t="inlineStr">
        <is>
          <t>23سداد باذن صرف رقم</t>
        </is>
      </c>
      <c r="F243" s="17" t="n">
        <v>7500</v>
      </c>
      <c r="G243" s="16" t="n">
        <v>0</v>
      </c>
      <c r="H243" s="17" t="n">
        <v>7500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مواد زراعية (بيتموس/بيرلايت/أسمدة/مبيدات)</t>
        </is>
      </c>
      <c r="L243" s="16" t="n"/>
    </row>
    <row r="244">
      <c r="A244" s="16" t="n">
        <v>243</v>
      </c>
      <c r="B244" s="95" t="n">
        <v>45985</v>
      </c>
      <c r="C244" s="16" t="inlineStr">
        <is>
          <t>مؤسسة بساتين الرياض</t>
        </is>
      </c>
      <c r="D244" s="16" t="inlineStr">
        <is>
          <t>RIYADH NURSERY - PO1221</t>
        </is>
      </c>
      <c r="E244" s="16" t="inlineStr">
        <is>
          <t>اذن صرف رقم 24</t>
        </is>
      </c>
      <c r="F244" s="17" t="n">
        <v>1040</v>
      </c>
      <c r="G244" s="16" t="n">
        <v>0</v>
      </c>
      <c r="H244" s="17" t="n">
        <v>1040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مشتريات نباتات وبذور</t>
        </is>
      </c>
      <c r="L244" s="16" t="n"/>
    </row>
    <row r="245">
      <c r="A245" s="16" t="n">
        <v>244</v>
      </c>
      <c r="B245" s="95" t="n">
        <v>45987</v>
      </c>
      <c r="C245" s="16" t="inlineStr">
        <is>
          <t>الوقود</t>
        </is>
      </c>
      <c r="D245" s="16" t="inlineStr">
        <is>
          <t>RIYADH NURSERY</t>
        </is>
      </c>
      <c r="E245" s="16" t="inlineStr">
        <is>
          <t>25باذن صرف رقم</t>
        </is>
      </c>
      <c r="F245" s="17" t="n">
        <v>152.17</v>
      </c>
      <c r="G245" s="16" t="n">
        <v>15</v>
      </c>
      <c r="H245" s="17" t="n">
        <v>175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وقود</t>
        </is>
      </c>
      <c r="L245" s="16" t="n"/>
    </row>
    <row r="246">
      <c r="A246" s="16" t="n">
        <v>245</v>
      </c>
      <c r="B246" s="95" t="n">
        <v>45987</v>
      </c>
      <c r="C246" s="16" t="inlineStr">
        <is>
          <t>هايبر ماركت لولو</t>
        </is>
      </c>
      <c r="D246" s="16" t="inlineStr">
        <is>
          <t>RIYADH NURSERY</t>
        </is>
      </c>
      <c r="E246" s="16" t="inlineStr">
        <is>
          <t>26باذن صرف رقم</t>
        </is>
      </c>
      <c r="F246" s="17" t="n">
        <v>197.39</v>
      </c>
      <c r="G246" s="16" t="n">
        <v>15</v>
      </c>
      <c r="H246" s="17" t="n">
        <v>227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مصروفات إدارية وأخرى</t>
        </is>
      </c>
      <c r="L246" s="16" t="n"/>
    </row>
    <row r="247">
      <c r="A247" s="16" t="n">
        <v>246</v>
      </c>
      <c r="B247" s="95" t="n">
        <v>45989</v>
      </c>
      <c r="C247" s="16" t="inlineStr">
        <is>
          <t>مؤسسة هيلاء عبيد الدوسرى</t>
        </is>
      </c>
      <c r="D247" s="16" t="inlineStr">
        <is>
          <t>RIYADH NURSERY</t>
        </is>
      </c>
      <c r="E247" s="16" t="inlineStr">
        <is>
          <t>مرفق فاتورة</t>
        </is>
      </c>
      <c r="F247" s="17" t="n">
        <v>247.83</v>
      </c>
      <c r="G247" s="16" t="n">
        <v>15</v>
      </c>
      <c r="H247" s="17" t="n">
        <v>285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مصروفات إدارية وأخرى</t>
        </is>
      </c>
      <c r="L247" s="16" t="n"/>
    </row>
    <row r="248">
      <c r="A248" s="16" t="n">
        <v>247</v>
      </c>
      <c r="B248" s="95" t="n">
        <v>45989</v>
      </c>
      <c r="C248" s="16" t="inlineStr">
        <is>
          <t>مؤسسة هيلاء عبيد الدوسرى</t>
        </is>
      </c>
      <c r="D248" s="16" t="inlineStr">
        <is>
          <t>RIYADH NURSERY</t>
        </is>
      </c>
      <c r="E248" s="16" t="inlineStr">
        <is>
          <t>مرفق فاتورة</t>
        </is>
      </c>
      <c r="F248" s="17" t="n">
        <v>265.22</v>
      </c>
      <c r="G248" s="16" t="n">
        <v>15</v>
      </c>
      <c r="H248" s="17" t="n">
        <v>305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مصروفات إدارية وأخرى</t>
        </is>
      </c>
      <c r="L248" s="16" t="n"/>
    </row>
    <row r="249">
      <c r="A249" s="16" t="n">
        <v>248</v>
      </c>
      <c r="B249" s="95" t="n">
        <v>45989</v>
      </c>
      <c r="C249" s="16" t="inlineStr">
        <is>
          <t>صيانة</t>
        </is>
      </c>
      <c r="D249" s="16" t="inlineStr">
        <is>
          <t>RIYADH NURSERY</t>
        </is>
      </c>
      <c r="E249" s="16" t="inlineStr">
        <is>
          <t>اذن صرف رقم 27</t>
        </is>
      </c>
      <c r="F249" s="17" t="n">
        <v>250</v>
      </c>
      <c r="G249" s="16" t="n">
        <v>0</v>
      </c>
      <c r="H249" s="17" t="n">
        <v>250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صيانة وإنشاءات المزرعة</t>
        </is>
      </c>
      <c r="L249" s="16" t="n"/>
    </row>
    <row r="250">
      <c r="A250" s="16" t="n">
        <v>249</v>
      </c>
      <c r="B250" s="95" t="n">
        <v>45989</v>
      </c>
      <c r="C250" s="16" t="inlineStr">
        <is>
          <t>الوقود</t>
        </is>
      </c>
      <c r="D250" s="16" t="inlineStr">
        <is>
          <t>RIYADH NURSERY</t>
        </is>
      </c>
      <c r="E250" s="16" t="inlineStr">
        <is>
          <t>مرفق فاتورة</t>
        </is>
      </c>
      <c r="F250" s="17" t="n">
        <v>147.83</v>
      </c>
      <c r="G250" s="16" t="n">
        <v>15</v>
      </c>
      <c r="H250" s="17" t="n">
        <v>170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وقود</t>
        </is>
      </c>
      <c r="L250" s="16" t="n"/>
    </row>
    <row r="251">
      <c r="A251" s="16" t="n">
        <v>250</v>
      </c>
      <c r="B251" s="95" t="n">
        <v>45990</v>
      </c>
      <c r="C251" s="16" t="inlineStr">
        <is>
          <t>مؤسسة رواد سلام للتجارة</t>
        </is>
      </c>
      <c r="D251" s="16" t="inlineStr">
        <is>
          <t>RIYADH NURSERY</t>
        </is>
      </c>
      <c r="E251" s="16" t="n"/>
      <c r="F251" s="17" t="n">
        <v>678.48</v>
      </c>
      <c r="G251" s="16" t="n">
        <v>15</v>
      </c>
      <c r="H251" s="17" t="n">
        <v>780.25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مواد زراعية (بيتموس/بيرلايت/أسمدة/مبيدات)</t>
        </is>
      </c>
      <c r="L251" s="16" t="n"/>
    </row>
    <row r="252">
      <c r="A252" s="16" t="n">
        <v>251</v>
      </c>
      <c r="B252" s="95" t="n">
        <v>45990</v>
      </c>
      <c r="C252" s="16" t="inlineStr">
        <is>
          <t>شركة مصنع الديكور والبولستيرين السعودي</t>
        </is>
      </c>
      <c r="D252" s="16" t="inlineStr">
        <is>
          <t>RIYADH NURSERY - PO1230</t>
        </is>
      </c>
      <c r="E252" s="16" t="inlineStr">
        <is>
          <t>28سداد باذن صرف رقم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45991</v>
      </c>
      <c r="C253" s="16" t="inlineStr">
        <is>
          <t>الشركة السعوديه للكهرباء</t>
        </is>
      </c>
      <c r="D253" s="16" t="inlineStr">
        <is>
          <t>RIYADH NURSERY</t>
        </is>
      </c>
      <c r="E253" s="16" t="inlineStr">
        <is>
          <t>اذن صرف رقم 29</t>
        </is>
      </c>
      <c r="F253" s="17" t="n">
        <v>4416.26</v>
      </c>
      <c r="G253" s="16" t="n">
        <v>15</v>
      </c>
      <c r="H253" s="17" t="n">
        <v>5078.7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45992</v>
      </c>
      <c r="C254" s="16" t="inlineStr">
        <is>
          <t>صيانة</t>
        </is>
      </c>
      <c r="D254" s="16" t="inlineStr">
        <is>
          <t>RIYADH NURSERY</t>
        </is>
      </c>
      <c r="E254" s="16" t="n"/>
      <c r="F254" s="17" t="n">
        <v>15</v>
      </c>
      <c r="G254" s="16" t="n">
        <v>0</v>
      </c>
      <c r="H254" s="17" t="n">
        <v>15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صيانة وإنشاءات المزرعة</t>
        </is>
      </c>
      <c r="L254" s="16" t="n"/>
    </row>
    <row r="255">
      <c r="A255" s="16" t="n">
        <v>254</v>
      </c>
      <c r="B255" s="95" t="n">
        <v>45992</v>
      </c>
      <c r="C255" s="16" t="inlineStr">
        <is>
          <t>شركة الرشيم الزراعية</t>
        </is>
      </c>
      <c r="D255" s="16" t="inlineStr">
        <is>
          <t>RIYADH NURSERY - PO1236</t>
        </is>
      </c>
      <c r="E255" s="16" t="n"/>
      <c r="F255" s="17" t="n">
        <v>1086.96</v>
      </c>
      <c r="G255" s="16" t="n">
        <v>15</v>
      </c>
      <c r="H255" s="17" t="n">
        <v>1250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مشتريات نباتات وبذور</t>
        </is>
      </c>
      <c r="L255" s="16" t="n"/>
    </row>
    <row r="256">
      <c r="A256" s="16" t="n">
        <v>255</v>
      </c>
      <c r="B256" s="95" t="n">
        <v>45993</v>
      </c>
      <c r="C256" s="16" t="inlineStr">
        <is>
          <t>شركة مصنع الديكور والبولستيرين السعودي</t>
        </is>
      </c>
      <c r="D256" s="16" t="inlineStr">
        <is>
          <t>RIYADH NURSERY - PO1233</t>
        </is>
      </c>
      <c r="E256" s="16" t="inlineStr">
        <is>
          <t>اذن صرف رقم 30</t>
        </is>
      </c>
      <c r="F256" s="17" t="n">
        <v>2100</v>
      </c>
      <c r="G256" s="16" t="n">
        <v>15</v>
      </c>
      <c r="H256" s="17" t="n">
        <v>2415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مستلزمات إنتاج (مراكن/فلين/مفارش)</t>
        </is>
      </c>
      <c r="L256" s="16" t="n"/>
    </row>
    <row r="257">
      <c r="A257" s="16" t="n">
        <v>256</v>
      </c>
      <c r="B257" s="95" t="n">
        <v>45993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31</t>
        </is>
      </c>
      <c r="F257" s="17" t="n">
        <v>80</v>
      </c>
      <c r="G257" s="16" t="n">
        <v>0</v>
      </c>
      <c r="H257" s="17" t="n">
        <v>80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45994</v>
      </c>
      <c r="C258" s="16" t="inlineStr">
        <is>
          <t>ينابع المئويه لتحلية المياه</t>
        </is>
      </c>
      <c r="D258" s="16" t="inlineStr">
        <is>
          <t>RIYADH NURSERY</t>
        </is>
      </c>
      <c r="E258" s="16" t="inlineStr">
        <is>
          <t>اذن صرف رقم 32</t>
        </is>
      </c>
      <c r="F258" s="17" t="n">
        <v>60</v>
      </c>
      <c r="G258" s="16" t="n">
        <v>0</v>
      </c>
      <c r="H258" s="17" t="n">
        <v>60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خدمات (كهرباء/مياه/اتصالات)</t>
        </is>
      </c>
      <c r="L258" s="16" t="n"/>
    </row>
    <row r="259">
      <c r="A259" s="16" t="n">
        <v>258</v>
      </c>
      <c r="B259" s="95" t="n">
        <v>45995</v>
      </c>
      <c r="C259" s="16" t="inlineStr">
        <is>
          <t>رواتب</t>
        </is>
      </c>
      <c r="D259" s="16" t="inlineStr">
        <is>
          <t>RIYADH NURSERY</t>
        </is>
      </c>
      <c r="E259" s="16" t="inlineStr">
        <is>
          <t>اذن صرف رقم 33</t>
        </is>
      </c>
      <c r="F259" s="17" t="n">
        <v>38365</v>
      </c>
      <c r="G259" s="16" t="n">
        <v>0</v>
      </c>
      <c r="H259" s="17" t="n">
        <v>38365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رواتب وعمولات</t>
        </is>
      </c>
      <c r="L259" s="16" t="n"/>
    </row>
    <row r="260">
      <c r="A260" s="16" t="n">
        <v>259</v>
      </c>
      <c r="B260" s="95" t="n">
        <v>45995</v>
      </c>
      <c r="C260" s="16" t="inlineStr">
        <is>
          <t>الوقود</t>
        </is>
      </c>
      <c r="D260" s="16" t="inlineStr">
        <is>
          <t>RIYADH NURSERY</t>
        </is>
      </c>
      <c r="E260" s="16" t="inlineStr">
        <is>
          <t>اذن صرف رقم 35</t>
        </is>
      </c>
      <c r="F260" s="17" t="n">
        <v>86.95999999999999</v>
      </c>
      <c r="G260" s="16" t="n">
        <v>15</v>
      </c>
      <c r="H260" s="17" t="n">
        <v>100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وقود</t>
        </is>
      </c>
      <c r="L260" s="16" t="n"/>
    </row>
    <row r="261">
      <c r="A261" s="16" t="n">
        <v>260</v>
      </c>
      <c r="B261" s="95" t="n">
        <v>45995</v>
      </c>
      <c r="C261" s="16" t="inlineStr">
        <is>
          <t>هاتف الموبايل</t>
        </is>
      </c>
      <c r="D261" s="16" t="inlineStr">
        <is>
          <t>RIYADH NURSERY</t>
        </is>
      </c>
      <c r="E261" s="16" t="inlineStr">
        <is>
          <t>اذن صرف رقم 34</t>
        </is>
      </c>
      <c r="F261" s="17" t="n">
        <v>115</v>
      </c>
      <c r="G261" s="16" t="n">
        <v>0</v>
      </c>
      <c r="H261" s="17" t="n">
        <v>115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خدمات (كهرباء/مياه/اتصالات)</t>
        </is>
      </c>
      <c r="L261" s="16" t="n"/>
    </row>
    <row r="262">
      <c r="A262" s="16" t="n">
        <v>261</v>
      </c>
      <c r="B262" s="95" t="n">
        <v>45997</v>
      </c>
      <c r="C262" s="16" t="inlineStr">
        <is>
          <t>HETA NURSERYS</t>
        </is>
      </c>
      <c r="D262" s="16" t="inlineStr">
        <is>
          <t>RIYADH NURSERY - PO1247</t>
        </is>
      </c>
      <c r="E262" s="16" t="inlineStr">
        <is>
          <t>اذن صرف رقم 36</t>
        </is>
      </c>
      <c r="F262" s="17" t="n">
        <v>6600</v>
      </c>
      <c r="G262" s="16" t="n">
        <v>0</v>
      </c>
      <c r="H262" s="17" t="n">
        <v>6600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مشتريات نباتات وبذور</t>
        </is>
      </c>
      <c r="L262" s="16" t="n"/>
    </row>
    <row r="263">
      <c r="A263" s="16" t="n">
        <v>262</v>
      </c>
      <c r="B263" s="95" t="n">
        <v>45999</v>
      </c>
      <c r="C263" s="16" t="inlineStr">
        <is>
          <t>موسسسة افاق الاليه لادوات الكهربيه</t>
        </is>
      </c>
      <c r="D263" s="16" t="inlineStr">
        <is>
          <t>RIYADH NURSERY</t>
        </is>
      </c>
      <c r="E263" s="16" t="n"/>
      <c r="F263" s="17" t="n">
        <v>274.78</v>
      </c>
      <c r="G263" s="16" t="n">
        <v>15</v>
      </c>
      <c r="H263" s="17" t="n">
        <v>316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46000</v>
      </c>
      <c r="C264" s="16" t="inlineStr">
        <is>
          <t>مبسط العجفة لمواد البناء</t>
        </is>
      </c>
      <c r="D264" s="16" t="inlineStr">
        <is>
          <t>RIYADH NURSERY</t>
        </is>
      </c>
      <c r="E264" s="16" t="n"/>
      <c r="F264" s="17" t="n">
        <v>410</v>
      </c>
      <c r="G264" s="16" t="n">
        <v>0</v>
      </c>
      <c r="H264" s="17" t="n">
        <v>410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46000</v>
      </c>
      <c r="C265" s="16" t="inlineStr">
        <is>
          <t>مركز الخرج سابقا للاواني المنزلية</t>
        </is>
      </c>
      <c r="D265" s="16" t="inlineStr">
        <is>
          <t>RIYADH NURSERY</t>
        </is>
      </c>
      <c r="E265" s="16" t="n"/>
      <c r="F265" s="17" t="n">
        <v>60</v>
      </c>
      <c r="G265" s="16" t="n">
        <v>0</v>
      </c>
      <c r="H265" s="17" t="n">
        <v>60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مصروفات إدارية وأخرى</t>
        </is>
      </c>
      <c r="L265" s="16" t="n"/>
    </row>
    <row r="266">
      <c r="A266" s="16" t="n">
        <v>265</v>
      </c>
      <c r="B266" s="95" t="n">
        <v>46001</v>
      </c>
      <c r="C266" s="16" t="inlineStr">
        <is>
          <t>شركة مصنع الديكور والبولستيرين السعودي</t>
        </is>
      </c>
      <c r="D266" s="16" t="inlineStr">
        <is>
          <t>RIYADH NURSERY - PO1274</t>
        </is>
      </c>
      <c r="E266" s="16" t="inlineStr">
        <is>
          <t>اذن صرف رقم 37</t>
        </is>
      </c>
      <c r="F266" s="17" t="n">
        <v>2100</v>
      </c>
      <c r="G266" s="16" t="n">
        <v>15</v>
      </c>
      <c r="H266" s="17" t="n">
        <v>2415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مستلزمات إنتاج (مراكن/فلين/مفارش)</t>
        </is>
      </c>
      <c r="L266" s="16" t="n"/>
    </row>
    <row r="267">
      <c r="A267" s="16" t="n">
        <v>266</v>
      </c>
      <c r="B267" s="95" t="n">
        <v>46002</v>
      </c>
      <c r="C267" s="16" t="inlineStr">
        <is>
          <t>مؤسسة المحترف الامثل للتجارة - سباكة</t>
        </is>
      </c>
      <c r="D267" s="16" t="inlineStr">
        <is>
          <t>RIYADH NURSERY</t>
        </is>
      </c>
      <c r="E267" s="16" t="n"/>
      <c r="F267" s="17" t="n">
        <v>85</v>
      </c>
      <c r="G267" s="16" t="n">
        <v>15</v>
      </c>
      <c r="H267" s="17" t="n">
        <v>97.75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صيانة وإنشاءات المزرعة</t>
        </is>
      </c>
      <c r="L267" s="16" t="n"/>
    </row>
    <row r="268">
      <c r="A268" s="16" t="n">
        <v>267</v>
      </c>
      <c r="B268" s="95" t="n">
        <v>46002</v>
      </c>
      <c r="C268" s="16" t="inlineStr">
        <is>
          <t>شركة جوهرة الطيف للتجلرة</t>
        </is>
      </c>
      <c r="D268" s="16" t="inlineStr">
        <is>
          <t>RIYADH NURSERY</t>
        </is>
      </c>
      <c r="E268" s="16" t="n"/>
      <c r="F268" s="17" t="n">
        <v>17.39</v>
      </c>
      <c r="G268" s="16" t="n">
        <v>15</v>
      </c>
      <c r="H268" s="17" t="n">
        <v>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صيانة وإنشاءات المزرعة</t>
        </is>
      </c>
      <c r="L268" s="16" t="n"/>
    </row>
    <row r="269">
      <c r="A269" s="16" t="n">
        <v>268</v>
      </c>
      <c r="B269" s="95" t="n">
        <v>46002</v>
      </c>
      <c r="C269" s="16" t="inlineStr">
        <is>
          <t>شركة مصنع الديكور والبولستيرين السعودي</t>
        </is>
      </c>
      <c r="D269" s="16" t="inlineStr">
        <is>
          <t>RIYADH NURSERY - PO1277</t>
        </is>
      </c>
      <c r="E269" s="16" t="inlineStr">
        <is>
          <t>اذن صرف رقم 38</t>
        </is>
      </c>
      <c r="F269" s="17" t="n">
        <v>2100</v>
      </c>
      <c r="G269" s="16" t="n">
        <v>15</v>
      </c>
      <c r="H269" s="17" t="n">
        <v>2415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مستلزمات إنتاج (مراكن/فلين/مفارش)</t>
        </is>
      </c>
      <c r="L269" s="16" t="n"/>
    </row>
    <row r="270">
      <c r="A270" s="16" t="n">
        <v>269</v>
      </c>
      <c r="B270" s="95" t="n">
        <v>46004</v>
      </c>
      <c r="C270" s="16" t="inlineStr">
        <is>
          <t>مؤسسة هيلاء عبيد الدوسرى</t>
        </is>
      </c>
      <c r="D270" s="16" t="inlineStr">
        <is>
          <t>RIYADH NURSERY</t>
        </is>
      </c>
      <c r="E270" s="16" t="n"/>
      <c r="F270" s="17" t="n">
        <v>308.7</v>
      </c>
      <c r="G270" s="16" t="n">
        <v>15</v>
      </c>
      <c r="H270" s="17" t="n">
        <v>355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مصروفات إدارية وأخرى</t>
        </is>
      </c>
      <c r="L270" s="16" t="n"/>
    </row>
    <row r="271">
      <c r="A271" s="16" t="n">
        <v>270</v>
      </c>
      <c r="B271" s="95" t="n">
        <v>46004</v>
      </c>
      <c r="C271" s="16" t="inlineStr">
        <is>
          <t>الوقود</t>
        </is>
      </c>
      <c r="D271" s="16" t="inlineStr">
        <is>
          <t>RIYADH NURSERY</t>
        </is>
      </c>
      <c r="E271" s="16" t="n"/>
      <c r="F271" s="17" t="n">
        <v>121.61</v>
      </c>
      <c r="G271" s="16" t="n">
        <v>15</v>
      </c>
      <c r="H271" s="17" t="n">
        <v>139.85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وقود</t>
        </is>
      </c>
      <c r="L271" s="16" t="n"/>
    </row>
    <row r="272">
      <c r="A272" s="16" t="n">
        <v>271</v>
      </c>
      <c r="B272" s="95" t="n">
        <v>46006</v>
      </c>
      <c r="C272" s="16" t="inlineStr">
        <is>
          <t>موسسة بيت الوسيط لتجاره</t>
        </is>
      </c>
      <c r="D272" s="16" t="inlineStr">
        <is>
          <t>RIYADH NURSERY</t>
        </is>
      </c>
      <c r="E272" s="16" t="n"/>
      <c r="F272" s="17" t="n">
        <v>452.17</v>
      </c>
      <c r="G272" s="16" t="n">
        <v>15</v>
      </c>
      <c r="H272" s="17" t="n">
        <v>520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مواد زراعية (بيتموس/بيرلايت/أسمدة/مبيدات)</t>
        </is>
      </c>
      <c r="L272" s="16" t="n"/>
    </row>
    <row r="273">
      <c r="A273" s="16" t="n">
        <v>272</v>
      </c>
      <c r="B273" s="95" t="n">
        <v>46006</v>
      </c>
      <c r="C273" s="16" t="inlineStr">
        <is>
          <t>مؤسسة تلال الربيع للمفارش</t>
        </is>
      </c>
      <c r="D273" s="16" t="inlineStr">
        <is>
          <t>RIYADH NURSERY</t>
        </is>
      </c>
      <c r="E273" s="16" t="n"/>
      <c r="F273" s="17" t="n">
        <v>75</v>
      </c>
      <c r="G273" s="16" t="n">
        <v>15</v>
      </c>
      <c r="H273" s="17" t="n">
        <v>86.25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مصروفات إدارية وأخرى</t>
        </is>
      </c>
      <c r="L273" s="16" t="n"/>
    </row>
    <row r="274">
      <c r="A274" s="16" t="n">
        <v>273</v>
      </c>
      <c r="B274" s="95" t="n">
        <v>46007</v>
      </c>
      <c r="C274" s="16" t="inlineStr">
        <is>
          <t>شركة التاج المميزة التجارية</t>
        </is>
      </c>
      <c r="D274" s="16" t="inlineStr">
        <is>
          <t>RIYADH NURSERY - PO1287</t>
        </is>
      </c>
      <c r="E274" s="16" t="inlineStr">
        <is>
          <t>اذن صرف رقم 39</t>
        </is>
      </c>
      <c r="F274" s="17" t="n">
        <v>14500</v>
      </c>
      <c r="G274" s="16" t="n">
        <v>0</v>
      </c>
      <c r="H274" s="17" t="n">
        <v>14500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مواد زراعية (بيتموس/بيرلايت/أسمدة/مبيدات)</t>
        </is>
      </c>
      <c r="L274" s="16" t="n"/>
    </row>
    <row r="275">
      <c r="A275" s="16" t="n">
        <v>274</v>
      </c>
      <c r="B275" s="95" t="n">
        <v>46007</v>
      </c>
      <c r="C275" s="16" t="inlineStr">
        <is>
          <t>شركة ايراد المتحدة التجارية</t>
        </is>
      </c>
      <c r="D275" s="16" t="inlineStr">
        <is>
          <t>RIYADH NURSERY - PO1286</t>
        </is>
      </c>
      <c r="E275" s="16" t="n"/>
      <c r="F275" s="17" t="n">
        <v>3152.43</v>
      </c>
      <c r="G275" s="16" t="n">
        <v>15</v>
      </c>
      <c r="H275" s="17" t="n">
        <v>3625.29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مواد زراعية (بيتموس/بيرلايت/أسمدة/مبيدات)</t>
        </is>
      </c>
      <c r="L275" s="16" t="n"/>
    </row>
    <row r="276">
      <c r="A276" s="16" t="n">
        <v>275</v>
      </c>
      <c r="B276" s="95" t="n">
        <v>46007</v>
      </c>
      <c r="C276" s="16" t="inlineStr">
        <is>
          <t>شركة مصنع الديكور والبولستيرين السعودي</t>
        </is>
      </c>
      <c r="D276" s="16" t="inlineStr">
        <is>
          <t>RIYADH NURSERY - PO1285</t>
        </is>
      </c>
      <c r="E276" s="16" t="inlineStr">
        <is>
          <t>اذن صرف رقم 40</t>
        </is>
      </c>
      <c r="F276" s="17" t="n">
        <v>7140</v>
      </c>
      <c r="G276" s="16" t="n">
        <v>15</v>
      </c>
      <c r="H276" s="17" t="n">
        <v>8211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مستلزمات إنتاج (مراكن/فلين/مفارش)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ورشة الرحالة لصيانة البردات</t>
        </is>
      </c>
      <c r="D277" s="16" t="inlineStr">
        <is>
          <t>RIYADH NURSERY</t>
        </is>
      </c>
      <c r="E277" s="16" t="inlineStr">
        <is>
          <t>اذن صرف رقم 47</t>
        </is>
      </c>
      <c r="F277" s="17" t="n">
        <v>400</v>
      </c>
      <c r="G277" s="16" t="n">
        <v>0</v>
      </c>
      <c r="H277" s="17" t="n">
        <v>400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صيانة سيارات ومعدات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ورشة الرحالة لصيانة البردات</t>
        </is>
      </c>
      <c r="D278" s="16" t="inlineStr">
        <is>
          <t>RIYADH NURSERY</t>
        </is>
      </c>
      <c r="E278" s="16" t="inlineStr">
        <is>
          <t>اذن صرف رقم 46</t>
        </is>
      </c>
      <c r="F278" s="17" t="n">
        <v>450</v>
      </c>
      <c r="G278" s="16" t="n">
        <v>0</v>
      </c>
      <c r="H278" s="17" t="n">
        <v>450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صيانة سيارات ومعدات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ورشة الرحالة لصيانة البردات</t>
        </is>
      </c>
      <c r="D279" s="16" t="inlineStr">
        <is>
          <t>RIYADH NURSERY</t>
        </is>
      </c>
      <c r="E279" s="16" t="inlineStr">
        <is>
          <t>اذن صرف رقم 45</t>
        </is>
      </c>
      <c r="F279" s="17" t="n">
        <v>13000</v>
      </c>
      <c r="G279" s="16" t="n">
        <v>0</v>
      </c>
      <c r="H279" s="17" t="n">
        <v>13000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صيانة سيارات ومعدات</t>
        </is>
      </c>
      <c r="L279" s="16" t="n"/>
    </row>
    <row r="280">
      <c r="A280" s="16" t="n">
        <v>279</v>
      </c>
      <c r="B280" s="95" t="n">
        <v>46008</v>
      </c>
      <c r="C280" s="16" t="inlineStr">
        <is>
          <t>ورشة الرحالة لصيانة البردات</t>
        </is>
      </c>
      <c r="D280" s="16" t="inlineStr">
        <is>
          <t>RIYADH NURSERY</t>
        </is>
      </c>
      <c r="E280" s="16" t="inlineStr">
        <is>
          <t>اذن صرف رقم 44</t>
        </is>
      </c>
      <c r="F280" s="17" t="n">
        <v>5000</v>
      </c>
      <c r="G280" s="16" t="n">
        <v>0</v>
      </c>
      <c r="H280" s="17" t="n">
        <v>5000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سيارات ومعدات</t>
        </is>
      </c>
      <c r="L280" s="16" t="n"/>
    </row>
    <row r="281">
      <c r="A281" s="16" t="n">
        <v>280</v>
      </c>
      <c r="B281" s="95" t="n">
        <v>46008</v>
      </c>
      <c r="C281" s="16" t="inlineStr">
        <is>
          <t>العمولة</t>
        </is>
      </c>
      <c r="D281" s="16" t="inlineStr">
        <is>
          <t>RIYADH NURSERY</t>
        </is>
      </c>
      <c r="E281" s="16" t="inlineStr">
        <is>
          <t>اذن صرف رقم 43</t>
        </is>
      </c>
      <c r="F281" s="17" t="n">
        <v>300</v>
      </c>
      <c r="G281" s="16" t="n">
        <v>0</v>
      </c>
      <c r="H281" s="17" t="n">
        <v>300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رواتب وعمولات</t>
        </is>
      </c>
      <c r="L281" s="16" t="n"/>
    </row>
    <row r="282">
      <c r="A282" s="16" t="n">
        <v>281</v>
      </c>
      <c r="B282" s="95" t="n">
        <v>46008</v>
      </c>
      <c r="C282" s="16" t="inlineStr">
        <is>
          <t>العمولة</t>
        </is>
      </c>
      <c r="D282" s="16" t="inlineStr">
        <is>
          <t>RIYADH NURSERY</t>
        </is>
      </c>
      <c r="E282" s="16" t="inlineStr">
        <is>
          <t>اذن صرف رقم 42</t>
        </is>
      </c>
      <c r="F282" s="17" t="n">
        <v>1400</v>
      </c>
      <c r="G282" s="16" t="n">
        <v>0</v>
      </c>
      <c r="H282" s="17" t="n">
        <v>1400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رواتب وعمولات</t>
        </is>
      </c>
      <c r="L282" s="16" t="n"/>
    </row>
    <row r="283">
      <c r="A283" s="16" t="n">
        <v>282</v>
      </c>
      <c r="B283" s="95" t="n">
        <v>46008</v>
      </c>
      <c r="C283" s="16" t="inlineStr">
        <is>
          <t>هاتف الموبايل</t>
        </is>
      </c>
      <c r="D283" s="16" t="inlineStr">
        <is>
          <t>RIYADH NURSERY</t>
        </is>
      </c>
      <c r="E283" s="16" t="inlineStr">
        <is>
          <t>اذن صرف رقم 41</t>
        </is>
      </c>
      <c r="F283" s="17" t="n">
        <v>100</v>
      </c>
      <c r="G283" s="16" t="n">
        <v>15</v>
      </c>
      <c r="H283" s="17" t="n">
        <v>115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خدمات (كهرباء/مياه/اتصالات)</t>
        </is>
      </c>
      <c r="L283" s="16" t="n"/>
    </row>
    <row r="284">
      <c r="A284" s="16" t="n">
        <v>283</v>
      </c>
      <c r="B284" s="95" t="n">
        <v>46011</v>
      </c>
      <c r="C284" s="16" t="inlineStr">
        <is>
          <t>مؤسسة المحترف الامثل للتجارة - سباكة</t>
        </is>
      </c>
      <c r="D284" s="16" t="inlineStr">
        <is>
          <t>RIYADH NURSERY</t>
        </is>
      </c>
      <c r="E284" s="16" t="n"/>
      <c r="F284" s="17" t="n">
        <v>265</v>
      </c>
      <c r="G284" s="16" t="n">
        <v>15</v>
      </c>
      <c r="H284" s="17" t="n">
        <v>304.75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صيانة وإنشاءات المزرعة</t>
        </is>
      </c>
      <c r="L284" s="16" t="n"/>
    </row>
    <row r="285">
      <c r="A285" s="16" t="n">
        <v>284</v>
      </c>
      <c r="B285" s="95" t="n">
        <v>46011</v>
      </c>
      <c r="C285" s="16" t="inlineStr">
        <is>
          <t>ينابع المئويه لتحلية المياه</t>
        </is>
      </c>
      <c r="D285" s="16" t="inlineStr">
        <is>
          <t>RIYADH NURSERY</t>
        </is>
      </c>
      <c r="E285" s="16" t="n"/>
      <c r="F285" s="17" t="n">
        <v>60</v>
      </c>
      <c r="G285" s="16" t="n">
        <v>0</v>
      </c>
      <c r="H285" s="17" t="n">
        <v>60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46011</v>
      </c>
      <c r="C286" s="16" t="inlineStr">
        <is>
          <t>شركة حمد  المنيع وشركاه لاجهزة الكهربائية - المنيع</t>
        </is>
      </c>
      <c r="D286" s="16" t="inlineStr">
        <is>
          <t>RIYADH NURSERY</t>
        </is>
      </c>
      <c r="E286" s="16" t="n"/>
      <c r="F286" s="17" t="n">
        <v>216.41</v>
      </c>
      <c r="G286" s="16" t="n">
        <v>15</v>
      </c>
      <c r="H286" s="17" t="n">
        <v>248.87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46012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n"/>
      <c r="F287" s="17" t="n">
        <v>110</v>
      </c>
      <c r="G287" s="16" t="n">
        <v>15</v>
      </c>
      <c r="H287" s="17" t="n">
        <v>126.5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46014</v>
      </c>
      <c r="C288" s="16" t="inlineStr">
        <is>
          <t>مؤسسة روابي المعرفة التجارية</t>
        </is>
      </c>
      <c r="D288" s="16" t="inlineStr">
        <is>
          <t>RIYADH NURSERY</t>
        </is>
      </c>
      <c r="E288" s="16" t="n"/>
      <c r="F288" s="17" t="n">
        <v>173.04</v>
      </c>
      <c r="G288" s="16" t="n">
        <v>15</v>
      </c>
      <c r="H288" s="17" t="n">
        <v>199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مصروفات إدارية وأخرى</t>
        </is>
      </c>
      <c r="L288" s="16" t="n"/>
    </row>
    <row r="289">
      <c r="A289" s="16" t="n">
        <v>288</v>
      </c>
      <c r="B289" s="95" t="n">
        <v>46014</v>
      </c>
      <c r="C289" s="16" t="inlineStr">
        <is>
          <t>شركة ضي العليا لتقنية المعلومات</t>
        </is>
      </c>
      <c r="D289" s="16" t="inlineStr">
        <is>
          <t>RIYADH NURSERY</t>
        </is>
      </c>
      <c r="E289" s="16" t="n"/>
      <c r="F289" s="17" t="n">
        <v>173.04</v>
      </c>
      <c r="G289" s="16" t="n">
        <v>15</v>
      </c>
      <c r="H289" s="17" t="n">
        <v>199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خدمات (كهرباء/مياه/اتصالات)</t>
        </is>
      </c>
      <c r="L289" s="16" t="n"/>
    </row>
    <row r="290">
      <c r="A290" s="34" t="n">
        <v>289</v>
      </c>
      <c r="B290" s="99" t="n">
        <v>46016</v>
      </c>
      <c r="C290" s="34" t="inlineStr">
        <is>
          <t>شركة الجزيرة الحديثة الزراعية</t>
        </is>
      </c>
      <c r="D290" s="34" t="inlineStr">
        <is>
          <t>WHK-2364</t>
        </is>
      </c>
      <c r="E290" s="34" t="inlineStr">
        <is>
          <t>مرفق طلب التوريد</t>
        </is>
      </c>
      <c r="F290" s="36" t="n">
        <v>21250</v>
      </c>
      <c r="G290" s="34" t="n">
        <v>0</v>
      </c>
      <c r="H290" s="36" t="n">
        <v>21250</v>
      </c>
      <c r="I290" s="34" t="inlineStr">
        <is>
          <t>لا</t>
        </is>
      </c>
      <c r="J290" s="34" t="inlineStr">
        <is>
          <t>مزرعة الرياض (عهدة/صندوق)</t>
        </is>
      </c>
      <c r="K290" s="34" t="inlineStr">
        <is>
          <t>مشتريات زهور لعقد عرعر (WHK-2364)</t>
        </is>
      </c>
      <c r="L290" s="34" t="inlineStr">
        <is>
          <t>⚠ غير مدفوع – مديونية قائمة | تكلفة زهور مشتراة لتوريد عقد عرعر لأبو خالد</t>
        </is>
      </c>
    </row>
    <row r="291">
      <c r="A291" s="18" t="n">
        <v>290</v>
      </c>
      <c r="B291" s="98" t="n">
        <v>46016</v>
      </c>
      <c r="C291" s="18" t="inlineStr">
        <is>
          <t>شركة الجزيرة الحديثة الزراعية</t>
        </is>
      </c>
      <c r="D291" s="18" t="inlineStr">
        <is>
          <t>WHK-2364</t>
        </is>
      </c>
      <c r="E291" s="18" t="inlineStr">
        <is>
          <t>مرفق طلب التوريد</t>
        </is>
      </c>
      <c r="F291" s="19" t="n">
        <v>20000</v>
      </c>
      <c r="G291" s="18" t="n">
        <v>0</v>
      </c>
      <c r="H291" s="19" t="n">
        <v>20000</v>
      </c>
      <c r="I291" s="18" t="inlineStr">
        <is>
          <t>نعم</t>
        </is>
      </c>
      <c r="J291" s="18" t="inlineStr">
        <is>
          <t>مزرعة الرياض (عهدة/صندوق)</t>
        </is>
      </c>
      <c r="K291" s="18" t="inlineStr">
        <is>
          <t>مشتريات زهور لعقد عرعر (WHK-2364)</t>
        </is>
      </c>
      <c r="L291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18" t="n">
        <v>291</v>
      </c>
      <c r="B292" s="98" t="n">
        <v>46016</v>
      </c>
      <c r="C292" s="18" t="inlineStr">
        <is>
          <t>شركة الجزيرة الحديثة الزراعية</t>
        </is>
      </c>
      <c r="D292" s="18" t="inlineStr">
        <is>
          <t>WHK-2364</t>
        </is>
      </c>
      <c r="E292" s="18" t="inlineStr">
        <is>
          <t>مرفق طلب التوريد</t>
        </is>
      </c>
      <c r="F292" s="19" t="n">
        <v>20000</v>
      </c>
      <c r="G292" s="18" t="n">
        <v>0</v>
      </c>
      <c r="H292" s="19" t="n">
        <v>20000</v>
      </c>
      <c r="I292" s="18" t="inlineStr">
        <is>
          <t>نعم</t>
        </is>
      </c>
      <c r="J292" s="18" t="inlineStr">
        <is>
          <t>مزرعة الرياض (عهدة/صندوق)</t>
        </is>
      </c>
      <c r="K292" s="18" t="inlineStr">
        <is>
          <t>مشتريات زهور لعقد عرعر (WHK-2364)</t>
        </is>
      </c>
      <c r="L292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16" t="n">
        <v>292</v>
      </c>
      <c r="B293" s="95" t="n">
        <v>46017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49</t>
        </is>
      </c>
      <c r="F293" s="17" t="n">
        <v>693</v>
      </c>
      <c r="G293" s="16" t="n">
        <v>0</v>
      </c>
      <c r="H293" s="17" t="n">
        <v>693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46017</v>
      </c>
      <c r="C294" s="16" t="inlineStr">
        <is>
          <t>مؤسسة المحترف الامثل للتجارة - سباكة</t>
        </is>
      </c>
      <c r="D294" s="16" t="inlineStr">
        <is>
          <t>RIYADH NURSERY</t>
        </is>
      </c>
      <c r="E294" s="16" t="inlineStr">
        <is>
          <t>اذن صرف 48</t>
        </is>
      </c>
      <c r="F294" s="17" t="n">
        <v>225</v>
      </c>
      <c r="G294" s="16" t="n">
        <v>15</v>
      </c>
      <c r="H294" s="17" t="n">
        <v>258.75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صيانة وإنشاءات المزرعة</t>
        </is>
      </c>
      <c r="L294" s="16" t="n"/>
    </row>
    <row r="295">
      <c r="A295" s="16" t="n">
        <v>294</v>
      </c>
      <c r="B295" s="95" t="n">
        <v>46018</v>
      </c>
      <c r="C295" s="16" t="inlineStr">
        <is>
          <t>مغلسة تركي مبلش رشيد الحربي</t>
        </is>
      </c>
      <c r="D295" s="16" t="inlineStr">
        <is>
          <t>RIYADH NURSERY</t>
        </is>
      </c>
      <c r="E295" s="16" t="inlineStr">
        <is>
          <t>اذن صرف رقم 50</t>
        </is>
      </c>
      <c r="F295" s="17" t="n">
        <v>60</v>
      </c>
      <c r="G295" s="16" t="n">
        <v>0</v>
      </c>
      <c r="H295" s="17" t="n">
        <v>60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سيارات ومعدات</t>
        </is>
      </c>
      <c r="L295" s="16" t="n"/>
    </row>
    <row r="296">
      <c r="A296" s="16" t="n">
        <v>295</v>
      </c>
      <c r="B296" s="95" t="n">
        <v>46019</v>
      </c>
      <c r="C296" s="16" t="inlineStr">
        <is>
          <t>موسسسة افاق الاليه لادوات الكهربيه</t>
        </is>
      </c>
      <c r="D296" s="16" t="inlineStr">
        <is>
          <t>RIYADH NURSERY</t>
        </is>
      </c>
      <c r="E296" s="16" t="inlineStr">
        <is>
          <t>اذن صرف رقم 51</t>
        </is>
      </c>
      <c r="F296" s="17" t="n">
        <v>684</v>
      </c>
      <c r="G296" s="16" t="n">
        <v>0</v>
      </c>
      <c r="H296" s="17" t="n">
        <v>684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صيانة وإنشاءات المزرعة</t>
        </is>
      </c>
      <c r="L296" s="16" t="n"/>
    </row>
    <row r="297">
      <c r="A297" s="16" t="n">
        <v>296</v>
      </c>
      <c r="B297" s="95" t="n">
        <v>46020</v>
      </c>
      <c r="C297" s="16" t="inlineStr">
        <is>
          <t>الشركة المصرية الالمانية للانتاج الزراعي</t>
        </is>
      </c>
      <c r="D297" s="16" t="inlineStr">
        <is>
          <t>RIYADH NURSERY - PO1278</t>
        </is>
      </c>
      <c r="E297" s="16" t="inlineStr">
        <is>
          <t>اذن صرف رقم 54</t>
        </is>
      </c>
      <c r="F297" s="17" t="n">
        <v>44662</v>
      </c>
      <c r="G297" s="16" t="n">
        <v>0</v>
      </c>
      <c r="H297" s="17" t="n">
        <v>44662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مشتريات نباتات وبذور</t>
        </is>
      </c>
      <c r="L297" s="16" t="n"/>
    </row>
    <row r="298">
      <c r="A298" s="16" t="n">
        <v>297</v>
      </c>
      <c r="B298" s="95" t="n">
        <v>46020</v>
      </c>
      <c r="C298" s="16" t="inlineStr">
        <is>
          <t>الشركة السعوديه للكهرباء</t>
        </is>
      </c>
      <c r="D298" s="16" t="inlineStr">
        <is>
          <t>RIYADH NURSERY - PO1323</t>
        </is>
      </c>
      <c r="E298" s="16" t="inlineStr">
        <is>
          <t>اذن صرف رقم 52</t>
        </is>
      </c>
      <c r="F298" s="17" t="n">
        <v>3248.64</v>
      </c>
      <c r="G298" s="16" t="n">
        <v>15</v>
      </c>
      <c r="H298" s="17" t="n">
        <v>3735.94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خدمات (كهرباء/مياه/اتصالات)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موسسسة افاق الاليه لادوات الكهربيه</t>
        </is>
      </c>
      <c r="D299" s="16" t="inlineStr">
        <is>
          <t>RIYADH NURSERY</t>
        </is>
      </c>
      <c r="E299" s="16" t="inlineStr">
        <is>
          <t>اذن صرف رقم 58</t>
        </is>
      </c>
      <c r="F299" s="17" t="n">
        <v>488</v>
      </c>
      <c r="G299" s="16" t="n">
        <v>0</v>
      </c>
      <c r="H299" s="17" t="n">
        <v>488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صيانة وإنشاءات المزرعة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موسسسة افاق الاليه لادوات الكهربيه</t>
        </is>
      </c>
      <c r="D300" s="16" t="inlineStr">
        <is>
          <t>RIYADH NURSERY</t>
        </is>
      </c>
      <c r="E300" s="16" t="inlineStr">
        <is>
          <t>اذن صرف رقم 57</t>
        </is>
      </c>
      <c r="F300" s="17" t="n">
        <v>647</v>
      </c>
      <c r="G300" s="16" t="n">
        <v>0</v>
      </c>
      <c r="H300" s="17" t="n">
        <v>647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صيانة وإنشاءات المزرعة</t>
        </is>
      </c>
      <c r="L300" s="16" t="n"/>
    </row>
    <row r="301">
      <c r="A301" s="16" t="n">
        <v>300</v>
      </c>
      <c r="B301" s="95" t="n">
        <v>46021</v>
      </c>
      <c r="C301" s="16" t="inlineStr">
        <is>
          <t>هاتف الموبايل</t>
        </is>
      </c>
      <c r="D301" s="16" t="inlineStr">
        <is>
          <t>RIYADH NURSERY</t>
        </is>
      </c>
      <c r="E301" s="16" t="inlineStr">
        <is>
          <t>اذن صرف رقم 56</t>
        </is>
      </c>
      <c r="F301" s="17" t="n">
        <v>104.35</v>
      </c>
      <c r="G301" s="16" t="n">
        <v>15</v>
      </c>
      <c r="H301" s="17" t="n">
        <v>120</v>
      </c>
      <c r="I301" s="16" t="inlineStr">
        <is>
          <t>نعم</t>
        </is>
      </c>
      <c r="J301" s="16" t="inlineStr">
        <is>
          <t>مزرعة الرياض (عهدة/صندوق)</t>
        </is>
      </c>
      <c r="K301" s="16" t="inlineStr">
        <is>
          <t>خدمات (كهرباء/مياه/اتصالات)</t>
        </is>
      </c>
      <c r="L301" s="16" t="n"/>
    </row>
    <row r="302">
      <c r="A302" s="16" t="n">
        <v>301</v>
      </c>
      <c r="B302" s="95" t="n">
        <v>46021</v>
      </c>
      <c r="C302" s="16" t="inlineStr">
        <is>
          <t>مصنعيات</t>
        </is>
      </c>
      <c r="D302" s="16" t="inlineStr">
        <is>
          <t>RIYADH NURSERY</t>
        </is>
      </c>
      <c r="E302" s="16" t="inlineStr">
        <is>
          <t>اذن صرف 61</t>
        </is>
      </c>
      <c r="F302" s="17" t="n">
        <v>1000</v>
      </c>
      <c r="G302" s="16" t="n">
        <v>0</v>
      </c>
      <c r="H302" s="17" t="n">
        <v>1000</v>
      </c>
      <c r="I302" s="16" t="inlineStr">
        <is>
          <t>نعم</t>
        </is>
      </c>
      <c r="J302" s="16" t="inlineStr">
        <is>
          <t>مزرعة الرياض (عهدة/صندوق)</t>
        </is>
      </c>
      <c r="K302" s="16" t="inlineStr">
        <is>
          <t>صيانة وإنشاءات المزرعة</t>
        </is>
      </c>
      <c r="L302" s="16" t="n"/>
    </row>
    <row r="303">
      <c r="A303" s="16" t="n">
        <v>302</v>
      </c>
      <c r="B303" s="95" t="n">
        <v>46021</v>
      </c>
      <c r="C303" s="16" t="inlineStr">
        <is>
          <t>مؤسسة هيلاء عبيد الدوسرى</t>
        </is>
      </c>
      <c r="D303" s="16" t="inlineStr">
        <is>
          <t>RIYADH NURSERY</t>
        </is>
      </c>
      <c r="E303" s="16" t="inlineStr">
        <is>
          <t>اذن صرف رقم 60</t>
        </is>
      </c>
      <c r="F303" s="17" t="n">
        <v>204.35</v>
      </c>
      <c r="G303" s="16" t="n">
        <v>15</v>
      </c>
      <c r="H303" s="17" t="n">
        <v>235</v>
      </c>
      <c r="I303" s="16" t="inlineStr">
        <is>
          <t>نعم</t>
        </is>
      </c>
      <c r="J303" s="16" t="inlineStr">
        <is>
          <t>مزرعة الرياض (عهدة/صندوق)</t>
        </is>
      </c>
      <c r="K303" s="16" t="inlineStr">
        <is>
          <t>مصروفات إدارية وأخرى</t>
        </is>
      </c>
      <c r="L303" s="16" t="n"/>
    </row>
    <row r="304">
      <c r="A304" s="16" t="n">
        <v>303</v>
      </c>
      <c r="B304" s="95" t="n">
        <v>46021</v>
      </c>
      <c r="C304" s="16" t="inlineStr">
        <is>
          <t>الوقود</t>
        </is>
      </c>
      <c r="D304" s="16" t="inlineStr">
        <is>
          <t>RIYADH NURSERY</t>
        </is>
      </c>
      <c r="E304" s="16" t="inlineStr">
        <is>
          <t>اذن صرف رقم 59</t>
        </is>
      </c>
      <c r="F304" s="17" t="n">
        <v>60.87</v>
      </c>
      <c r="G304" s="16" t="n">
        <v>15</v>
      </c>
      <c r="H304" s="17" t="n">
        <v>70</v>
      </c>
      <c r="I304" s="16" t="inlineStr">
        <is>
          <t>نعم</t>
        </is>
      </c>
      <c r="J304" s="16" t="inlineStr">
        <is>
          <t>مزرعة الرياض (عهدة/صندوق)</t>
        </is>
      </c>
      <c r="K304" s="16" t="inlineStr">
        <is>
          <t>وقود</t>
        </is>
      </c>
      <c r="L304" s="16" t="n"/>
    </row>
    <row r="305">
      <c r="A305" s="16" t="n">
        <v>304</v>
      </c>
      <c r="B305" s="95" t="n">
        <v>46021</v>
      </c>
      <c r="C305" s="16" t="inlineStr">
        <is>
          <t>فواز الخالدي - التخليص الجمركي</t>
        </is>
      </c>
      <c r="D305" s="16" t="inlineStr">
        <is>
          <t>RIYADH NURSERY - PO1329</t>
        </is>
      </c>
      <c r="E305" s="16" t="inlineStr">
        <is>
          <t>اذن صرف رقم 55</t>
        </is>
      </c>
      <c r="F305" s="17" t="n">
        <v>5189</v>
      </c>
      <c r="G305" s="16" t="n">
        <v>0</v>
      </c>
      <c r="H305" s="17" t="n">
        <v>5189</v>
      </c>
      <c r="I305" s="16" t="inlineStr">
        <is>
          <t>نعم</t>
        </is>
      </c>
      <c r="J305" s="16" t="inlineStr">
        <is>
          <t>مزرعة الرياض (عهدة/صندوق)</t>
        </is>
      </c>
      <c r="K305" s="16" t="inlineStr">
        <is>
          <t>تخليص جمركي</t>
        </is>
      </c>
      <c r="L305" s="16" t="n"/>
    </row>
    <row r="306">
      <c r="A306" s="16" t="n">
        <v>305</v>
      </c>
      <c r="B306" s="95" t="n">
        <v>46021</v>
      </c>
      <c r="C306" s="16" t="inlineStr">
        <is>
          <t>فواز الخالدي - التخليص الجمركي</t>
        </is>
      </c>
      <c r="D306" s="16" t="inlineStr">
        <is>
          <t>RIYADH NURSERY - PO1328</t>
        </is>
      </c>
      <c r="E306" s="16" t="inlineStr">
        <is>
          <t>اذن صرف رقم 54</t>
        </is>
      </c>
      <c r="F306" s="17" t="n">
        <v>2247.5</v>
      </c>
      <c r="G306" s="16" t="n">
        <v>0</v>
      </c>
      <c r="H306" s="17" t="n">
        <v>2247.5</v>
      </c>
      <c r="I306" s="16" t="inlineStr">
        <is>
          <t>نعم</t>
        </is>
      </c>
      <c r="J306" s="16" t="inlineStr">
        <is>
          <t>مزرعة الرياض (عهدة/صندوق)</t>
        </is>
      </c>
      <c r="K306" s="16" t="inlineStr">
        <is>
          <t>تخليص جمركي</t>
        </is>
      </c>
      <c r="L306" s="16" t="n"/>
    </row>
    <row r="307">
      <c r="A307" s="16" t="n">
        <v>306</v>
      </c>
      <c r="B307" s="95" t="n">
        <v>46021</v>
      </c>
      <c r="C307" s="16" t="inlineStr">
        <is>
          <t>فواز الخالدي - التخليص الجمركي</t>
        </is>
      </c>
      <c r="D307" s="16" t="inlineStr">
        <is>
          <t>RIYADH NURSERY - PO1326</t>
        </is>
      </c>
      <c r="E307" s="16" t="inlineStr">
        <is>
          <t>اذن صرف رقم 53</t>
        </is>
      </c>
      <c r="F307" s="17" t="n">
        <v>2592.5</v>
      </c>
      <c r="G307" s="16" t="n">
        <v>0</v>
      </c>
      <c r="H307" s="17" t="n">
        <v>2592.5</v>
      </c>
      <c r="I307" s="16" t="inlineStr">
        <is>
          <t>نعم</t>
        </is>
      </c>
      <c r="J307" s="16" t="inlineStr">
        <is>
          <t>مزرعة الرياض (عهدة/صندوق)</t>
        </is>
      </c>
      <c r="K307" s="16" t="inlineStr">
        <is>
          <t>تخليص جمركي</t>
        </is>
      </c>
      <c r="L307" s="16" t="n"/>
    </row>
    <row r="308">
      <c r="A308" s="9" t="n"/>
      <c r="B308" s="9" t="n"/>
      <c r="C308" s="9" t="inlineStr">
        <is>
          <t>الإجمالي</t>
        </is>
      </c>
      <c r="D308" s="9" t="n"/>
      <c r="E308" s="9" t="n"/>
      <c r="F308" s="10">
        <f>SUM(F2:F307)</f>
        <v/>
      </c>
      <c r="G308" s="9" t="n"/>
      <c r="H308" s="10">
        <f>SUM(H2:H307)</f>
        <v/>
      </c>
      <c r="I308" s="9" t="n"/>
      <c r="J308" s="9" t="n"/>
      <c r="K308" s="9" t="n"/>
      <c r="L308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9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تفصيل'!H2:H307,'مصروفات 2025 - تفصيل'!K2:K307,A4)</f>
        <v/>
      </c>
      <c r="C4" s="16">
        <f>COUNTIFS('مصروفات 2025 - تفصيل'!K2:K307,A4)</f>
        <v/>
      </c>
      <c r="D4" s="17">
        <f>SUMIFS('مصروفات 2025 - تفصيل'!H2:H307,'مصروفات 2025 - تفصيل'!K2:K307,A4,'مصروفات 2025 - تفصيل'!J2:J307,"مزرعة تبوك*")</f>
        <v/>
      </c>
      <c r="E4" s="17">
        <f>SUMIFS('مصروفات 2025 - تفصيل'!H2:H307,'مصروفات 2025 - تفصيل'!K2:K307,A4,'مصروفات 2025 - تفصيل'!I2:I307,"لا")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تفصيل'!H2:H307,'مصروفات 2025 - تفصيل'!K2:K307,A5)</f>
        <v/>
      </c>
      <c r="C5" s="16">
        <f>COUNTIFS('مصروفات 2025 - تفصيل'!K2:K307,A5)</f>
        <v/>
      </c>
      <c r="D5" s="17">
        <f>SUMIFS('مصروفات 2025 - تفصيل'!H2:H307,'مصروفات 2025 - تفصيل'!K2:K307,A5,'مصروفات 2025 - تفصيل'!J2:J307,"مزرعة تبوك*")</f>
        <v/>
      </c>
      <c r="E5" s="17">
        <f>SUMIFS('مصروفات 2025 - تفصيل'!H2:H307,'مصروفات 2025 - تفصيل'!K2:K307,A5,'مصروفات 2025 - تفصيل'!I2:I307,"لا")</f>
        <v/>
      </c>
    </row>
    <row r="6">
      <c r="A6" s="16" t="inlineStr">
        <is>
          <t>مشتريات زهور لعقد عرعر (WHK-2364)</t>
        </is>
      </c>
      <c r="B6" s="17">
        <f>SUMIFS('مصروفات 2025 - تفصيل'!H2:H307,'مصروفات 2025 - تفصيل'!K2:K307,A6)</f>
        <v/>
      </c>
      <c r="C6" s="16">
        <f>COUNTIFS('مصروفات 2025 - تفصيل'!K2:K307,A6)</f>
        <v/>
      </c>
      <c r="D6" s="17">
        <f>SUMIFS('مصروفات 2025 - تفصيل'!H2:H307,'مصروفات 2025 - تفصيل'!K2:K307,A6,'مصروفات 2025 - تفصيل'!J2:J307,"مزرعة تبوك*")</f>
        <v/>
      </c>
      <c r="E6" s="17">
        <f>SUMIFS('مصروفات 2025 - تفصيل'!H2:H307,'مصروفات 2025 - تفصيل'!K2:K307,A6,'مصروفات 2025 - تفصيل'!I2:I307,"لا")</f>
        <v/>
      </c>
    </row>
    <row r="7">
      <c r="A7" s="16" t="inlineStr">
        <is>
          <t>رواتب وعمولات</t>
        </is>
      </c>
      <c r="B7" s="17">
        <f>SUMIFS('مصروفات 2025 - تفصيل'!H2:H307,'مصروفات 2025 - تفصيل'!K2:K307,A7)</f>
        <v/>
      </c>
      <c r="C7" s="16">
        <f>COUNTIFS('مصروفات 2025 - تفصيل'!K2:K307,A7)</f>
        <v/>
      </c>
      <c r="D7" s="17">
        <f>SUMIFS('مصروفات 2025 - تفصيل'!H2:H307,'مصروفات 2025 - تفصيل'!K2:K307,A7,'مصروفات 2025 - تفصيل'!J2:J307,"مزرعة تبوك*")</f>
        <v/>
      </c>
      <c r="E7" s="17">
        <f>SUMIFS('مصروفات 2025 - تفصيل'!H2:H307,'مصروفات 2025 - تفصيل'!K2:K307,A7,'مصروفات 2025 - تفصيل'!I2:I307,"لا")</f>
        <v/>
      </c>
    </row>
    <row r="8">
      <c r="A8" s="16" t="inlineStr">
        <is>
          <t>مستلزمات إنتاج (مراكن/فلين/مفارش)</t>
        </is>
      </c>
      <c r="B8" s="17">
        <f>SUMIFS('مصروفات 2025 - تفصيل'!H2:H307,'مصروفات 2025 - تفصيل'!K2:K307,A8)</f>
        <v/>
      </c>
      <c r="C8" s="16">
        <f>COUNTIFS('مصروفات 2025 - تفصيل'!K2:K307,A8)</f>
        <v/>
      </c>
      <c r="D8" s="17">
        <f>SUMIFS('مصروفات 2025 - تفصيل'!H2:H307,'مصروفات 2025 - تفصيل'!K2:K307,A8,'مصروفات 2025 - تفصيل'!J2:J307,"مزرعة تبوك*")</f>
        <v/>
      </c>
      <c r="E8" s="17">
        <f>SUMIFS('مصروفات 2025 - تفصيل'!H2:H307,'مصروفات 2025 - تفصيل'!K2:K307,A8,'مصروفات 2025 - تفصيل'!I2:I307,"لا")</f>
        <v/>
      </c>
    </row>
    <row r="9">
      <c r="A9" s="16" t="inlineStr">
        <is>
          <t>خدمات (كهرباء/مياه/اتصالات)</t>
        </is>
      </c>
      <c r="B9" s="17">
        <f>SUMIFS('مصروفات 2025 - تفصيل'!H2:H307,'مصروفات 2025 - تفصيل'!K2:K307,A9)</f>
        <v/>
      </c>
      <c r="C9" s="16">
        <f>COUNTIFS('مصروفات 2025 - تفصيل'!K2:K307,A9)</f>
        <v/>
      </c>
      <c r="D9" s="17">
        <f>SUMIFS('مصروفات 2025 - تفصيل'!H2:H307,'مصروفات 2025 - تفصيل'!K2:K307,A9,'مصروفات 2025 - تفصيل'!J2:J307,"مزرعة تبوك*")</f>
        <v/>
      </c>
      <c r="E9" s="17">
        <f>SUMIFS('مصروفات 2025 - تفصيل'!H2:H307,'مصروفات 2025 - تفصيل'!K2:K307,A9,'مصروفات 2025 - تفصيل'!I2:I307,"لا")</f>
        <v/>
      </c>
    </row>
    <row r="10">
      <c r="A10" s="16" t="inlineStr">
        <is>
          <t>مصروفات إدارية وأخرى</t>
        </is>
      </c>
      <c r="B10" s="17">
        <f>SUMIFS('مصروفات 2025 - تفصيل'!H2:H307,'مصروفات 2025 - تفصيل'!K2:K307,A10)</f>
        <v/>
      </c>
      <c r="C10" s="16">
        <f>COUNTIFS('مصروفات 2025 - تفصيل'!K2:K307,A10)</f>
        <v/>
      </c>
      <c r="D10" s="17">
        <f>SUMIFS('مصروفات 2025 - تفصيل'!H2:H307,'مصروفات 2025 - تفصيل'!K2:K307,A10,'مصروفات 2025 - تفصيل'!J2:J307,"مزرعة تبوك*")</f>
        <v/>
      </c>
      <c r="E10" s="17">
        <f>SUMIFS('مصروفات 2025 - تفصيل'!H2:H307,'مصروفات 2025 - تفصيل'!K2:K307,A10,'مصروفات 2025 - تفصيل'!I2:I307,"لا")</f>
        <v/>
      </c>
    </row>
    <row r="11">
      <c r="A11" s="16" t="inlineStr">
        <is>
          <t>صيانة سيارات ومعدات</t>
        </is>
      </c>
      <c r="B11" s="17">
        <f>SUMIFS('مصروفات 2025 - تفصيل'!H2:H307,'مصروفات 2025 - تفصيل'!K2:K307,A11)</f>
        <v/>
      </c>
      <c r="C11" s="16">
        <f>COUNTIFS('مصروفات 2025 - تفصيل'!K2:K307,A11)</f>
        <v/>
      </c>
      <c r="D11" s="17">
        <f>SUMIFS('مصروفات 2025 - تفصيل'!H2:H307,'مصروفات 2025 - تفصيل'!K2:K307,A11,'مصروفات 2025 - تفصيل'!J2:J307,"مزرعة تبوك*")</f>
        <v/>
      </c>
      <c r="E11" s="17">
        <f>SUMIFS('مصروفات 2025 - تفصيل'!H2:H307,'مصروفات 2025 - تفصيل'!K2:K307,A11,'مصروفات 2025 - تفصيل'!I2:I307,"لا")</f>
        <v/>
      </c>
    </row>
    <row r="12">
      <c r="A12" s="16" t="inlineStr">
        <is>
          <t>صيانة وإنشاءات المزرعة</t>
        </is>
      </c>
      <c r="B12" s="17">
        <f>SUMIFS('مصروفات 2025 - تفصيل'!H2:H307,'مصروفات 2025 - تفصيل'!K2:K307,A12)</f>
        <v/>
      </c>
      <c r="C12" s="16">
        <f>COUNTIFS('مصروفات 2025 - تفصيل'!K2:K307,A12)</f>
        <v/>
      </c>
      <c r="D12" s="17">
        <f>SUMIFS('مصروفات 2025 - تفصيل'!H2:H307,'مصروفات 2025 - تفصيل'!K2:K307,A12,'مصروفات 2025 - تفصيل'!J2:J307,"مزرعة تبوك*")</f>
        <v/>
      </c>
      <c r="E12" s="17">
        <f>SUMIFS('مصروفات 2025 - تفصيل'!H2:H307,'مصروفات 2025 - تفصيل'!K2:K307,A12,'مصروفات 2025 - تفصيل'!I2:I307,"لا")</f>
        <v/>
      </c>
    </row>
    <row r="13">
      <c r="A13" s="16" t="inlineStr">
        <is>
          <t>وقود</t>
        </is>
      </c>
      <c r="B13" s="17">
        <f>SUMIFS('مصروفات 2025 - تفصيل'!H2:H307,'مصروفات 2025 - تفصيل'!K2:K307,A13)</f>
        <v/>
      </c>
      <c r="C13" s="16">
        <f>COUNTIFS('مصروفات 2025 - تفصيل'!K2:K307,A13)</f>
        <v/>
      </c>
      <c r="D13" s="17">
        <f>SUMIFS('مصروفات 2025 - تفصيل'!H2:H307,'مصروفات 2025 - تفصيل'!K2:K307,A13,'مصروفات 2025 - تفصيل'!J2:J307,"مزرعة تبوك*")</f>
        <v/>
      </c>
      <c r="E13" s="17">
        <f>SUMIFS('مصروفات 2025 - تفصيل'!H2:H307,'مصروفات 2025 - تفصيل'!K2:K307,A13,'مصروفات 2025 - تفصيل'!I2:I307,"لا")</f>
        <v/>
      </c>
    </row>
    <row r="14">
      <c r="A14" s="16" t="inlineStr">
        <is>
          <t>تخليص جمركي</t>
        </is>
      </c>
      <c r="B14" s="17">
        <f>SUMIFS('مصروفات 2025 - تفصيل'!H2:H307,'مصروفات 2025 - تفصيل'!K2:K307,A14)</f>
        <v/>
      </c>
      <c r="C14" s="16">
        <f>COUNTIFS('مصروفات 2025 - تفصيل'!K2:K307,A14)</f>
        <v/>
      </c>
      <c r="D14" s="17">
        <f>SUMIFS('مصروفات 2025 - تفصيل'!H2:H307,'مصروفات 2025 - تفصيل'!K2:K307,A14,'مصروفات 2025 - تفصيل'!J2:J307,"مزرعة تبوك*")</f>
        <v/>
      </c>
      <c r="E14" s="17">
        <f>SUMIFS('مصروفات 2025 - تفصيل'!H2:H307,'مصروفات 2025 - تفصيل'!K2:K307,A14,'مصروفات 2025 - تفصيل'!I2:I307,"لا")</f>
        <v/>
      </c>
    </row>
    <row r="15">
      <c r="A15" s="9" t="inlineStr">
        <is>
          <t>الإجمالي</t>
        </is>
      </c>
      <c r="B15" s="10">
        <f>SUM(B4:B14)</f>
        <v/>
      </c>
      <c r="C15" s="9">
        <f>SUM(C4:C14)</f>
        <v/>
      </c>
      <c r="D15" s="10">
        <f>SUM(D4:D14)</f>
        <v/>
      </c>
      <c r="E15" s="10">
        <f>SUM(E4:E14)</f>
        <v/>
      </c>
    </row>
    <row r="17">
      <c r="A17" s="59" t="inlineStr">
        <is>
          <t>حسب الشهر</t>
        </is>
      </c>
    </row>
    <row r="18">
      <c r="A18" s="22" t="inlineStr">
        <is>
          <t>الشهر</t>
        </is>
      </c>
      <c r="B18" s="22" t="inlineStr">
        <is>
          <t>الإجمالي</t>
        </is>
      </c>
      <c r="C18" s="22" t="inlineStr">
        <is>
          <t>عدد الحركات</t>
        </is>
      </c>
      <c r="D18" s="22" t="n"/>
      <c r="E18" s="22" t="n"/>
    </row>
    <row r="19">
      <c r="A19" s="16" t="inlineStr">
        <is>
          <t>06-2025</t>
        </is>
      </c>
      <c r="B19" s="17">
        <f>SUMIFS('مصروفات 2025 - تفصيل'!H2:H307,'مصروفات 2025 - تفصيل'!B2:B307,"&gt;="&amp;DATE(2025,6,1),'مصروفات 2025 - تفصيل'!B2:B307,"&lt;"&amp;DATE(2025,7,1))</f>
        <v/>
      </c>
      <c r="C19" s="16">
        <f>COUNTIFS('مصروفات 2025 - تفصيل'!B2:B307,"&gt;="&amp;DATE(2025,6,1),'مصروفات 2025 - تفصيل'!B2:B307,"&lt;"&amp;DATE(2025,7,1))</f>
        <v/>
      </c>
      <c r="D19" s="16" t="n"/>
      <c r="E19" s="16" t="n"/>
    </row>
    <row r="20">
      <c r="A20" s="16" t="inlineStr">
        <is>
          <t>07-2025</t>
        </is>
      </c>
      <c r="B20" s="17">
        <f>SUMIFS('مصروفات 2025 - تفصيل'!H2:H307,'مصروفات 2025 - تفصيل'!B2:B307,"&gt;="&amp;DATE(2025,7,1),'مصروفات 2025 - تفصيل'!B2:B307,"&lt;"&amp;DATE(2025,8,1))</f>
        <v/>
      </c>
      <c r="C20" s="16">
        <f>COUNTIFS('مصروفات 2025 - تفصيل'!B2:B307,"&gt;="&amp;DATE(2025,7,1),'مصروفات 2025 - تفصيل'!B2:B307,"&lt;"&amp;DATE(2025,8,1))</f>
        <v/>
      </c>
      <c r="D20" s="16" t="n"/>
      <c r="E20" s="16" t="n"/>
    </row>
    <row r="21">
      <c r="A21" s="16" t="inlineStr">
        <is>
          <t>08-2025</t>
        </is>
      </c>
      <c r="B21" s="17">
        <f>SUMIFS('مصروفات 2025 - تفصيل'!H2:H307,'مصروفات 2025 - تفصيل'!B2:B307,"&gt;="&amp;DATE(2025,8,1),'مصروفات 2025 - تفصيل'!B2:B307,"&lt;"&amp;DATE(2025,9,1))</f>
        <v/>
      </c>
      <c r="C21" s="16">
        <f>COUNTIFS('مصروفات 2025 - تفصيل'!B2:B307,"&gt;="&amp;DATE(2025,8,1),'مصروفات 2025 - تفصيل'!B2:B307,"&lt;"&amp;DATE(2025,9,1))</f>
        <v/>
      </c>
      <c r="D21" s="16" t="n"/>
      <c r="E21" s="16" t="n"/>
    </row>
    <row r="22">
      <c r="A22" s="16" t="inlineStr">
        <is>
          <t>09-2025</t>
        </is>
      </c>
      <c r="B22" s="17">
        <f>SUMIFS('مصروفات 2025 - تفصيل'!H2:H307,'مصروفات 2025 - تفصيل'!B2:B307,"&gt;="&amp;DATE(2025,9,1),'مصروفات 2025 - تفصيل'!B2:B307,"&lt;"&amp;DATE(2025,10,1))</f>
        <v/>
      </c>
      <c r="C22" s="16">
        <f>COUNTIFS('مصروفات 2025 - تفصيل'!B2:B307,"&gt;="&amp;DATE(2025,9,1),'مصروفات 2025 - تفصيل'!B2:B307,"&lt;"&amp;DATE(2025,10,1))</f>
        <v/>
      </c>
      <c r="D22" s="16" t="n"/>
      <c r="E22" s="16" t="n"/>
    </row>
    <row r="23">
      <c r="A23" s="16" t="inlineStr">
        <is>
          <t>10-2025</t>
        </is>
      </c>
      <c r="B23" s="17">
        <f>SUMIFS('مصروفات 2025 - تفصيل'!H2:H307,'مصروفات 2025 - تفصيل'!B2:B307,"&gt;="&amp;DATE(2025,10,1),'مصروفات 2025 - تفصيل'!B2:B307,"&lt;"&amp;DATE(2025,11,1))</f>
        <v/>
      </c>
      <c r="C23" s="16">
        <f>COUNTIFS('مصروفات 2025 - تفصيل'!B2:B307,"&gt;="&amp;DATE(2025,10,1),'مصروفات 2025 - تفصيل'!B2:B307,"&lt;"&amp;DATE(2025,11,1))</f>
        <v/>
      </c>
      <c r="D23" s="16" t="n"/>
      <c r="E23" s="16" t="n"/>
    </row>
    <row r="24">
      <c r="A24" s="16" t="inlineStr">
        <is>
          <t>11-2025</t>
        </is>
      </c>
      <c r="B24" s="17">
        <f>SUMIFS('مصروفات 2025 - تفصيل'!H2:H307,'مصروفات 2025 - تفصيل'!B2:B307,"&gt;="&amp;DATE(2025,11,1),'مصروفات 2025 - تفصيل'!B2:B307,"&lt;"&amp;DATE(2025,12,1))</f>
        <v/>
      </c>
      <c r="C24" s="16">
        <f>COUNTIFS('مصروفات 2025 - تفصيل'!B2:B307,"&gt;="&amp;DATE(2025,11,1),'مصروفات 2025 - تفصيل'!B2:B307,"&lt;"&amp;DATE(2025,12,1))</f>
        <v/>
      </c>
      <c r="D24" s="16" t="n"/>
      <c r="E24" s="16" t="n"/>
    </row>
    <row r="25">
      <c r="A25" s="16" t="inlineStr">
        <is>
          <t>12-2025</t>
        </is>
      </c>
      <c r="B25" s="17">
        <f>SUMIFS('مصروفات 2025 - تفصيل'!H2:H307,'مصروفات 2025 - تفصيل'!B2:B307,"&gt;="&amp;DATE(2025,12,1),'مصروفات 2025 - تفصيل'!B2:B307,"&lt;"&amp;DATE(2026,1,1))</f>
        <v/>
      </c>
      <c r="C25" s="16">
        <f>COUNTIFS('مصروفات 2025 - تفصيل'!B2:B307,"&gt;="&amp;DATE(2025,12,1),'مصروفات 2025 - تفصيل'!B2:B307,"&lt;"&amp;DATE(2026,1,1))</f>
        <v/>
      </c>
      <c r="D25" s="16" t="n"/>
      <c r="E25" s="16" t="n"/>
    </row>
    <row r="26">
      <c r="A26" s="9" t="inlineStr">
        <is>
          <t>الإجمالي</t>
        </is>
      </c>
      <c r="B26" s="10">
        <f>SUM(B19:B25)</f>
        <v/>
      </c>
      <c r="C26" s="9">
        <f>SUM(C19:C25)</f>
        <v/>
      </c>
      <c r="D26" s="9" t="n"/>
      <c r="E26" s="9" t="n"/>
    </row>
    <row r="28">
      <c r="A28" s="59" t="inlineStr">
        <is>
          <t>مبالغ دفعتها مزرعة تبوك عن مزرعة الرياض في 2025 (مديونية على مزرعة الرياض)</t>
        </is>
      </c>
    </row>
    <row r="29">
      <c r="A29" s="22" t="inlineStr">
        <is>
          <t>المورد</t>
        </is>
      </c>
      <c r="B29" s="22" t="inlineStr">
        <is>
          <t>التاريخ</t>
        </is>
      </c>
      <c r="C29" s="22" t="inlineStr">
        <is>
          <t>أمر الشراء</t>
        </is>
      </c>
      <c r="D29" s="22" t="inlineStr">
        <is>
          <t>المبلغ</t>
        </is>
      </c>
      <c r="E29" s="22" t="n"/>
    </row>
    <row r="30">
      <c r="A30" s="16" t="inlineStr">
        <is>
          <t>شركة المدارات السعودية للتجارة والاستيراد</t>
        </is>
      </c>
      <c r="B30" s="95" t="n">
        <v>45880</v>
      </c>
      <c r="C30" s="16" t="inlineStr">
        <is>
          <t>RIYADH NURSERY-PO599</t>
        </is>
      </c>
      <c r="D30" s="17" t="n">
        <v>4600</v>
      </c>
      <c r="E30" s="16" t="n"/>
    </row>
    <row r="31">
      <c r="A31" s="16" t="inlineStr">
        <is>
          <t>Arabian Vermiculite Industries (AVI)</t>
        </is>
      </c>
      <c r="B31" s="95" t="n">
        <v>45887</v>
      </c>
      <c r="C31" s="16" t="inlineStr">
        <is>
          <t>RIYADH NURSERY</t>
        </is>
      </c>
      <c r="D31" s="17" t="n">
        <v>17043</v>
      </c>
      <c r="E31" s="16" t="n"/>
    </row>
    <row r="32">
      <c r="A32" s="16" t="inlineStr">
        <is>
          <t>شركة التاج المميزة التجارية</t>
        </is>
      </c>
      <c r="B32" s="95" t="n">
        <v>45887</v>
      </c>
      <c r="C32" s="16" t="inlineStr">
        <is>
          <t>RIYADH NURSERY-PO#627</t>
        </is>
      </c>
      <c r="D32" s="17" t="n">
        <v>27025</v>
      </c>
      <c r="E32" s="16" t="n"/>
    </row>
    <row r="33">
      <c r="A33" s="16" t="inlineStr">
        <is>
          <t>شركة التكامل</t>
        </is>
      </c>
      <c r="B33" s="95" t="n">
        <v>45901</v>
      </c>
      <c r="C33" s="16" t="inlineStr">
        <is>
          <t>RIYADH NURSERYpo-747</t>
        </is>
      </c>
      <c r="D33" s="17" t="n">
        <v>22356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NURSERY-PO749</t>
        </is>
      </c>
      <c r="D34" s="17" t="n">
        <v>2260.44</v>
      </c>
      <c r="E34" s="16" t="n"/>
    </row>
    <row r="35">
      <c r="A35" s="16" t="inlineStr">
        <is>
          <t>شركة سائح لى للبلاستيك المحدوده</t>
        </is>
      </c>
      <c r="B35" s="95" t="n">
        <v>45913</v>
      </c>
      <c r="C35" s="16" t="inlineStr">
        <is>
          <t>RIYADH NURSERY-PO-736</t>
        </is>
      </c>
      <c r="D35" s="17" t="n">
        <v>2260.44</v>
      </c>
      <c r="E35" s="16" t="n"/>
    </row>
    <row r="36">
      <c r="A36" s="16" t="inlineStr">
        <is>
          <t>شركة التاج المميزة التجارية</t>
        </is>
      </c>
      <c r="B36" s="95" t="n">
        <v>45920</v>
      </c>
      <c r="C36" s="16" t="inlineStr">
        <is>
          <t>RIYADH NURSERY PO-743</t>
        </is>
      </c>
      <c r="D36" s="17" t="n">
        <v>28750</v>
      </c>
      <c r="E36" s="16" t="n"/>
    </row>
    <row r="37">
      <c r="A37" s="16" t="inlineStr">
        <is>
          <t>شركة المدارات السعودية للتجارة والاستيراد</t>
        </is>
      </c>
      <c r="B37" s="95" t="n">
        <v>45921</v>
      </c>
      <c r="C37" s="16" t="inlineStr">
        <is>
          <t>RIYADH NURSERY-PO785</t>
        </is>
      </c>
      <c r="D37" s="17" t="n">
        <v>9200</v>
      </c>
      <c r="E37" s="16" t="n"/>
    </row>
    <row r="38">
      <c r="A38" s="16" t="inlineStr">
        <is>
          <t>شركة سائح لى للبلاستيك المحدوده</t>
        </is>
      </c>
      <c r="B38" s="95" t="n">
        <v>45926</v>
      </c>
      <c r="C38" s="16" t="inlineStr">
        <is>
          <t>RIYADH NURSERY</t>
        </is>
      </c>
      <c r="D38" s="17" t="n">
        <v>4520.88</v>
      </c>
      <c r="E38" s="16" t="n"/>
    </row>
    <row r="39">
      <c r="A39" s="16" t="inlineStr">
        <is>
          <t>شركة الياسين الزراعية</t>
        </is>
      </c>
      <c r="B39" s="95" t="n">
        <v>45930</v>
      </c>
      <c r="C39" s="16" t="inlineStr">
        <is>
          <t>RIYADH NURSERY</t>
        </is>
      </c>
      <c r="D39" s="17" t="n">
        <v>58063.5</v>
      </c>
      <c r="E39" s="16" t="n"/>
    </row>
    <row r="40">
      <c r="A40" s="16" t="inlineStr">
        <is>
          <t>شركة المدارات السعودية للتجارة والاستيراد</t>
        </is>
      </c>
      <c r="B40" s="95" t="n">
        <v>45953</v>
      </c>
      <c r="C40" s="16" t="inlineStr">
        <is>
          <t>RIYADH NURSERY - PO1040</t>
        </is>
      </c>
      <c r="D40" s="17" t="n">
        <v>50600</v>
      </c>
      <c r="E40" s="16" t="n"/>
    </row>
    <row r="41">
      <c r="A41" s="9" t="inlineStr">
        <is>
          <t>الإجمالي</t>
        </is>
      </c>
      <c r="B41" s="9" t="n"/>
      <c r="C41" s="9" t="n"/>
      <c r="D41" s="10">
        <f>SUM(D30:D40)</f>
        <v/>
      </c>
      <c r="E41" s="9" t="n"/>
    </row>
    <row r="42" ht="45" customHeight="1">
      <c r="A42" s="65" t="n"/>
    </row>
    <row r="43" ht="45" customHeight="1">
      <c r="A43" s="66" t="inlineStr">
        <is>
          <t>ملاحظات المراجعة:</t>
        </is>
      </c>
    </row>
    <row r="44" ht="45" customHeight="1">
      <c r="A44" s="65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65" t="inlineStr">
        <is>
          <t>4) ⚠ مديونية قائمة من 2025: شركة الجزيرة الحديثة 21,250 (عقد عرعر) غير مدفوعة.</t>
        </is>
      </c>
    </row>
    <row r="48" ht="45" customHeight="1">
      <c r="A48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65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2026-09-28T11:04:40Z</dcterms:modified>
</cp:coreProperties>
</file>