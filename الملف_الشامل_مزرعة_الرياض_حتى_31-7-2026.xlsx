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مطابقة كميات عقد عرعر" sheetId="7" state="visible" r:id="rId7"/>
    <sheet name="حساب أبو مازن" sheetId="8" state="visible" r:id="rId8"/>
    <sheet name="إيرادات قبل الفترة" sheetId="9" state="visible" r:id="rId9"/>
    <sheet name="تحقق سند أبو خالد" sheetId="10" state="visible" r:id="rId10"/>
    <sheet name="مبيعات - الملخص" sheetId="11" state="visible" r:id="rId11"/>
    <sheet name="الحركة المدمجة" sheetId="12" state="visible" r:id="rId12"/>
    <sheet name="مبيعات - شهري" sheetId="13" state="visible" r:id="rId13"/>
    <sheet name="مبيعات قبل 30.7.2025" sheetId="14" state="visible" r:id="rId14"/>
    <sheet name="مبيعات عصمت" sheetId="15" state="visible" r:id="rId15"/>
    <sheet name="مبيعات عماد" sheetId="16" state="visible" r:id="rId16"/>
    <sheet name="مبيعات أبو خالد" sheetId="17" state="visible" r:id="rId17"/>
    <sheet name="أبو خالد - تفصيل البنود" sheetId="18" state="visible" r:id="rId18"/>
    <sheet name="الفواتير المبدئية" sheetId="19" state="visible" r:id="rId19"/>
    <sheet name="فواتير - حسب المندوب" sheetId="20" state="visible" r:id="rId20"/>
    <sheet name="فواتير - شهري" sheetId="21" state="visible" r:id="rId21"/>
    <sheet name="مطابقة العقود" sheetId="22" state="visible" r:id="rId22"/>
    <sheet name="فواتير عقودها غير مسجلة" sheetId="23" state="visible" r:id="rId23"/>
    <sheet name="الفواتير مقابل الكشف" sheetId="24" state="visible" r:id="rId24"/>
    <sheet name="قيود كشف بدون فاتورة" sheetId="25" state="visible" r:id="rId25"/>
    <sheet name="مصروفات - الملخص" sheetId="26" state="visible" r:id="rId26"/>
    <sheet name="مصروفات التأسيس" sheetId="27" state="visible" r:id="rId27"/>
    <sheet name="مصروفات قبل 30.7.2025" sheetId="28" state="visible" r:id="rId28"/>
    <sheet name="أوامر الشراء 2026" sheetId="29" state="visible" r:id="rId29"/>
    <sheet name="العهد - التفصيل" sheetId="30" state="visible" r:id="rId30"/>
    <sheet name="العهد - الملخص" sheetId="31" state="visible" r:id="rId31"/>
    <sheet name="مصروفات الخزنة (كشف الحساب)" sheetId="32" state="visible" r:id="rId32"/>
    <sheet name="خزنة الرياض 6-7 2026" sheetId="33" state="visible" r:id="rId33"/>
    <sheet name="صرف بدون بيان" sheetId="34" state="visible" r:id="rId34"/>
    <sheet name="أرصدة العملاء والموردين" sheetId="35" state="visible" r:id="rId35"/>
    <sheet name="مصروفات 2025 - تفصيل" sheetId="36" state="visible" r:id="rId36"/>
    <sheet name="مصروفات 2025 - ملخص" sheetId="37" state="visible" r:id="rId37"/>
    <sheet name="مواد - الملخص" sheetId="38" state="visible" r:id="rId38"/>
    <sheet name="مواد - سجل العقود" sheetId="39" state="visible" r:id="rId39"/>
    <sheet name="مواد - تفصيل البنود" sheetId="40" state="visible" r:id="rId40"/>
    <sheet name="مواد - الكميات حسب الصنف" sheetId="41" state="visible" r:id="rId41"/>
    <sheet name="مسحوبات - ملخص المراجعة" sheetId="42" state="visible" r:id="rId42"/>
    <sheet name="مسحوبات تبوك قبل الفترة" sheetId="43" state="visible" r:id="rId43"/>
    <sheet name="مصاريف إدارية وديزل تبوك" sheetId="44" state="visible" r:id="rId44"/>
    <sheet name="مسحوبات الرياض من تبوك" sheetId="45" state="visible" r:id="rId45"/>
    <sheet name="مسحوبات تبوك من الرياض" sheetId="46" state="visible" r:id="rId46"/>
    <sheet name="سندات غير مدرجة بالمحاسب" sheetId="47" state="visible" r:id="rId47"/>
  </sheets>
  <definedNames>
    <definedName name="_xlnm._FilterDatabase" localSheetId="11" hidden="1">'الحركة المدمجة'!$A$1:$J$360</definedName>
    <definedName name="_xlnm._FilterDatabase" localSheetId="14" hidden="1">'مبيعات عصمت'!$A$1:$I$255</definedName>
    <definedName name="_xlnm._FilterDatabase" localSheetId="15" hidden="1">'مبيعات عماد'!$A$1:$I$59</definedName>
    <definedName name="_xlnm._FilterDatabase" localSheetId="16" hidden="1">'مبيعات أبو خالد'!$A$1:$I$48</definedName>
    <definedName name="_xlnm._FilterDatabase" localSheetId="18" hidden="1">'الفواتير المبدئية'!$A$2:$H$241</definedName>
    <definedName name="_xlnm._FilterDatabase" localSheetId="21" hidden="1">'مطابقة العقود'!$A$1:$I$251</definedName>
    <definedName name="_xlnm._FilterDatabase" localSheetId="28" hidden="1">'أوامر الشراء 2026'!$A$1:$L$32</definedName>
    <definedName name="_xlnm._FilterDatabase" localSheetId="29" hidden="1">'العهد - التفصيل'!$A$1:$I$179</definedName>
    <definedName name="_xlnm._FilterDatabase" localSheetId="31" hidden="1">'مصروفات الخزنة (كشف الحساب)'!$A$1:$I$198</definedName>
    <definedName name="_xlnm._FilterDatabase" localSheetId="35" hidden="1">'مصروفات 2025 - تفصيل'!$A$1:$L$307</definedName>
    <definedName name="_xlnm._FilterDatabase" localSheetId="38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605;&#1591;&#1575;&#1576;&#1602;&#1577; &#1603;&#1605;&#1610;&#1575;&#1578; &#1593;&#1602;&#1583; &#1593;&#1585;&#1593;&#1585;'!A1" TargetMode="External" Id="rId46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8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  <row r="48">
      <c r="A48" s="16" t="n">
        <v>46</v>
      </c>
      <c r="B48" s="16" t="inlineStr">
        <is>
          <t>حساب الشريكين</t>
        </is>
      </c>
      <c r="C48" s="90" t="inlineStr">
        <is>
          <t>مطابقة كميات عقد عرعر</t>
        </is>
      </c>
      <c r="D48" s="16" t="inlineStr">
        <is>
          <t>مطابقة كميات عقد عرعر مع الفواتير والجزيرة وترحيلات تبوك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3"/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0"/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1,089,735.80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19"/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6"/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PO-0777 بقيمته كاملة لحين معرفة المسدد</t>
        </is>
      </c>
    </row>
    <row r="30"/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7"/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/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23-10-2025، الجزيرة 20,000 مرتين في 25-12-2025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/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/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/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3"/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2"/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– الكميات المصروفة من الرياض والمحوّلة من تبوك × 0.50</t>
        </is>
      </c>
      <c r="C5" s="4">
        <f>'مطابقة كميات عقد عرعر'!E11</f>
        <v/>
      </c>
      <c r="D5" s="3" t="inlineStr">
        <is>
          <t>صفحة مطابقة كميات عقد عرعر</t>
        </is>
      </c>
      <c r="E5" s="3" t="inlineStr">
        <is>
          <t>275,375 حبة × 0.50 (بدل قيمة العقد 440,000)</t>
        </is>
      </c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خالد'!E49-440000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8"/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3" t="n">
        <v>1</v>
      </c>
      <c r="B11" s="3" t="inlineStr">
        <is>
          <t>مبلغ مسدد نقداً لأبو خالد من مديونيته (18-5-2026)</t>
        </is>
      </c>
      <c r="C11" s="4" t="n">
        <v>2000</v>
      </c>
      <c r="D11" s="3" t="inlineStr">
        <is>
          <t>كشف الخزنة – مستند 156</t>
        </is>
      </c>
      <c r="E11" s="3" t="inlineStr">
        <is>
          <t>مسجل بالكشف كفاتورة على حسابه (بمثابة مرتجع نقدي للعميل) لتخفيض رصيده الدائن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3"/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بكشف الخزنة (بعد حذف إيداعات الجزيرة)</t>
        </is>
      </c>
      <c r="C16" s="4">
        <f>763323.81-196225-3128</f>
        <v/>
      </c>
      <c r="D16" s="3" t="inlineStr">
        <is>
          <t>كشف الحساب – عميل 5000</t>
        </is>
      </c>
      <c r="E16" s="3" t="inlineStr">
        <is>
          <t>الأصل 763,323.81 − زهور الجزيرة 196,225 − فلين مستعمل من الجزيرة 3,128 (خاصة بعقد بساتين الرياض – محذوفة)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8"/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مساهمة أبو خالد في مصروفات التأسيس</t>
        </is>
      </c>
      <c r="C21" s="4" t="n">
        <v>189235</v>
      </c>
      <c r="D21" s="3" t="inlineStr">
        <is>
          <t>بيان صاحب الحساب</t>
        </is>
      </c>
      <c r="E21" s="3" t="inlineStr">
        <is>
          <t>مساهمة أبو خالد في التأسيس – تُضاف لمصروفات التأسيس (الإجمالي 1,278,970.80)</t>
        </is>
      </c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11" t="n">
        <v>3</v>
      </c>
      <c r="B23" s="11" t="inlineStr">
        <is>
          <t>أوامر شراء بساتين الرياض مدفوعة جزئياً – PO-0777</t>
        </is>
      </c>
      <c r="C23" s="12" t="n">
        <v>66420</v>
      </c>
      <c r="D23" s="11" t="inlineStr">
        <is>
          <t>ملف أوامر الشراء 2026</t>
        </is>
      </c>
      <c r="E23" s="11" t="inlineStr">
        <is>
          <t>⚠ القيمة كاملة – يُخصم المسدد عند معرفته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5"/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2"/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9"/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2"/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0"/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2"/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>
        <f> مديونية أبو خالد عن عقد عرعر</f>
        <v/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وإيداعاتها خاصة بعقد بساتين الرياض ومسددة بالكامل – تم حذفها من كل الحسابات (مصروفات 2025، كشف الخزنة، سدادات أبو خالد، أرصدة الموردين).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2"/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0"/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7"/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3" t="n">
        <v>1</v>
      </c>
      <c r="B20" s="3" t="inlineStr">
        <is>
          <t>مصروفات التأسيس المدفوعة من أبو مازن / نسما</t>
        </is>
      </c>
      <c r="C20" s="4">
        <f>'مصروفات التأسيس'!E27</f>
        <v/>
      </c>
      <c r="D20" s="3" t="inlineStr">
        <is>
          <t>كشف مصروفات التأسيس</t>
        </is>
      </c>
      <c r="E20" s="3" t="inlineStr">
        <is>
          <t>كشف التأسيس 1,089,735.80 – مساهمة أبو خالد (189,235) منفصلة ومضافة عليها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2"/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0"/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3"/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 t="n">
        <v>440000</v>
      </c>
      <c r="I41" s="16" t="inlineStr">
        <is>
          <t>صحيح (ملاحظة)</t>
        </is>
      </c>
      <c r="J41" s="16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3"/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 t="n">
        <v>440000</v>
      </c>
      <c r="F7" s="28" t="inlineStr">
        <is>
          <t>صحيح (ملاحظة)</t>
        </is>
      </c>
      <c r="G7" s="28" t="inlineStr">
        <is>
          <t>كشف الحساب</t>
        </is>
      </c>
      <c r="H7" s="28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4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0.6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28" t="inlineStr">
        <is>
          <t>WHK-2364</t>
        </is>
      </c>
      <c r="B18" s="100" t="n">
        <v>45935</v>
      </c>
      <c r="C18" s="28" t="inlineStr">
        <is>
          <t>كشف الحساب</t>
        </is>
      </c>
      <c r="D18" s="28" t="inlineStr">
        <is>
          <t>RN-OD560</t>
        </is>
      </c>
      <c r="E18" s="28" t="inlineStr">
        <is>
          <t>زهور بيتونيا</t>
        </is>
      </c>
      <c r="F18" s="38" t="n">
        <v>392450</v>
      </c>
      <c r="G18" s="28" t="inlineStr">
        <is>
          <t>EA</t>
        </is>
      </c>
      <c r="H18" s="29" t="n">
        <v>0.55</v>
      </c>
      <c r="I18" s="29">
        <f>F18*H18</f>
        <v/>
      </c>
      <c r="J18" s="28" t="inlineStr">
        <is>
          <t>قيد بكشف الحساب بدون فاتورة مبدئية: زهور الجزيرة -392450</t>
        </is>
      </c>
    </row>
    <row r="19">
      <c r="A19" s="28" t="inlineStr">
        <is>
          <t>WHK-2364</t>
        </is>
      </c>
      <c r="B19" s="100" t="n">
        <v>45935</v>
      </c>
      <c r="C19" s="28" t="inlineStr">
        <is>
          <t>كشف الحساب</t>
        </is>
      </c>
      <c r="D19" s="28" t="inlineStr">
        <is>
          <t>RN-OD560</t>
        </is>
      </c>
      <c r="E19" s="28" t="inlineStr">
        <is>
          <t>زهور بيتونيا</t>
        </is>
      </c>
      <c r="F19" s="38" t="n">
        <v>69625</v>
      </c>
      <c r="G19" s="28" t="inlineStr">
        <is>
          <t>EA</t>
        </is>
      </c>
      <c r="H19" s="29" t="n">
        <v>0.55</v>
      </c>
      <c r="I19" s="29">
        <f>F19*H19</f>
        <v/>
      </c>
      <c r="J19" s="28" t="inlineStr">
        <is>
          <t>قيد بكشف الحساب بدون فاتورة مبدئية: زهور تبوك - 69625*.55</t>
        </is>
      </c>
    </row>
    <row r="20">
      <c r="A20" s="28" t="inlineStr">
        <is>
          <t>WHK-2364</t>
        </is>
      </c>
      <c r="B20" s="100" t="n">
        <v>45935</v>
      </c>
      <c r="C20" s="28" t="inlineStr">
        <is>
          <t>—</t>
        </is>
      </c>
      <c r="D20" s="28" t="inlineStr">
        <is>
          <t>RN-OD560</t>
        </is>
      </c>
      <c r="E20" s="28" t="inlineStr">
        <is>
          <t>زهور بيتونيا (رصيد العقد)</t>
        </is>
      </c>
      <c r="F20" s="38" t="n">
        <v>131265.91</v>
      </c>
      <c r="G20" s="28" t="inlineStr">
        <is>
          <t>EA</t>
        </is>
      </c>
      <c r="H20" s="29" t="n">
        <v>0.55</v>
      </c>
      <c r="I20" s="29" t="n">
        <v>72196.25</v>
      </c>
      <c r="J20" s="28" t="inlineStr">
        <is>
          <t>باقي قيمة العقد 440,000 – لا توجد فاتورة ولا قيد بالكشف (الكمية محسوبة على سعر 0.55)</t>
        </is>
      </c>
    </row>
    <row r="21">
      <c r="A21" s="9" t="inlineStr">
        <is>
          <t>إجمالي العقد WHK-2364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SUM(I12:I20)</f>
        <v/>
      </c>
      <c r="J21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28" t="inlineStr">
        <is>
          <t>WHK-2411</t>
        </is>
      </c>
      <c r="B22" s="100" t="n">
        <v>45938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4200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WHK-2411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WHK-2425</t>
        </is>
      </c>
      <c r="B24" s="100" t="n">
        <v>45939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11000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WHK-2425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WHK-2434</t>
        </is>
      </c>
      <c r="B26" s="100" t="n">
        <v>45941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70250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WHK-2434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WHK-2465</t>
        </is>
      </c>
      <c r="B28" s="100" t="n">
        <v>45943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1750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WHK-2465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WHK-2480</t>
        </is>
      </c>
      <c r="B30" s="100" t="n">
        <v>45944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412.5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WHK-2480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WHK-2498</t>
        </is>
      </c>
      <c r="B32" s="100" t="n">
        <v>45945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17055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WHK-2498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WHK-2509</t>
        </is>
      </c>
      <c r="B34" s="100" t="n">
        <v>45946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3150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WHK-2509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WHK-2515</t>
        </is>
      </c>
      <c r="B36" s="100" t="n">
        <v>45948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6975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WHK-2515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WHK-2563</t>
        </is>
      </c>
      <c r="B38" s="100" t="n">
        <v>45951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2925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WHK-2563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WHK-2583</t>
        </is>
      </c>
      <c r="B40" s="100" t="n">
        <v>45952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4125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WHK-2583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WHK-2605</t>
        </is>
      </c>
      <c r="B42" s="100" t="n">
        <v>45953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1331.25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WHK-2605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WHK-2626</t>
        </is>
      </c>
      <c r="B44" s="100" t="n">
        <v>45955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2150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WHK-2626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28" t="inlineStr">
        <is>
          <t>WHK-2639</t>
        </is>
      </c>
      <c r="B46" s="100" t="n">
        <v>45956</v>
      </c>
      <c r="C46" s="28" t="inlineStr">
        <is>
          <t>—</t>
        </is>
      </c>
      <c r="D46" s="28" t="inlineStr">
        <is>
          <t>—</t>
        </is>
      </c>
      <c r="E46" s="28" t="inlineStr">
        <is>
          <t>لا توجد بنود تفصيلية</t>
        </is>
      </c>
      <c r="F46" s="38" t="n"/>
      <c r="G46" s="28" t="n"/>
      <c r="H46" s="29" t="n"/>
      <c r="I46" s="29" t="n">
        <v>1125</v>
      </c>
      <c r="J46" s="28" t="inlineStr">
        <is>
          <t>لا توجد فاتورة مبدئية لهذا العقد (القيمة من شيت المحاسب WHK2025)</t>
        </is>
      </c>
    </row>
    <row r="47">
      <c r="A47" s="9" t="inlineStr">
        <is>
          <t>إجمالي العقد WHK-2639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WHK-2656</t>
        </is>
      </c>
      <c r="B48" s="95" t="n">
        <v>45957</v>
      </c>
      <c r="C48" s="16" t="inlineStr">
        <is>
          <t>RN-INV#26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1200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WHK-2656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WHK-2712</t>
        </is>
      </c>
      <c r="B50" s="95" t="n">
        <v>45963</v>
      </c>
      <c r="C50" s="16" t="inlineStr">
        <is>
          <t>RN-INV#31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1500</v>
      </c>
      <c r="G50" s="16" t="inlineStr">
        <is>
          <t>EA</t>
        </is>
      </c>
      <c r="H50" s="17" t="n">
        <v>0.75</v>
      </c>
      <c r="I50" s="17">
        <f>F50*H50</f>
        <v/>
      </c>
      <c r="J50" s="16" t="n"/>
    </row>
    <row r="51">
      <c r="A51" s="9" t="inlineStr">
        <is>
          <t>إجمالي العقد WHK-2712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WHK-2776</t>
        </is>
      </c>
      <c r="B52" s="95" t="n">
        <v>45966</v>
      </c>
      <c r="C52" s="16" t="inlineStr">
        <is>
          <t>RN-INV#35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1075</v>
      </c>
      <c r="G52" s="16" t="inlineStr">
        <is>
          <t>EA</t>
        </is>
      </c>
      <c r="H52" s="17" t="n">
        <v>0.7</v>
      </c>
      <c r="I52" s="17">
        <f>F52*H52</f>
        <v/>
      </c>
      <c r="J52" s="16" t="n"/>
    </row>
    <row r="53">
      <c r="A53" s="9" t="inlineStr">
        <is>
          <t>إجمالي العقد WHK-2776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WHK-2787</t>
        </is>
      </c>
      <c r="B54" s="95" t="n">
        <v>45967</v>
      </c>
      <c r="C54" s="16" t="inlineStr">
        <is>
          <t>RN-INV#37</t>
        </is>
      </c>
      <c r="D54" s="16" t="inlineStr">
        <is>
          <t>RN-OD560</t>
        </is>
      </c>
      <c r="E54" s="16" t="inlineStr">
        <is>
          <t>زهور بيتونيا</t>
        </is>
      </c>
      <c r="F54" s="41" t="n">
        <v>450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9" t="inlineStr">
        <is>
          <t>إجمالي العقد WHK-2787</t>
        </is>
      </c>
      <c r="B55" s="101" t="n"/>
      <c r="C55" s="9" t="n"/>
      <c r="D55" s="9" t="n"/>
      <c r="E55" s="9" t="n"/>
      <c r="F55" s="40" t="n"/>
      <c r="G55" s="9" t="n"/>
      <c r="H55" s="10" t="n"/>
      <c r="I55" s="10">
        <f>SUM(I54:I54)</f>
        <v/>
      </c>
      <c r="J55" s="9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RN-OD637</t>
        </is>
      </c>
      <c r="E56" s="16" t="inlineStr">
        <is>
          <t>زهور سالفيا مركن9 سم</t>
        </is>
      </c>
      <c r="F56" s="41" t="n">
        <v>2725</v>
      </c>
      <c r="G56" s="16" t="inlineStr">
        <is>
          <t>EA</t>
        </is>
      </c>
      <c r="H56" s="17" t="n">
        <v>0.75</v>
      </c>
      <c r="I56" s="17">
        <f>F56*H56</f>
        <v/>
      </c>
      <c r="J56" s="16" t="n"/>
    </row>
    <row r="57">
      <c r="A57" s="16" t="inlineStr">
        <is>
          <t>WHK-2804</t>
        </is>
      </c>
      <c r="B57" s="95" t="n">
        <v>45969</v>
      </c>
      <c r="C57" s="16" t="inlineStr">
        <is>
          <t>RN-INV#39</t>
        </is>
      </c>
      <c r="D57" s="16" t="inlineStr">
        <is>
          <t>RN-OD560</t>
        </is>
      </c>
      <c r="E57" s="16" t="inlineStr">
        <is>
          <t>زهور بيتونيا</t>
        </is>
      </c>
      <c r="F57" s="41" t="n">
        <v>825</v>
      </c>
      <c r="G57" s="16" t="inlineStr">
        <is>
          <t>EA</t>
        </is>
      </c>
      <c r="H57" s="17" t="n">
        <v>0.75</v>
      </c>
      <c r="I57" s="17">
        <f>F57*H57</f>
        <v/>
      </c>
      <c r="J57" s="16" t="n"/>
    </row>
    <row r="58">
      <c r="A58" s="16" t="inlineStr">
        <is>
          <t>WHK-2804</t>
        </is>
      </c>
      <c r="B58" s="95" t="n">
        <v>45969</v>
      </c>
      <c r="C58" s="16" t="inlineStr">
        <is>
          <t>RN-INV#39</t>
        </is>
      </c>
      <c r="D58" s="16" t="inlineStr">
        <is>
          <t>RN-OD604</t>
        </is>
      </c>
      <c r="E58" s="16" t="inlineStr">
        <is>
          <t>زهور اقحوان افريقى مركن12 سم</t>
        </is>
      </c>
      <c r="F58" s="41" t="n">
        <v>3750</v>
      </c>
      <c r="G58" s="16" t="inlineStr">
        <is>
          <t>EA</t>
        </is>
      </c>
      <c r="H58" s="17" t="n">
        <v>3.25</v>
      </c>
      <c r="I58" s="17">
        <f>F58*H58</f>
        <v/>
      </c>
      <c r="J58" s="16" t="n"/>
    </row>
    <row r="59">
      <c r="A59" s="9" t="inlineStr">
        <is>
          <t>إجمالي العقد WHK-2804</t>
        </is>
      </c>
      <c r="B59" s="101" t="n"/>
      <c r="C59" s="9" t="n"/>
      <c r="D59" s="9" t="n"/>
      <c r="E59" s="9" t="n"/>
      <c r="F59" s="40" t="n"/>
      <c r="G59" s="9" t="n"/>
      <c r="H59" s="10" t="n"/>
      <c r="I59" s="10">
        <f>SUM(I56:I58)</f>
        <v/>
      </c>
      <c r="J59" s="9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RN-OD560</t>
        </is>
      </c>
      <c r="E60" s="16" t="inlineStr">
        <is>
          <t>زهور بيتونيا</t>
        </is>
      </c>
      <c r="F60" s="41" t="n">
        <v>3250</v>
      </c>
      <c r="G60" s="16" t="inlineStr">
        <is>
          <t>EA</t>
        </is>
      </c>
      <c r="H60" s="17" t="n">
        <v>0.75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RN-OD603</t>
        </is>
      </c>
      <c r="E61" s="16" t="inlineStr">
        <is>
          <t>زهور جرانيوم مركن9 سم</t>
        </is>
      </c>
      <c r="F61" s="41" t="n">
        <v>900</v>
      </c>
      <c r="G61" s="16" t="inlineStr">
        <is>
          <t>EA</t>
        </is>
      </c>
      <c r="H61" s="17" t="n">
        <v>1.4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RN-OD620</t>
        </is>
      </c>
      <c r="E62" s="16" t="inlineStr">
        <is>
          <t>زهور جيرانيوم مركن12 سم</t>
        </is>
      </c>
      <c r="F62" s="41" t="n">
        <v>500</v>
      </c>
      <c r="G62" s="16" t="inlineStr">
        <is>
          <t>EA</t>
        </is>
      </c>
      <c r="H62" s="17" t="n">
        <v>3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RN-OD693</t>
        </is>
      </c>
      <c r="E63" s="16" t="inlineStr">
        <is>
          <t>زهور جيرانيوم هولندى مركن12 سم</t>
        </is>
      </c>
      <c r="F63" s="41" t="n">
        <v>500</v>
      </c>
      <c r="G63" s="16" t="inlineStr">
        <is>
          <t>EA</t>
        </is>
      </c>
      <c r="H63" s="17" t="n">
        <v>3.75</v>
      </c>
      <c r="I63" s="17">
        <f>F63*H63</f>
        <v/>
      </c>
      <c r="J63" s="16" t="n"/>
    </row>
    <row r="64">
      <c r="A64" s="16" t="inlineStr">
        <is>
          <t>WHK-2835</t>
        </is>
      </c>
      <c r="B64" s="95" t="n">
        <v>45971</v>
      </c>
      <c r="C64" s="16" t="inlineStr">
        <is>
          <t>RN-INV#43</t>
        </is>
      </c>
      <c r="D64" s="16" t="inlineStr">
        <is>
          <t>RN-OD638</t>
        </is>
      </c>
      <c r="E64" s="16" t="inlineStr">
        <is>
          <t>زهور هيبوستس مركن9 سم</t>
        </is>
      </c>
      <c r="F64" s="41" t="n">
        <v>500</v>
      </c>
      <c r="G64" s="16" t="inlineStr">
        <is>
          <t>EA</t>
        </is>
      </c>
      <c r="H64" s="17" t="n">
        <v>0.7</v>
      </c>
      <c r="I64" s="17">
        <f>F64*H64</f>
        <v/>
      </c>
      <c r="J64" s="16" t="n"/>
    </row>
    <row r="65">
      <c r="A65" s="16" t="inlineStr">
        <is>
          <t>WHK-2835</t>
        </is>
      </c>
      <c r="B65" s="95" t="n">
        <v>45971</v>
      </c>
      <c r="C65" s="16" t="inlineStr">
        <is>
          <t>RN-INV#43</t>
        </is>
      </c>
      <c r="D65" s="16" t="inlineStr">
        <is>
          <t>RN-OD604</t>
        </is>
      </c>
      <c r="E65" s="16" t="inlineStr">
        <is>
          <t>زهور اقحوان افريقى مركن12 سم</t>
        </is>
      </c>
      <c r="F65" s="41" t="n">
        <v>500</v>
      </c>
      <c r="G65" s="16" t="inlineStr">
        <is>
          <t>EA</t>
        </is>
      </c>
      <c r="H65" s="17" t="n">
        <v>3.25</v>
      </c>
      <c r="I65" s="17">
        <f>F65*H65</f>
        <v/>
      </c>
      <c r="J65" s="16" t="n"/>
    </row>
    <row r="66">
      <c r="A66" s="9" t="inlineStr">
        <is>
          <t>إجمالي العقد WHK-2835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SUM(I60:I65)</f>
        <v/>
      </c>
      <c r="J66" s="9" t="n"/>
    </row>
    <row r="67">
      <c r="A67" s="16" t="inlineStr">
        <is>
          <t>WHK-2853</t>
        </is>
      </c>
      <c r="B67" s="95" t="n">
        <v>45972</v>
      </c>
      <c r="C67" s="16" t="inlineStr">
        <is>
          <t>RN-INV#46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10000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WHK-2853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WHK-2868</t>
        </is>
      </c>
      <c r="B69" s="95" t="n">
        <v>45973</v>
      </c>
      <c r="C69" s="16" t="inlineStr">
        <is>
          <t>RN-INV#47</t>
        </is>
      </c>
      <c r="D69" s="16" t="inlineStr">
        <is>
          <t>RN-OD560</t>
        </is>
      </c>
      <c r="E69" s="16" t="inlineStr">
        <is>
          <t>زهور بيتونيا</t>
        </is>
      </c>
      <c r="F69" s="41" t="n">
        <v>2000</v>
      </c>
      <c r="G69" s="16" t="inlineStr">
        <is>
          <t>EA</t>
        </is>
      </c>
      <c r="H69" s="17" t="n">
        <v>0.75</v>
      </c>
      <c r="I69" s="17">
        <f>F69*H69</f>
        <v/>
      </c>
      <c r="J69" s="16" t="n"/>
    </row>
    <row r="70">
      <c r="A70" s="9" t="inlineStr">
        <is>
          <t>إجمالي العقد WHK-2868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WHK-2881</t>
        </is>
      </c>
      <c r="B71" s="95" t="n">
        <v>45974</v>
      </c>
      <c r="C71" s="16" t="inlineStr">
        <is>
          <t>RN-INV#49</t>
        </is>
      </c>
      <c r="D71" s="16" t="inlineStr">
        <is>
          <t>RN-OD693</t>
        </is>
      </c>
      <c r="E71" s="16" t="inlineStr">
        <is>
          <t>زهور جيرانيوم هولندى مركن12 سم</t>
        </is>
      </c>
      <c r="F71" s="41" t="n">
        <v>510</v>
      </c>
      <c r="G71" s="16" t="inlineStr">
        <is>
          <t>EA</t>
        </is>
      </c>
      <c r="H71" s="17" t="n">
        <v>3.45</v>
      </c>
      <c r="I71" s="17">
        <f>F71*H71</f>
        <v/>
      </c>
      <c r="J71" s="16" t="n"/>
    </row>
    <row r="72">
      <c r="A72" s="9" t="inlineStr">
        <is>
          <t>إجمالي العقد WHK-2881</t>
        </is>
      </c>
      <c r="B72" s="101" t="n"/>
      <c r="C72" s="9" t="n"/>
      <c r="D72" s="9" t="n"/>
      <c r="E72" s="9" t="n"/>
      <c r="F72" s="40" t="n"/>
      <c r="G72" s="9" t="n"/>
      <c r="H72" s="10" t="n"/>
      <c r="I72" s="10">
        <f>SUM(I71:I71)</f>
        <v/>
      </c>
      <c r="J72" s="9" t="n"/>
    </row>
    <row r="73">
      <c r="A73" s="16" t="inlineStr">
        <is>
          <t>WHK-2912</t>
        </is>
      </c>
      <c r="B73" s="95" t="n">
        <v>45978</v>
      </c>
      <c r="C73" s="16" t="inlineStr">
        <is>
          <t>RN-INV#52</t>
        </is>
      </c>
      <c r="D73" s="16" t="inlineStr">
        <is>
          <t>RN-OD560</t>
        </is>
      </c>
      <c r="E73" s="16" t="inlineStr">
        <is>
          <t>زهور بيتونيا</t>
        </is>
      </c>
      <c r="F73" s="41" t="n">
        <v>2600</v>
      </c>
      <c r="G73" s="16" t="inlineStr">
        <is>
          <t>EA</t>
        </is>
      </c>
      <c r="H73" s="17" t="n">
        <v>0.75</v>
      </c>
      <c r="I73" s="17">
        <f>F73*H73</f>
        <v/>
      </c>
      <c r="J73" s="16" t="n"/>
    </row>
    <row r="74">
      <c r="A74" s="16" t="inlineStr">
        <is>
          <t>WHK-2912</t>
        </is>
      </c>
      <c r="B74" s="95" t="n">
        <v>45978</v>
      </c>
      <c r="C74" s="16" t="inlineStr">
        <is>
          <t>RN-INV#52</t>
        </is>
      </c>
      <c r="D74" s="16" t="inlineStr">
        <is>
          <t>RN-OD603</t>
        </is>
      </c>
      <c r="E74" s="16" t="inlineStr">
        <is>
          <t>زهور جرانيوم مركن9 سم</t>
        </is>
      </c>
      <c r="F74" s="41" t="n">
        <v>500</v>
      </c>
      <c r="G74" s="16" t="inlineStr">
        <is>
          <t>EA</t>
        </is>
      </c>
      <c r="H74" s="17" t="n">
        <v>1.4</v>
      </c>
      <c r="I74" s="17">
        <f>F74*H74</f>
        <v/>
      </c>
      <c r="J74" s="16" t="n"/>
    </row>
    <row r="75">
      <c r="A75" s="9" t="inlineStr">
        <is>
          <t>إجمالي العقد WHK-2912</t>
        </is>
      </c>
      <c r="B75" s="101" t="n"/>
      <c r="C75" s="9" t="n"/>
      <c r="D75" s="9" t="n"/>
      <c r="E75" s="9" t="n"/>
      <c r="F75" s="40" t="n"/>
      <c r="G75" s="9" t="n"/>
      <c r="H75" s="10" t="n"/>
      <c r="I75" s="10">
        <f>SUM(I73:I74)</f>
        <v/>
      </c>
      <c r="J75" s="9" t="n"/>
    </row>
    <row r="76">
      <c r="A76" s="16" t="inlineStr">
        <is>
          <t>WHK-2948</t>
        </is>
      </c>
      <c r="B76" s="95" t="n">
        <v>45981</v>
      </c>
      <c r="C76" s="16" t="inlineStr">
        <is>
          <t>RN-INV#55</t>
        </is>
      </c>
      <c r="D76" s="16" t="inlineStr">
        <is>
          <t>RN-OD560</t>
        </is>
      </c>
      <c r="E76" s="16" t="inlineStr">
        <is>
          <t>زهور بيتونيا</t>
        </is>
      </c>
      <c r="F76" s="41" t="n">
        <v>1300</v>
      </c>
      <c r="G76" s="16" t="inlineStr">
        <is>
          <t>EA</t>
        </is>
      </c>
      <c r="H76" s="17" t="n">
        <v>0.75</v>
      </c>
      <c r="I76" s="17">
        <f>F76*H76</f>
        <v/>
      </c>
      <c r="J76" s="16" t="n"/>
    </row>
    <row r="77">
      <c r="A77" s="16" t="inlineStr">
        <is>
          <t>WHK-2948</t>
        </is>
      </c>
      <c r="B77" s="95" t="n">
        <v>45981</v>
      </c>
      <c r="C77" s="16" t="inlineStr">
        <is>
          <t>RN-INV#55</t>
        </is>
      </c>
      <c r="D77" s="16" t="inlineStr">
        <is>
          <t>RN-OD603</t>
        </is>
      </c>
      <c r="E77" s="16" t="inlineStr">
        <is>
          <t>زهور جرانيوم مركن9 سم</t>
        </is>
      </c>
      <c r="F77" s="41" t="n">
        <v>400</v>
      </c>
      <c r="G77" s="16" t="inlineStr">
        <is>
          <t>EA</t>
        </is>
      </c>
      <c r="H77" s="17" t="n">
        <v>1.4</v>
      </c>
      <c r="I77" s="17">
        <f>F77*H77</f>
        <v/>
      </c>
      <c r="J77" s="16" t="n"/>
    </row>
    <row r="78">
      <c r="A78" s="9" t="inlineStr">
        <is>
          <t>إجمالي العقد WHK-2948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SUM(I76:I77)</f>
        <v/>
      </c>
      <c r="J78" s="9" t="n"/>
    </row>
    <row r="79">
      <c r="A79" s="16" t="inlineStr">
        <is>
          <t>WHK-2971</t>
        </is>
      </c>
      <c r="B79" s="95" t="n">
        <v>45984</v>
      </c>
      <c r="C79" s="16" t="inlineStr">
        <is>
          <t>RN-INV#61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8700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WHK-2971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WHK-2995</t>
        </is>
      </c>
      <c r="B81" s="95" t="n">
        <v>45985</v>
      </c>
      <c r="C81" s="16" t="inlineStr">
        <is>
          <t>RN-INV#64</t>
        </is>
      </c>
      <c r="D81" s="16" t="inlineStr">
        <is>
          <t>RN-OD560</t>
        </is>
      </c>
      <c r="E81" s="16" t="inlineStr">
        <is>
          <t>زهور بيتونيا</t>
        </is>
      </c>
      <c r="F81" s="41" t="n">
        <v>6000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WHK-2995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WHK-3029</t>
        </is>
      </c>
      <c r="B83" s="95" t="n">
        <v>45988</v>
      </c>
      <c r="C83" s="16" t="inlineStr">
        <is>
          <t>RN-INV#68</t>
        </is>
      </c>
      <c r="D83" s="16" t="inlineStr">
        <is>
          <t>RN-OD561</t>
        </is>
      </c>
      <c r="E83" s="16" t="inlineStr">
        <is>
          <t>زهور مارى جولد</t>
        </is>
      </c>
      <c r="F83" s="41" t="n">
        <v>225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WHK-3029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WHK-3135</t>
        </is>
      </c>
      <c r="B85" s="95" t="n">
        <v>45996</v>
      </c>
      <c r="C85" s="16" t="inlineStr">
        <is>
          <t>RN-INV#78</t>
        </is>
      </c>
      <c r="D85" s="16" t="inlineStr">
        <is>
          <t>RN-OD560</t>
        </is>
      </c>
      <c r="E85" s="16" t="inlineStr">
        <is>
          <t>زهور بيتونيا</t>
        </is>
      </c>
      <c r="F85" s="41" t="n">
        <v>2400</v>
      </c>
      <c r="G85" s="16" t="inlineStr">
        <is>
          <t>EA</t>
        </is>
      </c>
      <c r="H85" s="17" t="n">
        <v>0.7</v>
      </c>
      <c r="I85" s="17">
        <f>F85*H85</f>
        <v/>
      </c>
      <c r="J85" s="16" t="n"/>
    </row>
    <row r="86">
      <c r="A86" s="9" t="inlineStr">
        <is>
          <t>إجمالي العقد WHK-3135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WHK-3243</t>
        </is>
      </c>
      <c r="B87" s="95" t="n">
        <v>46006</v>
      </c>
      <c r="C87" s="16" t="inlineStr">
        <is>
          <t>RN-INV#89</t>
        </is>
      </c>
      <c r="D87" s="16" t="inlineStr">
        <is>
          <t>RN-OD603</t>
        </is>
      </c>
      <c r="E87" s="16" t="inlineStr">
        <is>
          <t>زهور جرانيوم مركن9 سم</t>
        </is>
      </c>
      <c r="F87" s="41" t="n">
        <v>1500</v>
      </c>
      <c r="G87" s="16" t="inlineStr">
        <is>
          <t>EA</t>
        </is>
      </c>
      <c r="H87" s="17" t="n">
        <v>1.25</v>
      </c>
      <c r="I87" s="17">
        <f>F87*H87</f>
        <v/>
      </c>
      <c r="J87" s="16" t="n"/>
    </row>
    <row r="88">
      <c r="A88" s="9" t="inlineStr">
        <is>
          <t>إجمالي العقد WHK-3243</t>
        </is>
      </c>
      <c r="B88" s="101" t="n"/>
      <c r="C88" s="9" t="n"/>
      <c r="D88" s="9" t="n"/>
      <c r="E88" s="9" t="n"/>
      <c r="F88" s="40" t="n"/>
      <c r="G88" s="9" t="n"/>
      <c r="H88" s="10" t="n"/>
      <c r="I88" s="10">
        <f>SUM(I87:I87)</f>
        <v/>
      </c>
      <c r="J88" s="9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RN-HP-S-WT</t>
        </is>
      </c>
      <c r="E89" s="16" t="inlineStr">
        <is>
          <t>حجر ديكوري أبيض لامع 1:3 سم (10 كجم)</t>
        </is>
      </c>
      <c r="F89" s="41" t="n">
        <v>5</v>
      </c>
      <c r="G89" s="16" t="inlineStr">
        <is>
          <t>EA</t>
        </is>
      </c>
      <c r="H89" s="17" t="n">
        <v>25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RN-HP-S-RD</t>
        </is>
      </c>
      <c r="E90" s="16" t="inlineStr">
        <is>
          <t>حجر ديكوري أحمر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RN-NP-B-WT</t>
        </is>
      </c>
      <c r="E91" s="16" t="inlineStr">
        <is>
          <t>حجر ديكوري أبيض مطفي 3:5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16" t="inlineStr">
        <is>
          <t>WHK-3400</t>
        </is>
      </c>
      <c r="B92" s="95" t="n">
        <v>46021</v>
      </c>
      <c r="C92" s="16" t="inlineStr">
        <is>
          <t>RN-INV#103</t>
        </is>
      </c>
      <c r="D92" s="16" t="inlineStr">
        <is>
          <t>RN-HP-S-BK</t>
        </is>
      </c>
      <c r="E92" s="16" t="inlineStr">
        <is>
          <t>حجر ديكوري أسود لامع 1:3 سم (10 كجم)</t>
        </is>
      </c>
      <c r="F92" s="41" t="n">
        <v>5</v>
      </c>
      <c r="G92" s="16" t="inlineStr">
        <is>
          <t>EA</t>
        </is>
      </c>
      <c r="H92" s="17" t="n">
        <v>25</v>
      </c>
      <c r="I92" s="17">
        <f>F92*H92</f>
        <v/>
      </c>
      <c r="J92" s="16" t="n"/>
    </row>
    <row r="93">
      <c r="A93" s="16" t="inlineStr">
        <is>
          <t>WHK-3400</t>
        </is>
      </c>
      <c r="B93" s="95" t="n">
        <v>46021</v>
      </c>
      <c r="C93" s="16" t="inlineStr">
        <is>
          <t>RN-INV#103</t>
        </is>
      </c>
      <c r="D93" s="16" t="inlineStr">
        <is>
          <t>RN-NP-S-YW</t>
        </is>
      </c>
      <c r="E93" s="16" t="inlineStr">
        <is>
          <t>حجر ديكوري أصفر مطفي 1:3 سم (10 كجم)</t>
        </is>
      </c>
      <c r="F93" s="41" t="n">
        <v>5</v>
      </c>
      <c r="G93" s="16" t="inlineStr">
        <is>
          <t>EA</t>
        </is>
      </c>
      <c r="H93" s="17" t="n">
        <v>13</v>
      </c>
      <c r="I93" s="17">
        <f>F93*H93</f>
        <v/>
      </c>
      <c r="J93" s="16" t="n"/>
    </row>
    <row r="94">
      <c r="A94" s="9" t="inlineStr">
        <is>
          <t>إجمالي العقد WHK-3400</t>
        </is>
      </c>
      <c r="B94" s="101" t="n"/>
      <c r="C94" s="9" t="n"/>
      <c r="D94" s="9" t="n"/>
      <c r="E94" s="9" t="n"/>
      <c r="F94" s="40" t="n"/>
      <c r="G94" s="9" t="n"/>
      <c r="H94" s="10" t="n"/>
      <c r="I94" s="10">
        <f>SUM(I89:I93)</f>
        <v/>
      </c>
      <c r="J94" s="9" t="inlineStr">
        <is>
          <t>فاتورة مبدئية 103 ومسجلة بكشف الحساب – سقطت من شيت المحاسب</t>
        </is>
      </c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RN-OD560</t>
        </is>
      </c>
      <c r="E95" s="16" t="inlineStr">
        <is>
          <t>زهور بيتونيا</t>
        </is>
      </c>
      <c r="F95" s="41" t="n">
        <v>35600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16" t="inlineStr">
        <is>
          <t>WHK-3758</t>
        </is>
      </c>
      <c r="B96" s="95" t="n">
        <v>46058</v>
      </c>
      <c r="C96" s="16" t="inlineStr">
        <is>
          <t>RN-INV#140</t>
        </is>
      </c>
      <c r="D96" s="16" t="inlineStr">
        <is>
          <t>RN-OD637</t>
        </is>
      </c>
      <c r="E96" s="16" t="inlineStr">
        <is>
          <t>زهور سالفيا مركن9 سم</t>
        </is>
      </c>
      <c r="F96" s="41" t="n">
        <v>3000</v>
      </c>
      <c r="G96" s="16" t="inlineStr">
        <is>
          <t>EA</t>
        </is>
      </c>
      <c r="H96" s="17" t="n">
        <v>0.5</v>
      </c>
      <c r="I96" s="17">
        <f>F96*H96</f>
        <v/>
      </c>
      <c r="J96" s="16" t="n"/>
    </row>
    <row r="97">
      <c r="A97" s="16" t="inlineStr">
        <is>
          <t>WHK-3758</t>
        </is>
      </c>
      <c r="B97" s="95" t="n">
        <v>46058</v>
      </c>
      <c r="C97" s="16" t="inlineStr">
        <is>
          <t>RN-INV#140</t>
        </is>
      </c>
      <c r="D97" s="16" t="inlineStr">
        <is>
          <t>RN-OD641</t>
        </is>
      </c>
      <c r="E97" s="16" t="inlineStr">
        <is>
          <t>زهور قرنفل صيني مركن9 سم</t>
        </is>
      </c>
      <c r="F97" s="41" t="n">
        <v>2000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9" t="inlineStr">
        <is>
          <t>إجمالي العقد WHK-3758</t>
        </is>
      </c>
      <c r="B98" s="101" t="n"/>
      <c r="C98" s="9" t="n"/>
      <c r="D98" s="9" t="n"/>
      <c r="E98" s="9" t="n"/>
      <c r="F98" s="40" t="n"/>
      <c r="G98" s="9" t="n"/>
      <c r="H98" s="10" t="n"/>
      <c r="I98" s="10">
        <f>SUM(I95:I97)</f>
        <v/>
      </c>
      <c r="J98" s="9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RN-OD560</t>
        </is>
      </c>
      <c r="E99" s="16" t="inlineStr">
        <is>
          <t>زهور بيتونيا</t>
        </is>
      </c>
      <c r="F99" s="41" t="n">
        <v>55450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RN-OD637</t>
        </is>
      </c>
      <c r="E100" s="16" t="inlineStr">
        <is>
          <t>زهور سالفيا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RN-OD642</t>
        </is>
      </c>
      <c r="E101" s="16" t="inlineStr">
        <is>
          <t>زهور اليسوم مركن9 سم</t>
        </is>
      </c>
      <c r="F101" s="41" t="n">
        <v>200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RN-OD641</t>
        </is>
      </c>
      <c r="E102" s="16" t="inlineStr">
        <is>
          <t>زهور قرنفل صيني مركن9 سم</t>
        </is>
      </c>
      <c r="F102" s="41" t="n">
        <v>300</v>
      </c>
      <c r="G102" s="16" t="inlineStr">
        <is>
          <t>EA</t>
        </is>
      </c>
      <c r="H102" s="17" t="n">
        <v>0.5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RN-OD634</t>
        </is>
      </c>
      <c r="E103" s="16" t="inlineStr">
        <is>
          <t>زهور ملفوف براسيكا مركن9 سم</t>
        </is>
      </c>
      <c r="F103" s="41" t="n">
        <v>50</v>
      </c>
      <c r="G103" s="16" t="inlineStr">
        <is>
          <t>EA</t>
        </is>
      </c>
      <c r="H103" s="17" t="n">
        <v>0.5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RN-OD643</t>
        </is>
      </c>
      <c r="E104" s="16" t="inlineStr">
        <is>
          <t>زهور سينيراريا مركن12 سم</t>
        </is>
      </c>
      <c r="F104" s="41" t="n">
        <v>300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16" t="inlineStr">
        <is>
          <t>WHK-3760</t>
        </is>
      </c>
      <c r="B105" s="95" t="n">
        <v>46058</v>
      </c>
      <c r="C105" s="16" t="inlineStr">
        <is>
          <t>RN-INV#141</t>
        </is>
      </c>
      <c r="D105" s="16" t="inlineStr">
        <is>
          <t>RN-OD696</t>
        </is>
      </c>
      <c r="E105" s="16" t="inlineStr">
        <is>
          <t>زهور اقحوان افريقي مركن9 سم</t>
        </is>
      </c>
      <c r="F105" s="41" t="n">
        <v>100</v>
      </c>
      <c r="G105" s="16" t="inlineStr">
        <is>
          <t>EA</t>
        </is>
      </c>
      <c r="H105" s="17" t="n">
        <v>2</v>
      </c>
      <c r="I105" s="17">
        <f>F105*H105</f>
        <v/>
      </c>
      <c r="J105" s="16" t="n"/>
    </row>
    <row r="106">
      <c r="A106" s="16" t="inlineStr">
        <is>
          <t>WHK-3760</t>
        </is>
      </c>
      <c r="B106" s="95" t="n">
        <v>46058</v>
      </c>
      <c r="C106" s="16" t="inlineStr">
        <is>
          <t>RN-INV#141</t>
        </is>
      </c>
      <c r="D106" s="16" t="inlineStr">
        <is>
          <t>RN-OD694</t>
        </is>
      </c>
      <c r="E106" s="16" t="inlineStr">
        <is>
          <t>كالنشو هولندى مركن12 سم</t>
        </is>
      </c>
      <c r="F106" s="41" t="n">
        <v>200</v>
      </c>
      <c r="G106" s="16" t="inlineStr">
        <is>
          <t>EA</t>
        </is>
      </c>
      <c r="H106" s="17" t="n">
        <v>5</v>
      </c>
      <c r="I106" s="17">
        <f>F106*H106</f>
        <v/>
      </c>
      <c r="J106" s="16" t="n"/>
    </row>
    <row r="107">
      <c r="A107" s="9" t="inlineStr">
        <is>
          <t>إجمالي العقد WHK-3760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SUM(I99:I106)</f>
        <v/>
      </c>
      <c r="J107" s="9" t="n"/>
    </row>
    <row r="108">
      <c r="A108" s="16" t="inlineStr">
        <is>
          <t>WHK-3809</t>
        </is>
      </c>
      <c r="B108" s="95" t="n">
        <v>46064</v>
      </c>
      <c r="C108" s="16" t="inlineStr">
        <is>
          <t>RN-INV#149</t>
        </is>
      </c>
      <c r="D108" s="16" t="inlineStr">
        <is>
          <t>RN-OD603</t>
        </is>
      </c>
      <c r="E108" s="16" t="inlineStr">
        <is>
          <t>زهور جرانيوم مركن9 سم</t>
        </is>
      </c>
      <c r="F108" s="41" t="n">
        <v>2500</v>
      </c>
      <c r="G108" s="16" t="inlineStr">
        <is>
          <t>EA</t>
        </is>
      </c>
      <c r="H108" s="17" t="n">
        <v>1.25</v>
      </c>
      <c r="I108" s="17">
        <f>F108*H108</f>
        <v/>
      </c>
      <c r="J108" s="16" t="n"/>
    </row>
    <row r="109">
      <c r="A109" s="9" t="inlineStr">
        <is>
          <t>إجمالي العقد WHK-3809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WHK-3878</t>
        </is>
      </c>
      <c r="B110" s="95" t="n">
        <v>46072</v>
      </c>
      <c r="C110" s="16" t="inlineStr">
        <is>
          <t>RN-INV#160</t>
        </is>
      </c>
      <c r="D110" s="16" t="inlineStr">
        <is>
          <t>RN-OD560</t>
        </is>
      </c>
      <c r="E110" s="16" t="inlineStr">
        <is>
          <t>زهور بيتونيا</t>
        </is>
      </c>
      <c r="F110" s="41" t="n">
        <v>4025</v>
      </c>
      <c r="G110" s="16" t="inlineStr">
        <is>
          <t>EA</t>
        </is>
      </c>
      <c r="H110" s="17" t="n">
        <v>0.5</v>
      </c>
      <c r="I110" s="17">
        <f>F110*H110</f>
        <v/>
      </c>
      <c r="J110" s="16" t="n"/>
    </row>
    <row r="111">
      <c r="A111" s="9" t="inlineStr">
        <is>
          <t>إجمالي العقد WHK-3878</t>
        </is>
      </c>
      <c r="B111" s="101" t="n"/>
      <c r="C111" s="9" t="n"/>
      <c r="D111" s="9" t="n"/>
      <c r="E111" s="9" t="n"/>
      <c r="F111" s="40" t="n"/>
      <c r="G111" s="9" t="n"/>
      <c r="H111" s="10" t="n"/>
      <c r="I111" s="10">
        <f>SUM(I110:I110)</f>
        <v/>
      </c>
      <c r="J111" s="9" t="n"/>
    </row>
    <row r="112">
      <c r="A112" s="16" t="inlineStr">
        <is>
          <t>WHK-3923</t>
        </is>
      </c>
      <c r="B112" s="95" t="n">
        <v>46084</v>
      </c>
      <c r="C112" s="16" t="inlineStr">
        <is>
          <t>RN-INV#166</t>
        </is>
      </c>
      <c r="D112" s="16" t="inlineStr">
        <is>
          <t>RN-OD696</t>
        </is>
      </c>
      <c r="E112" s="16" t="inlineStr">
        <is>
          <t>زهور اقحوان افريقي مركن9 سم</t>
        </is>
      </c>
      <c r="F112" s="41" t="n">
        <v>2075</v>
      </c>
      <c r="G112" s="16" t="inlineStr">
        <is>
          <t>EA</t>
        </is>
      </c>
      <c r="H112" s="17" t="n">
        <v>1.5</v>
      </c>
      <c r="I112" s="17">
        <f>F112*H112</f>
        <v/>
      </c>
      <c r="J112" s="16" t="n"/>
    </row>
    <row r="113">
      <c r="A113" s="16" t="inlineStr">
        <is>
          <t>WHK-3923</t>
        </is>
      </c>
      <c r="B113" s="95" t="n">
        <v>46084</v>
      </c>
      <c r="C113" s="16" t="inlineStr">
        <is>
          <t>RN-INV#166</t>
        </is>
      </c>
      <c r="D113" s="16" t="inlineStr">
        <is>
          <t>RN-OD603</t>
        </is>
      </c>
      <c r="E113" s="16" t="inlineStr">
        <is>
          <t>زهور جرانيوم مركن9 سم</t>
        </is>
      </c>
      <c r="F113" s="41" t="n">
        <v>3000</v>
      </c>
      <c r="G113" s="16" t="inlineStr">
        <is>
          <t>EA</t>
        </is>
      </c>
      <c r="H113" s="17" t="n">
        <v>1.25</v>
      </c>
      <c r="I113" s="17">
        <f>F113*H113</f>
        <v/>
      </c>
      <c r="J113" s="16" t="n"/>
    </row>
    <row r="114">
      <c r="A114" s="9" t="inlineStr">
        <is>
          <t>إجمالي العقد WHK-3923</t>
        </is>
      </c>
      <c r="B114" s="101" t="n"/>
      <c r="C114" s="9" t="n"/>
      <c r="D114" s="9" t="n"/>
      <c r="E114" s="9" t="n"/>
      <c r="F114" s="40" t="n"/>
      <c r="G114" s="9" t="n"/>
      <c r="H114" s="10" t="n"/>
      <c r="I114" s="10">
        <f>SUM(I112:I113)</f>
        <v/>
      </c>
      <c r="J114" s="9" t="n"/>
    </row>
    <row r="115">
      <c r="A115" s="16" t="inlineStr">
        <is>
          <t>WHK-3963</t>
        </is>
      </c>
      <c r="B115" s="95" t="n">
        <v>46085</v>
      </c>
      <c r="C115" s="16" t="inlineStr">
        <is>
          <t>RN-INV#174</t>
        </is>
      </c>
      <c r="D115" s="16" t="inlineStr">
        <is>
          <t>RN-OD696</t>
        </is>
      </c>
      <c r="E115" s="16" t="inlineStr">
        <is>
          <t>زهور اقحوان افريقي مركن9 سم</t>
        </is>
      </c>
      <c r="F115" s="41" t="n">
        <v>1000</v>
      </c>
      <c r="G115" s="16" t="inlineStr">
        <is>
          <t>EA</t>
        </is>
      </c>
      <c r="H115" s="17" t="n">
        <v>1.5</v>
      </c>
      <c r="I115" s="17">
        <f>F115*H115</f>
        <v/>
      </c>
      <c r="J115" s="16" t="n"/>
    </row>
    <row r="116">
      <c r="A116" s="16" t="inlineStr">
        <is>
          <t>WHK-3963</t>
        </is>
      </c>
      <c r="B116" s="95" t="n">
        <v>46085</v>
      </c>
      <c r="C116" s="16" t="inlineStr">
        <is>
          <t>RN-INV#174</t>
        </is>
      </c>
      <c r="D116" s="16" t="inlineStr">
        <is>
          <t>RN-OD694</t>
        </is>
      </c>
      <c r="E116" s="16" t="inlineStr">
        <is>
          <t>كالنشو هولندى مركن12 سم</t>
        </is>
      </c>
      <c r="F116" s="41" t="n">
        <v>300</v>
      </c>
      <c r="G116" s="16" t="inlineStr">
        <is>
          <t>EA</t>
        </is>
      </c>
      <c r="H116" s="17" t="n">
        <v>4</v>
      </c>
      <c r="I116" s="17">
        <f>F116*H116</f>
        <v/>
      </c>
      <c r="J116" s="16" t="n"/>
    </row>
    <row r="117">
      <c r="A117" s="9" t="inlineStr">
        <is>
          <t>إجمالي العقد WHK-3963</t>
        </is>
      </c>
      <c r="B117" s="101" t="n"/>
      <c r="C117" s="9" t="n"/>
      <c r="D117" s="9" t="n"/>
      <c r="E117" s="9" t="n"/>
      <c r="F117" s="40" t="n"/>
      <c r="G117" s="9" t="n"/>
      <c r="H117" s="10" t="n"/>
      <c r="I117" s="10">
        <f>SUM(I115:I116)</f>
        <v/>
      </c>
      <c r="J117" s="9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RN-OD562</t>
        </is>
      </c>
      <c r="E118" s="16" t="inlineStr">
        <is>
          <t>زهور زينيا</t>
        </is>
      </c>
      <c r="F118" s="41" t="n">
        <v>25625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RN-OD563</t>
        </is>
      </c>
      <c r="E119" s="16" t="inlineStr">
        <is>
          <t>زهور سيلوزيا</t>
        </is>
      </c>
      <c r="F119" s="41" t="n">
        <v>3000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RN-OD564</t>
        </is>
      </c>
      <c r="E120" s="16" t="inlineStr">
        <is>
          <t>زهور امرانتس</t>
        </is>
      </c>
      <c r="F120" s="41" t="n">
        <v>5000</v>
      </c>
      <c r="G120" s="16" t="inlineStr">
        <is>
          <t>EA</t>
        </is>
      </c>
      <c r="H120" s="17" t="n">
        <v>0.5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RN-OD565</t>
        </is>
      </c>
      <c r="E121" s="16" t="inlineStr">
        <is>
          <t>زهور جازانيا</t>
        </is>
      </c>
      <c r="F121" s="41" t="n">
        <v>4475</v>
      </c>
      <c r="G121" s="16" t="inlineStr">
        <is>
          <t>EA</t>
        </is>
      </c>
      <c r="H121" s="17" t="n">
        <v>0.5</v>
      </c>
      <c r="I121" s="17">
        <f>F121*H121</f>
        <v/>
      </c>
      <c r="J121" s="16" t="n"/>
    </row>
    <row r="122">
      <c r="A122" s="16" t="inlineStr">
        <is>
          <t>WHK-4256</t>
        </is>
      </c>
      <c r="B122" s="95" t="n">
        <v>46145</v>
      </c>
      <c r="C122" s="16" t="inlineStr">
        <is>
          <t>RN-INV#227</t>
        </is>
      </c>
      <c r="D122" s="16" t="inlineStr">
        <is>
          <t>RN-OD454</t>
        </is>
      </c>
      <c r="E122" s="16" t="inlineStr">
        <is>
          <t>تيكوماريا50 سم</t>
        </is>
      </c>
      <c r="F122" s="41" t="n">
        <v>50</v>
      </c>
      <c r="G122" s="16" t="inlineStr">
        <is>
          <t>EA</t>
        </is>
      </c>
      <c r="H122" s="17" t="n">
        <v>4</v>
      </c>
      <c r="I122" s="17">
        <f>F122*H122</f>
        <v/>
      </c>
      <c r="J122" s="16" t="n"/>
    </row>
    <row r="123">
      <c r="A123" s="16" t="inlineStr">
        <is>
          <t>WHK-4256</t>
        </is>
      </c>
      <c r="B123" s="95" t="n">
        <v>46145</v>
      </c>
      <c r="C123" s="16" t="inlineStr">
        <is>
          <t>RN-INV#227</t>
        </is>
      </c>
      <c r="D123" s="16" t="inlineStr">
        <is>
          <t>RN-OD623</t>
        </is>
      </c>
      <c r="E123" s="16" t="inlineStr">
        <is>
          <t>أشجار تيسبيسيا 2-3 متر</t>
        </is>
      </c>
      <c r="F123" s="41" t="n">
        <v>4</v>
      </c>
      <c r="G123" s="16" t="inlineStr">
        <is>
          <t>EA</t>
        </is>
      </c>
      <c r="H123" s="17" t="n">
        <v>60</v>
      </c>
      <c r="I123" s="17">
        <f>F123*H123</f>
        <v/>
      </c>
      <c r="J123" s="16" t="n"/>
    </row>
    <row r="124">
      <c r="A124" s="9" t="inlineStr">
        <is>
          <t>إجمالي العقد WHK-4256</t>
        </is>
      </c>
      <c r="B124" s="101" t="n"/>
      <c r="C124" s="9" t="n"/>
      <c r="D124" s="9" t="n"/>
      <c r="E124" s="9" t="n"/>
      <c r="F124" s="40" t="n"/>
      <c r="G124" s="9" t="n"/>
      <c r="H124" s="10" t="n"/>
      <c r="I124" s="10">
        <f>SUM(I118:I123)</f>
        <v/>
      </c>
      <c r="J124" s="9" t="n"/>
    </row>
    <row r="125">
      <c r="A125" s="16" t="inlineStr">
        <is>
          <t>WHK-4275</t>
        </is>
      </c>
      <c r="B125" s="95" t="n">
        <v>46147</v>
      </c>
      <c r="C125" s="16" t="inlineStr">
        <is>
          <t>RN-INV#231</t>
        </is>
      </c>
      <c r="D125" s="16" t="inlineStr">
        <is>
          <t>RN-OD569</t>
        </is>
      </c>
      <c r="E125" s="16" t="inlineStr">
        <is>
          <t>زهور فينكا روزا</t>
        </is>
      </c>
      <c r="F125" s="41" t="n">
        <v>37400</v>
      </c>
      <c r="G125" s="16" t="inlineStr">
        <is>
          <t>EA</t>
        </is>
      </c>
      <c r="H125" s="17" t="n">
        <v>0.55</v>
      </c>
      <c r="I125" s="17">
        <f>F125*H125</f>
        <v/>
      </c>
      <c r="J125" s="16" t="n"/>
    </row>
    <row r="126">
      <c r="A126" s="16" t="inlineStr">
        <is>
          <t>WHK-4275</t>
        </is>
      </c>
      <c r="B126" s="95" t="n">
        <v>46147</v>
      </c>
      <c r="C126" s="16" t="inlineStr">
        <is>
          <t>RN-INV#231</t>
        </is>
      </c>
      <c r="D126" s="16" t="inlineStr">
        <is>
          <t>RN-OD567</t>
        </is>
      </c>
      <c r="E126" s="16" t="inlineStr">
        <is>
          <t>زهور كيليوس</t>
        </is>
      </c>
      <c r="F126" s="41" t="n">
        <v>2200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WHK-4275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SUM(I125:I126)</f>
        <v/>
      </c>
      <c r="J127" s="9" t="n"/>
    </row>
    <row r="128">
      <c r="A128" s="16" t="inlineStr">
        <is>
          <t>WHK-4291</t>
        </is>
      </c>
      <c r="B128" s="95" t="n">
        <v>46152</v>
      </c>
      <c r="C128" s="16" t="inlineStr">
        <is>
          <t>RN-INV#239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5700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WHK-4291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WHK-4305</t>
        </is>
      </c>
      <c r="B130" s="95" t="n">
        <v>46154</v>
      </c>
      <c r="C130" s="16" t="inlineStr">
        <is>
          <t>RN-INV#243</t>
        </is>
      </c>
      <c r="D130" s="16" t="inlineStr">
        <is>
          <t>RN-OD569</t>
        </is>
      </c>
      <c r="E130" s="16" t="inlineStr">
        <is>
          <t>زهور فينكا روزا</t>
        </is>
      </c>
      <c r="F130" s="41" t="n">
        <v>5500</v>
      </c>
      <c r="G130" s="16" t="inlineStr">
        <is>
          <t>EA</t>
        </is>
      </c>
      <c r="H130" s="17" t="n">
        <v>0.55</v>
      </c>
      <c r="I130" s="17">
        <f>F130*H130</f>
        <v/>
      </c>
      <c r="J130" s="16" t="n"/>
    </row>
    <row r="131">
      <c r="A131" s="9" t="inlineStr">
        <is>
          <t>إجمالي العقد WHK-4305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16" t="inlineStr">
        <is>
          <t>WHK-4323</t>
        </is>
      </c>
      <c r="B132" s="95" t="n">
        <v>46160</v>
      </c>
      <c r="C132" s="16" t="inlineStr">
        <is>
          <t>RN-INV#250</t>
        </is>
      </c>
      <c r="D132" s="16" t="inlineStr">
        <is>
          <t>RN-OD564</t>
        </is>
      </c>
      <c r="E132" s="16" t="inlineStr">
        <is>
          <t>زهور امرانتس</t>
        </is>
      </c>
      <c r="F132" s="41" t="n">
        <v>1500</v>
      </c>
      <c r="G132" s="16" t="inlineStr">
        <is>
          <t>EA</t>
        </is>
      </c>
      <c r="H132" s="17" t="n">
        <v>0.5</v>
      </c>
      <c r="I132" s="17">
        <f>F132*H132</f>
        <v/>
      </c>
      <c r="J132" s="16" t="n"/>
    </row>
    <row r="133">
      <c r="A133" s="9" t="inlineStr">
        <is>
          <t>إجمالي العقد WHK-4323</t>
        </is>
      </c>
      <c r="B133" s="101" t="n"/>
      <c r="C133" s="9" t="n"/>
      <c r="D133" s="9" t="n"/>
      <c r="E133" s="9" t="n"/>
      <c r="F133" s="40" t="n"/>
      <c r="G133" s="9" t="n"/>
      <c r="H133" s="10" t="n"/>
      <c r="I133" s="10">
        <f>SUM(I132:I132)</f>
        <v/>
      </c>
      <c r="J133" s="9" t="n"/>
    </row>
    <row r="134">
      <c r="A134" s="42" t="inlineStr">
        <is>
          <t>إجمالي مبيعات أبو خالد</t>
        </is>
      </c>
      <c r="B134" s="102" t="n"/>
      <c r="C134" s="42" t="n"/>
      <c r="D134" s="42" t="n"/>
      <c r="E134" s="42" t="n"/>
      <c r="F134" s="44" t="n"/>
      <c r="G134" s="42" t="n"/>
      <c r="H134" s="45" t="n"/>
      <c r="I134" s="45">
        <f>I3+I5+I7+I9+I11+I21+I23+I25+I27+I29+I31+I33+I35+I37+I39+I41+I43+I45+I47+I49+I51+I53+I55+I59+I66+I68+I70+I72+I75+I78+I80+I82+I84+I86+I88+I94+I98+I107+I109+I111+I114+I117+I124+I127+I129+I131+I133</f>
        <v/>
      </c>
      <c r="J134" s="42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  <row r="6"/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2"/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المبلغ المدفوع غير موضح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100370</v>
      </c>
      <c r="D9" s="3" t="inlineStr">
        <is>
          <t>غير المدفوع + المدفوع جزئياً بالكامل لحين معرفة المسدد من PO-0777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6"/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0"/>
    <row r="31"/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الإجمالي 1,089,735.80 مطابق لمجموع البنود.</t>
        </is>
      </c>
    </row>
    <row r="41" ht="32" customHeight="1">
      <c r="A41" s="124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42" ht="32" customHeight="1">
      <c r="A42" s="124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1,278,970.80 = كشف التأسيس 1,089,735.80 (أبو مازن/نسما) + مساهمة أبو خالد 189,235.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6"/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3"/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>
        <f>H31</f>
        <v/>
      </c>
      <c r="L31" s="11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7"/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6"/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n"/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PO-419، شركة الجزيرة الحديثة 2025-12-25، شركة الجزيرة الحديثة 2025-12-25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  <row r="198"/>
    <row r="199"/>
  </sheetData>
  <autoFilter ref="A1:I198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1" t="n">
        <v>34</v>
      </c>
      <c r="B36" s="11" t="inlineStr">
        <is>
          <t>DIS-Riyadh-0012</t>
        </is>
      </c>
      <c r="C36" s="106" t="n">
        <v>46204</v>
      </c>
      <c r="D36" s="11" t="inlineStr">
        <is>
          <t>صرف</t>
        </is>
      </c>
      <c r="E36" s="11" t="inlineStr">
        <is>
          <t>ENG.AHMED ABDELSABOUR</t>
        </is>
      </c>
      <c r="F36" s="12" t="n"/>
      <c r="G36" s="12" t="n">
        <v>11000</v>
      </c>
      <c r="H36" s="11" t="inlineStr">
        <is>
          <t>⚠ صرف 11,000 لموظف نسما – بدون بيان (هل هو مسحوبات أبو مازن؟)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3" t="n">
        <v>4</v>
      </c>
      <c r="B6" s="3" t="inlineStr">
        <is>
          <t>DIS-Riyadh-0012</t>
        </is>
      </c>
      <c r="C6" s="107" t="n">
        <v>46204</v>
      </c>
      <c r="D6" s="4" t="n">
        <v>11000</v>
      </c>
      <c r="E6" s="3" t="inlineStr">
        <is>
          <t>ENG.AHMED ABDELSABOUR</t>
        </is>
      </c>
      <c r="F6" s="3" t="inlineStr">
        <is>
          <t>تقرير الخزنة – صفحة 5 سطر 117</t>
        </is>
      </c>
      <c r="G6" s="3" t="inlineStr">
        <is>
          <t>صفحة "خزنة الرياض 6-7 2026"</t>
        </is>
      </c>
      <c r="H6" s="3" t="inlineStr">
        <is>
          <t>هل هو تحويل لأبو مازن؟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0"/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2"/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1"/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6"/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8" t="n">
        <v>2</v>
      </c>
      <c r="B40" s="18" t="inlineStr">
        <is>
          <t>بساتين الرياض – PO-0777 (24-6-2026)</t>
        </is>
      </c>
      <c r="C40" s="18" t="inlineStr"/>
      <c r="D40" s="19" t="n">
        <v>66420</v>
      </c>
      <c r="E40" s="19" t="n"/>
      <c r="F40" s="19">
        <f>D40-IF(E40="",0,E40)</f>
        <v/>
      </c>
      <c r="G40" s="18" t="inlineStr">
        <is>
          <t>⚠ مدفوع جزئياً – المسدد غير معروف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  <row r="42"/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  <row r="302"/>
    <row r="303"/>
    <row r="304"/>
    <row r="305"/>
    <row r="306"/>
    <row r="307"/>
    <row r="308"/>
  </sheetData>
  <autoFilter ref="A1:L307"/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2"/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5"/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6"/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n"/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5:E45"/>
    <mergeCell ref="A1:E1"/>
    <mergeCell ref="A47:E47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3"/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2"/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3"/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2"/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3"/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7"/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3"/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6"/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2026-09-28T12:41:25Z</dcterms:modified>
</cp:coreProperties>
</file>