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275,375 حبة × 0.50 (بدل قيمة العقد 440,000)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11" t="n">
        <v>1</v>
      </c>
      <c r="B16" s="11" t="inlineStr">
        <is>
          <t>توريدات نقدية وسدادات مسجلة لحسابه بكشف الخزنة (بعد استبعاد مدفوعات الجزيرة 196,225)</t>
        </is>
      </c>
      <c r="C16" s="12">
        <f>763323.81-196225</f>
        <v/>
      </c>
      <c r="D16" s="11" t="inlineStr">
        <is>
          <t>كشف الحساب – عميل 5000</t>
        </is>
      </c>
      <c r="E16" s="11" t="inlineStr">
        <is>
          <t>الأصل 763,323.81 − زهور الجزيرة لعقد عرعر 196,225 (خاصة ببساتين). ⚠ يشمل 3,128 "مشتريات فلين مستعمل من الجزيرة" – هل تُستبعد أيضاً؟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مساهمة أبو خالد في التأسيس – تُضاف لمصروفات التأسيس (الإجمالي 1,278,970.80)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11" t="n">
        <v>7</v>
      </c>
      <c r="B10" s="11" t="inlineStr">
        <is>
          <t>محوّل من مزرعة تبوك إلى الرياض للعقد (سندا TNR-2689 و TNR-2888)</t>
        </is>
      </c>
      <c r="C10" s="119" t="n">
        <v>69625</v>
      </c>
      <c r="D10" s="11" t="n">
        <v>0.5</v>
      </c>
      <c r="E10" s="12">
        <f>C10*D10</f>
        <v/>
      </c>
      <c r="F10" s="11" t="inlineStr">
        <is>
          <t>كشف الخزنة 28-2-2026 "زهور تبوك 69625"</t>
        </is>
      </c>
      <c r="G10" s="11" t="inlineStr">
        <is>
          <t>⚠ قيمة السندين بالنظام (19,250 + 20,693.75 قبل الضريبة ÷ 0.55) تعادل 72,625 حبة – يلزم تأكيد الكمية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A12" t="inlineStr"/>
      <c r="B12" t="inlineStr">
        <is>
          <t>لو اعتُمدت كمية تبوك 72,625 حبة</t>
        </is>
      </c>
      <c r="C12" s="126">
        <f>C11+3000</f>
        <v/>
      </c>
      <c r="D12" t="inlineStr"/>
      <c r="E12" s="58">
        <f>E11+1500</f>
        <v/>
      </c>
      <c r="F12" t="inlineStr"/>
      <c r="G12" t="inlineStr">
        <is>
          <t>البديل</t>
        </is>
      </c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ولا تدخل في حساب مزرعة الرياض – تم استبعادها من العقد ومن مصروفات 2025 ومن سدادات أبو خالد بكشف الخزنة (196,225).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79" t="n">
        <v>128</v>
      </c>
      <c r="B129" s="114" t="n">
        <v>45935</v>
      </c>
      <c r="C129" s="79" t="inlineStr">
        <is>
          <t>شركة الجزيرة الحديثة الزراعية</t>
        </is>
      </c>
      <c r="D129" s="79" t="inlineStr">
        <is>
          <t>WHK-2364</t>
        </is>
      </c>
      <c r="E129" s="79" t="inlineStr">
        <is>
          <t>مرفق طلب التوريد</t>
        </is>
      </c>
      <c r="F129" s="81" t="n">
        <v>36956.52</v>
      </c>
      <c r="G129" s="79" t="n">
        <v>15</v>
      </c>
      <c r="H129" s="81" t="n">
        <v>0</v>
      </c>
      <c r="I129" s="79" t="inlineStr">
        <is>
          <t>نعم</t>
        </is>
      </c>
      <c r="J129" s="79" t="inlineStr">
        <is>
          <t>مزرعة الرياض (عهدة/صندوق)</t>
        </is>
      </c>
      <c r="K129" s="79" t="inlineStr">
        <is>
          <t>مستبعد – مشتريات الجزيرة لعقد بساتين الرياض</t>
        </is>
      </c>
      <c r="L129" s="79" t="inlineStr">
        <is>
          <t>مستبعد بقرار صاحب الحساب – خاص ببساتين الرياض وليس مصروفاً على مزرعة الرياض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79" t="n">
        <v>141</v>
      </c>
      <c r="B142" s="114" t="n">
        <v>45939</v>
      </c>
      <c r="C142" s="79" t="inlineStr">
        <is>
          <t>شركة الجزيرة الحديثة الزراعية</t>
        </is>
      </c>
      <c r="D142" s="79" t="inlineStr">
        <is>
          <t>WHK-2364</t>
        </is>
      </c>
      <c r="E142" s="79" t="inlineStr">
        <is>
          <t>مرفق طلب التوريد</t>
        </is>
      </c>
      <c r="F142" s="81" t="n">
        <v>34173.91</v>
      </c>
      <c r="G142" s="79" t="n">
        <v>15</v>
      </c>
      <c r="H142" s="81" t="n">
        <v>0</v>
      </c>
      <c r="I142" s="79" t="inlineStr">
        <is>
          <t>نعم</t>
        </is>
      </c>
      <c r="J142" s="79" t="inlineStr">
        <is>
          <t>مزرعة الرياض (عهدة/صندوق)</t>
        </is>
      </c>
      <c r="K142" s="79" t="inlineStr">
        <is>
          <t>مستبعد – مشتريات الجزيرة لعقد بساتين الرياض</t>
        </is>
      </c>
      <c r="L142" s="79" t="inlineStr">
        <is>
          <t>مستبعد بقرار صاحب الحساب – خاص ببساتين الرياض وليس مصروفاً على مزرعة الرياض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79" t="n">
        <v>183</v>
      </c>
      <c r="B184" s="114" t="n">
        <v>45954</v>
      </c>
      <c r="C184" s="79" t="inlineStr">
        <is>
          <t>شركة الجزيرة الحديثة الزراعية</t>
        </is>
      </c>
      <c r="D184" s="79" t="inlineStr">
        <is>
          <t>WHK-2364</t>
        </is>
      </c>
      <c r="E184" s="79" t="inlineStr">
        <is>
          <t>مرفق طلب التوريد</t>
        </is>
      </c>
      <c r="F184" s="81" t="n">
        <v>35740</v>
      </c>
      <c r="G184" s="79" t="n">
        <v>0</v>
      </c>
      <c r="H184" s="81" t="n">
        <v>0</v>
      </c>
      <c r="I184" s="79" t="inlineStr">
        <is>
          <t>نعم</t>
        </is>
      </c>
      <c r="J184" s="79" t="inlineStr">
        <is>
          <t>مزرعة الرياض (عهدة/صندوق)</t>
        </is>
      </c>
      <c r="K184" s="79" t="inlineStr">
        <is>
          <t>مستبعد – مشتريات الجزيرة لعقد بساتين الرياض</t>
        </is>
      </c>
      <c r="L184" s="79" t="inlineStr">
        <is>
          <t>مستبعد بقرار صاحب الحساب – خاص ببساتين الرياض وليس مصروفاً على مزرعة الرياض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79" t="n">
        <v>210</v>
      </c>
      <c r="B211" s="114" t="n">
        <v>45966</v>
      </c>
      <c r="C211" s="79" t="inlineStr">
        <is>
          <t>شركة الجزيرة الحديثة الزراعية</t>
        </is>
      </c>
      <c r="D211" s="79" t="inlineStr">
        <is>
          <t>WHK-2364</t>
        </is>
      </c>
      <c r="E211" s="79" t="inlineStr">
        <is>
          <t>مرفق طلب التوريد</t>
        </is>
      </c>
      <c r="F211" s="81" t="n">
        <v>19312.5</v>
      </c>
      <c r="G211" s="79" t="n">
        <v>0</v>
      </c>
      <c r="H211" s="81" t="n">
        <v>0</v>
      </c>
      <c r="I211" s="79" t="inlineStr">
        <is>
          <t>نعم</t>
        </is>
      </c>
      <c r="J211" s="79" t="inlineStr">
        <is>
          <t>مزرعة الرياض (عهدة/صندوق)</t>
        </is>
      </c>
      <c r="K211" s="79" t="inlineStr">
        <is>
          <t>مستبعد – مشتريات الجزيرة لعقد بساتين الرياض</t>
        </is>
      </c>
      <c r="L211" s="79" t="inlineStr">
        <is>
          <t>مستبعد بقرار صاحب الحساب – خاص ببساتين الرياض وليس مصروفاً على مزرعة الرياض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79" t="n">
        <v>289</v>
      </c>
      <c r="B290" s="114" t="n">
        <v>46016</v>
      </c>
      <c r="C290" s="79" t="inlineStr">
        <is>
          <t>شركة الجزيرة الحديثة الزراعية</t>
        </is>
      </c>
      <c r="D290" s="79" t="inlineStr">
        <is>
          <t>WHK-2364</t>
        </is>
      </c>
      <c r="E290" s="79" t="inlineStr">
        <is>
          <t>مرفق طلب التوريد</t>
        </is>
      </c>
      <c r="F290" s="81" t="n">
        <v>21250</v>
      </c>
      <c r="G290" s="79" t="n">
        <v>0</v>
      </c>
      <c r="H290" s="81" t="n">
        <v>0</v>
      </c>
      <c r="I290" s="79" t="inlineStr">
        <is>
          <t>لا</t>
        </is>
      </c>
      <c r="J290" s="79" t="inlineStr">
        <is>
          <t>مزرعة الرياض (عهدة/صندوق)</t>
        </is>
      </c>
      <c r="K290" s="79" t="inlineStr">
        <is>
          <t>مستبعد – مشتريات الجزيرة لعقد بساتين الرياض</t>
        </is>
      </c>
      <c r="L290" s="79" t="inlineStr">
        <is>
          <t>مستبعد بقرار صاحب الحساب – خاص ببساتين الرياض وليس مصروفاً على مزرعة الرياض</t>
        </is>
      </c>
    </row>
    <row r="291">
      <c r="A291" s="79" t="n">
        <v>290</v>
      </c>
      <c r="B291" s="114" t="n">
        <v>46016</v>
      </c>
      <c r="C291" s="79" t="inlineStr">
        <is>
          <t>شركة الجزيرة الحديثة الزراعية</t>
        </is>
      </c>
      <c r="D291" s="79" t="inlineStr">
        <is>
          <t>WHK-2364</t>
        </is>
      </c>
      <c r="E291" s="79" t="inlineStr">
        <is>
          <t>مرفق طلب التوريد</t>
        </is>
      </c>
      <c r="F291" s="81" t="n">
        <v>20000</v>
      </c>
      <c r="G291" s="79" t="n">
        <v>0</v>
      </c>
      <c r="H291" s="81" t="n">
        <v>0</v>
      </c>
      <c r="I291" s="79" t="inlineStr">
        <is>
          <t>نعم</t>
        </is>
      </c>
      <c r="J291" s="79" t="inlineStr">
        <is>
          <t>مزرعة الرياض (عهدة/صندوق)</t>
        </is>
      </c>
      <c r="K291" s="79" t="inlineStr">
        <is>
          <t>مستبعد – مشتريات الجزيرة لعقد بساتين الرياض</t>
        </is>
      </c>
      <c r="L291" s="79" t="inlineStr">
        <is>
          <t>مستبعد بقرار صاحب الحساب – خاص ببساتين الرياض وليس مصروفاً على مزرعة الرياض</t>
        </is>
      </c>
    </row>
    <row r="292">
      <c r="A292" s="79" t="n">
        <v>291</v>
      </c>
      <c r="B292" s="114" t="n">
        <v>46016</v>
      </c>
      <c r="C292" s="79" t="inlineStr">
        <is>
          <t>شركة الجزيرة الحديثة الزراعية</t>
        </is>
      </c>
      <c r="D292" s="79" t="inlineStr">
        <is>
          <t>WHK-2364</t>
        </is>
      </c>
      <c r="E292" s="79" t="inlineStr">
        <is>
          <t>مرفق طلب التوريد</t>
        </is>
      </c>
      <c r="F292" s="81" t="n">
        <v>20000</v>
      </c>
      <c r="G292" s="79" t="n">
        <v>0</v>
      </c>
      <c r="H292" s="81" t="n">
        <v>0</v>
      </c>
      <c r="I292" s="79" t="inlineStr">
        <is>
          <t>نعم</t>
        </is>
      </c>
      <c r="J292" s="79" t="inlineStr">
        <is>
          <t>مزرعة الرياض (عهدة/صندوق)</t>
        </is>
      </c>
      <c r="K292" s="79" t="inlineStr">
        <is>
          <t>مستبعد – مشتريات الجزيرة لعقد بساتين الرياض</t>
        </is>
      </c>
      <c r="L292" s="79" t="inlineStr">
        <is>
          <t>مستبعد بقرار صاحب الحساب – خاص ببساتين الرياض وليس مصروفاً على مزرعة الرياض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2026-09-28T12:26:42Z</dcterms:modified>
</cp:coreProperties>
</file>