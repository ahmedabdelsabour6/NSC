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شركاء" sheetId="1" state="visible" r:id="rId1"/>
    <sheet name="أبو خالد - بساتين الرياض" sheetId="2" state="visible" r:id="rId2"/>
    <sheet name="أبو مازن - نسما الشرق (تبوك)" sheetId="3" state="visible" r:id="rId3"/>
    <sheet name="إيرادات ومصروفات قبل الفترة" sheetId="4" state="visible" r:id="rId4"/>
    <sheet name="تحقق مسحوبات أبو خالد 24.2-3.6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2"/>
    </font>
    <font>
      <b val="1"/>
    </font>
    <font>
      <b val="1"/>
      <sz val="13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4" fontId="3" fillId="5" borderId="1" applyAlignment="1" pivotButton="0" quotePrefix="0" xfId="0">
      <alignment vertical="top" wrapText="1"/>
    </xf>
    <xf numFmtId="0" fontId="3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3" fillId="5" borderId="1" pivotButton="0" quotePrefix="0" xfId="0"/>
    <xf numFmtId="4" fontId="3" fillId="5" borderId="1" pivotButton="0" quotePrefix="0" xfId="0"/>
    <xf numFmtId="0" fontId="4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0" fillId="4" borderId="1" pivotButton="0" quotePrefix="0" xfId="0"/>
    <xf numFmtId="4" fontId="0" fillId="4" borderId="1" pivotButton="0" quotePrefix="0" xfId="0"/>
    <xf numFmtId="0" fontId="3" fillId="5" borderId="0" pivotButton="0" quotePrefix="0" xfId="0"/>
    <xf numFmtId="4" fontId="3" fillId="5" borderId="0" pivotButton="0" quotePrefix="0" xfId="0"/>
    <xf numFmtId="0" fontId="0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rightToLeft="1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4" t="inlineStr">
        <is>
          <t>البند</t>
        </is>
      </c>
      <c r="B4" s="24" t="inlineStr">
        <is>
          <t>أبو خالد – بساتين الرياض</t>
        </is>
      </c>
      <c r="C4" s="24" t="inlineStr">
        <is>
          <t>أبو مازن – نسما الشرق</t>
        </is>
      </c>
      <c r="D4" s="24" t="inlineStr">
        <is>
          <t>ملاحظة</t>
        </is>
      </c>
    </row>
    <row r="5">
      <c r="A5" s="3" t="inlineStr">
        <is>
          <t>1) المسحوبات المباشرة</t>
        </is>
      </c>
      <c r="B5" s="4">
        <f>'أبو خالد - بساتين الرياض'!C7</f>
        <v/>
      </c>
      <c r="C5" s="4">
        <f>'أبو مازن - نسما الشرق (تبوك)'!C9</f>
        <v/>
      </c>
      <c r="D5" s="3" t="inlineStr"/>
    </row>
    <row r="6">
      <c r="A6" s="3" t="inlineStr">
        <is>
          <t>2) المسحوبات النقدية</t>
        </is>
      </c>
      <c r="B6" s="4">
        <f>'أبو خالد - بساتين الرياض'!C12</f>
        <v/>
      </c>
      <c r="C6" s="4">
        <f>'أبو مازن - نسما الشرق (تبوك)'!C16</f>
        <v/>
      </c>
      <c r="D6" s="3" t="inlineStr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inlineStr"/>
    </row>
    <row r="8">
      <c r="A8" s="3" t="inlineStr">
        <is>
          <t>3) سدادات لمسحوباته مسجلة بكشف الخزنة</t>
        </is>
      </c>
      <c r="B8" s="4">
        <f>'أبو خالد - بساتين الرياض'!C17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'أبو خالد - بساتين الرياض'!C24</f>
        <v/>
      </c>
      <c r="C9" s="4">
        <f>'أبو مازن - نسما الشرق (تبوك)'!C26</f>
        <v/>
      </c>
      <c r="D9" s="3" t="inlineStr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inlineStr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10" t="inlineStr">
        <is>
          <t>أولاً: المسحوبات المباشرة (مديونية على أبو خالد)</t>
        </is>
      </c>
    </row>
    <row r="4">
      <c r="A4" s="25" t="inlineStr">
        <is>
          <t>م</t>
        </is>
      </c>
      <c r="B4" s="25" t="inlineStr">
        <is>
          <t>البند</t>
        </is>
      </c>
      <c r="C4" s="25" t="inlineStr">
        <is>
          <t>المبلغ</t>
        </is>
      </c>
      <c r="D4" s="25" t="inlineStr">
        <is>
          <t>المصدر</t>
        </is>
      </c>
      <c r="E4" s="25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inlineStr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 t="n">
        <v>321583.25</v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14" t="inlineStr"/>
      <c r="B7" s="14" t="inlineStr">
        <is>
          <t>الإجمالي</t>
        </is>
      </c>
      <c r="C7" s="15">
        <f>SUM(C5:C6)</f>
        <v/>
      </c>
      <c r="D7" s="14" t="n"/>
      <c r="E7" s="14" t="n"/>
    </row>
    <row r="9">
      <c r="A9" s="10" t="inlineStr">
        <is>
          <t>ثانياً: المسحوبات النقدية من خزنة المزرعة (مديونية على أبو خالد)</t>
        </is>
      </c>
    </row>
    <row r="10">
      <c r="A10" s="25" t="inlineStr">
        <is>
          <t>م</t>
        </is>
      </c>
      <c r="B10" s="25" t="inlineStr">
        <is>
          <t>البند</t>
        </is>
      </c>
      <c r="C10" s="25" t="inlineStr">
        <is>
          <t>المبلغ</t>
        </is>
      </c>
      <c r="D10" s="25" t="inlineStr">
        <is>
          <t>المصدر</t>
        </is>
      </c>
      <c r="E10" s="25" t="inlineStr">
        <is>
          <t>ملاحظة</t>
        </is>
      </c>
    </row>
    <row r="11">
      <c r="A11" s="12" t="n">
        <v>1</v>
      </c>
      <c r="B11" s="12" t="inlineStr">
        <is>
          <t>تسديد لأبو خالد من المديونية (18-5-2026)</t>
        </is>
      </c>
      <c r="C11" s="13" t="n">
        <v>2000</v>
      </c>
      <c r="D11" s="12" t="inlineStr">
        <is>
          <t>كشف الخزنة – مستند 156</t>
        </is>
      </c>
      <c r="E11" s="12" t="inlineStr">
        <is>
          <t>⚠ مسجل على حساب أبو خالد – يلزم التأكيد إن كان يخصه أو يخص أبو مازن</t>
        </is>
      </c>
    </row>
    <row r="12">
      <c r="A12" s="14" t="inlineStr"/>
      <c r="B12" s="14" t="inlineStr">
        <is>
          <t>الإجمالي</t>
        </is>
      </c>
      <c r="C12" s="15">
        <f>SUM(C11:C11)</f>
        <v/>
      </c>
      <c r="D12" s="14" t="n"/>
      <c r="E12" s="14" t="n"/>
    </row>
    <row r="14">
      <c r="A14" s="10" t="inlineStr">
        <is>
          <t>ثالثاً: سدادات أبو خالد لمسحوباته (مسجلة لحسابه في كشف الخزنة)</t>
        </is>
      </c>
    </row>
    <row r="15">
      <c r="A15" s="25" t="inlineStr">
        <is>
          <t>م</t>
        </is>
      </c>
      <c r="B15" s="25" t="inlineStr">
        <is>
          <t>البند</t>
        </is>
      </c>
      <c r="C15" s="25" t="inlineStr">
        <is>
          <t>المبلغ</t>
        </is>
      </c>
      <c r="D15" s="25" t="inlineStr">
        <is>
          <t>المصدر</t>
        </is>
      </c>
      <c r="E15" s="25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14" t="inlineStr"/>
      <c r="B17" s="14" t="inlineStr">
        <is>
          <t>الإجمالي</t>
        </is>
      </c>
      <c r="C17" s="15">
        <f>SUM(C16:C16)</f>
        <v/>
      </c>
      <c r="D17" s="14" t="n"/>
      <c r="E17" s="14" t="n"/>
    </row>
    <row r="19">
      <c r="A19" s="10" t="inlineStr">
        <is>
          <t>رابعاً: دعم أبو خالد لمزرعة الرياض (حق له)</t>
        </is>
      </c>
    </row>
    <row r="20">
      <c r="A20" s="25" t="inlineStr">
        <is>
          <t>م</t>
        </is>
      </c>
      <c r="B20" s="25" t="inlineStr">
        <is>
          <t>البند</t>
        </is>
      </c>
      <c r="C20" s="25" t="inlineStr">
        <is>
          <t>المبلغ</t>
        </is>
      </c>
      <c r="D20" s="25" t="inlineStr">
        <is>
          <t>المصدر</t>
        </is>
      </c>
      <c r="E20" s="25" t="inlineStr">
        <is>
          <t>ملاحظة</t>
        </is>
      </c>
    </row>
    <row r="21">
      <c r="A21" s="3" t="n">
        <v>1</v>
      </c>
      <c r="B21" s="3" t="inlineStr">
        <is>
          <t>ضخ نقدي في مصاريف تشغيل المزرعة</t>
        </is>
      </c>
      <c r="C21" s="4" t="n">
        <v>189235</v>
      </c>
      <c r="D21" s="3" t="inlineStr">
        <is>
          <t>بيان صاحب الحساب</t>
        </is>
      </c>
      <c r="E21" s="3" t="inlineStr"/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inlineStr"/>
    </row>
    <row r="23">
      <c r="A23" s="12" t="n">
        <v>3</v>
      </c>
      <c r="B23" s="12" t="inlineStr">
        <is>
          <t>أوامر شراء بساتين الرياض مدفوعة جزئياً – PO-0777</t>
        </is>
      </c>
      <c r="C23" s="13" t="n">
        <v>66420</v>
      </c>
      <c r="D23" s="12" t="inlineStr">
        <is>
          <t>ملف أوامر الشراء 2026</t>
        </is>
      </c>
      <c r="E23" s="12" t="inlineStr">
        <is>
          <t>⚠ القيمة كاملة – يُخصم المسدد عند معرفته</t>
        </is>
      </c>
    </row>
    <row r="24">
      <c r="A24" s="14" t="inlineStr"/>
      <c r="B24" s="14" t="inlineStr">
        <is>
          <t>الإجمالي</t>
        </is>
      </c>
      <c r="C24" s="15">
        <f>SUM(C21:C23)</f>
        <v/>
      </c>
      <c r="D24" s="14" t="n"/>
      <c r="E24" s="14" t="n"/>
    </row>
    <row r="26" ht="32" customHeight="1">
      <c r="A26" t="inlineStr"/>
      <c r="B26" s="2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10" t="inlineStr">
        <is>
          <t>أولاً: المسحوبات المباشرة (مديونية على أبو مازن)</t>
        </is>
      </c>
    </row>
    <row r="4">
      <c r="A4" s="25" t="inlineStr">
        <is>
          <t>م</t>
        </is>
      </c>
      <c r="B4" s="25" t="inlineStr">
        <is>
          <t>البند</t>
        </is>
      </c>
      <c r="C4" s="25" t="inlineStr">
        <is>
          <t>المبلغ</t>
        </is>
      </c>
      <c r="D4" s="25" t="inlineStr">
        <is>
          <t>المصدر</t>
        </is>
      </c>
      <c r="E4" s="25" t="inlineStr">
        <is>
          <t>ملاحظة</t>
        </is>
      </c>
    </row>
    <row r="5">
      <c r="A5" s="12" t="n">
        <v>1</v>
      </c>
      <c r="B5" s="12" t="inlineStr">
        <is>
          <t>ترحيلات من الرياض إلى تبوك RNT</t>
        </is>
      </c>
      <c r="C5" s="13" t="n">
        <v>113528.81</v>
      </c>
      <c r="D5" s="12" t="inlineStr">
        <is>
          <t>ملف حركات المواد – بقيم النظام</t>
        </is>
      </c>
      <c r="E5" s="12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 t="n">
        <v>312764.42</v>
      </c>
      <c r="D6" s="3" t="inlineStr">
        <is>
          <t>ملف حركات المواد – بقيم النظام</t>
        </is>
      </c>
      <c r="E6" s="3" t="inlineStr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 t="n">
        <v>19877</v>
      </c>
      <c r="D7" s="3" t="inlineStr">
        <is>
          <t>ملف مراجعة المسحوبات</t>
        </is>
      </c>
      <c r="E7" s="3" t="inlineStr"/>
    </row>
    <row r="8">
      <c r="A8" s="12" t="n">
        <v>4</v>
      </c>
      <c r="B8" s="12" t="inlineStr">
        <is>
          <t>مسحوبات قبل الفترة – أوامر P00480 إلى P00523 (102,875 حبة)</t>
        </is>
      </c>
      <c r="C8" s="13" t="n">
        <v>0</v>
      </c>
      <c r="D8" s="12" t="inlineStr">
        <is>
          <t>ملف مراجعة المسحوبات</t>
        </is>
      </c>
      <c r="E8" s="12" t="inlineStr">
        <is>
          <t>⚠ بدون أسعار – تُدخل يدوياً</t>
        </is>
      </c>
    </row>
    <row r="9">
      <c r="A9" s="14" t="inlineStr"/>
      <c r="B9" s="14" t="inlineStr">
        <is>
          <t>الإجمالي</t>
        </is>
      </c>
      <c r="C9" s="15">
        <f>SUM(C5:C8)</f>
        <v/>
      </c>
      <c r="D9" s="14" t="n"/>
      <c r="E9" s="14" t="n"/>
    </row>
    <row r="11">
      <c r="A11" s="10" t="inlineStr">
        <is>
          <t>ثانياً: المسحوبات النقدية (مديونية على أبو مازن)</t>
        </is>
      </c>
    </row>
    <row r="12">
      <c r="A12" s="25" t="inlineStr">
        <is>
          <t>م</t>
        </is>
      </c>
      <c r="B12" s="25" t="inlineStr">
        <is>
          <t>البند</t>
        </is>
      </c>
      <c r="C12" s="25" t="inlineStr">
        <is>
          <t>المبلغ</t>
        </is>
      </c>
      <c r="D12" s="25" t="inlineStr">
        <is>
          <t>المصدر</t>
        </is>
      </c>
      <c r="E12" s="25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>
        <f> إيرادات 610,688 − مصروفات تشغيل دفعها م/ عادل 413,236 ✓</f>
        <v/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inlineStr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inlineStr"/>
    </row>
    <row r="16">
      <c r="A16" s="14" t="inlineStr"/>
      <c r="B16" s="14" t="inlineStr">
        <is>
          <t>الإجمالي</t>
        </is>
      </c>
      <c r="C16" s="15">
        <f>SUM(C13:C15)</f>
        <v/>
      </c>
      <c r="D16" s="14" t="n"/>
      <c r="E16" s="14" t="n"/>
    </row>
    <row r="18">
      <c r="A18" s="10" t="inlineStr">
        <is>
          <t>ثالثاً: دعم أبو مازن / نسما لمزرعة الرياض (حق له)</t>
        </is>
      </c>
    </row>
    <row r="19">
      <c r="A19" s="25" t="inlineStr">
        <is>
          <t>م</t>
        </is>
      </c>
      <c r="B19" s="25" t="inlineStr">
        <is>
          <t>البند</t>
        </is>
      </c>
      <c r="C19" s="25" t="inlineStr">
        <is>
          <t>المبلغ</t>
        </is>
      </c>
      <c r="D19" s="25" t="inlineStr">
        <is>
          <t>المصدر</t>
        </is>
      </c>
      <c r="E19" s="25" t="inlineStr">
        <is>
          <t>ملاحظة</t>
        </is>
      </c>
    </row>
    <row r="20">
      <c r="A20" s="12" t="n">
        <v>1</v>
      </c>
      <c r="B20" s="12" t="inlineStr">
        <is>
          <t>مصروفات التأسيس كاملة</t>
        </is>
      </c>
      <c r="C20" s="13" t="n">
        <v>1089735.8</v>
      </c>
      <c r="D20" s="12" t="inlineStr">
        <is>
          <t>كشف مصروفات التأسيس</t>
        </is>
      </c>
      <c r="E20" s="12" t="inlineStr">
        <is>
          <t>⚠ البند 23 (دينة عماد 123,000) تاريخه 1-11-2025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 t="n">
        <v>91545.48</v>
      </c>
      <c r="D21" s="3" t="inlineStr">
        <is>
          <t>ملف حركات المواد – بقيم النظام</t>
        </is>
      </c>
      <c r="E21" s="3" t="inlineStr"/>
    </row>
    <row r="22">
      <c r="A22" s="3" t="n">
        <v>3</v>
      </c>
      <c r="B22" s="3" t="inlineStr">
        <is>
          <t>مصروفات إدارية 2025</t>
        </is>
      </c>
      <c r="C22" s="4" t="n">
        <v>56125</v>
      </c>
      <c r="D22" s="3" t="inlineStr">
        <is>
          <t>كشف المصاريف الإدارية</t>
        </is>
      </c>
      <c r="E22" s="3" t="inlineStr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 t="n">
        <v>173979.15</v>
      </c>
      <c r="D23" s="3" t="inlineStr">
        <is>
          <t>تقرير العهدة الإدارية</t>
        </is>
      </c>
      <c r="E23" s="3" t="inlineStr"/>
    </row>
    <row r="24">
      <c r="A24" s="12" t="n">
        <v>5</v>
      </c>
      <c r="B24" s="12" t="inlineStr">
        <is>
          <t>ديزل مدفوع من نسما</t>
        </is>
      </c>
      <c r="C24" s="13" t="n">
        <v>35141.98</v>
      </c>
      <c r="D24" s="12" t="inlineStr">
        <is>
          <t>شيت الديزل</t>
        </is>
      </c>
      <c r="E24" s="12" t="inlineStr">
        <is>
          <t>⚠ قد يتداخل مع ديزل العهد</t>
        </is>
      </c>
    </row>
    <row r="25">
      <c r="A25" s="12" t="n">
        <v>6</v>
      </c>
      <c r="B25" s="12" t="inlineStr">
        <is>
          <t>مشتريات 2025 مدفوعة من نسما (تحويل بنكي)</t>
        </is>
      </c>
      <c r="C25" s="13" t="n">
        <v>226679.26</v>
      </c>
      <c r="D25" s="12" t="inlineStr">
        <is>
          <t>ملف مصروفات 2025</t>
        </is>
      </c>
      <c r="E25" s="12" t="inlineStr">
        <is>
          <t>⚠ الرقم اليدوي بالملف 269,099.26 (فرق 42,420 بدون حركات)</t>
        </is>
      </c>
    </row>
    <row r="26">
      <c r="A26" s="14" t="inlineStr"/>
      <c r="B26" s="14" t="inlineStr">
        <is>
          <t>الإجمالي</t>
        </is>
      </c>
      <c r="C26" s="15">
        <f>SUM(C20:C25)</f>
        <v/>
      </c>
      <c r="D26" s="14" t="n"/>
      <c r="E26" s="14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10" t="inlineStr">
        <is>
          <t>التسوية</t>
        </is>
      </c>
    </row>
    <row r="4">
      <c r="A4" s="25" t="inlineStr">
        <is>
          <t>م</t>
        </is>
      </c>
      <c r="B4" s="25" t="inlineStr">
        <is>
          <t>البند</t>
        </is>
      </c>
      <c r="C4" s="25" t="inlineStr">
        <is>
          <t>المبلغ</t>
        </is>
      </c>
      <c r="D4" s="25" t="inlineStr">
        <is>
          <t>المصدر</t>
        </is>
      </c>
      <c r="E4" s="25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inlineStr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inlineStr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14" t="inlineStr"/>
      <c r="B8" s="14" t="inlineStr">
        <is>
          <t>الإجمالي</t>
        </is>
      </c>
      <c r="C8" s="15">
        <f>SUM(C5:C7)</f>
        <v/>
      </c>
      <c r="D8" s="14" t="n"/>
      <c r="E8" s="14" t="n"/>
    </row>
    <row r="9">
      <c r="A9" t="inlineStr"/>
      <c r="B9" t="inlineStr"/>
      <c r="C9" t="inlineStr"/>
      <c r="D9" t="inlineStr"/>
      <c r="E9" t="inlineStr">
        <is>
          <t>الصافي = صفر ✓</t>
        </is>
      </c>
    </row>
    <row r="11">
      <c r="A11" t="inlineStr"/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6" t="inlineStr">
        <is>
          <t>مراجعة سند "مسحوبات بساتين الرياض من 24.2.2026 حتى 3.6.2026" مقابل فواتير أبو خالد</t>
        </is>
      </c>
    </row>
    <row r="2">
      <c r="A2" s="2" t="inlineStr">
        <is>
          <t>سند الصرف</t>
        </is>
      </c>
      <c r="B2" s="2" t="inlineStr">
        <is>
          <t>العقد</t>
        </is>
      </c>
      <c r="C2" s="2" t="inlineStr">
        <is>
          <t>الفاتورة</t>
        </is>
      </c>
      <c r="D2" s="2" t="inlineStr">
        <is>
          <t>الصنف</t>
        </is>
      </c>
      <c r="E2" s="2" t="inlineStr">
        <is>
          <t>الكمية بالسند</t>
        </is>
      </c>
      <c r="F2" s="2" t="inlineStr">
        <is>
          <t>الكمية بالفاتورة</t>
        </is>
      </c>
      <c r="G2" s="2" t="inlineStr">
        <is>
          <t>سعر السند</t>
        </is>
      </c>
      <c r="H2" s="2" t="inlineStr">
        <is>
          <t>سعر الفاتورة</t>
        </is>
      </c>
      <c r="I2" s="2" t="inlineStr">
        <is>
          <t>الفرق بالقيمة</t>
        </is>
      </c>
      <c r="J2" s="2" t="inlineStr">
        <is>
          <t>الحالة</t>
        </is>
      </c>
    </row>
    <row r="3">
      <c r="A3" s="17" t="inlineStr">
        <is>
          <t>#141</t>
        </is>
      </c>
      <c r="B3" s="17" t="inlineStr">
        <is>
          <t>WHK-3923</t>
        </is>
      </c>
      <c r="C3" s="17" t="inlineStr">
        <is>
          <t>RN-INV#166</t>
        </is>
      </c>
      <c r="D3" s="17" t="inlineStr">
        <is>
          <t>OD696 أقحوان</t>
        </is>
      </c>
      <c r="E3" s="17" t="n">
        <v>2075</v>
      </c>
      <c r="F3" s="17" t="n">
        <v>2075</v>
      </c>
      <c r="G3" s="17" t="n">
        <v>1.5</v>
      </c>
      <c r="H3" s="17" t="n">
        <v>1.5</v>
      </c>
      <c r="I3" s="18">
        <f>E3*G3-F3*H3</f>
        <v/>
      </c>
      <c r="J3" s="17" t="inlineStr">
        <is>
          <t>الكمية مطابقة والسعر مطابق</t>
        </is>
      </c>
    </row>
    <row r="4">
      <c r="A4" s="19" t="inlineStr">
        <is>
          <t>#141</t>
        </is>
      </c>
      <c r="B4" s="19" t="inlineStr">
        <is>
          <t>WHK-3923</t>
        </is>
      </c>
      <c r="C4" s="19" t="inlineStr">
        <is>
          <t>RN-INV#166</t>
        </is>
      </c>
      <c r="D4" s="19" t="inlineStr">
        <is>
          <t>OD603 جرانيوم 9</t>
        </is>
      </c>
      <c r="E4" s="19" t="n">
        <v>3000</v>
      </c>
      <c r="F4" s="19" t="n">
        <v>3000</v>
      </c>
      <c r="G4" s="19" t="n">
        <v>0.95</v>
      </c>
      <c r="H4" s="19" t="n">
        <v>1.25</v>
      </c>
      <c r="I4" s="20">
        <f>E4*G4-F4*H4</f>
        <v/>
      </c>
      <c r="J4" s="19" t="inlineStr">
        <is>
          <t>الكمية مطابقة – السعر مختلف</t>
        </is>
      </c>
    </row>
    <row r="5">
      <c r="A5" s="19" t="inlineStr">
        <is>
          <t>#261</t>
        </is>
      </c>
      <c r="B5" s="19" t="inlineStr">
        <is>
          <t>WHK-4256</t>
        </is>
      </c>
      <c r="C5" s="19" t="inlineStr">
        <is>
          <t>RN-INV#227</t>
        </is>
      </c>
      <c r="D5" s="19" t="inlineStr">
        <is>
          <t>OD562 زينيا</t>
        </is>
      </c>
      <c r="E5" s="19" t="n">
        <v>25625</v>
      </c>
      <c r="F5" s="19" t="n">
        <v>25625</v>
      </c>
      <c r="G5" s="19" t="n">
        <v>0.55</v>
      </c>
      <c r="H5" s="19" t="n">
        <v>0.5</v>
      </c>
      <c r="I5" s="20">
        <f>E5*G5-F5*H5</f>
        <v/>
      </c>
      <c r="J5" s="19" t="inlineStr">
        <is>
          <t>الكمية مطابقة – السعر مختلف</t>
        </is>
      </c>
    </row>
    <row r="6">
      <c r="A6" s="19" t="inlineStr">
        <is>
          <t>#261</t>
        </is>
      </c>
      <c r="B6" s="19" t="inlineStr">
        <is>
          <t>WHK-4256</t>
        </is>
      </c>
      <c r="C6" s="19" t="inlineStr">
        <is>
          <t>RN-INV#227</t>
        </is>
      </c>
      <c r="D6" s="19" t="inlineStr">
        <is>
          <t>OD563 سيلوزيا</t>
        </is>
      </c>
      <c r="E6" s="19" t="n">
        <v>3000</v>
      </c>
      <c r="F6" s="19" t="n">
        <v>3000</v>
      </c>
      <c r="G6" s="19" t="n">
        <v>0.55</v>
      </c>
      <c r="H6" s="19" t="n">
        <v>0.5</v>
      </c>
      <c r="I6" s="20">
        <f>E6*G6-F6*H6</f>
        <v/>
      </c>
      <c r="J6" s="19" t="inlineStr">
        <is>
          <t>الكمية مطابقة – السعر مختلف</t>
        </is>
      </c>
    </row>
    <row r="7">
      <c r="A7" s="19" t="inlineStr">
        <is>
          <t>#261</t>
        </is>
      </c>
      <c r="B7" s="19" t="inlineStr">
        <is>
          <t>WHK-4256</t>
        </is>
      </c>
      <c r="C7" s="19" t="inlineStr">
        <is>
          <t>RN-INV#227</t>
        </is>
      </c>
      <c r="D7" s="19" t="inlineStr">
        <is>
          <t>OD564 امرانتس</t>
        </is>
      </c>
      <c r="E7" s="19" t="n">
        <v>5000</v>
      </c>
      <c r="F7" s="19" t="n">
        <v>5000</v>
      </c>
      <c r="G7" s="19" t="n">
        <v>0.55</v>
      </c>
      <c r="H7" s="19" t="n">
        <v>0.5</v>
      </c>
      <c r="I7" s="20">
        <f>E7*G7-F7*H7</f>
        <v/>
      </c>
      <c r="J7" s="19" t="inlineStr">
        <is>
          <t>الكمية مطابقة – السعر مختلف</t>
        </is>
      </c>
    </row>
    <row r="8">
      <c r="A8" s="19" t="inlineStr">
        <is>
          <t>#261</t>
        </is>
      </c>
      <c r="B8" s="19" t="inlineStr">
        <is>
          <t>WHK-4256</t>
        </is>
      </c>
      <c r="C8" s="19" t="inlineStr">
        <is>
          <t>RN-INV#227</t>
        </is>
      </c>
      <c r="D8" s="19" t="inlineStr">
        <is>
          <t>OD565 جازانيا</t>
        </is>
      </c>
      <c r="E8" s="19" t="n">
        <v>4475</v>
      </c>
      <c r="F8" s="19" t="n">
        <v>4475</v>
      </c>
      <c r="G8" s="19" t="n">
        <v>0.55</v>
      </c>
      <c r="H8" s="19" t="n">
        <v>0.5</v>
      </c>
      <c r="I8" s="20">
        <f>E8*G8-F8*H8</f>
        <v/>
      </c>
      <c r="J8" s="19" t="inlineStr">
        <is>
          <t>الكمية مطابقة – السعر مختلف</t>
        </is>
      </c>
    </row>
    <row r="9">
      <c r="A9" s="19" t="inlineStr">
        <is>
          <t>#261</t>
        </is>
      </c>
      <c r="B9" s="19" t="inlineStr">
        <is>
          <t>WHK-4256</t>
        </is>
      </c>
      <c r="C9" s="19" t="inlineStr">
        <is>
          <t>RN-INV#227</t>
        </is>
      </c>
      <c r="D9" s="19" t="inlineStr">
        <is>
          <t>OD454 تيكوماريا</t>
        </is>
      </c>
      <c r="E9" s="19" t="n">
        <v>50</v>
      </c>
      <c r="F9" s="19" t="n">
        <v>50</v>
      </c>
      <c r="G9" s="19" t="n">
        <v>2.5</v>
      </c>
      <c r="H9" s="19" t="n">
        <v>4</v>
      </c>
      <c r="I9" s="20">
        <f>E9*G9-F9*H9</f>
        <v/>
      </c>
      <c r="J9" s="19" t="inlineStr">
        <is>
          <t>الكمية مطابقة – السعر مختلف</t>
        </is>
      </c>
    </row>
    <row r="10">
      <c r="A10" s="19" t="inlineStr">
        <is>
          <t>#261</t>
        </is>
      </c>
      <c r="B10" s="19" t="inlineStr">
        <is>
          <t>WHK-4256</t>
        </is>
      </c>
      <c r="C10" s="19" t="inlineStr">
        <is>
          <t>RN-INV#227</t>
        </is>
      </c>
      <c r="D10" s="19" t="inlineStr">
        <is>
          <t>OD623 تيسبيسيا</t>
        </is>
      </c>
      <c r="E10" s="19" t="n">
        <v>4</v>
      </c>
      <c r="F10" s="19" t="n">
        <v>4</v>
      </c>
      <c r="G10" s="19" t="n">
        <v>49.5</v>
      </c>
      <c r="H10" s="19" t="n">
        <v>60</v>
      </c>
      <c r="I10" s="20">
        <f>E10*G10-F10*H10</f>
        <v/>
      </c>
      <c r="J10" s="19" t="inlineStr">
        <is>
          <t>الكمية مطابقة – السعر مختلف</t>
        </is>
      </c>
    </row>
    <row r="11">
      <c r="A11" s="17" t="inlineStr">
        <is>
          <t>#269</t>
        </is>
      </c>
      <c r="B11" s="17" t="inlineStr">
        <is>
          <t>WHK-4275</t>
        </is>
      </c>
      <c r="C11" s="17" t="inlineStr">
        <is>
          <t>RN-INV#231</t>
        </is>
      </c>
      <c r="D11" s="17" t="inlineStr">
        <is>
          <t>OD569 فينكا</t>
        </is>
      </c>
      <c r="E11" s="17" t="n">
        <v>37400</v>
      </c>
      <c r="F11" s="17" t="n">
        <v>37400</v>
      </c>
      <c r="G11" s="17" t="n">
        <v>0.55</v>
      </c>
      <c r="H11" s="17" t="n">
        <v>0.55</v>
      </c>
      <c r="I11" s="18">
        <f>E11*G11-F11*H11</f>
        <v/>
      </c>
      <c r="J11" s="17" t="inlineStr">
        <is>
          <t>الكمية مطابقة والسعر مطابق</t>
        </is>
      </c>
    </row>
    <row r="12">
      <c r="A12" s="17" t="inlineStr">
        <is>
          <t>#269</t>
        </is>
      </c>
      <c r="B12" s="17" t="inlineStr">
        <is>
          <t>WHK-4275</t>
        </is>
      </c>
      <c r="C12" s="17" t="inlineStr">
        <is>
          <t>RN-INV#231</t>
        </is>
      </c>
      <c r="D12" s="17" t="inlineStr">
        <is>
          <t>OD567 كيليوس</t>
        </is>
      </c>
      <c r="E12" s="17" t="n">
        <v>2200</v>
      </c>
      <c r="F12" s="17" t="n">
        <v>2200</v>
      </c>
      <c r="G12" s="17" t="n">
        <v>0.55</v>
      </c>
      <c r="H12" s="17" t="n">
        <v>0.55</v>
      </c>
      <c r="I12" s="18">
        <f>E12*G12-F12*H12</f>
        <v/>
      </c>
      <c r="J12" s="17" t="inlineStr">
        <is>
          <t>الكمية مطابقة والسعر مطابق</t>
        </is>
      </c>
    </row>
    <row r="13">
      <c r="A13" s="17" t="inlineStr">
        <is>
          <t>#279</t>
        </is>
      </c>
      <c r="B13" s="17" t="inlineStr">
        <is>
          <t>WHK-4291</t>
        </is>
      </c>
      <c r="C13" s="17" t="inlineStr">
        <is>
          <t>RN-INV#239</t>
        </is>
      </c>
      <c r="D13" s="17" t="inlineStr">
        <is>
          <t>OD569 فينكا</t>
        </is>
      </c>
      <c r="E13" s="17" t="n">
        <v>5700</v>
      </c>
      <c r="F13" s="17" t="n">
        <v>5700</v>
      </c>
      <c r="G13" s="17" t="n">
        <v>0.55</v>
      </c>
      <c r="H13" s="17" t="n">
        <v>0.55</v>
      </c>
      <c r="I13" s="18">
        <f>E13*G13-F13*H13</f>
        <v/>
      </c>
      <c r="J13" s="17" t="inlineStr">
        <is>
          <t>الكمية مطابقة والسعر مطابق</t>
        </is>
      </c>
    </row>
    <row r="14">
      <c r="A14" s="17" t="inlineStr">
        <is>
          <t>#285</t>
        </is>
      </c>
      <c r="B14" s="17" t="inlineStr">
        <is>
          <t>WHK-4305</t>
        </is>
      </c>
      <c r="C14" s="17" t="inlineStr">
        <is>
          <t>RN-INV#243</t>
        </is>
      </c>
      <c r="D14" s="17" t="inlineStr">
        <is>
          <t>OD569 فينكا</t>
        </is>
      </c>
      <c r="E14" s="17" t="n">
        <v>5500</v>
      </c>
      <c r="F14" s="17" t="n">
        <v>5500</v>
      </c>
      <c r="G14" s="17" t="n">
        <v>0.55</v>
      </c>
      <c r="H14" s="17" t="n">
        <v>0.55</v>
      </c>
      <c r="I14" s="18">
        <f>E14*G14-F14*H14</f>
        <v/>
      </c>
      <c r="J14" s="17" t="inlineStr">
        <is>
          <t>الكمية مطابقة والسعر مطابق</t>
        </is>
      </c>
    </row>
    <row r="15">
      <c r="A15" s="19" t="inlineStr">
        <is>
          <t>#296</t>
        </is>
      </c>
      <c r="B15" s="19" t="inlineStr">
        <is>
          <t>WHK-4323</t>
        </is>
      </c>
      <c r="C15" s="19" t="inlineStr">
        <is>
          <t>RN-INV#250</t>
        </is>
      </c>
      <c r="D15" s="19" t="inlineStr">
        <is>
          <t>OD564 امرانتس</t>
        </is>
      </c>
      <c r="E15" s="19" t="n">
        <v>1500</v>
      </c>
      <c r="F15" s="19" t="n">
        <v>1500</v>
      </c>
      <c r="G15" s="19" t="n">
        <v>0.55</v>
      </c>
      <c r="H15" s="19" t="n">
        <v>0.5</v>
      </c>
      <c r="I15" s="20">
        <f>E15*G15-F15*H15</f>
        <v/>
      </c>
      <c r="J15" s="19" t="inlineStr">
        <is>
          <t>الكمية مطابقة – السعر مختلف</t>
        </is>
      </c>
    </row>
    <row r="16">
      <c r="A16" s="21" t="inlineStr">
        <is>
          <t>الإجمالي</t>
        </is>
      </c>
      <c r="B16" s="21" t="inlineStr"/>
      <c r="C16" s="21" t="inlineStr"/>
      <c r="D16" s="21" t="inlineStr"/>
      <c r="E16" s="21" t="inlineStr"/>
      <c r="F16" s="21" t="inlineStr"/>
      <c r="G16" s="21" t="inlineStr"/>
      <c r="H16" s="21" t="inlineStr"/>
      <c r="I16" s="22">
        <f>SUM(I3:I15)</f>
        <v/>
      </c>
      <c r="J16" s="21" t="n"/>
    </row>
    <row r="17" ht="34" customHeight="1">
      <c r="A17" s="23" t="inlineStr"/>
    </row>
    <row r="18" ht="34" customHeight="1">
      <c r="A18" s="2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2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2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2026-09-28T00:32:34Z</dcterms:created>
  <dcterms:modified xsi:type="dcterms:W3CDTF">2026-09-28T00:44:31Z</dcterms:modified>
</cp:coreProperties>
</file>