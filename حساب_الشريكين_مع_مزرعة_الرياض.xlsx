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شركاء" sheetId="1" state="visible" r:id="rId1"/>
    <sheet name="أبو خالد - بساتين الرياض" sheetId="2" state="visible" r:id="rId2"/>
    <sheet name="أبو مازن - نسما الشرق (تبوك)" sheetId="3" state="visible" r:id="rId3"/>
    <sheet name="بنود تحتاج تحديد الممول" sheetId="4" state="visible" r:id="rId4"/>
    <sheet name="تحقق مسحوبات أبو خالد 24.2-3.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5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4" fontId="3" fillId="5" borderId="1" applyAlignment="1" pivotButton="0" quotePrefix="0" xfId="0">
      <alignment vertical="top" wrapText="1"/>
    </xf>
    <xf numFmtId="0" fontId="3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3" fillId="5" borderId="1" pivotButton="0" quotePrefix="0" xfId="0"/>
    <xf numFmtId="4" fontId="3" fillId="5" borderId="1" pivotButton="0" quotePrefix="0" xfId="0"/>
    <xf numFmtId="0" fontId="4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3" fillId="5" borderId="0" pivotButton="0" quotePrefix="0" xfId="0"/>
    <xf numFmtId="4" fontId="3" fillId="5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60" customWidth="1" min="4" max="4"/>
  </cols>
  <sheetData>
    <row r="1">
      <c r="A1" s="1" t="inlineStr">
        <is>
          <t>ملخص حساب الشريكين مع مزرعة الرياض</t>
        </is>
      </c>
    </row>
    <row r="2">
      <c r="A2" t="inlineStr">
        <is>
          <t>أبو خالد = مؤسسة بساتين الرياض | أبو مازن = شركة نسما الشرق (مزرعة تبوك) – الشريكان في مزرعة الرياض</t>
        </is>
      </c>
    </row>
    <row r="4">
      <c r="A4" s="2" t="inlineStr">
        <is>
          <t>البند</t>
        </is>
      </c>
      <c r="B4" s="2" t="inlineStr">
        <is>
          <t>أبو خالد – بساتين الرياض</t>
        </is>
      </c>
      <c r="C4" s="2" t="inlineStr">
        <is>
          <t>أبو مازن – نسما الشرق</t>
        </is>
      </c>
      <c r="D4" s="2" t="inlineStr">
        <is>
          <t>ملاحظة</t>
        </is>
      </c>
    </row>
    <row r="5">
      <c r="A5" s="3" t="inlineStr">
        <is>
          <t>1) المسحوبات المباشرة من المزرعة (مديونية عليه)</t>
        </is>
      </c>
      <c r="B5" s="4">
        <f>'أبو خالد - بساتين الرياض'!C7</f>
        <v/>
      </c>
      <c r="C5" s="4">
        <f>'أبو مازن - نسما الشرق (تبوك)'!C9</f>
        <v/>
      </c>
      <c r="D5" s="3" t="inlineStr">
        <is>
          <t>بضاعة مسحوبة/مباعة لحسابه</t>
        </is>
      </c>
    </row>
    <row r="6">
      <c r="A6" s="3" t="inlineStr">
        <is>
          <t>2) المسحوبات النقدية من خزنة المزرعة (مديونية عليه)</t>
        </is>
      </c>
      <c r="B6" s="4">
        <f>'أبو خالد - بساتين الرياض'!C21</f>
        <v/>
      </c>
      <c r="C6" s="4">
        <f>'أبو مازن - نسما الشرق (تبوك)'!C24</f>
        <v/>
      </c>
      <c r="D6" s="3" t="inlineStr"/>
    </row>
    <row r="7">
      <c r="A7" s="5" t="inlineStr">
        <is>
          <t>إجمالي المديونية عليه</t>
        </is>
      </c>
      <c r="B7" s="6">
        <f>B5+B6</f>
        <v/>
      </c>
      <c r="C7" s="6">
        <f>C5+C6</f>
        <v/>
      </c>
      <c r="D7" s="5" t="inlineStr"/>
    </row>
    <row r="8">
      <c r="A8" s="3" t="inlineStr">
        <is>
          <t>3) الدعم المقدم للمزرعة (حق له)</t>
        </is>
      </c>
      <c r="B8" s="4">
        <f>'أبو خالد - بساتين الرياض'!C15</f>
        <v/>
      </c>
      <c r="C8" s="4">
        <f>'أبو مازن - نسما الشرق (تبوك)'!C19</f>
        <v/>
      </c>
      <c r="D8" s="3" t="inlineStr">
        <is>
          <t>مصروفات وسدادات ومشتريات دفعها عن المزرعة</t>
        </is>
      </c>
    </row>
    <row r="9">
      <c r="A9" s="5" t="inlineStr">
        <is>
          <t>الصافي المبدئي (موجب = مديونية عليه للمزرعة / سالب = مستحق له)</t>
        </is>
      </c>
      <c r="B9" s="6">
        <f>B7-B8</f>
        <v/>
      </c>
      <c r="C9" s="6">
        <f>C7-C8</f>
        <v/>
      </c>
      <c r="D9" s="5" t="inlineStr">
        <is>
          <t>⚠ مبدئي – قبل تحديد ممول بنود التأسيس والتشغيل قبل الفترة (1,368,006.47) وأسعار مسحوبات قبل الفترة</t>
        </is>
      </c>
    </row>
    <row r="11">
      <c r="A11" s="7" t="inlineStr">
        <is>
          <t>بنود لم تُوزع بعد على الشريكين</t>
        </is>
      </c>
      <c r="B11" s="8">
        <f>'بنود تحتاج تحديد الممول'!C7</f>
        <v/>
      </c>
      <c r="C11" t="inlineStr"/>
      <c r="D11" t="inlineStr">
        <is>
          <t>مصروفات التأسيس من البنوك + تشغيل قبل الفترة – يلزم تحديد من دفعها</t>
        </is>
      </c>
    </row>
    <row r="12" ht="40" customHeight="1">
      <c r="A12" s="9" t="inlineStr"/>
    </row>
    <row r="13" ht="40" customHeight="1">
      <c r="A13" s="9" t="inlineStr">
        <is>
          <t>ملاحظات أساسية:</t>
        </is>
      </c>
    </row>
    <row r="14" ht="40" customHeight="1">
      <c r="A14" s="9" t="inlineStr">
        <is>
          <t>1) حساب أبو خالد: كشف الخزنة يُظهر لحسابه مبيعات 600,335.25 وسدادات 763,323.81 (رصيد دائن 162,988.56 لصالحه) – الفرق عن 761,583.25 هنا لأن الكشف سجّل عقد عرعر بالمسلّم 367,803.75 وسجّل ما قبل 1-11-2025 كقيد تسوية 62,937.</t>
        </is>
      </c>
    </row>
    <row r="15" ht="40" customHeight="1">
      <c r="A15" s="9" t="inlineStr">
        <is>
          <t>2) سند مسحوبات بساتين الرياض (24.2–3.6.2026) كله من عقود أبو خالد ومدرج في مبيعاته – لا يُضاف مرة أخرى. التفاصيل في شيت التحقق.</t>
        </is>
      </c>
    </row>
    <row r="16" ht="40" customHeight="1">
      <c r="A16" s="9" t="inlineStr">
        <is>
          <t>3) مسحوبات نسما من الرياض محسوبة بقيم النظام (426,293.23). لو اعتُمدت أسعار التحويل الخاصة بالمحاسب فالرقم يتغير – يلزم الاتفاق على الأسعار.</t>
        </is>
      </c>
    </row>
    <row r="17" ht="40" customHeight="1">
      <c r="A17" s="9" t="inlineStr">
        <is>
          <t>4) مبلغ 100,000 المنصرف لأبو خالد كان "بتعليمات أبو مازن".</t>
        </is>
      </c>
    </row>
    <row r="18" ht="40" customHeight="1">
      <c r="A18" s="9" t="inlineStr">
        <is>
          <t>5) لم تُحتسب هنا: أرصدة عهد لم تُسوَّ (1,543.91)، ومديونيات الموردين الخارجيين (الجزيرة 21,250) لأنها ليست على أي من الشريكين.</t>
        </is>
      </c>
    </row>
  </sheetData>
  <mergeCells count="9">
    <mergeCell ref="A1:D1"/>
    <mergeCell ref="A17:D17"/>
    <mergeCell ref="A18:D18"/>
    <mergeCell ref="A12:D12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17" customWidth="1" min="3" max="3"/>
    <col width="40" customWidth="1" min="4" max="4"/>
    <col width="70" customWidth="1" min="5" max="5"/>
  </cols>
  <sheetData>
    <row r="1">
      <c r="A1" s="1" t="inlineStr">
        <is>
          <t>حساب م/ عادل أبو خالد – مؤسسة بساتين الرياض مع مزرعة الرياض</t>
        </is>
      </c>
    </row>
    <row r="3">
      <c r="A3" s="10" t="inlineStr">
        <is>
          <t>أولاً: المسحوبات المباشرة من مزرعة الرياض (مديونية على أبو خالد)</t>
        </is>
      </c>
    </row>
    <row r="4">
      <c r="A4" s="11" t="inlineStr">
        <is>
          <t>م</t>
        </is>
      </c>
      <c r="B4" s="11" t="inlineStr">
        <is>
          <t>البند</t>
        </is>
      </c>
      <c r="C4" s="11" t="inlineStr">
        <is>
          <t>المبلغ</t>
        </is>
      </c>
      <c r="D4" s="11" t="inlineStr">
        <is>
          <t>المصدر</t>
        </is>
      </c>
      <c r="E4" s="11" t="inlineStr">
        <is>
          <t>ملاحظة</t>
        </is>
      </c>
    </row>
    <row r="5">
      <c r="A5" s="3" t="n">
        <v>1</v>
      </c>
      <c r="B5" s="3" t="inlineStr">
        <is>
          <t>مبيعات/مسحوبات عقود WHK (30-7-2025 إلى 31-7-2026) شاملة عقد عرعر بالقيمة الكاملة 440,000</t>
        </is>
      </c>
      <c r="C5" s="4" t="n">
        <v>761583.25</v>
      </c>
      <c r="D5" s="3" t="inlineStr">
        <is>
          <t>ملف إجمالي مبيعات المناديب – مبيعات أبو خالد</t>
        </is>
      </c>
      <c r="E5" s="3" t="inlineStr">
        <is>
          <t>47 عقد – منها بنود سند المسحوبات 24.2–3.6.2026 (مدرجة ضمنها ولا تُحسب مرتين)</t>
        </is>
      </c>
    </row>
    <row r="6">
      <c r="A6" s="12" t="n">
        <v>2</v>
      </c>
      <c r="B6" s="12" t="inlineStr">
        <is>
          <t>مبيعات مزرعة الرياض قبل الفترة (1-10-2024 إلى 30-6-2025)</t>
        </is>
      </c>
      <c r="C6" s="13" t="n">
        <v>610688</v>
      </c>
      <c r="D6" s="12" t="inlineStr">
        <is>
          <t>ملف المبيعات – شيت مبيعات قبل 30.7.2025</t>
        </is>
      </c>
      <c r="E6" s="12" t="inlineStr">
        <is>
          <t>⚠ مفترض أن أبو خالد هو من حصّل هذه المبيعات (لأن مصروفات الفترة دُفعت منه "من المبيعات") – يلزم التأكيد</t>
        </is>
      </c>
    </row>
    <row r="7">
      <c r="A7" s="14" t="inlineStr"/>
      <c r="B7" s="14" t="inlineStr">
        <is>
          <t>الإجمالي</t>
        </is>
      </c>
      <c r="C7" s="15">
        <f>SUM(C5:C6)</f>
        <v/>
      </c>
      <c r="D7" s="14" t="n"/>
      <c r="E7" s="14" t="n"/>
    </row>
    <row r="9">
      <c r="A9" s="10" t="inlineStr">
        <is>
          <t>ثانياً: المبالغ التي دعم بها أبو خالد مزرعة الرياض (حق لأبو خالد)</t>
        </is>
      </c>
    </row>
    <row r="10">
      <c r="A10" s="11" t="inlineStr">
        <is>
          <t>م</t>
        </is>
      </c>
      <c r="B10" s="11" t="inlineStr">
        <is>
          <t>البند</t>
        </is>
      </c>
      <c r="C10" s="11" t="inlineStr">
        <is>
          <t>المبلغ</t>
        </is>
      </c>
      <c r="D10" s="11" t="inlineStr">
        <is>
          <t>المصدر</t>
        </is>
      </c>
      <c r="E10" s="11" t="inlineStr">
        <is>
          <t>ملاحظة</t>
        </is>
      </c>
    </row>
    <row r="11">
      <c r="A11" s="3" t="n">
        <v>1</v>
      </c>
      <c r="B11" s="3" t="inlineStr">
        <is>
          <t>مصروفات تشغيل دفعها من المبيعات (10-2024 إلى 6-2025)</t>
        </is>
      </c>
      <c r="C11" s="4" t="n">
        <v>413236</v>
      </c>
      <c r="D11" s="3" t="inlineStr">
        <is>
          <t>ملف المصاريف التشغيلية – مصروفات قبل 30.7.2025</t>
        </is>
      </c>
      <c r="E11" s="3" t="inlineStr">
        <is>
          <t>إجماليات ربع سنوية بدون تفصيل</t>
        </is>
      </c>
    </row>
    <row r="12">
      <c r="A12" s="3" t="n">
        <v>2</v>
      </c>
      <c r="B12" s="3" t="inlineStr">
        <is>
          <t>سدادات وتوريدات نقدية مسجلة لحسابه بكشف الخزنة (Cash Payment)</t>
        </is>
      </c>
      <c r="C12" s="4" t="n">
        <v>763323.8100000001</v>
      </c>
      <c r="D12" s="3" t="inlineStr">
        <is>
          <t>كشف الحساب – عميل 5000</t>
        </is>
      </c>
      <c r="E12" s="3" t="inlineStr">
        <is>
          <t>تشمل: توريدات نقدية من المبيعات + سداد مشتريات عن المزرعة (زهور الجزيرة 196,225 – بذور بساتين قديم 147,745.75 – جهنمية 37,550 – سايكس 12,000 – غرس نجد 14,515 – بيتموس 53,475 – مراكن 20,000 ...)</t>
        </is>
      </c>
    </row>
    <row r="13">
      <c r="A13" s="3" t="n">
        <v>3</v>
      </c>
      <c r="B13" s="3" t="inlineStr">
        <is>
          <t>أوامر شراء من بساتين الرياض لم تُسدد – PO-1023</t>
        </is>
      </c>
      <c r="C13" s="4" t="n">
        <v>33950</v>
      </c>
      <c r="D13" s="3" t="inlineStr">
        <is>
          <t>ملف أوامر الشراء 2026</t>
        </is>
      </c>
      <c r="E13" s="3" t="inlineStr">
        <is>
          <t>غير مدفوع – مستلم بالكامل</t>
        </is>
      </c>
    </row>
    <row r="14">
      <c r="A14" s="12" t="n">
        <v>4</v>
      </c>
      <c r="B14" s="12" t="inlineStr">
        <is>
          <t>أوامر شراء من بساتين الرياض مدفوعة جزئياً – PO-0777</t>
        </is>
      </c>
      <c r="C14" s="13" t="n">
        <v>66420</v>
      </c>
      <c r="D14" s="12" t="inlineStr">
        <is>
          <t>ملف أوامر الشراء 2026</t>
        </is>
      </c>
      <c r="E14" s="12" t="inlineStr">
        <is>
          <t>⚠ القيمة كاملة – يُخصم منها المسدد عند معرفته</t>
        </is>
      </c>
    </row>
    <row r="15">
      <c r="A15" s="14" t="inlineStr"/>
      <c r="B15" s="14" t="inlineStr">
        <is>
          <t>الإجمالي</t>
        </is>
      </c>
      <c r="C15" s="15">
        <f>SUM(C11:C14)</f>
        <v/>
      </c>
      <c r="D15" s="14" t="n"/>
      <c r="E15" s="14" t="n"/>
    </row>
    <row r="17">
      <c r="A17" s="10" t="inlineStr">
        <is>
          <t>ثالثاً: مسحوبات نقدية من خزنة مزرعة الرياض (مديونية على أبو خالد)</t>
        </is>
      </c>
    </row>
    <row r="18">
      <c r="A18" s="11" t="inlineStr">
        <is>
          <t>م</t>
        </is>
      </c>
      <c r="B18" s="11" t="inlineStr">
        <is>
          <t>البند</t>
        </is>
      </c>
      <c r="C18" s="11" t="inlineStr">
        <is>
          <t>المبلغ</t>
        </is>
      </c>
      <c r="D18" s="11" t="inlineStr">
        <is>
          <t>المصدر</t>
        </is>
      </c>
      <c r="E18" s="11" t="inlineStr">
        <is>
          <t>ملاحظة</t>
        </is>
      </c>
    </row>
    <row r="19">
      <c r="A19" s="3" t="n">
        <v>1</v>
      </c>
      <c r="B19" s="3" t="inlineStr">
        <is>
          <t>منصرف لأبو خالد بتعليمات أبو مازن (9-3-2026)</t>
        </is>
      </c>
      <c r="C19" s="4" t="n">
        <v>100000</v>
      </c>
      <c r="D19" s="3" t="inlineStr">
        <is>
          <t>كشف الخزنة – مصروف رقم 131</t>
        </is>
      </c>
      <c r="E19" s="3" t="inlineStr"/>
    </row>
    <row r="20">
      <c r="A20" s="3" t="n">
        <v>2</v>
      </c>
      <c r="B20" s="3" t="inlineStr">
        <is>
          <t>تسديد لأبو خالد من المديونية (18-5-2026)</t>
        </is>
      </c>
      <c r="C20" s="4" t="n">
        <v>2000</v>
      </c>
      <c r="D20" s="3" t="inlineStr">
        <is>
          <t>كشف الخزنة – مستند 156 على حسابه</t>
        </is>
      </c>
      <c r="E20" s="3" t="inlineStr"/>
    </row>
    <row r="21">
      <c r="A21" s="14" t="inlineStr"/>
      <c r="B21" s="14" t="inlineStr">
        <is>
          <t>الإجمالي</t>
        </is>
      </c>
      <c r="C21" s="15">
        <f>SUM(C19:C20)</f>
        <v/>
      </c>
      <c r="D21" s="14" t="n"/>
      <c r="E21" s="14" t="n"/>
    </row>
  </sheetData>
  <mergeCells count="4">
    <mergeCell ref="A1:E1"/>
    <mergeCell ref="A9:E9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17" customWidth="1" min="3" max="3"/>
    <col width="40" customWidth="1" min="4" max="4"/>
    <col width="70" customWidth="1" min="5" max="5"/>
  </cols>
  <sheetData>
    <row r="1">
      <c r="A1" s="1" t="inlineStr">
        <is>
          <t>حساب أبو مازن – شركة نسما الشرق (مزرعة تبوك) مع مزرعة الرياض</t>
        </is>
      </c>
    </row>
    <row r="3">
      <c r="A3" s="10" t="inlineStr">
        <is>
          <t>أولاً: المسحوبات المباشرة من مزرعة الرياض (مديونية على نسما/أبو مازن)</t>
        </is>
      </c>
    </row>
    <row r="4">
      <c r="A4" s="11" t="inlineStr">
        <is>
          <t>م</t>
        </is>
      </c>
      <c r="B4" s="11" t="inlineStr">
        <is>
          <t>البند</t>
        </is>
      </c>
      <c r="C4" s="11" t="inlineStr">
        <is>
          <t>المبلغ</t>
        </is>
      </c>
      <c r="D4" s="11" t="inlineStr">
        <is>
          <t>المصدر</t>
        </is>
      </c>
      <c r="E4" s="11" t="inlineStr">
        <is>
          <t>ملاحظة</t>
        </is>
      </c>
    </row>
    <row r="5">
      <c r="A5" s="12" t="n">
        <v>1</v>
      </c>
      <c r="B5" s="12" t="inlineStr">
        <is>
          <t>ترحيلات من الرياض إلى تبوك RNT (30-7-2025 إلى 31-7-2026)</t>
        </is>
      </c>
      <c r="C5" s="13" t="n">
        <v>113528.81</v>
      </c>
      <c r="D5" s="12" t="inlineStr">
        <is>
          <t>ملف حركات المواد – بقيم النظام</t>
        </is>
      </c>
      <c r="E5" s="12" t="inlineStr">
        <is>
          <t>⚠ بقيم النظام (القديم شامل ضريبة/الجديد بدون). شيت المحاسب بأسعار التحويل: 334,662.95 لـ RNT+RNP مع سندات ناقصة</t>
        </is>
      </c>
    </row>
    <row r="6">
      <c r="A6" s="3" t="n">
        <v>2</v>
      </c>
      <c r="B6" s="3" t="inlineStr">
        <is>
          <t>ترحيلات إلى قسم المشاريع تبوك RNP (30-7-2025 إلى 31-7-2026)</t>
        </is>
      </c>
      <c r="C6" s="4" t="n">
        <v>312764.42</v>
      </c>
      <c r="D6" s="3" t="inlineStr">
        <is>
          <t>ملف حركات المواد – بقيم النظام</t>
        </is>
      </c>
      <c r="E6" s="3" t="inlineStr">
        <is>
          <t>يشمل 17 سند ISV أُضيفت من ملف التفصيل</t>
        </is>
      </c>
    </row>
    <row r="7">
      <c r="A7" s="3" t="n">
        <v>3</v>
      </c>
      <c r="B7" s="3" t="inlineStr">
        <is>
          <t>تكاليف نقل خارج الرياض لصالح تبوك (15,290 كم × 1.30)</t>
        </is>
      </c>
      <c r="C7" s="4" t="n">
        <v>19877</v>
      </c>
      <c r="D7" s="3" t="inlineStr">
        <is>
          <t>ملف مراجعة المسحوبات – شيت المصاريف الإدارية</t>
        </is>
      </c>
      <c r="E7" s="3" t="inlineStr"/>
    </row>
    <row r="8">
      <c r="A8" s="12" t="n">
        <v>4</v>
      </c>
      <c r="B8" s="12" t="inlineStr">
        <is>
          <t>مسحوبات قبل الفترة – أوامر شراء P00480 إلى P00523 (102,875 حبة)</t>
        </is>
      </c>
      <c r="C8" s="13" t="n">
        <v>0</v>
      </c>
      <c r="D8" s="12" t="inlineStr">
        <is>
          <t>ملف مراجعة المسحوبات – مسحوبات قبل الفترة</t>
        </is>
      </c>
      <c r="E8" s="12" t="inlineStr">
        <is>
          <t>⚠ بدون أسعار – تُدخل يدوياً</t>
        </is>
      </c>
    </row>
    <row r="9">
      <c r="A9" s="14" t="inlineStr"/>
      <c r="B9" s="14" t="inlineStr">
        <is>
          <t>الإجمالي</t>
        </is>
      </c>
      <c r="C9" s="15">
        <f>SUM(C5:C8)</f>
        <v/>
      </c>
      <c r="D9" s="14" t="n"/>
      <c r="E9" s="14" t="n"/>
    </row>
    <row r="11">
      <c r="A11" s="10" t="inlineStr">
        <is>
          <t>ثانياً: المبالغ التي دعمت بها نسما/أبو مازن مزرعة الرياض (حق لنسما)</t>
        </is>
      </c>
    </row>
    <row r="12">
      <c r="A12" s="11" t="inlineStr">
        <is>
          <t>م</t>
        </is>
      </c>
      <c r="B12" s="11" t="inlineStr">
        <is>
          <t>البند</t>
        </is>
      </c>
      <c r="C12" s="11" t="inlineStr">
        <is>
          <t>المبلغ</t>
        </is>
      </c>
      <c r="D12" s="11" t="inlineStr">
        <is>
          <t>المصدر</t>
        </is>
      </c>
      <c r="E12" s="11" t="inlineStr">
        <is>
          <t>ملاحظة</t>
        </is>
      </c>
    </row>
    <row r="13">
      <c r="A13" s="3" t="n">
        <v>1</v>
      </c>
      <c r="B13" s="3" t="inlineStr">
        <is>
          <t>ترحيلات من تبوك إلى الرياض TNR (30-7-2025 إلى 31-7-2026)</t>
        </is>
      </c>
      <c r="C13" s="4" t="n">
        <v>91545.48</v>
      </c>
      <c r="D13" s="3" t="inlineStr">
        <is>
          <t>ملف حركات المواد – بقيم النظام</t>
        </is>
      </c>
      <c r="E13" s="3" t="inlineStr">
        <is>
          <t>شيت المحاسب: 32,450 فقط (ناقص TNR-2689 و TNR-2888 و TRF-0188)</t>
        </is>
      </c>
    </row>
    <row r="14">
      <c r="A14" s="3" t="n">
        <v>2</v>
      </c>
      <c r="B14" s="3" t="inlineStr">
        <is>
          <t>مصروفات إدارية 2025 (إقامات وتأشيرات ونقل كفالات)</t>
        </is>
      </c>
      <c r="C14" s="4" t="n">
        <v>56125</v>
      </c>
      <c r="D14" s="3" t="inlineStr">
        <is>
          <t>كشف المصاريف الإدارية – البنود 49–55</t>
        </is>
      </c>
      <c r="E14" s="3" t="inlineStr"/>
    </row>
    <row r="15">
      <c r="A15" s="3" t="n">
        <v>3</v>
      </c>
      <c r="B15" s="3" t="inlineStr">
        <is>
          <t>مصروفات إدارية وحكومية 2026 حتى 31-7 (تشمل إيجار المزرعة 150,000)</t>
        </is>
      </c>
      <c r="C15" s="4" t="n">
        <v>173979.15</v>
      </c>
      <c r="D15" s="3" t="inlineStr">
        <is>
          <t>تقرير العهدة – المصروفات الإدارية</t>
        </is>
      </c>
      <c r="E15" s="3" t="inlineStr"/>
    </row>
    <row r="16">
      <c r="A16" s="12" t="n">
        <v>4</v>
      </c>
      <c r="B16" s="12" t="inlineStr">
        <is>
          <t>ديزل سيارتي المناديب (11-2025 إلى 7-2026)</t>
        </is>
      </c>
      <c r="C16" s="13" t="n">
        <v>35141.98</v>
      </c>
      <c r="D16" s="12" t="inlineStr">
        <is>
          <t>شيت الديزل المدفوع من نسما</t>
        </is>
      </c>
      <c r="E16" s="12" t="inlineStr">
        <is>
          <t>⚠ قد يتداخل مع ديزل العهد النقدية</t>
        </is>
      </c>
    </row>
    <row r="17">
      <c r="A17" s="12" t="n">
        <v>5</v>
      </c>
      <c r="B17" s="12" t="inlineStr">
        <is>
          <t>مشتريات 2025 مدفوعة بتحويل بنكي من تبوك</t>
        </is>
      </c>
      <c r="C17" s="13" t="n">
        <v>226679.26</v>
      </c>
      <c r="D17" s="12" t="inlineStr">
        <is>
          <t>ملف مصروفات 2025 – فلتر تحويل بنكي</t>
        </is>
      </c>
      <c r="E17" s="12" t="inlineStr">
        <is>
          <t>⚠ الرقم اليدوي بالملف 269,099.26 (فرق 42,420 بدون حركات)</t>
        </is>
      </c>
    </row>
    <row r="18">
      <c r="A18" s="3" t="n">
        <v>6</v>
      </c>
      <c r="B18" s="3" t="inlineStr">
        <is>
          <t>مصروفات تأسيس مدفوعة عن طريق أبومازن (البنود 1 و 2 و 14)</t>
        </is>
      </c>
      <c r="C18" s="4" t="n">
        <v>133770</v>
      </c>
      <c r="D18" s="3" t="inlineStr">
        <is>
          <t>كشف مصروفات التأسيس</t>
        </is>
      </c>
      <c r="E18" s="3" t="inlineStr">
        <is>
          <t>البند 14 (35,000) لسليمان الخضيري بتوجيه أبومازن</t>
        </is>
      </c>
    </row>
    <row r="19">
      <c r="A19" s="14" t="inlineStr"/>
      <c r="B19" s="14" t="inlineStr">
        <is>
          <t>الإجمالي</t>
        </is>
      </c>
      <c r="C19" s="15">
        <f>SUM(C13:C18)</f>
        <v/>
      </c>
      <c r="D19" s="14" t="n"/>
      <c r="E19" s="14" t="n"/>
    </row>
    <row r="21">
      <c r="A21" s="10" t="inlineStr">
        <is>
          <t>ثالثاً: مسحوبات نقدية من خزنة مزرعة الرياض (مديونية على نسما/أبو مازن)</t>
        </is>
      </c>
    </row>
    <row r="22">
      <c r="A22" s="11" t="inlineStr">
        <is>
          <t>م</t>
        </is>
      </c>
      <c r="B22" s="11" t="inlineStr">
        <is>
          <t>البند</t>
        </is>
      </c>
      <c r="C22" s="11" t="inlineStr">
        <is>
          <t>المبلغ</t>
        </is>
      </c>
      <c r="D22" s="11" t="inlineStr">
        <is>
          <t>المصدر</t>
        </is>
      </c>
      <c r="E22" s="11" t="inlineStr">
        <is>
          <t>ملاحظة</t>
        </is>
      </c>
    </row>
    <row r="23">
      <c r="A23" s="3" t="n">
        <v>1</v>
      </c>
      <c r="B23" s="3" t="inlineStr">
        <is>
          <t>توريد نقدي للإدارة – أبو مازن (21-5-2026)</t>
        </is>
      </c>
      <c r="C23" s="4" t="n">
        <v>13000</v>
      </c>
      <c r="D23" s="3" t="inlineStr">
        <is>
          <t>كشف الخزنة – مصروف رقم 157</t>
        </is>
      </c>
      <c r="E23" s="3" t="inlineStr"/>
    </row>
    <row r="24">
      <c r="A24" s="14" t="inlineStr"/>
      <c r="B24" s="14" t="inlineStr">
        <is>
          <t>الإجمالي</t>
        </is>
      </c>
      <c r="C24" s="15">
        <f>SUM(C23:C23)</f>
        <v/>
      </c>
      <c r="D24" s="14" t="n"/>
      <c r="E24" s="14" t="n"/>
    </row>
  </sheetData>
  <mergeCells count="4">
    <mergeCell ref="A11:E11"/>
    <mergeCell ref="A21:E21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17" customWidth="1" min="3" max="3"/>
    <col width="40" customWidth="1" min="4" max="4"/>
    <col width="70" customWidth="1" min="5" max="5"/>
  </cols>
  <sheetData>
    <row r="1">
      <c r="A1" s="1" t="inlineStr">
        <is>
          <t>بنود دعم لمزرعة الرياض غير محدد من دفعها من الشريكين</t>
        </is>
      </c>
    </row>
    <row r="3">
      <c r="A3" s="10" t="inlineStr">
        <is>
          <t>مدفوعة من حسابات بنكية (البنك السعودي / بنك الرياض / بنك ساب) – لم يُذكر صاحب الحساب</t>
        </is>
      </c>
    </row>
    <row r="4">
      <c r="A4" s="11" t="inlineStr">
        <is>
          <t>م</t>
        </is>
      </c>
      <c r="B4" s="11" t="inlineStr">
        <is>
          <t>البند</t>
        </is>
      </c>
      <c r="C4" s="11" t="inlineStr">
        <is>
          <t>المبلغ</t>
        </is>
      </c>
      <c r="D4" s="11" t="inlineStr">
        <is>
          <t>المصدر</t>
        </is>
      </c>
      <c r="E4" s="11" t="inlineStr">
        <is>
          <t>ملاحظة</t>
        </is>
      </c>
    </row>
    <row r="5">
      <c r="A5" s="12" t="n">
        <v>1</v>
      </c>
      <c r="B5" s="12" t="inlineStr">
        <is>
          <t>مصروفات التأسيس – البنود المدفوعة من البنوك</t>
        </is>
      </c>
      <c r="C5" s="13" t="n">
        <v>955965.8</v>
      </c>
      <c r="D5" s="12" t="inlineStr">
        <is>
          <t>كشف مصروفات التأسيس (1,089,735.80 − 133,770 أبومازن)</t>
        </is>
      </c>
      <c r="E5" s="12" t="inlineStr">
        <is>
          <t>⚠ يلزم تحديد أصحاب الحسابات البنكية. البند 23 (دينة عماد 123,000) تاريخه 1-11-2025</t>
        </is>
      </c>
    </row>
    <row r="6">
      <c r="A6" s="12" t="n">
        <v>2</v>
      </c>
      <c r="B6" s="12" t="inlineStr">
        <is>
          <t>مصروفات تشغيل قبل الفترة (2-2024 إلى 12-2024)</t>
        </is>
      </c>
      <c r="C6" s="13" t="n">
        <v>412040.67</v>
      </c>
      <c r="D6" s="12" t="inlineStr">
        <is>
          <t>كشف مصروفات التشغيل قبل 30.7.2025</t>
        </is>
      </c>
      <c r="E6" s="12" t="inlineStr">
        <is>
          <t>⚠ مدفوعة من البنك السعودي وبنك الرياض</t>
        </is>
      </c>
    </row>
    <row r="7">
      <c r="A7" s="14" t="inlineStr"/>
      <c r="B7" s="14" t="inlineStr">
        <is>
          <t>الإجمالي</t>
        </is>
      </c>
      <c r="C7" s="15">
        <f>SUM(C5:C6)</f>
        <v/>
      </c>
      <c r="D7" s="14" t="n"/>
      <c r="E7" s="14" t="n"/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40" customWidth="1" min="10" max="10"/>
  </cols>
  <sheetData>
    <row r="1">
      <c r="A1" s="16" t="inlineStr">
        <is>
          <t>مراجعة سند "مسحوبات بساتين الرياض من 24.2.2026 حتى 3.6.2026" مقابل فواتير أبو خالد</t>
        </is>
      </c>
    </row>
    <row r="2">
      <c r="A2" s="2" t="inlineStr">
        <is>
          <t>سند الصرف</t>
        </is>
      </c>
      <c r="B2" s="2" t="inlineStr">
        <is>
          <t>العقد</t>
        </is>
      </c>
      <c r="C2" s="2" t="inlineStr">
        <is>
          <t>الفاتورة</t>
        </is>
      </c>
      <c r="D2" s="2" t="inlineStr">
        <is>
          <t>الصنف</t>
        </is>
      </c>
      <c r="E2" s="2" t="inlineStr">
        <is>
          <t>الكمية بالسند</t>
        </is>
      </c>
      <c r="F2" s="2" t="inlineStr">
        <is>
          <t>الكمية بالفاتورة</t>
        </is>
      </c>
      <c r="G2" s="2" t="inlineStr">
        <is>
          <t>سعر السند</t>
        </is>
      </c>
      <c r="H2" s="2" t="inlineStr">
        <is>
          <t>سعر الفاتورة</t>
        </is>
      </c>
      <c r="I2" s="2" t="inlineStr">
        <is>
          <t>الفرق بالقيمة</t>
        </is>
      </c>
      <c r="J2" s="2" t="inlineStr">
        <is>
          <t>الحالة</t>
        </is>
      </c>
    </row>
    <row r="3">
      <c r="A3" s="17" t="inlineStr">
        <is>
          <t>#141</t>
        </is>
      </c>
      <c r="B3" s="17" t="inlineStr">
        <is>
          <t>WHK-3923</t>
        </is>
      </c>
      <c r="C3" s="17" t="inlineStr">
        <is>
          <t>RN-INV#166</t>
        </is>
      </c>
      <c r="D3" s="17" t="inlineStr">
        <is>
          <t>OD696 أقحوان</t>
        </is>
      </c>
      <c r="E3" s="17" t="n">
        <v>2075</v>
      </c>
      <c r="F3" s="17" t="n">
        <v>2075</v>
      </c>
      <c r="G3" s="17" t="n">
        <v>1.5</v>
      </c>
      <c r="H3" s="17" t="n">
        <v>1.5</v>
      </c>
      <c r="I3" s="18">
        <f>E3*G3-F3*H3</f>
        <v/>
      </c>
      <c r="J3" s="17" t="inlineStr">
        <is>
          <t>الكمية مطابقة والسعر مطابق</t>
        </is>
      </c>
    </row>
    <row r="4">
      <c r="A4" s="19" t="inlineStr">
        <is>
          <t>#141</t>
        </is>
      </c>
      <c r="B4" s="19" t="inlineStr">
        <is>
          <t>WHK-3923</t>
        </is>
      </c>
      <c r="C4" s="19" t="inlineStr">
        <is>
          <t>RN-INV#166</t>
        </is>
      </c>
      <c r="D4" s="19" t="inlineStr">
        <is>
          <t>OD603 جرانيوم 9</t>
        </is>
      </c>
      <c r="E4" s="19" t="n">
        <v>3000</v>
      </c>
      <c r="F4" s="19" t="n">
        <v>3000</v>
      </c>
      <c r="G4" s="19" t="n">
        <v>0.95</v>
      </c>
      <c r="H4" s="19" t="n">
        <v>1.25</v>
      </c>
      <c r="I4" s="20">
        <f>E4*G4-F4*H4</f>
        <v/>
      </c>
      <c r="J4" s="19" t="inlineStr">
        <is>
          <t>الكمية مطابقة – السعر مختلف</t>
        </is>
      </c>
    </row>
    <row r="5">
      <c r="A5" s="19" t="inlineStr">
        <is>
          <t>#261</t>
        </is>
      </c>
      <c r="B5" s="19" t="inlineStr">
        <is>
          <t>WHK-4256</t>
        </is>
      </c>
      <c r="C5" s="19" t="inlineStr">
        <is>
          <t>RN-INV#227</t>
        </is>
      </c>
      <c r="D5" s="19" t="inlineStr">
        <is>
          <t>OD562 زينيا</t>
        </is>
      </c>
      <c r="E5" s="19" t="n">
        <v>25625</v>
      </c>
      <c r="F5" s="19" t="n">
        <v>25625</v>
      </c>
      <c r="G5" s="19" t="n">
        <v>0.55</v>
      </c>
      <c r="H5" s="19" t="n">
        <v>0.5</v>
      </c>
      <c r="I5" s="20">
        <f>E5*G5-F5*H5</f>
        <v/>
      </c>
      <c r="J5" s="19" t="inlineStr">
        <is>
          <t>الكمية مطابقة – السعر مختلف</t>
        </is>
      </c>
    </row>
    <row r="6">
      <c r="A6" s="19" t="inlineStr">
        <is>
          <t>#261</t>
        </is>
      </c>
      <c r="B6" s="19" t="inlineStr">
        <is>
          <t>WHK-4256</t>
        </is>
      </c>
      <c r="C6" s="19" t="inlineStr">
        <is>
          <t>RN-INV#227</t>
        </is>
      </c>
      <c r="D6" s="19" t="inlineStr">
        <is>
          <t>OD563 سيلوزيا</t>
        </is>
      </c>
      <c r="E6" s="19" t="n">
        <v>3000</v>
      </c>
      <c r="F6" s="19" t="n">
        <v>3000</v>
      </c>
      <c r="G6" s="19" t="n">
        <v>0.55</v>
      </c>
      <c r="H6" s="19" t="n">
        <v>0.5</v>
      </c>
      <c r="I6" s="20">
        <f>E6*G6-F6*H6</f>
        <v/>
      </c>
      <c r="J6" s="19" t="inlineStr">
        <is>
          <t>الكمية مطابقة – السعر مختلف</t>
        </is>
      </c>
    </row>
    <row r="7">
      <c r="A7" s="19" t="inlineStr">
        <is>
          <t>#261</t>
        </is>
      </c>
      <c r="B7" s="19" t="inlineStr">
        <is>
          <t>WHK-4256</t>
        </is>
      </c>
      <c r="C7" s="19" t="inlineStr">
        <is>
          <t>RN-INV#227</t>
        </is>
      </c>
      <c r="D7" s="19" t="inlineStr">
        <is>
          <t>OD564 امرانتس</t>
        </is>
      </c>
      <c r="E7" s="19" t="n">
        <v>5000</v>
      </c>
      <c r="F7" s="19" t="n">
        <v>5000</v>
      </c>
      <c r="G7" s="19" t="n">
        <v>0.55</v>
      </c>
      <c r="H7" s="19" t="n">
        <v>0.5</v>
      </c>
      <c r="I7" s="20">
        <f>E7*G7-F7*H7</f>
        <v/>
      </c>
      <c r="J7" s="19" t="inlineStr">
        <is>
          <t>الكمية مطابقة – السعر مختلف</t>
        </is>
      </c>
    </row>
    <row r="8">
      <c r="A8" s="19" t="inlineStr">
        <is>
          <t>#261</t>
        </is>
      </c>
      <c r="B8" s="19" t="inlineStr">
        <is>
          <t>WHK-4256</t>
        </is>
      </c>
      <c r="C8" s="19" t="inlineStr">
        <is>
          <t>RN-INV#227</t>
        </is>
      </c>
      <c r="D8" s="19" t="inlineStr">
        <is>
          <t>OD565 جازانيا</t>
        </is>
      </c>
      <c r="E8" s="19" t="n">
        <v>4475</v>
      </c>
      <c r="F8" s="19" t="n">
        <v>4475</v>
      </c>
      <c r="G8" s="19" t="n">
        <v>0.55</v>
      </c>
      <c r="H8" s="19" t="n">
        <v>0.5</v>
      </c>
      <c r="I8" s="20">
        <f>E8*G8-F8*H8</f>
        <v/>
      </c>
      <c r="J8" s="19" t="inlineStr">
        <is>
          <t>الكمية مطابقة – السعر مختلف</t>
        </is>
      </c>
    </row>
    <row r="9">
      <c r="A9" s="19" t="inlineStr">
        <is>
          <t>#261</t>
        </is>
      </c>
      <c r="B9" s="19" t="inlineStr">
        <is>
          <t>WHK-4256</t>
        </is>
      </c>
      <c r="C9" s="19" t="inlineStr">
        <is>
          <t>RN-INV#227</t>
        </is>
      </c>
      <c r="D9" s="19" t="inlineStr">
        <is>
          <t>OD454 تيكوماريا</t>
        </is>
      </c>
      <c r="E9" s="19" t="n">
        <v>50</v>
      </c>
      <c r="F9" s="19" t="n">
        <v>50</v>
      </c>
      <c r="G9" s="19" t="n">
        <v>2.5</v>
      </c>
      <c r="H9" s="19" t="n">
        <v>4</v>
      </c>
      <c r="I9" s="20">
        <f>E9*G9-F9*H9</f>
        <v/>
      </c>
      <c r="J9" s="19" t="inlineStr">
        <is>
          <t>الكمية مطابقة – السعر مختلف</t>
        </is>
      </c>
    </row>
    <row r="10">
      <c r="A10" s="19" t="inlineStr">
        <is>
          <t>#261</t>
        </is>
      </c>
      <c r="B10" s="19" t="inlineStr">
        <is>
          <t>WHK-4256</t>
        </is>
      </c>
      <c r="C10" s="19" t="inlineStr">
        <is>
          <t>RN-INV#227</t>
        </is>
      </c>
      <c r="D10" s="19" t="inlineStr">
        <is>
          <t>OD623 تيسبيسيا</t>
        </is>
      </c>
      <c r="E10" s="19" t="n">
        <v>4</v>
      </c>
      <c r="F10" s="19" t="n">
        <v>4</v>
      </c>
      <c r="G10" s="19" t="n">
        <v>49.5</v>
      </c>
      <c r="H10" s="19" t="n">
        <v>60</v>
      </c>
      <c r="I10" s="20">
        <f>E10*G10-F10*H10</f>
        <v/>
      </c>
      <c r="J10" s="19" t="inlineStr">
        <is>
          <t>الكمية مطابقة – السعر مختلف</t>
        </is>
      </c>
    </row>
    <row r="11">
      <c r="A11" s="17" t="inlineStr">
        <is>
          <t>#269</t>
        </is>
      </c>
      <c r="B11" s="17" t="inlineStr">
        <is>
          <t>WHK-4275</t>
        </is>
      </c>
      <c r="C11" s="17" t="inlineStr">
        <is>
          <t>RN-INV#231</t>
        </is>
      </c>
      <c r="D11" s="17" t="inlineStr">
        <is>
          <t>OD569 فينكا</t>
        </is>
      </c>
      <c r="E11" s="17" t="n">
        <v>37400</v>
      </c>
      <c r="F11" s="17" t="n">
        <v>37400</v>
      </c>
      <c r="G11" s="17" t="n">
        <v>0.55</v>
      </c>
      <c r="H11" s="17" t="n">
        <v>0.55</v>
      </c>
      <c r="I11" s="18">
        <f>E11*G11-F11*H11</f>
        <v/>
      </c>
      <c r="J11" s="17" t="inlineStr">
        <is>
          <t>الكمية مطابقة والسعر مطابق</t>
        </is>
      </c>
    </row>
    <row r="12">
      <c r="A12" s="17" t="inlineStr">
        <is>
          <t>#269</t>
        </is>
      </c>
      <c r="B12" s="17" t="inlineStr">
        <is>
          <t>WHK-4275</t>
        </is>
      </c>
      <c r="C12" s="17" t="inlineStr">
        <is>
          <t>RN-INV#231</t>
        </is>
      </c>
      <c r="D12" s="17" t="inlineStr">
        <is>
          <t>OD567 كيليوس</t>
        </is>
      </c>
      <c r="E12" s="17" t="n">
        <v>2200</v>
      </c>
      <c r="F12" s="17" t="n">
        <v>2200</v>
      </c>
      <c r="G12" s="17" t="n">
        <v>0.55</v>
      </c>
      <c r="H12" s="17" t="n">
        <v>0.55</v>
      </c>
      <c r="I12" s="18">
        <f>E12*G12-F12*H12</f>
        <v/>
      </c>
      <c r="J12" s="17" t="inlineStr">
        <is>
          <t>الكمية مطابقة والسعر مطابق</t>
        </is>
      </c>
    </row>
    <row r="13">
      <c r="A13" s="17" t="inlineStr">
        <is>
          <t>#279</t>
        </is>
      </c>
      <c r="B13" s="17" t="inlineStr">
        <is>
          <t>WHK-4291</t>
        </is>
      </c>
      <c r="C13" s="17" t="inlineStr">
        <is>
          <t>RN-INV#239</t>
        </is>
      </c>
      <c r="D13" s="17" t="inlineStr">
        <is>
          <t>OD569 فينكا</t>
        </is>
      </c>
      <c r="E13" s="17" t="n">
        <v>5700</v>
      </c>
      <c r="F13" s="17" t="n">
        <v>5700</v>
      </c>
      <c r="G13" s="17" t="n">
        <v>0.55</v>
      </c>
      <c r="H13" s="17" t="n">
        <v>0.55</v>
      </c>
      <c r="I13" s="18">
        <f>E13*G13-F13*H13</f>
        <v/>
      </c>
      <c r="J13" s="17" t="inlineStr">
        <is>
          <t>الكمية مطابقة والسعر مطابق</t>
        </is>
      </c>
    </row>
    <row r="14">
      <c r="A14" s="17" t="inlineStr">
        <is>
          <t>#285</t>
        </is>
      </c>
      <c r="B14" s="17" t="inlineStr">
        <is>
          <t>WHK-4305</t>
        </is>
      </c>
      <c r="C14" s="17" t="inlineStr">
        <is>
          <t>RN-INV#243</t>
        </is>
      </c>
      <c r="D14" s="17" t="inlineStr">
        <is>
          <t>OD569 فينكا</t>
        </is>
      </c>
      <c r="E14" s="17" t="n">
        <v>5500</v>
      </c>
      <c r="F14" s="17" t="n">
        <v>5500</v>
      </c>
      <c r="G14" s="17" t="n">
        <v>0.55</v>
      </c>
      <c r="H14" s="17" t="n">
        <v>0.55</v>
      </c>
      <c r="I14" s="18">
        <f>E14*G14-F14*H14</f>
        <v/>
      </c>
      <c r="J14" s="17" t="inlineStr">
        <is>
          <t>الكمية مطابقة والسعر مطابق</t>
        </is>
      </c>
    </row>
    <row r="15">
      <c r="A15" s="19" t="inlineStr">
        <is>
          <t>#296</t>
        </is>
      </c>
      <c r="B15" s="19" t="inlineStr">
        <is>
          <t>WHK-4323</t>
        </is>
      </c>
      <c r="C15" s="19" t="inlineStr">
        <is>
          <t>RN-INV#250</t>
        </is>
      </c>
      <c r="D15" s="19" t="inlineStr">
        <is>
          <t>OD564 امرانتس</t>
        </is>
      </c>
      <c r="E15" s="19" t="n">
        <v>1500</v>
      </c>
      <c r="F15" s="19" t="n">
        <v>1500</v>
      </c>
      <c r="G15" s="19" t="n">
        <v>0.55</v>
      </c>
      <c r="H15" s="19" t="n">
        <v>0.5</v>
      </c>
      <c r="I15" s="20">
        <f>E15*G15-F15*H15</f>
        <v/>
      </c>
      <c r="J15" s="19" t="inlineStr">
        <is>
          <t>الكمية مطابقة – السعر مختلف</t>
        </is>
      </c>
    </row>
    <row r="16">
      <c r="A16" s="21" t="inlineStr">
        <is>
          <t>الإجمالي</t>
        </is>
      </c>
      <c r="B16" s="21" t="inlineStr"/>
      <c r="C16" s="21" t="inlineStr"/>
      <c r="D16" s="21" t="inlineStr"/>
      <c r="E16" s="21" t="inlineStr"/>
      <c r="F16" s="21" t="inlineStr"/>
      <c r="G16" s="21" t="inlineStr"/>
      <c r="H16" s="21" t="inlineStr"/>
      <c r="I16" s="22">
        <f>SUM(I3:I15)</f>
        <v/>
      </c>
      <c r="J16" s="21" t="n"/>
    </row>
    <row r="17" ht="34" customHeight="1">
      <c r="A17" s="23" t="inlineStr"/>
    </row>
    <row r="18" ht="34" customHeight="1">
      <c r="A18" s="23" t="inlineStr">
        <is>
          <t>النتيجة: كل بنود السند (13 بند، 6 عقود) هي مسحوبات عقود أبو خالد WHK ومطابقة للكميات في الفواتير المبدئية 166 و227 و231 و239 و243 و250، وكلها مدرجة بالفعل في مبيعات أبو خالد.</t>
        </is>
      </c>
    </row>
    <row r="19" ht="34" customHeight="1">
      <c r="A19" s="23" t="inlineStr">
        <is>
          <t>إجمالي السند 56,005.50 مقابل 55,042.50 بالفواتير (فرق 963) بسبب اختلاف الأسعار في 3 سندات: #141 الجرانيوم 0.95 بدل 1.25 (−900)، #261 أسعار السند 0.55 بدل 0.50 وتيكوماريا وتيسبيسيا أقل (+1,788)، #296 الامرانتس 0.55 بدل 0.50 (+75).</t>
        </is>
      </c>
    </row>
    <row r="20" ht="34" customHeight="1">
      <c r="A20" s="23" t="inlineStr">
        <is>
          <t>عنوان السند مكتوب "حتى 3.7.2026" بينما اسم الملف "3.6.2026" – آخر حركة بالسند 18-5-2026.</t>
        </is>
      </c>
    </row>
  </sheetData>
  <mergeCells count="5">
    <mergeCell ref="A1:J1"/>
    <mergeCell ref="A17:J17"/>
    <mergeCell ref="A18:J18"/>
    <mergeCell ref="A20:J20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2026-09-28T00:32:34Z</dcterms:created>
  <dcterms:modified xsi:type="dcterms:W3CDTF">2026-09-28T00:32:34Z</dcterms:modified>
</cp:coreProperties>
</file>