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قبل الفترة" sheetId="2" state="visible" r:id="rId2"/>
    <sheet name="مسحوبات الرياض من تبوك" sheetId="3" state="visible" r:id="rId3"/>
    <sheet name="مسحوبات تبوك من الرياض" sheetId="4" state="visible" r:id="rId4"/>
    <sheet name="سندات بالنظام غير مدرج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164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164" fontId="0" fillId="6" borderId="1" pivotButton="0" quotePrefix="0" xfId="0"/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3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2" fillId="5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15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0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25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" t="inlineStr">
        <is>
          <t>أمر الشراء</t>
        </is>
      </c>
      <c r="B4" s="2" t="inlineStr">
        <is>
          <t>مرجع الطلب</t>
        </is>
      </c>
      <c r="C4" s="2" t="inlineStr">
        <is>
          <t>تاريخ الأمر</t>
        </is>
      </c>
      <c r="D4" s="2" t="inlineStr">
        <is>
          <t>تاريخ الوصول المتوقع</t>
        </is>
      </c>
      <c r="E4" s="2" t="inlineStr">
        <is>
          <t>الصنف</t>
        </is>
      </c>
      <c r="F4" s="2" t="inlineStr">
        <is>
          <t>الكمية</t>
        </is>
      </c>
      <c r="G4" s="2" t="inlineStr">
        <is>
          <t>سعر الوحدة (يدوي)</t>
        </is>
      </c>
      <c r="H4" s="2" t="inlineStr">
        <is>
          <t>الإجمالي</t>
        </is>
      </c>
      <c r="I4" s="2" t="inlineStr">
        <is>
          <t>تكلفة البراد / النقل</t>
        </is>
      </c>
      <c r="J4" s="2" t="inlineStr">
        <is>
          <t>من تحمّل التكلفة</t>
        </is>
      </c>
      <c r="K4" s="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24" t="n">
        <v>45845</v>
      </c>
      <c r="D5" s="24" t="n">
        <v>45844</v>
      </c>
      <c r="E5" s="3" t="inlineStr">
        <is>
          <t>فينكا أبيض نقطة حمراء</t>
        </is>
      </c>
      <c r="F5" s="26" t="n">
        <v>3875</v>
      </c>
      <c r="G5" s="27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24" t="n">
        <v>45845</v>
      </c>
      <c r="D6" s="24" t="n">
        <v>45844</v>
      </c>
      <c r="E6" s="3" t="inlineStr">
        <is>
          <t>فينكا أحمر بنقطة</t>
        </is>
      </c>
      <c r="F6" s="26" t="n">
        <v>3000</v>
      </c>
      <c r="G6" s="27" t="n"/>
      <c r="H6" s="4">
        <f>F6*G6</f>
        <v/>
      </c>
      <c r="I6" s="4" t="n"/>
      <c r="J6" s="3" t="inlineStr"/>
      <c r="K6" s="3" t="inlineStr"/>
    </row>
    <row r="7">
      <c r="A7" s="3" t="inlineStr">
        <is>
          <t>P00481</t>
        </is>
      </c>
      <c r="B7" s="3" t="inlineStr">
        <is>
          <t>NS-1466</t>
        </is>
      </c>
      <c r="C7" s="24" t="n">
        <v>45845</v>
      </c>
      <c r="D7" s="24" t="n">
        <v>45844</v>
      </c>
      <c r="E7" s="3" t="inlineStr">
        <is>
          <t>فينكا أحمر</t>
        </is>
      </c>
      <c r="F7" s="26" t="n">
        <v>5000</v>
      </c>
      <c r="G7" s="27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24" t="n">
        <v>45845</v>
      </c>
      <c r="D8" s="24" t="n">
        <v>45844</v>
      </c>
      <c r="E8" s="3" t="inlineStr">
        <is>
          <t>فينكا أزرق</t>
        </is>
      </c>
      <c r="F8" s="26" t="n">
        <v>5000</v>
      </c>
      <c r="G8" s="27" t="n"/>
      <c r="H8" s="4">
        <f>F8*G8</f>
        <v/>
      </c>
      <c r="I8" s="4" t="n"/>
      <c r="J8" s="3" t="inlineStr"/>
      <c r="K8" s="3" t="inlineStr"/>
    </row>
    <row r="9">
      <c r="A9" s="3" t="inlineStr">
        <is>
          <t>P00481</t>
        </is>
      </c>
      <c r="B9" s="3" t="inlineStr">
        <is>
          <t>NS-1466</t>
        </is>
      </c>
      <c r="C9" s="24" t="n">
        <v>45845</v>
      </c>
      <c r="D9" s="24" t="n">
        <v>45844</v>
      </c>
      <c r="E9" s="3" t="inlineStr">
        <is>
          <t>فينكا أبيض</t>
        </is>
      </c>
      <c r="F9" s="26" t="n">
        <v>3000</v>
      </c>
      <c r="G9" s="27" t="n"/>
      <c r="H9" s="4">
        <f>F9*G9</f>
        <v/>
      </c>
      <c r="I9" s="4" t="n"/>
      <c r="J9" s="3" t="inlineStr"/>
      <c r="K9" s="3" t="inlineStr"/>
    </row>
    <row r="10">
      <c r="A10" s="3" t="inlineStr">
        <is>
          <t>P00481</t>
        </is>
      </c>
      <c r="B10" s="3" t="inlineStr">
        <is>
          <t>NS-1466</t>
        </is>
      </c>
      <c r="C10" s="24" t="n">
        <v>45845</v>
      </c>
      <c r="D10" s="24" t="n">
        <v>45844</v>
      </c>
      <c r="E10" s="3" t="inlineStr">
        <is>
          <t>فينكا مشمشي</t>
        </is>
      </c>
      <c r="F10" s="26" t="n">
        <v>5000</v>
      </c>
      <c r="G10" s="27" t="n"/>
      <c r="H10" s="4">
        <f>F10*G10</f>
        <v/>
      </c>
      <c r="I10" s="4" t="n"/>
      <c r="J10" s="3" t="inlineStr"/>
      <c r="K10" s="3" t="inlineStr"/>
    </row>
    <row r="11">
      <c r="A11" s="3" t="inlineStr">
        <is>
          <t>P00508</t>
        </is>
      </c>
      <c r="B11" s="3" t="inlineStr">
        <is>
          <t>49009</t>
        </is>
      </c>
      <c r="C11" s="24" t="n">
        <v>45854</v>
      </c>
      <c r="D11" s="24" t="n">
        <v>45854</v>
      </c>
      <c r="E11" s="3" t="inlineStr">
        <is>
          <t>فينكا أحمر</t>
        </is>
      </c>
      <c r="F11" s="26" t="n">
        <v>6000</v>
      </c>
      <c r="G11" s="27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24" t="n">
        <v>45854</v>
      </c>
      <c r="D12" s="24" t="n">
        <v>45854</v>
      </c>
      <c r="E12" s="3" t="inlineStr">
        <is>
          <t>فينكا أبيض</t>
        </is>
      </c>
      <c r="F12" s="26" t="n">
        <v>6000</v>
      </c>
      <c r="G12" s="27" t="n"/>
      <c r="H12" s="4">
        <f>F12*G12</f>
        <v/>
      </c>
      <c r="I12" s="4" t="n"/>
      <c r="J12" s="3" t="inlineStr"/>
      <c r="K12" s="3" t="inlineStr"/>
    </row>
    <row r="13">
      <c r="A13" s="3" t="inlineStr">
        <is>
          <t>P00519</t>
        </is>
      </c>
      <c r="B13" s="3" t="inlineStr">
        <is>
          <t>47697</t>
        </is>
      </c>
      <c r="C13" s="24" t="n">
        <v>45856</v>
      </c>
      <c r="D13" s="24" t="n">
        <v>45820</v>
      </c>
      <c r="E13" s="3" t="inlineStr">
        <is>
          <t>زهور موسمية (SEASONAL FLOWERS)</t>
        </is>
      </c>
      <c r="F13" s="26" t="n">
        <v>42000</v>
      </c>
      <c r="G13" s="27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24" t="n">
        <v>45856</v>
      </c>
      <c r="D14" s="24" t="n">
        <v>45837</v>
      </c>
      <c r="E14" s="3" t="inlineStr">
        <is>
          <t>زهور موسمية – غير شامل التوصيل</t>
        </is>
      </c>
      <c r="F14" s="26" t="n">
        <v>15000</v>
      </c>
      <c r="G14" s="27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24" t="n">
        <v>45856</v>
      </c>
      <c r="D15" s="24" t="n">
        <v>45820</v>
      </c>
      <c r="E15" s="3" t="inlineStr">
        <is>
          <t>زهور موسمية (SEASONAL FLOWERS)</t>
        </is>
      </c>
      <c r="F15" s="26" t="n">
        <v>9000</v>
      </c>
      <c r="G15" s="27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15" t="inlineStr"/>
      <c r="B16" s="15" t="inlineStr"/>
      <c r="C16" s="15" t="inlineStr"/>
      <c r="D16" s="15" t="inlineStr"/>
      <c r="E16" s="15" t="inlineStr">
        <is>
          <t>الإجمالي</t>
        </is>
      </c>
      <c r="F16" s="28">
        <f>SUM(F5:F15)</f>
        <v/>
      </c>
      <c r="G16" s="15" t="inlineStr"/>
      <c r="H16" s="16">
        <f>SUM(H5:H15)</f>
        <v/>
      </c>
      <c r="I16" s="16">
        <f>SUM(I5:I15)</f>
        <v/>
      </c>
      <c r="J16" s="15" t="n"/>
      <c r="K16" s="15" t="n"/>
    </row>
    <row r="17">
      <c r="A17" s="29" t="inlineStr"/>
    </row>
    <row r="18">
      <c r="A18" s="30" t="inlineStr">
        <is>
          <t>ملاحظات:</t>
        </is>
      </c>
    </row>
    <row r="19">
      <c r="A19" s="29" t="inlineStr">
        <is>
          <t>1) P00480 و P00481 (7-7-2025): مبلغ نقل واحد 2,800 ريال للأمرين دفعته نسما الشرق.</t>
        </is>
      </c>
    </row>
    <row r="20">
      <c r="A20" s="29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29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29" t="inlineStr">
        <is>
          <t>4) P00523: الحمولة 15,000 وتم قبول 9,000 فقط – الكمية المدرجة 9,000.</t>
        </is>
      </c>
    </row>
    <row r="23">
      <c r="A23" s="29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29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3:K23"/>
    <mergeCell ref="A24:K24"/>
    <mergeCell ref="A2:K2"/>
    <mergeCell ref="A19:K19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21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21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21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21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21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21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21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21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21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21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21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21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21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21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21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21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21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21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22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22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22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22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22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22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22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22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21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21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21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21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21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21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21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21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21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21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21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21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21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21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21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21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21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21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21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21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21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21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21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21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21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21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21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21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21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23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23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23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23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23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23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23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23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23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23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23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21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23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23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23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21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21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21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23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23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23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23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23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23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23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23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23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23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23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23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21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21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21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23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23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23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23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23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23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23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23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23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23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23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23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23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23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23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23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23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23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23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23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23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21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9" t="n">
        <v>90</v>
      </c>
      <c r="B86" s="21" t="n">
        <v>46187</v>
      </c>
      <c r="C86" s="9" t="inlineStr">
        <is>
          <t>NS-0755</t>
        </is>
      </c>
      <c r="D86" s="9" t="inlineStr">
        <is>
          <t>زهور فينكا روزا</t>
        </is>
      </c>
      <c r="E86" s="9" t="n">
        <v>3500</v>
      </c>
      <c r="F86" s="9" t="n">
        <v>0.5</v>
      </c>
      <c r="G86" s="11">
        <f>E86*F86</f>
        <v/>
      </c>
      <c r="H86" s="9" t="inlineStr">
        <is>
          <t>ISV-0010، ISV-0038</t>
        </is>
      </c>
      <c r="I86" s="9" t="n">
        <v>7005</v>
      </c>
      <c r="J86" s="9" t="inlineStr">
        <is>
          <t>يوجد فرق</t>
        </is>
      </c>
      <c r="K86" s="9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9" t="n">
        <v>91</v>
      </c>
      <c r="B87" s="21" t="n">
        <v>46187</v>
      </c>
      <c r="C87" s="9" t="inlineStr">
        <is>
          <t>NS-0755</t>
        </is>
      </c>
      <c r="D87" s="9" t="inlineStr">
        <is>
          <t>زهور زينيا</t>
        </is>
      </c>
      <c r="E87" s="9" t="n">
        <v>3500</v>
      </c>
      <c r="F87" s="9" t="n">
        <v>0.5</v>
      </c>
      <c r="G87" s="11">
        <f>E87*F87</f>
        <v/>
      </c>
      <c r="H87" s="9" t="inlineStr">
        <is>
          <t>ISV-0010، ISV-0038</t>
        </is>
      </c>
      <c r="I87" s="9" t="n"/>
      <c r="J87" s="9" t="inlineStr">
        <is>
          <t>يوجد فرق</t>
        </is>
      </c>
      <c r="K87" s="9" t="inlineStr"/>
    </row>
    <row r="88">
      <c r="A88" s="9" t="n">
        <v>92</v>
      </c>
      <c r="B88" s="21" t="n">
        <v>46187</v>
      </c>
      <c r="C88" s="9" t="inlineStr">
        <is>
          <t>NS-0755</t>
        </is>
      </c>
      <c r="D88" s="9" t="inlineStr">
        <is>
          <t>اكاسيا جلوكا من 1 - 2 متر</t>
        </is>
      </c>
      <c r="E88" s="9" t="n">
        <v>6</v>
      </c>
      <c r="F88" s="9" t="n">
        <v>25</v>
      </c>
      <c r="G88" s="11">
        <f>E88*F88</f>
        <v/>
      </c>
      <c r="H88" s="9" t="inlineStr">
        <is>
          <t>ISV-0010، ISV-0038</t>
        </is>
      </c>
      <c r="I88" s="9" t="n"/>
      <c r="J88" s="9" t="inlineStr">
        <is>
          <t>يوجد فرق</t>
        </is>
      </c>
      <c r="K88" s="9" t="inlineStr"/>
    </row>
    <row r="89">
      <c r="A89" s="9" t="n">
        <v>93</v>
      </c>
      <c r="B89" s="21" t="n">
        <v>46187</v>
      </c>
      <c r="C89" s="9" t="inlineStr">
        <is>
          <t>NS-0755</t>
        </is>
      </c>
      <c r="D89" s="9" t="inlineStr">
        <is>
          <t>كف مريم 1.5 : 2 م</t>
        </is>
      </c>
      <c r="E89" s="9" t="n">
        <v>6</v>
      </c>
      <c r="F89" s="9" t="n">
        <v>5.5</v>
      </c>
      <c r="G89" s="11">
        <f>E89*F89</f>
        <v/>
      </c>
      <c r="H89" s="9" t="inlineStr">
        <is>
          <t>ISV-0010، ISV-0038</t>
        </is>
      </c>
      <c r="I89" s="9" t="n"/>
      <c r="J89" s="9" t="inlineStr">
        <is>
          <t>يوجد فرق</t>
        </is>
      </c>
      <c r="K89" s="9" t="inlineStr"/>
    </row>
    <row r="90">
      <c r="A90" s="9" t="n">
        <v>97</v>
      </c>
      <c r="B90" s="21" t="n">
        <v>46197</v>
      </c>
      <c r="C90" s="9" t="inlineStr">
        <is>
          <t>NS-0755</t>
        </is>
      </c>
      <c r="D90" s="9" t="inlineStr">
        <is>
          <t>جهنمية كروية تايلندي كبير</t>
        </is>
      </c>
      <c r="E90" s="9" t="n">
        <v>5</v>
      </c>
      <c r="F90" s="9" t="n">
        <v>300</v>
      </c>
      <c r="G90" s="11">
        <f>E90*F90</f>
        <v/>
      </c>
      <c r="H90" s="9" t="inlineStr">
        <is>
          <t>ISV-0010، ISV-0038</t>
        </is>
      </c>
      <c r="I90" s="9" t="n"/>
      <c r="J90" s="9" t="inlineStr">
        <is>
          <t>يوجد فرق</t>
        </is>
      </c>
      <c r="K90" s="9" t="inlineStr"/>
    </row>
    <row r="91">
      <c r="A91" s="17" t="n">
        <v>94</v>
      </c>
      <c r="B91" s="23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23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23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23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23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23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21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21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21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23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23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23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21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21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21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23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23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23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23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4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4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4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4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4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4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4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4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4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4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4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4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4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4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4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2026-09-27T23:24:34Z</dcterms:modified>
</cp:coreProperties>
</file>