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راجعة" sheetId="1" state="visible" r:id="rId1"/>
    <sheet name="مسحوبات الرياض من تبوك" sheetId="2" state="visible" r:id="rId2"/>
    <sheet name="مسحوبات تبوك من الرياض" sheetId="3" state="visible" r:id="rId3"/>
    <sheet name="سندات بالنظام غير مدرج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4" fontId="0" fillId="6" borderId="1" pivotButton="0" quotePrefix="0" xfId="0"/>
    <xf numFmtId="164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0" fillId="4" borderId="1" pivotButton="0" quotePrefix="0" xfId="0"/>
    <xf numFmtId="164" fontId="0" fillId="6" borderId="1" pivotButton="0" quotePrefix="0" xfId="0"/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مراجعة شيتات المسحوبات المقدمة من المحاسب</t>
        </is>
      </c>
    </row>
    <row r="3">
      <c r="A3" s="2" t="inlineStr">
        <is>
          <t>البند</t>
        </is>
      </c>
      <c r="B3" s="2" t="inlineStr">
        <is>
          <t>مسحوبات الرياض من تبوك</t>
        </is>
      </c>
      <c r="C3" s="2" t="inlineStr">
        <is>
          <t>مسحوبات تبوك من الرياض</t>
        </is>
      </c>
      <c r="D3" s="2" t="inlineStr">
        <is>
          <t>ملاحظة</t>
        </is>
      </c>
    </row>
    <row r="4">
      <c r="A4" s="3" t="inlineStr">
        <is>
          <t>الإجمالي المكتوب بشيت المحاسب</t>
        </is>
      </c>
      <c r="B4" s="4" t="n">
        <v>32450</v>
      </c>
      <c r="C4" s="4" t="n">
        <v>282271.2</v>
      </c>
      <c r="D4" s="3" t="inlineStr"/>
    </row>
    <row r="5">
      <c r="A5" s="3" t="inlineStr">
        <is>
          <t>الإجمالي الصحيح لبنود الشيت نفسه</t>
        </is>
      </c>
      <c r="B5" s="4" t="n">
        <v>32450</v>
      </c>
      <c r="C5" s="4" t="n">
        <v>334662.95</v>
      </c>
      <c r="D5" s="3" t="inlineStr">
        <is>
          <t>⚠ معادلة الإجمالي في شيت تبوك =SUM(F19:F113) تبدأ من الصف 19 وتسقط الصفوف 6–18 (RNP-2113 و RNP-2293 و RNP-2367 و RNP-2395) بقيمة 52,391.75</t>
        </is>
      </c>
    </row>
    <row r="6">
      <c r="A6" s="3" t="inlineStr">
        <is>
          <t>فرق الإجمالي</t>
        </is>
      </c>
      <c r="B6" s="4" t="n">
        <v>0</v>
      </c>
      <c r="C6" s="4" t="n">
        <v>52391.75</v>
      </c>
      <c r="D6" s="3" t="inlineStr"/>
    </row>
    <row r="7">
      <c r="A7" s="3" t="inlineStr">
        <is>
          <t>عدد الأسطر</t>
        </is>
      </c>
      <c r="B7" s="4" t="n">
        <v>26</v>
      </c>
      <c r="C7" s="4" t="n">
        <v>108</v>
      </c>
      <c r="D7" s="3" t="inlineStr"/>
    </row>
    <row r="8">
      <c r="A8" s="3" t="inlineStr">
        <is>
          <t>أسطر – مطابق الكمية</t>
        </is>
      </c>
      <c r="B8" s="5" t="n">
        <v>0</v>
      </c>
      <c r="C8" s="5" t="n">
        <v>60</v>
      </c>
      <c r="D8" s="3" t="inlineStr"/>
    </row>
    <row r="9">
      <c r="A9" s="3" t="inlineStr">
        <is>
          <t>أسطر – يوجد فرق</t>
        </is>
      </c>
      <c r="B9" s="5" t="n">
        <v>4</v>
      </c>
      <c r="C9" s="5" t="n">
        <v>15</v>
      </c>
      <c r="D9" s="3" t="inlineStr"/>
    </row>
    <row r="10">
      <c r="A10" s="3" t="inlineStr">
        <is>
          <t>أسطر – بدون تفصيل بالنظام</t>
        </is>
      </c>
      <c r="B10" s="5" t="n">
        <v>14</v>
      </c>
      <c r="C10" s="5" t="n">
        <v>33</v>
      </c>
      <c r="D10" s="3" t="inlineStr"/>
    </row>
    <row r="11">
      <c r="A11" s="3" t="inlineStr">
        <is>
          <t>أسطر – غير موجود بالنظام</t>
        </is>
      </c>
      <c r="B11" s="5" t="n">
        <v>8</v>
      </c>
      <c r="C11" s="5" t="n">
        <v>0</v>
      </c>
      <c r="D11" s="3" t="inlineStr"/>
    </row>
    <row r="12">
      <c r="B12" s="6" t="n"/>
      <c r="C12" s="6" t="n"/>
    </row>
    <row r="13" ht="38" customHeight="1">
      <c r="A13" s="7" t="inlineStr"/>
    </row>
    <row r="14" ht="38" customHeight="1">
      <c r="A14" s="8" t="inlineStr">
        <is>
          <t>أهم الملاحظات:</t>
        </is>
      </c>
    </row>
    <row r="15" ht="38" customHeight="1">
      <c r="A15" s="7" t="inlineStr">
        <is>
          <t>1) ⚠ خطأ في معادلة إجمالي شيت "مسحوبات تبوك من الرياض": الإجمالي الصحيح 334,662.95 وليس 282,271.20 (فرق 52,391.75).</t>
        </is>
      </c>
    </row>
    <row r="16" ht="38" customHeight="1">
      <c r="A16" s="7" t="inlineStr">
        <is>
          <t>2) كل الأسطر صحيحة حسابياً (الكمية × السعر = الإجمالي) في الشيتين.</t>
        </is>
      </c>
    </row>
    <row r="17" ht="38" customHeight="1">
      <c r="A17" s="7" t="inlineStr">
        <is>
          <t>3) الأسعار في شيتات المحاسب سعر تحويل خاص (مثل بيتونيا 0.50 بدل 0.55 بالنظام، جيرانيوم 12 بسعر 3 بدل 2) – لذلك المراجعة على الكميات. القيم لا تطابق قيم النظام.</t>
        </is>
      </c>
    </row>
    <row r="18" ht="38" customHeight="1">
      <c r="A18" s="7" t="inlineStr">
        <is>
          <t>4) ⚠ أصناف أسقطها المحاسب من سندات موجودة: بيرلايت × 100 (RNT-180)، رويليا × 94 (ISV-0010)، تيكوماريا × 250 (ISV-0081)، و6 أصناف من TRF-0107 (دورانتا 1,290 – اكاليفا 60 – فل 450 – تيكوماريا 2,384 – ياسمين 580 – تجيل 2,400).</t>
        </is>
      </c>
    </row>
    <row r="19" ht="38" customHeight="1">
      <c r="A19" s="7" t="inlineStr">
        <is>
          <t>5) ⚠ سندات بالنظام غير مدرجة نهائياً بشيتات المحاسب: من تبوك: TNR-2689 (22,137.50) و TNR-2888 (23,797.81) و TRF-0188 (934.38). إلى تبوك: RNT-2166، RNT-2141، RNT-3077، RNT-3346، RNP-2297، RNP-2427، RNP-3756، ISV-0075، و RNT-1789 و RNP-1787 (يوليو–أغسطس 2025). التفاصيل في شيت "سندات بالنظام غير مدرجة".</t>
        </is>
      </c>
    </row>
    <row r="20" ht="38" customHeight="1">
      <c r="A20" s="7" t="inlineStr">
        <is>
          <t>6) ⚠ أسطر بشيت المحاسب بدون سند بالنظام: PO-213 (بيتونيا 6,000 من تبوك في 5-4-2026) و "فرق PO الشجيرات" (7 أسطر بقيمة 2,045 بدون تاريخ ولا رقم).</t>
        </is>
      </c>
    </row>
    <row r="21" ht="38" customHeight="1">
      <c r="A21" s="7" t="inlineStr">
        <is>
          <t>7) أخطاء تواريخ: TNR-1867 مكتوب 5-8-2026 والصحيح 5-8-2025. ISV-0066 مكتوب 11-6 وبالنظام 30-6-2026. "اذن صرف 319" مكتوب 3-1 وبالنظام TNR-3441 بتاريخ 1-1-2026.</t>
        </is>
      </c>
    </row>
    <row r="22" ht="38" customHeight="1">
      <c r="A22" s="7" t="inlineStr">
        <is>
          <t>8) ⚠ اذن صرف 319 / TNR-3441: الاكاليفا 60 بشيت المحاسب مقابل 6 بالنظام.</t>
        </is>
      </c>
    </row>
    <row r="23" ht="38" customHeight="1">
      <c r="A23" s="7" t="inlineStr">
        <is>
          <t>9) عقود النظام القديم قبل يناير 2026 مسجلة بالقيمة فقط بدون بنود، فلا يمكن التحقق من كميات أسطرها (ملوّنة بالأصفر "بدون تفصيل بالنظام").</t>
        </is>
      </c>
    </row>
    <row r="24" ht="38" customHeight="1">
      <c r="A24" s="7" t="inlineStr">
        <is>
          <t>10) مطابقات مؤكدة: NS-588 = ISV-0011 + ISV-0016 (3,500 زينيا) – وهذا يفسر تكرار المرجع NS-REQ-008. السيسبانيا 240 = الصافي بعد التحويل والإرجاع – صحيح.</t>
        </is>
      </c>
    </row>
  </sheetData>
  <mergeCells count="13">
    <mergeCell ref="A1:D1"/>
    <mergeCell ref="A17:D17"/>
    <mergeCell ref="A18:D18"/>
    <mergeCell ref="A23:D23"/>
    <mergeCell ref="A22:D22"/>
    <mergeCell ref="A20:D20"/>
    <mergeCell ref="A21:D21"/>
    <mergeCell ref="A15:D15"/>
    <mergeCell ref="A24:D24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" t="inlineStr">
        <is>
          <t>صف بشيت المحاسب</t>
        </is>
      </c>
      <c r="B1" s="2" t="inlineStr">
        <is>
          <t>التاريخ</t>
        </is>
      </c>
      <c r="C1" s="2" t="inlineStr">
        <is>
          <t>رقم الطلب</t>
        </is>
      </c>
      <c r="D1" s="2" t="inlineStr">
        <is>
          <t>الصنف</t>
        </is>
      </c>
      <c r="E1" s="2" t="inlineStr">
        <is>
          <t>الكمية</t>
        </is>
      </c>
      <c r="F1" s="2" t="inlineStr">
        <is>
          <t>السعر</t>
        </is>
      </c>
      <c r="G1" s="2" t="inlineStr">
        <is>
          <t>الإجمالي (محسوب)</t>
        </is>
      </c>
      <c r="H1" s="2" t="inlineStr">
        <is>
          <t>السند المقابل بالنظام</t>
        </is>
      </c>
      <c r="I1" s="2" t="inlineStr">
        <is>
          <t>كمية النظام لنفس السند</t>
        </is>
      </c>
      <c r="J1" s="2" t="inlineStr">
        <is>
          <t>الحالة</t>
        </is>
      </c>
      <c r="K1" s="2" t="inlineStr">
        <is>
          <t>الملاحظة</t>
        </is>
      </c>
    </row>
    <row r="2">
      <c r="A2" s="9" t="n">
        <v>5</v>
      </c>
      <c r="B2" s="21" t="n">
        <v>46239</v>
      </c>
      <c r="C2" s="9" t="inlineStr">
        <is>
          <t>TNR-1867</t>
        </is>
      </c>
      <c r="D2" s="9" t="inlineStr">
        <is>
          <t>حجر ديكورى ابيض مطفى 3:5سم-10كجم</t>
        </is>
      </c>
      <c r="E2" s="9" t="n">
        <v>598</v>
      </c>
      <c r="F2" s="9" t="n">
        <v>10</v>
      </c>
      <c r="G2" s="11">
        <f>E2*F2</f>
        <v/>
      </c>
      <c r="H2" s="9" t="inlineStr">
        <is>
          <t>TNR-1867</t>
        </is>
      </c>
      <c r="I2" s="9" t="n">
        <v>0</v>
      </c>
      <c r="J2" s="9" t="inlineStr">
        <is>
          <t>بدون تفصيل بالنظام</t>
        </is>
      </c>
      <c r="K2" s="9" t="inlineStr">
        <is>
          <t>تاريخ السطر 5-8-2026 خطأ – الصحيح 5-8-2025. السند بالنظام بدون تفصيل بنود (قيمته 12,165.28 شاملة الضريبة)</t>
        </is>
      </c>
    </row>
    <row r="3">
      <c r="A3" s="9" t="n">
        <v>6</v>
      </c>
      <c r="B3" s="21" t="n">
        <v>46239</v>
      </c>
      <c r="C3" s="9" t="inlineStr">
        <is>
          <t>TNR-1867</t>
        </is>
      </c>
      <c r="D3" s="9" t="inlineStr">
        <is>
          <t>ابيض لامع</t>
        </is>
      </c>
      <c r="E3" s="9" t="n">
        <v>11</v>
      </c>
      <c r="F3" s="9" t="n">
        <v>18</v>
      </c>
      <c r="G3" s="11">
        <f>E3*F3</f>
        <v/>
      </c>
      <c r="H3" s="9" t="inlineStr">
        <is>
          <t>TNR-1867</t>
        </is>
      </c>
      <c r="I3" s="9" t="n"/>
      <c r="J3" s="9" t="inlineStr">
        <is>
          <t>بدون تفصيل بالنظام</t>
        </is>
      </c>
      <c r="K3" s="9" t="inlineStr"/>
    </row>
    <row r="4">
      <c r="A4" s="9" t="n">
        <v>7</v>
      </c>
      <c r="B4" s="21" t="n">
        <v>46239</v>
      </c>
      <c r="C4" s="9" t="inlineStr">
        <is>
          <t>TNR-1867</t>
        </is>
      </c>
      <c r="D4" s="9" t="inlineStr">
        <is>
          <t xml:space="preserve">اسود لامع </t>
        </is>
      </c>
      <c r="E4" s="9" t="n">
        <v>9</v>
      </c>
      <c r="F4" s="9" t="n">
        <v>18</v>
      </c>
      <c r="G4" s="11">
        <f>E4*F4</f>
        <v/>
      </c>
      <c r="H4" s="9" t="inlineStr">
        <is>
          <t>TNR-1867</t>
        </is>
      </c>
      <c r="I4" s="9" t="n"/>
      <c r="J4" s="9" t="inlineStr">
        <is>
          <t>بدون تفصيل بالنظام</t>
        </is>
      </c>
      <c r="K4" s="9" t="inlineStr"/>
    </row>
    <row r="5">
      <c r="A5" s="9" t="n">
        <v>8</v>
      </c>
      <c r="B5" s="21" t="n">
        <v>46239</v>
      </c>
      <c r="C5" s="9" t="inlineStr">
        <is>
          <t>TNR-1867</t>
        </is>
      </c>
      <c r="D5" s="9" t="inlineStr">
        <is>
          <t xml:space="preserve">احمر لامع </t>
        </is>
      </c>
      <c r="E5" s="9" t="n">
        <v>10</v>
      </c>
      <c r="F5" s="9" t="n">
        <v>18</v>
      </c>
      <c r="G5" s="11">
        <f>E5*F5</f>
        <v/>
      </c>
      <c r="H5" s="9" t="inlineStr">
        <is>
          <t>TNR-1867</t>
        </is>
      </c>
      <c r="I5" s="9" t="n"/>
      <c r="J5" s="9" t="inlineStr">
        <is>
          <t>بدون تفصيل بالنظام</t>
        </is>
      </c>
      <c r="K5" s="9" t="inlineStr"/>
    </row>
    <row r="6">
      <c r="A6" s="9" t="n">
        <v>9</v>
      </c>
      <c r="B6" s="21" t="n">
        <v>46239</v>
      </c>
      <c r="C6" s="9" t="inlineStr">
        <is>
          <t>TNR-1867</t>
        </is>
      </c>
      <c r="D6" s="9" t="inlineStr">
        <is>
          <t>احمر مطفى</t>
        </is>
      </c>
      <c r="E6" s="9" t="n">
        <v>70</v>
      </c>
      <c r="F6" s="9" t="n">
        <v>10</v>
      </c>
      <c r="G6" s="11">
        <f>E6*F6</f>
        <v/>
      </c>
      <c r="H6" s="9" t="inlineStr">
        <is>
          <t>TNR-1867</t>
        </is>
      </c>
      <c r="I6" s="9" t="n"/>
      <c r="J6" s="9" t="inlineStr">
        <is>
          <t>بدون تفصيل بالنظام</t>
        </is>
      </c>
      <c r="K6" s="9" t="inlineStr"/>
    </row>
    <row r="7">
      <c r="A7" s="9" t="n">
        <v>10</v>
      </c>
      <c r="B7" s="21" t="n">
        <v>46239</v>
      </c>
      <c r="C7" s="9" t="inlineStr">
        <is>
          <t>TNR-1867</t>
        </is>
      </c>
      <c r="D7" s="9" t="inlineStr">
        <is>
          <t>اصفر مطفى</t>
        </is>
      </c>
      <c r="E7" s="9" t="n">
        <v>196</v>
      </c>
      <c r="F7" s="9" t="n">
        <v>10</v>
      </c>
      <c r="G7" s="11">
        <f>E7*F7</f>
        <v/>
      </c>
      <c r="H7" s="9" t="inlineStr">
        <is>
          <t>TNR-1867</t>
        </is>
      </c>
      <c r="I7" s="9" t="n"/>
      <c r="J7" s="9" t="inlineStr">
        <is>
          <t>بدون تفصيل بالنظام</t>
        </is>
      </c>
      <c r="K7" s="9" t="inlineStr"/>
    </row>
    <row r="8">
      <c r="A8" s="9" t="n">
        <v>11</v>
      </c>
      <c r="B8" s="21" t="n">
        <v>45969</v>
      </c>
      <c r="C8" s="9" t="inlineStr">
        <is>
          <t>TNR-2792</t>
        </is>
      </c>
      <c r="D8" s="9" t="inlineStr">
        <is>
          <t>جهنمية بلدى واحد عود 50سم</t>
        </is>
      </c>
      <c r="E8" s="9" t="n">
        <v>300</v>
      </c>
      <c r="F8" s="9" t="n">
        <v>2.5</v>
      </c>
      <c r="G8" s="11">
        <f>E8*F8</f>
        <v/>
      </c>
      <c r="H8" s="9" t="inlineStr">
        <is>
          <t>TNR-2792</t>
        </is>
      </c>
      <c r="I8" s="9" t="n">
        <v>0</v>
      </c>
      <c r="J8" s="9" t="inlineStr">
        <is>
          <t>بدون تفصيل بالنظام</t>
        </is>
      </c>
      <c r="K8" s="9" t="inlineStr"/>
    </row>
    <row r="9">
      <c r="A9" s="9" t="n">
        <v>12</v>
      </c>
      <c r="B9" s="21" t="n">
        <v>45969</v>
      </c>
      <c r="C9" s="9" t="inlineStr">
        <is>
          <t>TNR-2792</t>
        </is>
      </c>
      <c r="D9" s="9" t="inlineStr">
        <is>
          <t>وايتكس 50 سم</t>
        </is>
      </c>
      <c r="E9" s="9" t="n">
        <v>400</v>
      </c>
      <c r="F9" s="9" t="n">
        <v>2.5</v>
      </c>
      <c r="G9" s="11">
        <f>E9*F9</f>
        <v/>
      </c>
      <c r="H9" s="9" t="inlineStr">
        <is>
          <t>TNR-2792</t>
        </is>
      </c>
      <c r="I9" s="9" t="n"/>
      <c r="J9" s="9" t="inlineStr">
        <is>
          <t>بدون تفصيل بالنظام</t>
        </is>
      </c>
      <c r="K9" s="9" t="inlineStr"/>
    </row>
    <row r="10">
      <c r="A10" s="9" t="n">
        <v>13</v>
      </c>
      <c r="B10" s="21" t="n">
        <v>45969</v>
      </c>
      <c r="C10" s="9" t="inlineStr">
        <is>
          <t>TNR-2792</t>
        </is>
      </c>
      <c r="D10" s="9" t="inlineStr">
        <is>
          <t>دورانتا اخضر</t>
        </is>
      </c>
      <c r="E10" s="9" t="n">
        <v>300</v>
      </c>
      <c r="F10" s="9" t="n">
        <v>2.5</v>
      </c>
      <c r="G10" s="11">
        <f>E10*F10</f>
        <v/>
      </c>
      <c r="H10" s="9" t="inlineStr">
        <is>
          <t>TNR-2792</t>
        </is>
      </c>
      <c r="I10" s="9" t="n"/>
      <c r="J10" s="9" t="inlineStr">
        <is>
          <t>بدون تفصيل بالنظام</t>
        </is>
      </c>
      <c r="K10" s="9" t="inlineStr"/>
    </row>
    <row r="11">
      <c r="A11" s="9" t="n">
        <v>14</v>
      </c>
      <c r="B11" s="21" t="n">
        <v>45969</v>
      </c>
      <c r="C11" s="9" t="inlineStr">
        <is>
          <t>TNR-2792</t>
        </is>
      </c>
      <c r="D11" s="9" t="inlineStr">
        <is>
          <t>لانتانا لبناني صغير</t>
        </is>
      </c>
      <c r="E11" s="9" t="n">
        <v>100</v>
      </c>
      <c r="F11" s="9" t="n">
        <v>2.5</v>
      </c>
      <c r="G11" s="11">
        <f>E11*F11</f>
        <v/>
      </c>
      <c r="H11" s="9" t="inlineStr">
        <is>
          <t>TNR-2792</t>
        </is>
      </c>
      <c r="I11" s="9" t="n"/>
      <c r="J11" s="9" t="inlineStr">
        <is>
          <t>بدون تفصيل بالنظام</t>
        </is>
      </c>
      <c r="K11" s="9" t="inlineStr"/>
    </row>
    <row r="12">
      <c r="A12" s="9" t="n">
        <v>15</v>
      </c>
      <c r="B12" s="21" t="n">
        <v>45969</v>
      </c>
      <c r="C12" s="9" t="inlineStr">
        <is>
          <t>TNR-2792</t>
        </is>
      </c>
      <c r="D12" s="9" t="inlineStr">
        <is>
          <t>رويليا</t>
        </is>
      </c>
      <c r="E12" s="9" t="n">
        <v>300</v>
      </c>
      <c r="F12" s="9" t="n">
        <v>2.5</v>
      </c>
      <c r="G12" s="11">
        <f>E12*F12</f>
        <v/>
      </c>
      <c r="H12" s="9" t="inlineStr">
        <is>
          <t>TNR-2792</t>
        </is>
      </c>
      <c r="I12" s="9" t="n"/>
      <c r="J12" s="9" t="inlineStr">
        <is>
          <t>بدون تفصيل بالنظام</t>
        </is>
      </c>
      <c r="K12" s="9" t="inlineStr"/>
    </row>
    <row r="13">
      <c r="A13" s="9" t="n">
        <v>16</v>
      </c>
      <c r="B13" s="21" t="n">
        <v>45981</v>
      </c>
      <c r="C13" s="9" t="inlineStr">
        <is>
          <t>TNR-2938</t>
        </is>
      </c>
      <c r="D13" s="9" t="inlineStr">
        <is>
          <t>زهور بيتونيا</t>
        </is>
      </c>
      <c r="E13" s="9" t="n">
        <v>8850</v>
      </c>
      <c r="F13" s="9" t="n">
        <v>0.5</v>
      </c>
      <c r="G13" s="11">
        <f>E13*F13</f>
        <v/>
      </c>
      <c r="H13" s="9" t="inlineStr">
        <is>
          <t>TNR-2938</t>
        </is>
      </c>
      <c r="I13" s="9" t="n">
        <v>0</v>
      </c>
      <c r="J13" s="9" t="inlineStr">
        <is>
          <t>بدون تفصيل بالنظام</t>
        </is>
      </c>
      <c r="K13" s="9" t="inlineStr"/>
    </row>
    <row r="14">
      <c r="A14" s="9" t="n">
        <v>17</v>
      </c>
      <c r="B14" s="21" t="n">
        <v>45981</v>
      </c>
      <c r="C14" s="9" t="inlineStr">
        <is>
          <t>TNR-2938</t>
        </is>
      </c>
      <c r="D14" s="9" t="inlineStr">
        <is>
          <t>زهور اليسوم</t>
        </is>
      </c>
      <c r="E14" s="9" t="n">
        <v>200</v>
      </c>
      <c r="F14" s="9" t="n">
        <v>0.5</v>
      </c>
      <c r="G14" s="11">
        <f>E14*F14</f>
        <v/>
      </c>
      <c r="H14" s="9" t="inlineStr">
        <is>
          <t>TNR-2938</t>
        </is>
      </c>
      <c r="I14" s="9" t="n"/>
      <c r="J14" s="9" t="inlineStr">
        <is>
          <t>بدون تفصيل بالنظام</t>
        </is>
      </c>
      <c r="K14" s="9" t="inlineStr"/>
    </row>
    <row r="15">
      <c r="A15" s="9" t="n">
        <v>18</v>
      </c>
      <c r="B15" s="21" t="n">
        <v>46002</v>
      </c>
      <c r="C15" s="9" t="inlineStr">
        <is>
          <t>TNR-3201</t>
        </is>
      </c>
      <c r="D15" s="9" t="inlineStr">
        <is>
          <t>حجر ديكورى ابيض مطفى 3:5سم-10كجم</t>
        </is>
      </c>
      <c r="E15" s="9" t="n">
        <v>320</v>
      </c>
      <c r="F15" s="9" t="n">
        <v>10</v>
      </c>
      <c r="G15" s="11">
        <f>E15*F15</f>
        <v/>
      </c>
      <c r="H15" s="9" t="inlineStr">
        <is>
          <t>TNR-3201</t>
        </is>
      </c>
      <c r="I15" s="9" t="n">
        <v>0</v>
      </c>
      <c r="J15" s="9" t="inlineStr">
        <is>
          <t>بدون تفصيل بالنظام</t>
        </is>
      </c>
      <c r="K15" s="9" t="inlineStr"/>
    </row>
    <row r="16">
      <c r="A16" s="9" t="n">
        <v>19</v>
      </c>
      <c r="B16" s="21" t="n">
        <v>46025</v>
      </c>
      <c r="C16" s="9" t="inlineStr">
        <is>
          <t>اذن صرف 319</t>
        </is>
      </c>
      <c r="D16" s="9" t="inlineStr">
        <is>
          <t>دورانتا اخضر</t>
        </is>
      </c>
      <c r="E16" s="9" t="n">
        <v>1200</v>
      </c>
      <c r="F16" s="9" t="n">
        <v>2.5</v>
      </c>
      <c r="G16" s="11">
        <f>E16*F16</f>
        <v/>
      </c>
      <c r="H16" s="9" t="inlineStr">
        <is>
          <t>TNR-3441</t>
        </is>
      </c>
      <c r="I16" s="9" t="n">
        <v>2146</v>
      </c>
      <c r="J16" s="9" t="inlineStr">
        <is>
          <t>يوجد فرق</t>
        </is>
      </c>
      <c r="K16" s="9" t="inlineStr">
        <is>
          <t>يقابله بالنظام TNR-3441 بتاريخ 1-1-2026. ⚠ الاكاليفا: 60 بشيت المحاسب مقابل 6 بالنظام (والسند TRF-0107 يذكر 60) – يلزم التأكد</t>
        </is>
      </c>
    </row>
    <row r="17">
      <c r="A17" s="9" t="n">
        <v>20</v>
      </c>
      <c r="B17" s="21" t="n">
        <v>46025</v>
      </c>
      <c r="C17" s="9" t="inlineStr">
        <is>
          <t>اذن صرف 319</t>
        </is>
      </c>
      <c r="D17" s="9" t="inlineStr">
        <is>
          <t>تيكوماريا</t>
        </is>
      </c>
      <c r="E17" s="9" t="n">
        <v>740</v>
      </c>
      <c r="F17" s="9" t="n">
        <v>2.5</v>
      </c>
      <c r="G17" s="11">
        <f>E17*F17</f>
        <v/>
      </c>
      <c r="H17" s="9" t="inlineStr">
        <is>
          <t>TNR-3441</t>
        </is>
      </c>
      <c r="I17" s="9" t="n"/>
      <c r="J17" s="9" t="inlineStr">
        <is>
          <t>يوجد فرق</t>
        </is>
      </c>
      <c r="K17" s="9" t="inlineStr"/>
    </row>
    <row r="18">
      <c r="A18" s="9" t="n">
        <v>21</v>
      </c>
      <c r="B18" s="21" t="n">
        <v>46025</v>
      </c>
      <c r="C18" s="9" t="inlineStr">
        <is>
          <t>اذن صرف 319</t>
        </is>
      </c>
      <c r="D18" s="9" t="inlineStr">
        <is>
          <t>اكاليفيا</t>
        </is>
      </c>
      <c r="E18" s="9" t="n">
        <v>60</v>
      </c>
      <c r="F18" s="9" t="n">
        <v>2.5</v>
      </c>
      <c r="G18" s="11">
        <f>E18*F18</f>
        <v/>
      </c>
      <c r="H18" s="9" t="inlineStr">
        <is>
          <t>TNR-3441</t>
        </is>
      </c>
      <c r="I18" s="9" t="n"/>
      <c r="J18" s="9" t="inlineStr">
        <is>
          <t>يوجد فرق</t>
        </is>
      </c>
      <c r="K18" s="9" t="inlineStr"/>
    </row>
    <row r="19">
      <c r="A19" s="9" t="n">
        <v>22</v>
      </c>
      <c r="B19" s="21" t="n">
        <v>46025</v>
      </c>
      <c r="C19" s="9" t="inlineStr">
        <is>
          <t>اذن صرف 319</t>
        </is>
      </c>
      <c r="D19" s="9" t="inlineStr">
        <is>
          <t>حجر ديكورى ابيض مطفى 3:5سم-10كجم</t>
        </is>
      </c>
      <c r="E19" s="9" t="n">
        <v>200</v>
      </c>
      <c r="F19" s="9" t="n">
        <v>10</v>
      </c>
      <c r="G19" s="11">
        <f>E19*F19</f>
        <v/>
      </c>
      <c r="H19" s="9" t="inlineStr">
        <is>
          <t>TNR-3441</t>
        </is>
      </c>
      <c r="I19" s="9" t="n"/>
      <c r="J19" s="9" t="inlineStr">
        <is>
          <t>يوجد فرق</t>
        </is>
      </c>
      <c r="K19" s="9" t="inlineStr"/>
    </row>
    <row r="20">
      <c r="A20" s="12" t="n">
        <v>23</v>
      </c>
      <c r="B20" s="22" t="n">
        <v>46117</v>
      </c>
      <c r="C20" s="12" t="inlineStr">
        <is>
          <t>PO-213</t>
        </is>
      </c>
      <c r="D20" s="12" t="inlineStr">
        <is>
          <t>زهور بيتونيا</t>
        </is>
      </c>
      <c r="E20" s="12" t="n">
        <v>6000</v>
      </c>
      <c r="F20" s="12" t="n">
        <v>0.5</v>
      </c>
      <c r="G20" s="14">
        <f>E20*F20</f>
        <v/>
      </c>
      <c r="H20" s="12" t="inlineStr">
        <is>
          <t>—</t>
        </is>
      </c>
      <c r="I20" s="12" t="n">
        <v>0</v>
      </c>
      <c r="J20" s="12" t="inlineStr">
        <is>
          <t>غير موجود بالنظام</t>
        </is>
      </c>
      <c r="K20" s="12" t="inlineStr">
        <is>
          <t>⚠ لا يوجد أي سند بالنظام لترحيل بيتونيا 6,000 من تبوك بتاريخ 5-4-2026</t>
        </is>
      </c>
    </row>
    <row r="21">
      <c r="A21" s="12" t="n">
        <v>24</v>
      </c>
      <c r="B21" s="22" t="n"/>
      <c r="C21" s="12" t="inlineStr">
        <is>
          <t>فرق PO الشجيرات</t>
        </is>
      </c>
      <c r="D21" s="12" t="inlineStr">
        <is>
          <t>جهنمية بلدى واحد عود 50سم</t>
        </is>
      </c>
      <c r="E21" s="12" t="n">
        <v>270</v>
      </c>
      <c r="F21" s="12" t="n">
        <v>2.5</v>
      </c>
      <c r="G21" s="14">
        <f>E21*F21</f>
        <v/>
      </c>
      <c r="H21" s="12" t="inlineStr">
        <is>
          <t>—</t>
        </is>
      </c>
      <c r="I21" s="12" t="n">
        <v>0</v>
      </c>
      <c r="J21" s="12" t="inlineStr">
        <is>
          <t>غير موجود بالنظام</t>
        </is>
      </c>
      <c r="K21" s="12" t="inlineStr">
        <is>
          <t>⚠ بدون تاريخ وبدون رقم سند – لا يوجد مستند مؤيد بالنظام</t>
        </is>
      </c>
    </row>
    <row r="22">
      <c r="A22" s="12" t="n">
        <v>25</v>
      </c>
      <c r="B22" s="22" t="n"/>
      <c r="C22" s="12" t="inlineStr">
        <is>
          <t>فرق PO الشجيرات</t>
        </is>
      </c>
      <c r="D22" s="12" t="inlineStr">
        <is>
          <t>دورانتا اخضر</t>
        </is>
      </c>
      <c r="E22" s="12" t="n">
        <v>10</v>
      </c>
      <c r="F22" s="12" t="n">
        <v>2.5</v>
      </c>
      <c r="G22" s="14">
        <f>E22*F22</f>
        <v/>
      </c>
      <c r="H22" s="12" t="inlineStr">
        <is>
          <t>—</t>
        </is>
      </c>
      <c r="I22" s="12" t="n"/>
      <c r="J22" s="12" t="inlineStr">
        <is>
          <t>غير موجود بالنظام</t>
        </is>
      </c>
      <c r="K22" s="12" t="inlineStr"/>
    </row>
    <row r="23">
      <c r="A23" s="12" t="n">
        <v>26</v>
      </c>
      <c r="B23" s="22" t="n"/>
      <c r="C23" s="12" t="inlineStr">
        <is>
          <t>فرق PO الشجيرات</t>
        </is>
      </c>
      <c r="D23" s="12" t="inlineStr">
        <is>
          <t>لانتانا لبناني صغير</t>
        </is>
      </c>
      <c r="E23" s="12" t="n">
        <v>60</v>
      </c>
      <c r="F23" s="12" t="n">
        <v>2.5</v>
      </c>
      <c r="G23" s="14">
        <f>E23*F23</f>
        <v/>
      </c>
      <c r="H23" s="12" t="inlineStr">
        <is>
          <t>—</t>
        </is>
      </c>
      <c r="I23" s="12" t="n"/>
      <c r="J23" s="12" t="inlineStr">
        <is>
          <t>غير موجود بالنظام</t>
        </is>
      </c>
      <c r="K23" s="12" t="inlineStr"/>
    </row>
    <row r="24">
      <c r="A24" s="12" t="n">
        <v>27</v>
      </c>
      <c r="B24" s="22" t="n"/>
      <c r="C24" s="12" t="inlineStr">
        <is>
          <t>فرق PO الشجيرات</t>
        </is>
      </c>
      <c r="D24" s="12" t="inlineStr">
        <is>
          <t>رويليا</t>
        </is>
      </c>
      <c r="E24" s="12" t="n">
        <v>206</v>
      </c>
      <c r="F24" s="12" t="n">
        <v>2.5</v>
      </c>
      <c r="G24" s="14">
        <f>E24*F24</f>
        <v/>
      </c>
      <c r="H24" s="12" t="inlineStr">
        <is>
          <t>—</t>
        </is>
      </c>
      <c r="I24" s="12" t="n"/>
      <c r="J24" s="12" t="inlineStr">
        <is>
          <t>غير موجود بالنظام</t>
        </is>
      </c>
      <c r="K24" s="12" t="inlineStr"/>
    </row>
    <row r="25">
      <c r="A25" s="12" t="n">
        <v>28</v>
      </c>
      <c r="B25" s="22" t="n"/>
      <c r="C25" s="12" t="inlineStr">
        <is>
          <t>فرق PO الشجيرات</t>
        </is>
      </c>
      <c r="D25" s="12" t="inlineStr">
        <is>
          <t>تيكوماريا</t>
        </is>
      </c>
      <c r="E25" s="12" t="n">
        <v>72</v>
      </c>
      <c r="F25" s="12" t="n">
        <v>2.5</v>
      </c>
      <c r="G25" s="14">
        <f>E25*F25</f>
        <v/>
      </c>
      <c r="H25" s="12" t="inlineStr">
        <is>
          <t>—</t>
        </is>
      </c>
      <c r="I25" s="12" t="n"/>
      <c r="J25" s="12" t="inlineStr">
        <is>
          <t>غير موجود بالنظام</t>
        </is>
      </c>
      <c r="K25" s="12" t="inlineStr"/>
    </row>
    <row r="26">
      <c r="A26" s="12" t="n">
        <v>29</v>
      </c>
      <c r="B26" s="22" t="n"/>
      <c r="C26" s="12" t="inlineStr">
        <is>
          <t>فرق PO الشجيرات</t>
        </is>
      </c>
      <c r="D26" s="12" t="inlineStr">
        <is>
          <t>فل بلدى</t>
        </is>
      </c>
      <c r="E26" s="12" t="n">
        <v>50</v>
      </c>
      <c r="F26" s="12" t="n">
        <v>2.5</v>
      </c>
      <c r="G26" s="14">
        <f>E26*F26</f>
        <v/>
      </c>
      <c r="H26" s="12" t="inlineStr">
        <is>
          <t>—</t>
        </is>
      </c>
      <c r="I26" s="12" t="n"/>
      <c r="J26" s="12" t="inlineStr">
        <is>
          <t>غير موجود بالنظام</t>
        </is>
      </c>
      <c r="K26" s="12" t="inlineStr"/>
    </row>
    <row r="27">
      <c r="A27" s="12" t="n">
        <v>30</v>
      </c>
      <c r="B27" s="22" t="n"/>
      <c r="C27" s="12" t="inlineStr">
        <is>
          <t>فرق PO الشجيرات</t>
        </is>
      </c>
      <c r="D27" s="12" t="inlineStr">
        <is>
          <t>ياسمين ازرق  50 سم</t>
        </is>
      </c>
      <c r="E27" s="12" t="n">
        <v>150</v>
      </c>
      <c r="F27" s="12" t="n">
        <v>2.5</v>
      </c>
      <c r="G27" s="14">
        <f>E27*F27</f>
        <v/>
      </c>
      <c r="H27" s="12" t="inlineStr">
        <is>
          <t>—</t>
        </is>
      </c>
      <c r="I27" s="12" t="n"/>
      <c r="J27" s="12" t="inlineStr">
        <is>
          <t>غير موجود بالنظام</t>
        </is>
      </c>
      <c r="K27" s="12" t="inlineStr"/>
    </row>
    <row r="28">
      <c r="A28" s="15" t="inlineStr"/>
      <c r="B28" s="15" t="inlineStr"/>
      <c r="C28" s="15" t="inlineStr"/>
      <c r="D28" s="15" t="inlineStr">
        <is>
          <t>الإجمالي الصحيح</t>
        </is>
      </c>
      <c r="E28" s="15" t="n"/>
      <c r="F28" s="15" t="n"/>
      <c r="G28" s="16">
        <f>SUM(G2:G27)</f>
        <v/>
      </c>
      <c r="H28" s="15" t="n"/>
      <c r="I28" s="15" t="n"/>
      <c r="J28" s="15" t="n"/>
      <c r="K28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" t="inlineStr">
        <is>
          <t>صف بشيت المحاسب</t>
        </is>
      </c>
      <c r="B1" s="2" t="inlineStr">
        <is>
          <t>التاريخ</t>
        </is>
      </c>
      <c r="C1" s="2" t="inlineStr">
        <is>
          <t>رقم الطلب</t>
        </is>
      </c>
      <c r="D1" s="2" t="inlineStr">
        <is>
          <t>الصنف</t>
        </is>
      </c>
      <c r="E1" s="2" t="inlineStr">
        <is>
          <t>الكمية</t>
        </is>
      </c>
      <c r="F1" s="2" t="inlineStr">
        <is>
          <t>السعر</t>
        </is>
      </c>
      <c r="G1" s="2" t="inlineStr">
        <is>
          <t>الإجمالي (محسوب)</t>
        </is>
      </c>
      <c r="H1" s="2" t="inlineStr">
        <is>
          <t>السند المقابل بالنظام</t>
        </is>
      </c>
      <c r="I1" s="2" t="inlineStr">
        <is>
          <t>كمية النظام لنفس السند</t>
        </is>
      </c>
      <c r="J1" s="2" t="inlineStr">
        <is>
          <t>الحالة</t>
        </is>
      </c>
      <c r="K1" s="2" t="inlineStr">
        <is>
          <t>الملاحظة</t>
        </is>
      </c>
    </row>
    <row r="2">
      <c r="A2" s="9" t="n">
        <v>6</v>
      </c>
      <c r="B2" s="21" t="n">
        <v>45906</v>
      </c>
      <c r="C2" s="9" t="inlineStr">
        <is>
          <t>RNP-2113</t>
        </is>
      </c>
      <c r="D2" s="9" t="inlineStr">
        <is>
          <t>مارى جولد</t>
        </is>
      </c>
      <c r="E2" s="9" t="n">
        <v>10000</v>
      </c>
      <c r="F2" s="9" t="n">
        <v>0.5</v>
      </c>
      <c r="G2" s="11">
        <f>E2*F2</f>
        <v/>
      </c>
      <c r="H2" s="9" t="inlineStr">
        <is>
          <t>RNP-2113</t>
        </is>
      </c>
      <c r="I2" s="9" t="n">
        <v>0</v>
      </c>
      <c r="J2" s="9" t="inlineStr">
        <is>
          <t>بدون تفصيل بالنظام</t>
        </is>
      </c>
      <c r="K2" s="9" t="inlineStr"/>
    </row>
    <row r="3">
      <c r="A3" s="9" t="n">
        <v>7</v>
      </c>
      <c r="B3" s="21" t="n">
        <v>45926</v>
      </c>
      <c r="C3" s="9" t="inlineStr">
        <is>
          <t>RNP-2293</t>
        </is>
      </c>
      <c r="D3" s="9" t="inlineStr">
        <is>
          <t>زهور بيتونيا</t>
        </is>
      </c>
      <c r="E3" s="9" t="n">
        <v>6500</v>
      </c>
      <c r="F3" s="9" t="n">
        <v>0.5</v>
      </c>
      <c r="G3" s="11">
        <f>E3*F3</f>
        <v/>
      </c>
      <c r="H3" s="9" t="inlineStr">
        <is>
          <t>RNP-2293</t>
        </is>
      </c>
      <c r="I3" s="9" t="n">
        <v>0</v>
      </c>
      <c r="J3" s="9" t="inlineStr">
        <is>
          <t>بدون تفصيل بالنظام</t>
        </is>
      </c>
      <c r="K3" s="9" t="inlineStr"/>
    </row>
    <row r="4">
      <c r="A4" s="9" t="n">
        <v>8</v>
      </c>
      <c r="B4" s="21" t="n">
        <v>45926</v>
      </c>
      <c r="C4" s="9" t="inlineStr">
        <is>
          <t>RNP-2293</t>
        </is>
      </c>
      <c r="D4" s="9" t="inlineStr">
        <is>
          <t>زهور جيرانيوم مركن 12</t>
        </is>
      </c>
      <c r="E4" s="9" t="n">
        <v>500</v>
      </c>
      <c r="F4" s="9" t="n">
        <v>3.75</v>
      </c>
      <c r="G4" s="11">
        <f>E4*F4</f>
        <v/>
      </c>
      <c r="H4" s="9" t="inlineStr">
        <is>
          <t>RNP-2293</t>
        </is>
      </c>
      <c r="I4" s="9" t="n"/>
      <c r="J4" s="9" t="inlineStr">
        <is>
          <t>بدون تفصيل بالنظام</t>
        </is>
      </c>
      <c r="K4" s="9" t="inlineStr"/>
    </row>
    <row r="5">
      <c r="A5" s="9" t="n">
        <v>9</v>
      </c>
      <c r="B5" s="21" t="n">
        <v>45926</v>
      </c>
      <c r="C5" s="9" t="inlineStr">
        <is>
          <t>RNP-2293</t>
        </is>
      </c>
      <c r="D5" s="9" t="inlineStr">
        <is>
          <t>زهور ماري جولد فرنسى</t>
        </is>
      </c>
      <c r="E5" s="9" t="n">
        <v>250</v>
      </c>
      <c r="F5" s="9" t="n">
        <v>0.5</v>
      </c>
      <c r="G5" s="11">
        <f>E5*F5</f>
        <v/>
      </c>
      <c r="H5" s="9" t="inlineStr">
        <is>
          <t>RNP-2293</t>
        </is>
      </c>
      <c r="I5" s="9" t="n"/>
      <c r="J5" s="9" t="inlineStr">
        <is>
          <t>بدون تفصيل بالنظام</t>
        </is>
      </c>
      <c r="K5" s="9" t="inlineStr"/>
    </row>
    <row r="6">
      <c r="A6" s="9" t="n">
        <v>10</v>
      </c>
      <c r="B6" s="21" t="n">
        <v>45926</v>
      </c>
      <c r="C6" s="9" t="inlineStr">
        <is>
          <t>RNP-2367</t>
        </is>
      </c>
      <c r="D6" s="9" t="inlineStr">
        <is>
          <t>حجر اصفر مطفى</t>
        </is>
      </c>
      <c r="E6" s="9" t="n">
        <v>1</v>
      </c>
      <c r="F6" s="9" t="n">
        <v>10.5</v>
      </c>
      <c r="G6" s="11">
        <f>E6*F6</f>
        <v/>
      </c>
      <c r="H6" s="9" t="inlineStr">
        <is>
          <t>RNP-2367</t>
        </is>
      </c>
      <c r="I6" s="9" t="n">
        <v>0</v>
      </c>
      <c r="J6" s="9" t="inlineStr">
        <is>
          <t>بدون تفصيل بالنظام</t>
        </is>
      </c>
      <c r="K6" s="9" t="inlineStr"/>
    </row>
    <row r="7">
      <c r="A7" s="9" t="n">
        <v>11</v>
      </c>
      <c r="B7" s="21" t="n">
        <v>45937</v>
      </c>
      <c r="C7" s="9" t="inlineStr">
        <is>
          <t>RNP-2395</t>
        </is>
      </c>
      <c r="D7" s="9" t="inlineStr">
        <is>
          <t>سكندابسس مركن 19 علاقي</t>
        </is>
      </c>
      <c r="E7" s="9" t="n">
        <v>2000</v>
      </c>
      <c r="F7" s="9" t="n">
        <v>10</v>
      </c>
      <c r="G7" s="11">
        <f>E7*F7</f>
        <v/>
      </c>
      <c r="H7" s="9" t="inlineStr">
        <is>
          <t>RNT-2395</t>
        </is>
      </c>
      <c r="I7" s="9" t="n">
        <v>0</v>
      </c>
      <c r="J7" s="9" t="inlineStr">
        <is>
          <t>بدون تفصيل بالنظام</t>
        </is>
      </c>
      <c r="K7" s="9" t="inlineStr">
        <is>
          <t>رقمه بالنظام RNT-2395 (8-10-2025) – بدون تفصيل بنود بالنظام (قيمته 34,535.65 شاملة الضريبة)</t>
        </is>
      </c>
    </row>
    <row r="8">
      <c r="A8" s="9" t="n">
        <v>12</v>
      </c>
      <c r="B8" s="21" t="n">
        <v>45937</v>
      </c>
      <c r="C8" s="9" t="inlineStr">
        <is>
          <t>RNP-2395</t>
        </is>
      </c>
      <c r="D8" s="9" t="inlineStr">
        <is>
          <t>هيدرا علاقي مركن 19</t>
        </is>
      </c>
      <c r="E8" s="9" t="n">
        <v>188</v>
      </c>
      <c r="F8" s="9" t="n">
        <v>10</v>
      </c>
      <c r="G8" s="11">
        <f>E8*F8</f>
        <v/>
      </c>
      <c r="H8" s="9" t="inlineStr">
        <is>
          <t>RNT-2395</t>
        </is>
      </c>
      <c r="I8" s="9" t="n"/>
      <c r="J8" s="9" t="inlineStr">
        <is>
          <t>بدون تفصيل بالنظام</t>
        </is>
      </c>
      <c r="K8" s="9" t="inlineStr"/>
    </row>
    <row r="9">
      <c r="A9" s="9" t="n">
        <v>13</v>
      </c>
      <c r="B9" s="21" t="n">
        <v>45937</v>
      </c>
      <c r="C9" s="9" t="inlineStr">
        <is>
          <t>RNP-2395</t>
        </is>
      </c>
      <c r="D9" s="9" t="inlineStr">
        <is>
          <t>اقحوان افريقى مركن 12</t>
        </is>
      </c>
      <c r="E9" s="9" t="n">
        <v>2010</v>
      </c>
      <c r="F9" s="9" t="n">
        <v>3.25</v>
      </c>
      <c r="G9" s="11">
        <f>E9*F9</f>
        <v/>
      </c>
      <c r="H9" s="9" t="inlineStr">
        <is>
          <t>RNT-2395</t>
        </is>
      </c>
      <c r="I9" s="9" t="n"/>
      <c r="J9" s="9" t="inlineStr">
        <is>
          <t>بدون تفصيل بالنظام</t>
        </is>
      </c>
      <c r="K9" s="9" t="inlineStr"/>
    </row>
    <row r="10">
      <c r="A10" s="9" t="n">
        <v>14</v>
      </c>
      <c r="B10" s="21" t="n">
        <v>45937</v>
      </c>
      <c r="C10" s="9" t="inlineStr">
        <is>
          <t>RNP-2395</t>
        </is>
      </c>
      <c r="D10" s="9" t="inlineStr">
        <is>
          <t xml:space="preserve">هيبوستس </t>
        </is>
      </c>
      <c r="E10" s="9" t="n">
        <v>1500</v>
      </c>
      <c r="F10" s="9" t="n">
        <v>2.5</v>
      </c>
      <c r="G10" s="11">
        <f>E10*F10</f>
        <v/>
      </c>
      <c r="H10" s="9" t="inlineStr">
        <is>
          <t>RNT-2395</t>
        </is>
      </c>
      <c r="I10" s="9" t="n"/>
      <c r="J10" s="9" t="inlineStr">
        <is>
          <t>بدون تفصيل بالنظام</t>
        </is>
      </c>
      <c r="K10" s="9" t="inlineStr"/>
    </row>
    <row r="11">
      <c r="A11" s="9" t="n">
        <v>15</v>
      </c>
      <c r="B11" s="21" t="n">
        <v>45937</v>
      </c>
      <c r="C11" s="9" t="inlineStr">
        <is>
          <t>RNP-2395</t>
        </is>
      </c>
      <c r="D11" s="9" t="inlineStr">
        <is>
          <t>زهور جيرانيوم مركن 12</t>
        </is>
      </c>
      <c r="E11" s="9" t="n">
        <v>1005</v>
      </c>
      <c r="F11" s="9" t="n">
        <v>3.75</v>
      </c>
      <c r="G11" s="11">
        <f>E11*F11</f>
        <v/>
      </c>
      <c r="H11" s="9" t="inlineStr">
        <is>
          <t>RNT-2395</t>
        </is>
      </c>
      <c r="I11" s="9" t="n"/>
      <c r="J11" s="9" t="inlineStr">
        <is>
          <t>بدون تفصيل بالنظام</t>
        </is>
      </c>
      <c r="K11" s="9" t="inlineStr"/>
    </row>
    <row r="12">
      <c r="A12" s="9" t="n">
        <v>16</v>
      </c>
      <c r="B12" s="21" t="n">
        <v>45937</v>
      </c>
      <c r="C12" s="9" t="inlineStr">
        <is>
          <t>RNP-2395</t>
        </is>
      </c>
      <c r="D12" s="9" t="inlineStr">
        <is>
          <t>زهور جيرانيوم مركن 9</t>
        </is>
      </c>
      <c r="E12" s="9" t="n">
        <v>1000</v>
      </c>
      <c r="F12" s="9" t="n">
        <v>1.5</v>
      </c>
      <c r="G12" s="11">
        <f>E12*F12</f>
        <v/>
      </c>
      <c r="H12" s="9" t="inlineStr">
        <is>
          <t>RNT-2395</t>
        </is>
      </c>
      <c r="I12" s="9" t="n"/>
      <c r="J12" s="9" t="inlineStr">
        <is>
          <t>بدون تفصيل بالنظام</t>
        </is>
      </c>
      <c r="K12" s="9" t="inlineStr"/>
    </row>
    <row r="13">
      <c r="A13" s="9" t="n">
        <v>17</v>
      </c>
      <c r="B13" s="21" t="n">
        <v>45937</v>
      </c>
      <c r="C13" s="9" t="inlineStr">
        <is>
          <t>RNP-2395</t>
        </is>
      </c>
      <c r="D13" s="9" t="inlineStr">
        <is>
          <t>جهنميه تايلاندى مركن 25</t>
        </is>
      </c>
      <c r="E13" s="9" t="n">
        <v>10</v>
      </c>
      <c r="F13" s="9" t="n">
        <v>250</v>
      </c>
      <c r="G13" s="11">
        <f>E13*F13</f>
        <v/>
      </c>
      <c r="H13" s="9" t="inlineStr">
        <is>
          <t>RNT-2395</t>
        </is>
      </c>
      <c r="I13" s="9" t="n"/>
      <c r="J13" s="9" t="inlineStr">
        <is>
          <t>بدون تفصيل بالنظام</t>
        </is>
      </c>
      <c r="K13" s="9" t="inlineStr"/>
    </row>
    <row r="14">
      <c r="A14" s="9" t="n">
        <v>18</v>
      </c>
      <c r="B14" s="21" t="n">
        <v>45937</v>
      </c>
      <c r="C14" s="9" t="inlineStr">
        <is>
          <t>RNP-2395</t>
        </is>
      </c>
      <c r="D14" s="9" t="inlineStr">
        <is>
          <t>تراديسكانتيا مركن 19 علاقي</t>
        </is>
      </c>
      <c r="E14" s="9" t="n">
        <v>220</v>
      </c>
      <c r="F14" s="9" t="n">
        <v>10</v>
      </c>
      <c r="G14" s="11">
        <f>E14*F14</f>
        <v/>
      </c>
      <c r="H14" s="9" t="inlineStr">
        <is>
          <t>RNT-2395</t>
        </is>
      </c>
      <c r="I14" s="9" t="n"/>
      <c r="J14" s="9" t="inlineStr">
        <is>
          <t>بدون تفصيل بالنظام</t>
        </is>
      </c>
      <c r="K14" s="9" t="inlineStr"/>
    </row>
    <row r="15">
      <c r="A15" s="9" t="n">
        <v>19</v>
      </c>
      <c r="B15" s="21" t="n">
        <v>45947</v>
      </c>
      <c r="C15" s="9" t="inlineStr">
        <is>
          <t>RNP-2512</t>
        </is>
      </c>
      <c r="D15" s="9" t="inlineStr">
        <is>
          <t>زهور ماري جولد</t>
        </is>
      </c>
      <c r="E15" s="9" t="n">
        <v>1100</v>
      </c>
      <c r="F15" s="9" t="n">
        <v>0.5</v>
      </c>
      <c r="G15" s="11">
        <f>E15*F15</f>
        <v/>
      </c>
      <c r="H15" s="9" t="inlineStr">
        <is>
          <t>RNP-2512</t>
        </is>
      </c>
      <c r="I15" s="9" t="n">
        <v>0</v>
      </c>
      <c r="J15" s="9" t="inlineStr">
        <is>
          <t>بدون تفصيل بالنظام</t>
        </is>
      </c>
      <c r="K15" s="9" t="inlineStr"/>
    </row>
    <row r="16">
      <c r="A16" s="9" t="n">
        <v>20</v>
      </c>
      <c r="B16" s="21" t="n">
        <v>45947</v>
      </c>
      <c r="C16" s="9" t="inlineStr">
        <is>
          <t>RNP-2512</t>
        </is>
      </c>
      <c r="D16" s="9" t="inlineStr">
        <is>
          <t>زهور بيتونيا</t>
        </is>
      </c>
      <c r="E16" s="9" t="n">
        <v>3600</v>
      </c>
      <c r="F16" s="9" t="n">
        <v>0.5</v>
      </c>
      <c r="G16" s="11">
        <f>E16*F16</f>
        <v/>
      </c>
      <c r="H16" s="9" t="inlineStr">
        <is>
          <t>RNP-2512</t>
        </is>
      </c>
      <c r="I16" s="9" t="n"/>
      <c r="J16" s="9" t="inlineStr">
        <is>
          <t>بدون تفصيل بالنظام</t>
        </is>
      </c>
      <c r="K16" s="9" t="inlineStr"/>
    </row>
    <row r="17">
      <c r="A17" s="9" t="n">
        <v>21</v>
      </c>
      <c r="B17" s="21" t="n">
        <v>45947</v>
      </c>
      <c r="C17" s="9" t="inlineStr">
        <is>
          <t>RNP-2512</t>
        </is>
      </c>
      <c r="D17" s="9" t="inlineStr">
        <is>
          <t>بوتنج سويل 70 لتر</t>
        </is>
      </c>
      <c r="E17" s="9" t="n">
        <v>10</v>
      </c>
      <c r="F17" s="9" t="n">
        <v>46</v>
      </c>
      <c r="G17" s="11">
        <f>E17*F17</f>
        <v/>
      </c>
      <c r="H17" s="9" t="inlineStr">
        <is>
          <t>RNP-2512</t>
        </is>
      </c>
      <c r="I17" s="9" t="n"/>
      <c r="J17" s="9" t="inlineStr">
        <is>
          <t>بدون تفصيل بالنظام</t>
        </is>
      </c>
      <c r="K17" s="9" t="inlineStr"/>
    </row>
    <row r="18">
      <c r="A18" s="9" t="n">
        <v>22</v>
      </c>
      <c r="B18" s="21" t="n">
        <v>45954</v>
      </c>
      <c r="C18" s="9" t="inlineStr">
        <is>
          <t>RNP-2608</t>
        </is>
      </c>
      <c r="D18" s="9" t="inlineStr">
        <is>
          <t>زهور بيتونيا</t>
        </is>
      </c>
      <c r="E18" s="9" t="n">
        <v>20000</v>
      </c>
      <c r="F18" s="9" t="n">
        <v>0.5</v>
      </c>
      <c r="G18" s="11">
        <f>E18*F18</f>
        <v/>
      </c>
      <c r="H18" s="9" t="inlineStr">
        <is>
          <t>RNP-2608</t>
        </is>
      </c>
      <c r="I18" s="9" t="n">
        <v>0</v>
      </c>
      <c r="J18" s="9" t="inlineStr">
        <is>
          <t>بدون تفصيل بالنظام</t>
        </is>
      </c>
      <c r="K18" s="9" t="inlineStr"/>
    </row>
    <row r="19">
      <c r="A19" s="9" t="n">
        <v>23</v>
      </c>
      <c r="B19" s="21" t="n">
        <v>45962</v>
      </c>
      <c r="C19" s="9" t="inlineStr">
        <is>
          <t>RNP-2704</t>
        </is>
      </c>
      <c r="D19" s="9" t="inlineStr">
        <is>
          <t>زهور اقحوان افريقي مركن 12</t>
        </is>
      </c>
      <c r="E19" s="9" t="n">
        <v>750</v>
      </c>
      <c r="F19" s="9" t="n">
        <v>3.25</v>
      </c>
      <c r="G19" s="11">
        <f>E19*F19</f>
        <v/>
      </c>
      <c r="H19" s="9" t="inlineStr">
        <is>
          <t>RNP-2704</t>
        </is>
      </c>
      <c r="I19" s="9" t="n">
        <v>0</v>
      </c>
      <c r="J19" s="9" t="inlineStr">
        <is>
          <t>بدون تفصيل بالنظام</t>
        </is>
      </c>
      <c r="K19" s="9" t="inlineStr"/>
    </row>
    <row r="20">
      <c r="A20" s="9" t="n">
        <v>24</v>
      </c>
      <c r="B20" s="21" t="n">
        <v>45962</v>
      </c>
      <c r="C20" s="9" t="inlineStr">
        <is>
          <t>RNP-2704</t>
        </is>
      </c>
      <c r="D20" s="9" t="inlineStr">
        <is>
          <t>زهور قرنفل صيني</t>
        </is>
      </c>
      <c r="E20" s="9" t="n">
        <v>250</v>
      </c>
      <c r="F20" s="9" t="n">
        <v>0.5</v>
      </c>
      <c r="G20" s="11">
        <f>E20*F20</f>
        <v/>
      </c>
      <c r="H20" s="9" t="inlineStr">
        <is>
          <t>RNP-2704</t>
        </is>
      </c>
      <c r="I20" s="9" t="n"/>
      <c r="J20" s="9" t="inlineStr">
        <is>
          <t>بدون تفصيل بالنظام</t>
        </is>
      </c>
      <c r="K20" s="9" t="inlineStr"/>
    </row>
    <row r="21">
      <c r="A21" s="9" t="n">
        <v>25</v>
      </c>
      <c r="B21" s="21" t="n">
        <v>45962</v>
      </c>
      <c r="C21" s="9" t="inlineStr">
        <is>
          <t>RNP-2704</t>
        </is>
      </c>
      <c r="D21" s="9" t="inlineStr">
        <is>
          <t>لانتانا لبناني صغير</t>
        </is>
      </c>
      <c r="E21" s="9" t="n">
        <v>40</v>
      </c>
      <c r="F21" s="9" t="n">
        <v>2.5</v>
      </c>
      <c r="G21" s="11">
        <f>E21*F21</f>
        <v/>
      </c>
      <c r="H21" s="9" t="inlineStr">
        <is>
          <t>RNP-2704</t>
        </is>
      </c>
      <c r="I21" s="9" t="n"/>
      <c r="J21" s="9" t="inlineStr">
        <is>
          <t>بدون تفصيل بالنظام</t>
        </is>
      </c>
      <c r="K21" s="9" t="inlineStr"/>
    </row>
    <row r="22">
      <c r="A22" s="9" t="n">
        <v>26</v>
      </c>
      <c r="B22" s="21" t="n">
        <v>45962</v>
      </c>
      <c r="C22" s="9" t="inlineStr">
        <is>
          <t>RNP-2704</t>
        </is>
      </c>
      <c r="D22" s="9" t="inlineStr">
        <is>
          <t>بانستيم اخضر</t>
        </is>
      </c>
      <c r="E22" s="9" t="n">
        <v>150</v>
      </c>
      <c r="F22" s="9" t="n">
        <v>2.5</v>
      </c>
      <c r="G22" s="11">
        <f>E22*F22</f>
        <v/>
      </c>
      <c r="H22" s="9" t="inlineStr">
        <is>
          <t>RNP-2704</t>
        </is>
      </c>
      <c r="I22" s="9" t="n"/>
      <c r="J22" s="9" t="inlineStr">
        <is>
          <t>بدون تفصيل بالنظام</t>
        </is>
      </c>
      <c r="K22" s="9" t="inlineStr"/>
    </row>
    <row r="23">
      <c r="A23" s="9" t="n">
        <v>27</v>
      </c>
      <c r="B23" s="21" t="n">
        <v>45964</v>
      </c>
      <c r="C23" s="9" t="inlineStr">
        <is>
          <t>RNP-2748</t>
        </is>
      </c>
      <c r="D23" s="9" t="inlineStr">
        <is>
          <t>زهور جيرانيوم مركن 9</t>
        </is>
      </c>
      <c r="E23" s="9" t="n">
        <v>625</v>
      </c>
      <c r="F23" s="9" t="n">
        <v>1.5</v>
      </c>
      <c r="G23" s="11">
        <f>E23*F23</f>
        <v/>
      </c>
      <c r="H23" s="9" t="inlineStr">
        <is>
          <t>RNP-2748</t>
        </is>
      </c>
      <c r="I23" s="9" t="n">
        <v>0</v>
      </c>
      <c r="J23" s="9" t="inlineStr">
        <is>
          <t>بدون تفصيل بالنظام</t>
        </is>
      </c>
      <c r="K23" s="9" t="inlineStr"/>
    </row>
    <row r="24">
      <c r="A24" s="9" t="n">
        <v>28</v>
      </c>
      <c r="B24" s="21" t="n">
        <v>45969</v>
      </c>
      <c r="C24" s="9" t="inlineStr">
        <is>
          <t>RNP-2805</t>
        </is>
      </c>
      <c r="D24" s="9" t="inlineStr">
        <is>
          <t>زهور جيرانيوم مركن 9</t>
        </is>
      </c>
      <c r="E24" s="9" t="n">
        <v>30000</v>
      </c>
      <c r="F24" s="9" t="n">
        <v>1.5</v>
      </c>
      <c r="G24" s="11">
        <f>E24*F24</f>
        <v/>
      </c>
      <c r="H24" s="9" t="inlineStr">
        <is>
          <t>RNP-2805</t>
        </is>
      </c>
      <c r="I24" s="9" t="n">
        <v>0</v>
      </c>
      <c r="J24" s="9" t="inlineStr">
        <is>
          <t>بدون تفصيل بالنظام</t>
        </is>
      </c>
      <c r="K24" s="9" t="inlineStr"/>
    </row>
    <row r="25">
      <c r="A25" s="9" t="n">
        <v>29</v>
      </c>
      <c r="B25" s="21" t="n">
        <v>45969</v>
      </c>
      <c r="C25" s="9" t="inlineStr">
        <is>
          <t>RNP-2805</t>
        </is>
      </c>
      <c r="D25" s="9" t="inlineStr">
        <is>
          <t xml:space="preserve">زهور هيبوستس </t>
        </is>
      </c>
      <c r="E25" s="9" t="n">
        <v>1000</v>
      </c>
      <c r="F25" s="9" t="n">
        <v>0.55</v>
      </c>
      <c r="G25" s="11">
        <f>E25*F25</f>
        <v/>
      </c>
      <c r="H25" s="9" t="inlineStr">
        <is>
          <t>RNP-2805</t>
        </is>
      </c>
      <c r="I25" s="9" t="n"/>
      <c r="J25" s="9" t="inlineStr">
        <is>
          <t>بدون تفصيل بالنظام</t>
        </is>
      </c>
      <c r="K25" s="9" t="inlineStr"/>
    </row>
    <row r="26">
      <c r="A26" s="9" t="n">
        <v>30</v>
      </c>
      <c r="B26" s="21" t="n">
        <v>45999</v>
      </c>
      <c r="C26" s="9" t="inlineStr">
        <is>
          <t>RNP-3160</t>
        </is>
      </c>
      <c r="D26" s="9" t="inlineStr">
        <is>
          <t>كمبوست 10 ك</t>
        </is>
      </c>
      <c r="E26" s="9" t="n">
        <v>19</v>
      </c>
      <c r="F26" s="9" t="n">
        <v>2</v>
      </c>
      <c r="G26" s="11">
        <f>E26*F26</f>
        <v/>
      </c>
      <c r="H26" s="9" t="inlineStr">
        <is>
          <t>RNP-3160</t>
        </is>
      </c>
      <c r="I26" s="9" t="n">
        <v>0</v>
      </c>
      <c r="J26" s="9" t="inlineStr">
        <is>
          <t>بدون تفصيل بالنظام</t>
        </is>
      </c>
      <c r="K26" s="9" t="inlineStr"/>
    </row>
    <row r="27">
      <c r="A27" s="9" t="n">
        <v>31</v>
      </c>
      <c r="B27" s="21" t="n">
        <v>45999</v>
      </c>
      <c r="C27" s="9" t="inlineStr">
        <is>
          <t>RNP-3165</t>
        </is>
      </c>
      <c r="D27" s="9" t="inlineStr">
        <is>
          <t>زهور اليسوم</t>
        </is>
      </c>
      <c r="E27" s="9" t="n">
        <v>175</v>
      </c>
      <c r="F27" s="9" t="n">
        <v>0.5</v>
      </c>
      <c r="G27" s="11">
        <f>E27*F27</f>
        <v/>
      </c>
      <c r="H27" s="9" t="inlineStr">
        <is>
          <t>RNP-3165</t>
        </is>
      </c>
      <c r="I27" s="9" t="n">
        <v>0</v>
      </c>
      <c r="J27" s="9" t="inlineStr">
        <is>
          <t>بدون تفصيل بالنظام</t>
        </is>
      </c>
      <c r="K27" s="9" t="inlineStr"/>
    </row>
    <row r="28">
      <c r="A28" s="9" t="n">
        <v>32</v>
      </c>
      <c r="B28" s="21" t="n">
        <v>46011</v>
      </c>
      <c r="C28" s="9" t="inlineStr">
        <is>
          <t>RNP-3276</t>
        </is>
      </c>
      <c r="D28" s="9" t="inlineStr">
        <is>
          <t>زهور ماري جولد</t>
        </is>
      </c>
      <c r="E28" s="9" t="n">
        <v>1500</v>
      </c>
      <c r="F28" s="9" t="n">
        <v>0.5</v>
      </c>
      <c r="G28" s="11">
        <f>E28*F28</f>
        <v/>
      </c>
      <c r="H28" s="9" t="inlineStr">
        <is>
          <t>RNP-3276</t>
        </is>
      </c>
      <c r="I28" s="9" t="n">
        <v>0</v>
      </c>
      <c r="J28" s="9" t="inlineStr">
        <is>
          <t>بدون تفصيل بالنظام</t>
        </is>
      </c>
      <c r="K28" s="9" t="inlineStr"/>
    </row>
    <row r="29">
      <c r="A29" s="9" t="n">
        <v>33</v>
      </c>
      <c r="B29" s="21" t="n">
        <v>46011</v>
      </c>
      <c r="C29" s="9" t="inlineStr">
        <is>
          <t>RNP-3276</t>
        </is>
      </c>
      <c r="D29" s="9" t="inlineStr">
        <is>
          <t>زهور بيتونيا</t>
        </is>
      </c>
      <c r="E29" s="9" t="n">
        <v>5885</v>
      </c>
      <c r="F29" s="9" t="n">
        <v>0.5</v>
      </c>
      <c r="G29" s="11">
        <f>E29*F29</f>
        <v/>
      </c>
      <c r="H29" s="9" t="inlineStr">
        <is>
          <t>RNP-3276</t>
        </is>
      </c>
      <c r="I29" s="9" t="n"/>
      <c r="J29" s="9" t="inlineStr">
        <is>
          <t>بدون تفصيل بالنظام</t>
        </is>
      </c>
      <c r="K29" s="9" t="inlineStr"/>
    </row>
    <row r="30">
      <c r="A30" s="9" t="n">
        <v>34</v>
      </c>
      <c r="B30" s="21" t="n">
        <v>46011</v>
      </c>
      <c r="C30" s="9" t="inlineStr">
        <is>
          <t>RNP-3276</t>
        </is>
      </c>
      <c r="D30" s="9" t="inlineStr">
        <is>
          <t>اكاسيا جلوكا من 1 - 2 متر</t>
        </is>
      </c>
      <c r="E30" s="9" t="n">
        <v>16</v>
      </c>
      <c r="F30" s="9" t="n">
        <v>25</v>
      </c>
      <c r="G30" s="11">
        <f>E30*F30</f>
        <v/>
      </c>
      <c r="H30" s="9" t="inlineStr">
        <is>
          <t>RNP-3276</t>
        </is>
      </c>
      <c r="I30" s="9" t="n"/>
      <c r="J30" s="9" t="inlineStr">
        <is>
          <t>بدون تفصيل بالنظام</t>
        </is>
      </c>
      <c r="K30" s="9" t="inlineStr"/>
    </row>
    <row r="31">
      <c r="A31" s="17" t="n">
        <v>35</v>
      </c>
      <c r="B31" s="23" t="n">
        <v>46026</v>
      </c>
      <c r="C31" s="17" t="inlineStr">
        <is>
          <t>RNP-3432</t>
        </is>
      </c>
      <c r="D31" s="17" t="inlineStr">
        <is>
          <t>جيرانيوم مركن 12</t>
        </is>
      </c>
      <c r="E31" s="17" t="n">
        <v>17900</v>
      </c>
      <c r="F31" s="17" t="n">
        <v>3</v>
      </c>
      <c r="G31" s="19">
        <f>E31*F31</f>
        <v/>
      </c>
      <c r="H31" s="17" t="inlineStr">
        <is>
          <t>RNP-3432</t>
        </is>
      </c>
      <c r="I31" s="17" t="n">
        <v>19900</v>
      </c>
      <c r="J31" s="17" t="inlineStr">
        <is>
          <t>مطابق الكمية</t>
        </is>
      </c>
      <c r="K31" s="17" t="inlineStr"/>
    </row>
    <row r="32">
      <c r="A32" s="17" t="n">
        <v>36</v>
      </c>
      <c r="B32" s="23" t="n">
        <v>46026</v>
      </c>
      <c r="C32" s="17" t="inlineStr">
        <is>
          <t>RNP-3432</t>
        </is>
      </c>
      <c r="D32" s="17" t="inlineStr">
        <is>
          <t>زهور اليسوم</t>
        </is>
      </c>
      <c r="E32" s="17" t="n">
        <v>2000</v>
      </c>
      <c r="F32" s="17" t="n">
        <v>0.5</v>
      </c>
      <c r="G32" s="19">
        <f>E32*F32</f>
        <v/>
      </c>
      <c r="H32" s="17" t="inlineStr">
        <is>
          <t>RNP-3432</t>
        </is>
      </c>
      <c r="I32" s="17" t="n"/>
      <c r="J32" s="17" t="inlineStr">
        <is>
          <t>مطابق الكمية</t>
        </is>
      </c>
      <c r="K32" s="17" t="inlineStr"/>
    </row>
    <row r="33">
      <c r="A33" s="17" t="n">
        <v>37</v>
      </c>
      <c r="B33" s="23" t="n">
        <v>46026</v>
      </c>
      <c r="C33" s="17" t="inlineStr">
        <is>
          <t>RNP-3433</t>
        </is>
      </c>
      <c r="D33" s="17" t="inlineStr">
        <is>
          <t>زهور جيرانيوم مركن 9</t>
        </is>
      </c>
      <c r="E33" s="17" t="n">
        <v>1400</v>
      </c>
      <c r="F33" s="17" t="n">
        <v>1.5</v>
      </c>
      <c r="G33" s="19">
        <f>E33*F33</f>
        <v/>
      </c>
      <c r="H33" s="17" t="inlineStr">
        <is>
          <t>RNP-3433</t>
        </is>
      </c>
      <c r="I33" s="17" t="n">
        <v>5000</v>
      </c>
      <c r="J33" s="17" t="inlineStr">
        <is>
          <t>مطابق الكمية</t>
        </is>
      </c>
      <c r="K33" s="17" t="inlineStr"/>
    </row>
    <row r="34">
      <c r="A34" s="17" t="n">
        <v>38</v>
      </c>
      <c r="B34" s="23" t="n">
        <v>46026</v>
      </c>
      <c r="C34" s="17" t="inlineStr">
        <is>
          <t>RNP-3433</t>
        </is>
      </c>
      <c r="D34" s="17" t="inlineStr">
        <is>
          <t>زهور بيتونيا</t>
        </is>
      </c>
      <c r="E34" s="17" t="n">
        <v>1000</v>
      </c>
      <c r="F34" s="17" t="n">
        <v>0.5</v>
      </c>
      <c r="G34" s="19">
        <f>E34*F34</f>
        <v/>
      </c>
      <c r="H34" s="17" t="inlineStr">
        <is>
          <t>RNP-3433</t>
        </is>
      </c>
      <c r="I34" s="17" t="n"/>
      <c r="J34" s="17" t="inlineStr">
        <is>
          <t>مطابق الكمية</t>
        </is>
      </c>
      <c r="K34" s="17" t="inlineStr"/>
    </row>
    <row r="35">
      <c r="A35" s="17" t="n">
        <v>39</v>
      </c>
      <c r="B35" s="23" t="n">
        <v>46026</v>
      </c>
      <c r="C35" s="17" t="inlineStr">
        <is>
          <t>RNP-3433</t>
        </is>
      </c>
      <c r="D35" s="17" t="inlineStr">
        <is>
          <t>زهور ماري جولد</t>
        </is>
      </c>
      <c r="E35" s="17" t="n">
        <v>600</v>
      </c>
      <c r="F35" s="17" t="n">
        <v>0.5</v>
      </c>
      <c r="G35" s="19">
        <f>E35*F35</f>
        <v/>
      </c>
      <c r="H35" s="17" t="inlineStr">
        <is>
          <t>RNP-3433</t>
        </is>
      </c>
      <c r="I35" s="17" t="n"/>
      <c r="J35" s="17" t="inlineStr">
        <is>
          <t>مطابق الكمية</t>
        </is>
      </c>
      <c r="K35" s="17" t="inlineStr"/>
    </row>
    <row r="36">
      <c r="A36" s="17" t="n">
        <v>40</v>
      </c>
      <c r="B36" s="23" t="n">
        <v>46026</v>
      </c>
      <c r="C36" s="17" t="inlineStr">
        <is>
          <t>RNP-3433</t>
        </is>
      </c>
      <c r="D36" s="17" t="inlineStr">
        <is>
          <t>زهور اليسوم</t>
        </is>
      </c>
      <c r="E36" s="17" t="n">
        <v>2000</v>
      </c>
      <c r="F36" s="17" t="n">
        <v>0.5</v>
      </c>
      <c r="G36" s="19">
        <f>E36*F36</f>
        <v/>
      </c>
      <c r="H36" s="17" t="inlineStr">
        <is>
          <t>RNP-3433</t>
        </is>
      </c>
      <c r="I36" s="17" t="n"/>
      <c r="J36" s="17" t="inlineStr">
        <is>
          <t>مطابق الكمية</t>
        </is>
      </c>
      <c r="K36" s="17" t="inlineStr"/>
    </row>
    <row r="37">
      <c r="A37" s="17" t="n">
        <v>41</v>
      </c>
      <c r="B37" s="23" t="n">
        <v>46026</v>
      </c>
      <c r="C37" s="17" t="inlineStr">
        <is>
          <t>RNT-3434</t>
        </is>
      </c>
      <c r="D37" s="17" t="inlineStr">
        <is>
          <t>زهور ماري جولد</t>
        </is>
      </c>
      <c r="E37" s="17" t="n">
        <v>2000</v>
      </c>
      <c r="F37" s="17" t="n">
        <v>0.5</v>
      </c>
      <c r="G37" s="19">
        <f>E37*F37</f>
        <v/>
      </c>
      <c r="H37" s="17" t="inlineStr">
        <is>
          <t>RNT-3434</t>
        </is>
      </c>
      <c r="I37" s="17" t="n">
        <v>2000</v>
      </c>
      <c r="J37" s="17" t="inlineStr">
        <is>
          <t>مطابق الكمية</t>
        </is>
      </c>
      <c r="K37" s="17" t="inlineStr"/>
    </row>
    <row r="38">
      <c r="A38" s="17" t="n">
        <v>42</v>
      </c>
      <c r="B38" s="23" t="n">
        <v>46029</v>
      </c>
      <c r="C38" s="17" t="inlineStr">
        <is>
          <t>RNP-3491</t>
        </is>
      </c>
      <c r="D38" s="17" t="inlineStr">
        <is>
          <t>زهور بيتونيا</t>
        </is>
      </c>
      <c r="E38" s="17" t="n">
        <v>2200</v>
      </c>
      <c r="F38" s="17" t="n">
        <v>0.5</v>
      </c>
      <c r="G38" s="19">
        <f>E38*F38</f>
        <v/>
      </c>
      <c r="H38" s="17" t="inlineStr">
        <is>
          <t>RNP-3491</t>
        </is>
      </c>
      <c r="I38" s="17" t="n">
        <v>4100</v>
      </c>
      <c r="J38" s="17" t="inlineStr">
        <is>
          <t>مطابق الكمية</t>
        </is>
      </c>
      <c r="K38" s="17" t="inlineStr"/>
    </row>
    <row r="39">
      <c r="A39" s="17" t="n">
        <v>43</v>
      </c>
      <c r="B39" s="23" t="n">
        <v>46029</v>
      </c>
      <c r="C39" s="17" t="inlineStr">
        <is>
          <t>RNP-3491</t>
        </is>
      </c>
      <c r="D39" s="17" t="inlineStr">
        <is>
          <t>زهور اليسوم</t>
        </is>
      </c>
      <c r="E39" s="17" t="n">
        <v>700</v>
      </c>
      <c r="F39" s="17" t="n">
        <v>0.5</v>
      </c>
      <c r="G39" s="19">
        <f>E39*F39</f>
        <v/>
      </c>
      <c r="H39" s="17" t="inlineStr">
        <is>
          <t>RNP-3491</t>
        </is>
      </c>
      <c r="I39" s="17" t="n"/>
      <c r="J39" s="17" t="inlineStr">
        <is>
          <t>مطابق الكمية</t>
        </is>
      </c>
      <c r="K39" s="17" t="inlineStr"/>
    </row>
    <row r="40">
      <c r="A40" s="17" t="n">
        <v>44</v>
      </c>
      <c r="B40" s="23" t="n">
        <v>46029</v>
      </c>
      <c r="C40" s="17" t="inlineStr">
        <is>
          <t>RNP-3491</t>
        </is>
      </c>
      <c r="D40" s="17" t="inlineStr">
        <is>
          <t>دورانتا اخضر</t>
        </is>
      </c>
      <c r="E40" s="17" t="n">
        <v>1200</v>
      </c>
      <c r="F40" s="17" t="n">
        <v>2.5</v>
      </c>
      <c r="G40" s="19">
        <f>E40*F40</f>
        <v/>
      </c>
      <c r="H40" s="17" t="inlineStr">
        <is>
          <t>RNP-3491</t>
        </is>
      </c>
      <c r="I40" s="17" t="n"/>
      <c r="J40" s="17" t="inlineStr">
        <is>
          <t>مطابق الكمية</t>
        </is>
      </c>
      <c r="K40" s="17" t="inlineStr"/>
    </row>
    <row r="41">
      <c r="A41" s="17" t="n">
        <v>45</v>
      </c>
      <c r="B41" s="23" t="n">
        <v>46033</v>
      </c>
      <c r="C41" s="17" t="inlineStr">
        <is>
          <t>RNP-3520</t>
        </is>
      </c>
      <c r="D41" s="17" t="inlineStr">
        <is>
          <t>زهور بيتونيا</t>
        </is>
      </c>
      <c r="E41" s="17" t="n">
        <v>6000</v>
      </c>
      <c r="F41" s="17" t="n">
        <v>0.5</v>
      </c>
      <c r="G41" s="19">
        <f>E41*F41</f>
        <v/>
      </c>
      <c r="H41" s="17" t="inlineStr">
        <is>
          <t>RNP-3520</t>
        </is>
      </c>
      <c r="I41" s="17" t="n">
        <v>6000</v>
      </c>
      <c r="J41" s="17" t="inlineStr">
        <is>
          <t>مطابق الكمية</t>
        </is>
      </c>
      <c r="K41" s="17" t="inlineStr"/>
    </row>
    <row r="42">
      <c r="A42" s="9" t="n">
        <v>46</v>
      </c>
      <c r="B42" s="21" t="n">
        <v>46040</v>
      </c>
      <c r="C42" s="9" t="inlineStr">
        <is>
          <t>RNP-3586</t>
        </is>
      </c>
      <c r="D42" s="9" t="inlineStr">
        <is>
          <t>تيكوماريا</t>
        </is>
      </c>
      <c r="E42" s="9" t="n">
        <v>34</v>
      </c>
      <c r="F42" s="9" t="n">
        <v>2.5</v>
      </c>
      <c r="G42" s="11">
        <f>E42*F42</f>
        <v/>
      </c>
      <c r="H42" s="9" t="inlineStr">
        <is>
          <t>RNP-3586</t>
        </is>
      </c>
      <c r="I42" s="9" t="n">
        <v>0</v>
      </c>
      <c r="J42" s="9" t="inlineStr">
        <is>
          <t>بدون تفصيل بالنظام</t>
        </is>
      </c>
      <c r="K42" s="9" t="inlineStr"/>
    </row>
    <row r="43">
      <c r="A43" s="17" t="n">
        <v>47</v>
      </c>
      <c r="B43" s="23" t="n">
        <v>46042</v>
      </c>
      <c r="C43" s="17" t="inlineStr">
        <is>
          <t>RNT-3604</t>
        </is>
      </c>
      <c r="D43" s="17" t="inlineStr">
        <is>
          <t>تراديسكانتيا مركن 19 علاقي</t>
        </is>
      </c>
      <c r="E43" s="17" t="n">
        <v>270</v>
      </c>
      <c r="F43" s="17" t="n">
        <v>10</v>
      </c>
      <c r="G43" s="19">
        <f>E43*F43</f>
        <v/>
      </c>
      <c r="H43" s="17" t="inlineStr">
        <is>
          <t>RNT-3604</t>
        </is>
      </c>
      <c r="I43" s="17" t="n">
        <v>2770</v>
      </c>
      <c r="J43" s="17" t="inlineStr">
        <is>
          <t>مطابق الكمية</t>
        </is>
      </c>
      <c r="K43" s="17" t="inlineStr"/>
    </row>
    <row r="44">
      <c r="A44" s="17" t="n">
        <v>48</v>
      </c>
      <c r="B44" s="23" t="n">
        <v>46042</v>
      </c>
      <c r="C44" s="17" t="inlineStr">
        <is>
          <t>RNT-3604</t>
        </is>
      </c>
      <c r="D44" s="17" t="inlineStr">
        <is>
          <t>كلانشو هولندي مركن 12</t>
        </is>
      </c>
      <c r="E44" s="17" t="n">
        <v>1500</v>
      </c>
      <c r="F44" s="17" t="n">
        <v>4</v>
      </c>
      <c r="G44" s="19">
        <f>E44*F44</f>
        <v/>
      </c>
      <c r="H44" s="17" t="inlineStr">
        <is>
          <t>RNT-3604</t>
        </is>
      </c>
      <c r="I44" s="17" t="n"/>
      <c r="J44" s="17" t="inlineStr">
        <is>
          <t>مطابق الكمية</t>
        </is>
      </c>
      <c r="K44" s="17" t="inlineStr"/>
    </row>
    <row r="45">
      <c r="A45" s="17" t="n">
        <v>49</v>
      </c>
      <c r="B45" s="23" t="n">
        <v>46042</v>
      </c>
      <c r="C45" s="17" t="inlineStr">
        <is>
          <t>RNT-3604</t>
        </is>
      </c>
      <c r="D45" s="17" t="inlineStr">
        <is>
          <t>زهور قرنفل صيني</t>
        </is>
      </c>
      <c r="E45" s="17" t="n">
        <v>1000</v>
      </c>
      <c r="F45" s="17" t="n">
        <v>0.5</v>
      </c>
      <c r="G45" s="19">
        <f>E45*F45</f>
        <v/>
      </c>
      <c r="H45" s="17" t="inlineStr">
        <is>
          <t>RNT-3604</t>
        </is>
      </c>
      <c r="I45" s="17" t="n"/>
      <c r="J45" s="17" t="inlineStr">
        <is>
          <t>مطابق الكمية</t>
        </is>
      </c>
      <c r="K45" s="17" t="inlineStr"/>
    </row>
    <row r="46">
      <c r="A46" s="9" t="n">
        <v>50</v>
      </c>
      <c r="B46" s="21" t="n">
        <v>46042</v>
      </c>
      <c r="C46" s="9" t="inlineStr">
        <is>
          <t>RNP-3613</t>
        </is>
      </c>
      <c r="D46" s="9" t="inlineStr">
        <is>
          <t>جيرانيوم مركن 12</t>
        </is>
      </c>
      <c r="E46" s="9" t="n">
        <v>450</v>
      </c>
      <c r="F46" s="9" t="n">
        <v>3</v>
      </c>
      <c r="G46" s="11">
        <f>E46*F46</f>
        <v/>
      </c>
      <c r="H46" s="9" t="inlineStr">
        <is>
          <t>RNP-3613</t>
        </is>
      </c>
      <c r="I46" s="9" t="n">
        <v>0</v>
      </c>
      <c r="J46" s="9" t="inlineStr">
        <is>
          <t>بدون تفصيل بالنظام</t>
        </is>
      </c>
      <c r="K46" s="9" t="inlineStr"/>
    </row>
    <row r="47">
      <c r="A47" s="9" t="n">
        <v>51</v>
      </c>
      <c r="B47" s="21" t="n">
        <v>46042</v>
      </c>
      <c r="C47" s="9" t="inlineStr">
        <is>
          <t>RNP-3613</t>
        </is>
      </c>
      <c r="D47" s="9" t="inlineStr">
        <is>
          <t>نخيل سايكس 30 سم</t>
        </is>
      </c>
      <c r="E47" s="9" t="n">
        <v>4</v>
      </c>
      <c r="F47" s="9" t="n">
        <v>262.5</v>
      </c>
      <c r="G47" s="11">
        <f>E47*F47</f>
        <v/>
      </c>
      <c r="H47" s="9" t="inlineStr">
        <is>
          <t>RNP-3613</t>
        </is>
      </c>
      <c r="I47" s="9" t="n"/>
      <c r="J47" s="9" t="inlineStr">
        <is>
          <t>بدون تفصيل بالنظام</t>
        </is>
      </c>
      <c r="K47" s="9" t="inlineStr"/>
    </row>
    <row r="48">
      <c r="A48" s="9" t="n">
        <v>52</v>
      </c>
      <c r="B48" s="21" t="n">
        <v>46042</v>
      </c>
      <c r="C48" s="9" t="inlineStr">
        <is>
          <t>RNP-3613</t>
        </is>
      </c>
      <c r="D48" s="9" t="inlineStr">
        <is>
          <t>جهنمية بلدي 50 سم</t>
        </is>
      </c>
      <c r="E48" s="9" t="n">
        <v>30</v>
      </c>
      <c r="F48" s="9" t="n">
        <v>5</v>
      </c>
      <c r="G48" s="11">
        <f>E48*F48</f>
        <v/>
      </c>
      <c r="H48" s="9" t="inlineStr">
        <is>
          <t>RNP-3613</t>
        </is>
      </c>
      <c r="I48" s="9" t="n"/>
      <c r="J48" s="9" t="inlineStr">
        <is>
          <t>بدون تفصيل بالنظام</t>
        </is>
      </c>
      <c r="K48" s="9" t="inlineStr"/>
    </row>
    <row r="49">
      <c r="A49" s="17" t="n">
        <v>53</v>
      </c>
      <c r="B49" s="23" t="n">
        <v>46060</v>
      </c>
      <c r="C49" s="17" t="inlineStr">
        <is>
          <t>RNP-3767</t>
        </is>
      </c>
      <c r="D49" s="17" t="inlineStr">
        <is>
          <t>زهور اقحوان افريقي هولندي مركن 12</t>
        </is>
      </c>
      <c r="E49" s="17" t="n">
        <v>1785</v>
      </c>
      <c r="F49" s="17" t="n">
        <v>3.25</v>
      </c>
      <c r="G49" s="19">
        <f>E49*F49</f>
        <v/>
      </c>
      <c r="H49" s="17" t="inlineStr">
        <is>
          <t>RNP-3767</t>
        </is>
      </c>
      <c r="I49" s="17" t="n">
        <v>3785</v>
      </c>
      <c r="J49" s="17" t="inlineStr">
        <is>
          <t>مطابق الكمية</t>
        </is>
      </c>
      <c r="K49" s="17" t="inlineStr"/>
    </row>
    <row r="50">
      <c r="A50" s="17" t="n">
        <v>54</v>
      </c>
      <c r="B50" s="23" t="n">
        <v>46060</v>
      </c>
      <c r="C50" s="17" t="inlineStr">
        <is>
          <t>RNP-3767</t>
        </is>
      </c>
      <c r="D50" s="17" t="inlineStr">
        <is>
          <t>زهور ملفوف مركن 9</t>
        </is>
      </c>
      <c r="E50" s="17" t="n">
        <v>2000</v>
      </c>
      <c r="F50" s="17" t="n">
        <v>0.5</v>
      </c>
      <c r="G50" s="19">
        <f>E50*F50</f>
        <v/>
      </c>
      <c r="H50" s="17" t="inlineStr">
        <is>
          <t>RNP-3767</t>
        </is>
      </c>
      <c r="I50" s="17" t="n"/>
      <c r="J50" s="17" t="inlineStr">
        <is>
          <t>مطابق الكمية</t>
        </is>
      </c>
      <c r="K50" s="17" t="inlineStr"/>
    </row>
    <row r="51">
      <c r="A51" s="17" t="n">
        <v>55</v>
      </c>
      <c r="B51" s="23" t="n">
        <v>46064</v>
      </c>
      <c r="C51" s="17" t="inlineStr">
        <is>
          <t>RNT-3805</t>
        </is>
      </c>
      <c r="D51" s="17" t="inlineStr">
        <is>
          <t>زهور اقحوان افريقي هولندي مركن 12</t>
        </is>
      </c>
      <c r="E51" s="17" t="n">
        <v>90</v>
      </c>
      <c r="F51" s="17" t="n">
        <v>3.25</v>
      </c>
      <c r="G51" s="19">
        <f>E51*F51</f>
        <v/>
      </c>
      <c r="H51" s="17" t="inlineStr">
        <is>
          <t>RNT-3805</t>
        </is>
      </c>
      <c r="I51" s="17" t="n">
        <v>708</v>
      </c>
      <c r="J51" s="17" t="inlineStr">
        <is>
          <t>مطابق الكمية</t>
        </is>
      </c>
      <c r="K51" s="17" t="inlineStr"/>
    </row>
    <row r="52">
      <c r="A52" s="17" t="n">
        <v>56</v>
      </c>
      <c r="B52" s="23" t="n">
        <v>46064</v>
      </c>
      <c r="C52" s="17" t="inlineStr">
        <is>
          <t>RNT-3805</t>
        </is>
      </c>
      <c r="D52" s="17" t="inlineStr">
        <is>
          <t>زهور اقحوان افريقي مركن 9</t>
        </is>
      </c>
      <c r="E52" s="17" t="n">
        <v>150</v>
      </c>
      <c r="F52" s="17" t="n">
        <v>1.5</v>
      </c>
      <c r="G52" s="19">
        <f>E52*F52</f>
        <v/>
      </c>
      <c r="H52" s="17" t="inlineStr">
        <is>
          <t>RNT-3805</t>
        </is>
      </c>
      <c r="I52" s="17" t="n"/>
      <c r="J52" s="17" t="inlineStr">
        <is>
          <t>مطابق الكمية</t>
        </is>
      </c>
      <c r="K52" s="17" t="inlineStr"/>
    </row>
    <row r="53">
      <c r="A53" s="17" t="n">
        <v>57</v>
      </c>
      <c r="B53" s="23" t="n">
        <v>46064</v>
      </c>
      <c r="C53" s="17" t="inlineStr">
        <is>
          <t>RNT-3805</t>
        </is>
      </c>
      <c r="D53" s="17" t="inlineStr">
        <is>
          <t>زهور منثور مركن 9</t>
        </is>
      </c>
      <c r="E53" s="17" t="n">
        <v>150</v>
      </c>
      <c r="F53" s="17" t="n">
        <v>0.5</v>
      </c>
      <c r="G53" s="19">
        <f>E53*F53</f>
        <v/>
      </c>
      <c r="H53" s="17" t="inlineStr">
        <is>
          <t>RNT-3805</t>
        </is>
      </c>
      <c r="I53" s="17" t="n"/>
      <c r="J53" s="17" t="inlineStr">
        <is>
          <t>مطابق الكمية</t>
        </is>
      </c>
      <c r="K53" s="17" t="inlineStr"/>
    </row>
    <row r="54">
      <c r="A54" s="17" t="n">
        <v>58</v>
      </c>
      <c r="B54" s="23" t="n">
        <v>46064</v>
      </c>
      <c r="C54" s="17" t="inlineStr">
        <is>
          <t>RNT-3805</t>
        </is>
      </c>
      <c r="D54" s="17" t="inlineStr">
        <is>
          <t>زهور جيرانيوم  هولندي مركن12</t>
        </is>
      </c>
      <c r="E54" s="17" t="n">
        <v>180</v>
      </c>
      <c r="F54" s="17" t="n">
        <v>3.75</v>
      </c>
      <c r="G54" s="19">
        <f>E54*F54</f>
        <v/>
      </c>
      <c r="H54" s="17" t="inlineStr">
        <is>
          <t>RNT-3805</t>
        </is>
      </c>
      <c r="I54" s="17" t="n"/>
      <c r="J54" s="17" t="inlineStr">
        <is>
          <t>مطابق الكمية</t>
        </is>
      </c>
      <c r="K54" s="17" t="inlineStr"/>
    </row>
    <row r="55">
      <c r="A55" s="17" t="n">
        <v>59</v>
      </c>
      <c r="B55" s="23" t="n">
        <v>46064</v>
      </c>
      <c r="C55" s="17" t="inlineStr">
        <is>
          <t>RNT-3805</t>
        </is>
      </c>
      <c r="D55" s="17" t="inlineStr">
        <is>
          <t>زهور قرنفل امريكي 12</t>
        </is>
      </c>
      <c r="E55" s="17" t="n">
        <v>90</v>
      </c>
      <c r="F55" s="17" t="n">
        <v>4</v>
      </c>
      <c r="G55" s="19">
        <f>E55*F55</f>
        <v/>
      </c>
      <c r="H55" s="17" t="inlineStr">
        <is>
          <t>RNT-3805</t>
        </is>
      </c>
      <c r="I55" s="17" t="n"/>
      <c r="J55" s="17" t="inlineStr">
        <is>
          <t>مطابق الكمية</t>
        </is>
      </c>
      <c r="K55" s="17" t="inlineStr"/>
    </row>
    <row r="56">
      <c r="A56" s="17" t="n">
        <v>60</v>
      </c>
      <c r="B56" s="23" t="n">
        <v>46064</v>
      </c>
      <c r="C56" s="17" t="inlineStr">
        <is>
          <t>RNT-3805</t>
        </is>
      </c>
      <c r="D56" s="17" t="inlineStr">
        <is>
          <t>زهور سينيراريا 12</t>
        </is>
      </c>
      <c r="E56" s="17" t="n">
        <v>48</v>
      </c>
      <c r="F56" s="17" t="n">
        <v>2.5</v>
      </c>
      <c r="G56" s="19">
        <f>E56*F56</f>
        <v/>
      </c>
      <c r="H56" s="17" t="inlineStr">
        <is>
          <t>RNT-3805</t>
        </is>
      </c>
      <c r="I56" s="17" t="n"/>
      <c r="J56" s="17" t="inlineStr">
        <is>
          <t>مطابق الكمية</t>
        </is>
      </c>
      <c r="K56" s="17" t="inlineStr"/>
    </row>
    <row r="57">
      <c r="A57" s="17" t="n">
        <v>61</v>
      </c>
      <c r="B57" s="23" t="n">
        <v>46068</v>
      </c>
      <c r="C57" s="17" t="inlineStr">
        <is>
          <t>RNP-3839</t>
        </is>
      </c>
      <c r="D57" s="17" t="inlineStr">
        <is>
          <t>زهور بيتونيا</t>
        </is>
      </c>
      <c r="E57" s="17" t="n">
        <v>312</v>
      </c>
      <c r="F57" s="17" t="n">
        <v>0.5</v>
      </c>
      <c r="G57" s="19">
        <f>E57*F57</f>
        <v/>
      </c>
      <c r="H57" s="17" t="inlineStr">
        <is>
          <t>RNP-3839</t>
        </is>
      </c>
      <c r="I57" s="17" t="n">
        <v>1248</v>
      </c>
      <c r="J57" s="17" t="inlineStr">
        <is>
          <t>مطابق الكمية</t>
        </is>
      </c>
      <c r="K57" s="17" t="inlineStr"/>
    </row>
    <row r="58">
      <c r="A58" s="17" t="n">
        <v>62</v>
      </c>
      <c r="B58" s="23" t="n">
        <v>46068</v>
      </c>
      <c r="C58" s="17" t="inlineStr">
        <is>
          <t>RNP-3839</t>
        </is>
      </c>
      <c r="D58" s="17" t="inlineStr">
        <is>
          <t>زهور منثور مركن 9</t>
        </is>
      </c>
      <c r="E58" s="17" t="n">
        <v>312</v>
      </c>
      <c r="F58" s="17" t="n">
        <v>0.5</v>
      </c>
      <c r="G58" s="19">
        <f>E58*F58</f>
        <v/>
      </c>
      <c r="H58" s="17" t="inlineStr">
        <is>
          <t>RNP-3839</t>
        </is>
      </c>
      <c r="I58" s="17" t="n"/>
      <c r="J58" s="17" t="inlineStr">
        <is>
          <t>مطابق الكمية</t>
        </is>
      </c>
      <c r="K58" s="17" t="inlineStr"/>
    </row>
    <row r="59">
      <c r="A59" s="17" t="n">
        <v>63</v>
      </c>
      <c r="B59" s="23" t="n">
        <v>46068</v>
      </c>
      <c r="C59" s="17" t="inlineStr">
        <is>
          <t>RNP-3839</t>
        </is>
      </c>
      <c r="D59" s="17" t="inlineStr">
        <is>
          <t>زهور سالفيا مركن 9</t>
        </is>
      </c>
      <c r="E59" s="17" t="n">
        <v>312</v>
      </c>
      <c r="F59" s="17" t="n">
        <v>0.6</v>
      </c>
      <c r="G59" s="19">
        <f>E59*F59</f>
        <v/>
      </c>
      <c r="H59" s="17" t="inlineStr">
        <is>
          <t>RNP-3839</t>
        </is>
      </c>
      <c r="I59" s="17" t="n"/>
      <c r="J59" s="17" t="inlineStr">
        <is>
          <t>مطابق الكمية</t>
        </is>
      </c>
      <c r="K59" s="17" t="inlineStr"/>
    </row>
    <row r="60">
      <c r="A60" s="17" t="n">
        <v>64</v>
      </c>
      <c r="B60" s="23" t="n">
        <v>46068</v>
      </c>
      <c r="C60" s="17" t="inlineStr">
        <is>
          <t>RNP-3839</t>
        </is>
      </c>
      <c r="D60" s="17" t="inlineStr">
        <is>
          <t>زهور ملفوف مركن 9</t>
        </is>
      </c>
      <c r="E60" s="17" t="n">
        <v>312</v>
      </c>
      <c r="F60" s="17" t="n">
        <v>0.5</v>
      </c>
      <c r="G60" s="19">
        <f>E60*F60</f>
        <v/>
      </c>
      <c r="H60" s="17" t="inlineStr">
        <is>
          <t>RNP-3839</t>
        </is>
      </c>
      <c r="I60" s="17" t="n"/>
      <c r="J60" s="17" t="inlineStr">
        <is>
          <t>مطابق الكمية</t>
        </is>
      </c>
      <c r="K60" s="17" t="inlineStr"/>
    </row>
    <row r="61">
      <c r="A61" s="9" t="n">
        <v>65</v>
      </c>
      <c r="B61" s="21" t="n">
        <v>46104</v>
      </c>
      <c r="C61" s="9" t="inlineStr">
        <is>
          <t>RNT-180</t>
        </is>
      </c>
      <c r="D61" s="9" t="inlineStr">
        <is>
          <t>كلانشو هولندي مركن 12</t>
        </is>
      </c>
      <c r="E61" s="9" t="n">
        <v>420</v>
      </c>
      <c r="F61" s="9" t="n">
        <v>4</v>
      </c>
      <c r="G61" s="11">
        <f>E61*F61</f>
        <v/>
      </c>
      <c r="H61" s="9" t="inlineStr">
        <is>
          <t>RNT-180</t>
        </is>
      </c>
      <c r="I61" s="9" t="n">
        <v>3095</v>
      </c>
      <c r="J61" s="9" t="inlineStr">
        <is>
          <t>يوجد فرق</t>
        </is>
      </c>
      <c r="K61" s="9" t="inlineStr">
        <is>
          <t>⚠ المحاسب أسقط بند بيرلايت 100 لتر × 100 (3,250 بسعر 32.5) الموجود بالسند</t>
        </is>
      </c>
    </row>
    <row r="62">
      <c r="A62" s="9" t="n">
        <v>66</v>
      </c>
      <c r="B62" s="21" t="n">
        <v>46104</v>
      </c>
      <c r="C62" s="9" t="inlineStr">
        <is>
          <t>RNT-180</t>
        </is>
      </c>
      <c r="D62" s="9" t="inlineStr">
        <is>
          <t xml:space="preserve">زهور هيبوستس </t>
        </is>
      </c>
      <c r="E62" s="9" t="n">
        <v>1575</v>
      </c>
      <c r="F62" s="9" t="n">
        <v>0.55</v>
      </c>
      <c r="G62" s="11">
        <f>E62*F62</f>
        <v/>
      </c>
      <c r="H62" s="9" t="inlineStr">
        <is>
          <t>RNT-180</t>
        </is>
      </c>
      <c r="I62" s="9" t="n"/>
      <c r="J62" s="9" t="inlineStr">
        <is>
          <t>يوجد فرق</t>
        </is>
      </c>
      <c r="K62" s="9" t="inlineStr"/>
    </row>
    <row r="63">
      <c r="A63" s="9" t="n">
        <v>67</v>
      </c>
      <c r="B63" s="21" t="n">
        <v>46104</v>
      </c>
      <c r="C63" s="9" t="inlineStr">
        <is>
          <t>RNT-180</t>
        </is>
      </c>
      <c r="D63" s="9" t="inlineStr">
        <is>
          <t>زهور اقحوان افريقي مركن 9</t>
        </is>
      </c>
      <c r="E63" s="9" t="n">
        <v>1000</v>
      </c>
      <c r="F63" s="9" t="n">
        <v>1.5</v>
      </c>
      <c r="G63" s="11">
        <f>E63*F63</f>
        <v/>
      </c>
      <c r="H63" s="9" t="inlineStr">
        <is>
          <t>RNT-180</t>
        </is>
      </c>
      <c r="I63" s="9" t="n"/>
      <c r="J63" s="9" t="inlineStr">
        <is>
          <t>يوجد فرق</t>
        </is>
      </c>
      <c r="K63" s="9" t="inlineStr"/>
    </row>
    <row r="64">
      <c r="A64" s="17" t="n">
        <v>68</v>
      </c>
      <c r="B64" s="23" t="n">
        <v>46120</v>
      </c>
      <c r="C64" s="17" t="inlineStr">
        <is>
          <t>RNP-208</t>
        </is>
      </c>
      <c r="D64" s="17" t="inlineStr">
        <is>
          <t>زهور زينيا</t>
        </is>
      </c>
      <c r="E64" s="17" t="n">
        <v>4000</v>
      </c>
      <c r="F64" s="17" t="n">
        <v>0.5</v>
      </c>
      <c r="G64" s="19">
        <f>E64*F64</f>
        <v/>
      </c>
      <c r="H64" s="17" t="inlineStr">
        <is>
          <t>RNP-208</t>
        </is>
      </c>
      <c r="I64" s="17" t="n">
        <v>4000</v>
      </c>
      <c r="J64" s="17" t="inlineStr">
        <is>
          <t>مطابق الكمية</t>
        </is>
      </c>
      <c r="K64" s="17" t="inlineStr"/>
    </row>
    <row r="65">
      <c r="A65" s="17" t="n">
        <v>69</v>
      </c>
      <c r="B65" s="23" t="n">
        <v>46121</v>
      </c>
      <c r="C65" s="17" t="inlineStr">
        <is>
          <t>RNP-213</t>
        </is>
      </c>
      <c r="D65" s="17" t="inlineStr">
        <is>
          <t>زهور امرانتس</t>
        </is>
      </c>
      <c r="E65" s="17" t="n">
        <v>700</v>
      </c>
      <c r="F65" s="17" t="n">
        <v>0.5</v>
      </c>
      <c r="G65" s="19">
        <f>E65*F65</f>
        <v/>
      </c>
      <c r="H65" s="17" t="inlineStr">
        <is>
          <t>RNP-213</t>
        </is>
      </c>
      <c r="I65" s="17" t="n">
        <v>1400</v>
      </c>
      <c r="J65" s="17" t="inlineStr">
        <is>
          <t>مطابق الكمية</t>
        </is>
      </c>
      <c r="K65" s="17" t="inlineStr"/>
    </row>
    <row r="66">
      <c r="A66" s="17" t="n">
        <v>70</v>
      </c>
      <c r="B66" s="23" t="n">
        <v>46121</v>
      </c>
      <c r="C66" s="17" t="inlineStr">
        <is>
          <t>RNP-213</t>
        </is>
      </c>
      <c r="D66" s="17" t="inlineStr">
        <is>
          <t>زهور فينكا روزا</t>
        </is>
      </c>
      <c r="E66" s="17" t="n">
        <v>700</v>
      </c>
      <c r="F66" s="17" t="n">
        <v>0.5</v>
      </c>
      <c r="G66" s="19">
        <f>E66*F66</f>
        <v/>
      </c>
      <c r="H66" s="17" t="inlineStr">
        <is>
          <t>RNP-213</t>
        </is>
      </c>
      <c r="I66" s="17" t="n"/>
      <c r="J66" s="17" t="inlineStr">
        <is>
          <t>مطابق الكمية</t>
        </is>
      </c>
      <c r="K66" s="17" t="inlineStr"/>
    </row>
    <row r="67">
      <c r="A67" s="17" t="n">
        <v>71</v>
      </c>
      <c r="B67" s="23" t="n">
        <v>46121</v>
      </c>
      <c r="C67" s="17" t="inlineStr">
        <is>
          <t>RNT-211</t>
        </is>
      </c>
      <c r="D67" s="17" t="inlineStr">
        <is>
          <t>زهور اقحوان افريقي مركن 9</t>
        </is>
      </c>
      <c r="E67" s="17" t="n">
        <v>1650</v>
      </c>
      <c r="F67" s="17" t="n">
        <v>1.5</v>
      </c>
      <c r="G67" s="19">
        <f>E67*F67</f>
        <v/>
      </c>
      <c r="H67" s="17" t="inlineStr">
        <is>
          <t>RNT-211</t>
        </is>
      </c>
      <c r="I67" s="17" t="n">
        <v>2400</v>
      </c>
      <c r="J67" s="17" t="inlineStr">
        <is>
          <t>مطابق الكمية</t>
        </is>
      </c>
      <c r="K67" s="17" t="inlineStr"/>
    </row>
    <row r="68">
      <c r="A68" s="17" t="n">
        <v>72</v>
      </c>
      <c r="B68" s="23" t="n">
        <v>46121</v>
      </c>
      <c r="C68" s="17" t="inlineStr">
        <is>
          <t>RNT-211</t>
        </is>
      </c>
      <c r="D68" s="17" t="inlineStr">
        <is>
          <t>زهور فينكا روزا</t>
        </is>
      </c>
      <c r="E68" s="17" t="n">
        <v>750</v>
      </c>
      <c r="F68" s="17" t="n">
        <v>0.5</v>
      </c>
      <c r="G68" s="19">
        <f>E68*F68</f>
        <v/>
      </c>
      <c r="H68" s="17" t="inlineStr">
        <is>
          <t>RNT-211</t>
        </is>
      </c>
      <c r="I68" s="17" t="n"/>
      <c r="J68" s="17" t="inlineStr">
        <is>
          <t>مطابق الكمية</t>
        </is>
      </c>
      <c r="K68" s="17" t="inlineStr"/>
    </row>
    <row r="69">
      <c r="A69" s="17" t="n">
        <v>73</v>
      </c>
      <c r="B69" s="23" t="n">
        <v>46123</v>
      </c>
      <c r="C69" s="17" t="inlineStr">
        <is>
          <t>RNP-216</t>
        </is>
      </c>
      <c r="D69" s="17" t="inlineStr">
        <is>
          <t>زهور جازانيا</t>
        </is>
      </c>
      <c r="E69" s="17" t="n">
        <v>50</v>
      </c>
      <c r="F69" s="17" t="n">
        <v>0.5</v>
      </c>
      <c r="G69" s="19">
        <f>E69*F69</f>
        <v/>
      </c>
      <c r="H69" s="17" t="inlineStr">
        <is>
          <t>RNP-216</t>
        </is>
      </c>
      <c r="I69" s="17" t="n">
        <v>100</v>
      </c>
      <c r="J69" s="17" t="inlineStr">
        <is>
          <t>مطابق الكمية</t>
        </is>
      </c>
      <c r="K69" s="17" t="inlineStr"/>
    </row>
    <row r="70">
      <c r="A70" s="17" t="n">
        <v>74</v>
      </c>
      <c r="B70" s="23" t="n">
        <v>46123</v>
      </c>
      <c r="C70" s="17" t="inlineStr">
        <is>
          <t>RNP-216</t>
        </is>
      </c>
      <c r="D70" s="17" t="inlineStr">
        <is>
          <t>زهور زينيا</t>
        </is>
      </c>
      <c r="E70" s="17" t="n">
        <v>50</v>
      </c>
      <c r="F70" s="17" t="n">
        <v>0.5</v>
      </c>
      <c r="G70" s="19">
        <f>E70*F70</f>
        <v/>
      </c>
      <c r="H70" s="17" t="inlineStr">
        <is>
          <t>RNP-216</t>
        </is>
      </c>
      <c r="I70" s="17" t="n"/>
      <c r="J70" s="17" t="inlineStr">
        <is>
          <t>مطابق الكمية</t>
        </is>
      </c>
      <c r="K70" s="17" t="inlineStr"/>
    </row>
    <row r="71">
      <c r="A71" s="17" t="n">
        <v>75</v>
      </c>
      <c r="B71" s="23" t="n">
        <v>46127</v>
      </c>
      <c r="C71" s="17" t="inlineStr">
        <is>
          <t>RNP-224</t>
        </is>
      </c>
      <c r="D71" s="17" t="inlineStr">
        <is>
          <t>زهور فينكا روزا</t>
        </is>
      </c>
      <c r="E71" s="17" t="n">
        <v>1000</v>
      </c>
      <c r="F71" s="17" t="n">
        <v>0.5</v>
      </c>
      <c r="G71" s="19">
        <f>E71*F71</f>
        <v/>
      </c>
      <c r="H71" s="17" t="inlineStr">
        <is>
          <t>RNP-224</t>
        </is>
      </c>
      <c r="I71" s="17" t="n">
        <v>1000</v>
      </c>
      <c r="J71" s="17" t="inlineStr">
        <is>
          <t>مطابق الكمية</t>
        </is>
      </c>
      <c r="K71" s="17" t="inlineStr"/>
    </row>
    <row r="72">
      <c r="A72" s="17" t="n">
        <v>76</v>
      </c>
      <c r="B72" s="23" t="n">
        <v>46138</v>
      </c>
      <c r="C72" s="17" t="inlineStr">
        <is>
          <t>RNP-243</t>
        </is>
      </c>
      <c r="D72" s="17" t="inlineStr">
        <is>
          <t>زهور زينيا</t>
        </is>
      </c>
      <c r="E72" s="17" t="n">
        <v>7000</v>
      </c>
      <c r="F72" s="17" t="n">
        <v>0.5</v>
      </c>
      <c r="G72" s="19">
        <f>E72*F72</f>
        <v/>
      </c>
      <c r="H72" s="17" t="inlineStr">
        <is>
          <t>RNP-243</t>
        </is>
      </c>
      <c r="I72" s="17" t="n">
        <v>8000</v>
      </c>
      <c r="J72" s="17" t="inlineStr">
        <is>
          <t>مطابق الكمية</t>
        </is>
      </c>
      <c r="K72" s="17" t="inlineStr"/>
    </row>
    <row r="73">
      <c r="A73" s="17" t="n">
        <v>77</v>
      </c>
      <c r="B73" s="23" t="n">
        <v>46138</v>
      </c>
      <c r="C73" s="17" t="inlineStr">
        <is>
          <t>RNP-243</t>
        </is>
      </c>
      <c r="D73" s="17" t="inlineStr">
        <is>
          <t>زهور امرانتس</t>
        </is>
      </c>
      <c r="E73" s="17" t="n">
        <v>1000</v>
      </c>
      <c r="F73" s="17" t="n">
        <v>0.5</v>
      </c>
      <c r="G73" s="19">
        <f>E73*F73</f>
        <v/>
      </c>
      <c r="H73" s="17" t="inlineStr">
        <is>
          <t>RNP-243</t>
        </is>
      </c>
      <c r="I73" s="17" t="n"/>
      <c r="J73" s="17" t="inlineStr">
        <is>
          <t>مطابق الكمية</t>
        </is>
      </c>
      <c r="K73" s="17" t="inlineStr"/>
    </row>
    <row r="74">
      <c r="A74" s="17" t="n">
        <v>78</v>
      </c>
      <c r="B74" s="23" t="n">
        <v>46144</v>
      </c>
      <c r="C74" s="17" t="inlineStr">
        <is>
          <t>RNP-260</t>
        </is>
      </c>
      <c r="D74" s="17" t="inlineStr">
        <is>
          <t>زهور فينكا روزا</t>
        </is>
      </c>
      <c r="E74" s="17" t="n">
        <v>400</v>
      </c>
      <c r="F74" s="17" t="n">
        <v>0.5</v>
      </c>
      <c r="G74" s="19">
        <f>E74*F74</f>
        <v/>
      </c>
      <c r="H74" s="17" t="inlineStr">
        <is>
          <t>RNP-260</t>
        </is>
      </c>
      <c r="I74" s="17" t="n">
        <v>800</v>
      </c>
      <c r="J74" s="17" t="inlineStr">
        <is>
          <t>مطابق الكمية</t>
        </is>
      </c>
      <c r="K74" s="17" t="inlineStr"/>
    </row>
    <row r="75">
      <c r="A75" s="17" t="n">
        <v>79</v>
      </c>
      <c r="B75" s="23" t="n">
        <v>46144</v>
      </c>
      <c r="C75" s="17" t="inlineStr">
        <is>
          <t>RNP-260</t>
        </is>
      </c>
      <c r="D75" s="17" t="inlineStr">
        <is>
          <t>زهور زينيا</t>
        </is>
      </c>
      <c r="E75" s="17" t="n">
        <v>400</v>
      </c>
      <c r="F75" s="17" t="n">
        <v>0.5</v>
      </c>
      <c r="G75" s="19">
        <f>E75*F75</f>
        <v/>
      </c>
      <c r="H75" s="17" t="inlineStr">
        <is>
          <t>RNP-260</t>
        </is>
      </c>
      <c r="I75" s="17" t="n"/>
      <c r="J75" s="17" t="inlineStr">
        <is>
          <t>مطابق الكمية</t>
        </is>
      </c>
      <c r="K75" s="17" t="inlineStr"/>
    </row>
    <row r="76">
      <c r="A76" s="17" t="n">
        <v>80</v>
      </c>
      <c r="B76" s="23" t="n">
        <v>46147</v>
      </c>
      <c r="C76" s="17" t="inlineStr">
        <is>
          <t>RNP-266</t>
        </is>
      </c>
      <c r="D76" s="17" t="inlineStr">
        <is>
          <t>زهور فينكا روزا</t>
        </is>
      </c>
      <c r="E76" s="17" t="n">
        <v>1720</v>
      </c>
      <c r="F76" s="17" t="n">
        <v>0.5</v>
      </c>
      <c r="G76" s="19">
        <f>E76*F76</f>
        <v/>
      </c>
      <c r="H76" s="17" t="inlineStr">
        <is>
          <t>RNP-266</t>
        </is>
      </c>
      <c r="I76" s="17" t="n">
        <v>2720</v>
      </c>
      <c r="J76" s="17" t="inlineStr">
        <is>
          <t>مطابق الكمية</t>
        </is>
      </c>
      <c r="K76" s="17" t="inlineStr"/>
    </row>
    <row r="77">
      <c r="A77" s="17" t="n">
        <v>81</v>
      </c>
      <c r="B77" s="23" t="n">
        <v>46147</v>
      </c>
      <c r="C77" s="17" t="inlineStr">
        <is>
          <t>RNP-266</t>
        </is>
      </c>
      <c r="D77" s="17" t="inlineStr">
        <is>
          <t>زهور جازانيا</t>
        </is>
      </c>
      <c r="E77" s="17" t="n">
        <v>1000</v>
      </c>
      <c r="F77" s="17" t="n">
        <v>0.5</v>
      </c>
      <c r="G77" s="19">
        <f>E77*F77</f>
        <v/>
      </c>
      <c r="H77" s="17" t="inlineStr">
        <is>
          <t>RNP-266</t>
        </is>
      </c>
      <c r="I77" s="17" t="n"/>
      <c r="J77" s="17" t="inlineStr">
        <is>
          <t>مطابق الكمية</t>
        </is>
      </c>
      <c r="K77" s="17" t="inlineStr"/>
    </row>
    <row r="78">
      <c r="A78" s="17" t="n">
        <v>82</v>
      </c>
      <c r="B78" s="23" t="n">
        <v>46160</v>
      </c>
      <c r="C78" s="17" t="inlineStr">
        <is>
          <t>RNP-299</t>
        </is>
      </c>
      <c r="D78" s="17" t="inlineStr">
        <is>
          <t>زهور فينكا روزا</t>
        </is>
      </c>
      <c r="E78" s="17" t="n">
        <v>26000</v>
      </c>
      <c r="F78" s="17" t="n">
        <v>0.5</v>
      </c>
      <c r="G78" s="19">
        <f>E78*F78</f>
        <v/>
      </c>
      <c r="H78" s="17" t="inlineStr">
        <is>
          <t>RNP-299</t>
        </is>
      </c>
      <c r="I78" s="17" t="n">
        <v>26000</v>
      </c>
      <c r="J78" s="17" t="inlineStr">
        <is>
          <t>مطابق الكمية</t>
        </is>
      </c>
      <c r="K78" s="17" t="inlineStr"/>
    </row>
    <row r="79">
      <c r="A79" s="17" t="n">
        <v>83</v>
      </c>
      <c r="B79" s="23" t="n">
        <v>46163</v>
      </c>
      <c r="C79" s="17" t="inlineStr">
        <is>
          <t>RNP-301</t>
        </is>
      </c>
      <c r="D79" s="17" t="inlineStr">
        <is>
          <t>زهور زينيا</t>
        </is>
      </c>
      <c r="E79" s="17" t="n">
        <v>24000</v>
      </c>
      <c r="F79" s="17" t="n">
        <v>0.5</v>
      </c>
      <c r="G79" s="19">
        <f>E79*F79</f>
        <v/>
      </c>
      <c r="H79" s="17" t="inlineStr">
        <is>
          <t>RNP-301</t>
        </is>
      </c>
      <c r="I79" s="17" t="n">
        <v>39500</v>
      </c>
      <c r="J79" s="17" t="inlineStr">
        <is>
          <t>مطابق الكمية</t>
        </is>
      </c>
      <c r="K79" s="17" t="inlineStr"/>
    </row>
    <row r="80">
      <c r="A80" s="17" t="n">
        <v>84</v>
      </c>
      <c r="B80" s="23" t="n">
        <v>46163</v>
      </c>
      <c r="C80" s="17" t="inlineStr">
        <is>
          <t>RNP-301</t>
        </is>
      </c>
      <c r="D80" s="17" t="inlineStr">
        <is>
          <t>زهور فينكا روزا</t>
        </is>
      </c>
      <c r="E80" s="17" t="n">
        <v>15500</v>
      </c>
      <c r="F80" s="17" t="n">
        <v>0.5</v>
      </c>
      <c r="G80" s="19">
        <f>E80*F80</f>
        <v/>
      </c>
      <c r="H80" s="17" t="inlineStr">
        <is>
          <t>RNP-301</t>
        </is>
      </c>
      <c r="I80" s="17" t="n"/>
      <c r="J80" s="17" t="inlineStr">
        <is>
          <t>مطابق الكمية</t>
        </is>
      </c>
      <c r="K80" s="17" t="inlineStr"/>
    </row>
    <row r="81">
      <c r="A81" s="17" t="n">
        <v>85</v>
      </c>
      <c r="B81" s="23" t="n">
        <v>46184</v>
      </c>
      <c r="C81" s="17" t="inlineStr">
        <is>
          <t>NS-0759</t>
        </is>
      </c>
      <c r="D81" s="17" t="inlineStr">
        <is>
          <t>زهور فينكا روزا</t>
        </is>
      </c>
      <c r="E81" s="17" t="n">
        <v>4000</v>
      </c>
      <c r="F81" s="17" t="n">
        <v>0.5</v>
      </c>
      <c r="G81" s="19">
        <f>E81*F81</f>
        <v/>
      </c>
      <c r="H81" s="17" t="inlineStr">
        <is>
          <t>ISV-0005</t>
        </is>
      </c>
      <c r="I81" s="17" t="n">
        <v>4000</v>
      </c>
      <c r="J81" s="17" t="inlineStr">
        <is>
          <t>مطابق الكمية</t>
        </is>
      </c>
      <c r="K81" s="17" t="inlineStr"/>
    </row>
    <row r="82">
      <c r="A82" s="17" t="n">
        <v>86</v>
      </c>
      <c r="B82" s="23" t="n">
        <v>46184</v>
      </c>
      <c r="C82" s="17" t="inlineStr">
        <is>
          <t>NS-575</t>
        </is>
      </c>
      <c r="D82" s="17" t="inlineStr">
        <is>
          <t>زهور زينيا</t>
        </is>
      </c>
      <c r="E82" s="17" t="n">
        <v>1200</v>
      </c>
      <c r="F82" s="17" t="n">
        <v>0.5</v>
      </c>
      <c r="G82" s="19">
        <f>E82*F82</f>
        <v/>
      </c>
      <c r="H82" s="17" t="inlineStr">
        <is>
          <t>ISV-0004</t>
        </is>
      </c>
      <c r="I82" s="17" t="n">
        <v>2000</v>
      </c>
      <c r="J82" s="17" t="inlineStr">
        <is>
          <t>مطابق الكمية</t>
        </is>
      </c>
      <c r="K82" s="17" t="inlineStr"/>
    </row>
    <row r="83">
      <c r="A83" s="17" t="n">
        <v>87</v>
      </c>
      <c r="B83" s="23" t="n">
        <v>46184</v>
      </c>
      <c r="C83" s="17" t="inlineStr">
        <is>
          <t>NS-575</t>
        </is>
      </c>
      <c r="D83" s="17" t="inlineStr">
        <is>
          <t>زهور امرانتس</t>
        </is>
      </c>
      <c r="E83" s="17" t="n">
        <v>500</v>
      </c>
      <c r="F83" s="17" t="n">
        <v>0.5</v>
      </c>
      <c r="G83" s="19">
        <f>E83*F83</f>
        <v/>
      </c>
      <c r="H83" s="17" t="inlineStr">
        <is>
          <t>ISV-0004</t>
        </is>
      </c>
      <c r="I83" s="17" t="n"/>
      <c r="J83" s="17" t="inlineStr">
        <is>
          <t>مطابق الكمية</t>
        </is>
      </c>
      <c r="K83" s="17" t="inlineStr"/>
    </row>
    <row r="84">
      <c r="A84" s="17" t="n">
        <v>88</v>
      </c>
      <c r="B84" s="23" t="n">
        <v>46184</v>
      </c>
      <c r="C84" s="17" t="inlineStr">
        <is>
          <t>NS-575</t>
        </is>
      </c>
      <c r="D84" s="17" t="inlineStr">
        <is>
          <t>زهور فضية</t>
        </is>
      </c>
      <c r="E84" s="17" t="n">
        <v>300</v>
      </c>
      <c r="F84" s="17" t="n">
        <v>0.5</v>
      </c>
      <c r="G84" s="19">
        <f>E84*F84</f>
        <v/>
      </c>
      <c r="H84" s="17" t="inlineStr">
        <is>
          <t>ISV-0004</t>
        </is>
      </c>
      <c r="I84" s="17" t="n"/>
      <c r="J84" s="17" t="inlineStr">
        <is>
          <t>مطابق الكمية</t>
        </is>
      </c>
      <c r="K84" s="17" t="inlineStr"/>
    </row>
    <row r="85">
      <c r="A85" s="9" t="n">
        <v>89</v>
      </c>
      <c r="B85" s="21" t="n">
        <v>46184</v>
      </c>
      <c r="C85" s="9" t="inlineStr">
        <is>
          <t>ISV-0066</t>
        </is>
      </c>
      <c r="D85" s="9" t="inlineStr">
        <is>
          <t>زهور فينكا روزا</t>
        </is>
      </c>
      <c r="E85" s="9" t="n">
        <v>40000</v>
      </c>
      <c r="F85" s="9" t="n">
        <v>0.5</v>
      </c>
      <c r="G85" s="11">
        <f>E85*F85</f>
        <v/>
      </c>
      <c r="H85" s="9" t="inlineStr">
        <is>
          <t>ISV-0066</t>
        </is>
      </c>
      <c r="I85" s="9" t="n">
        <v>40000</v>
      </c>
      <c r="J85" s="9" t="inlineStr">
        <is>
          <t>يوجد فرق</t>
        </is>
      </c>
      <c r="K85" s="9" t="inlineStr">
        <is>
          <t>⚠ التاريخ بشيت المحاسب 11-6 وبالنظام 30-6-2026</t>
        </is>
      </c>
    </row>
    <row r="86">
      <c r="A86" s="9" t="n">
        <v>90</v>
      </c>
      <c r="B86" s="21" t="n">
        <v>46187</v>
      </c>
      <c r="C86" s="9" t="inlineStr">
        <is>
          <t>NS-0755</t>
        </is>
      </c>
      <c r="D86" s="9" t="inlineStr">
        <is>
          <t>زهور فينكا روزا</t>
        </is>
      </c>
      <c r="E86" s="9" t="n">
        <v>3500</v>
      </c>
      <c r="F86" s="9" t="n">
        <v>0.5</v>
      </c>
      <c r="G86" s="11">
        <f>E86*F86</f>
        <v/>
      </c>
      <c r="H86" s="9" t="inlineStr">
        <is>
          <t>ISV-0010، ISV-0038</t>
        </is>
      </c>
      <c r="I86" s="9" t="n">
        <v>7005</v>
      </c>
      <c r="J86" s="9" t="inlineStr">
        <is>
          <t>يوجد فرق</t>
        </is>
      </c>
      <c r="K86" s="9" t="inlineStr">
        <is>
          <t>يقابله ISV-0010 (14-6) و ISV-0038 (24-6 – جهنمية كبير 5). ⚠ المحاسب أسقط بند رويليا × 94 الموجود بالسند ISV-0010. نفس رقم الطلب NS-0755 استُخدم لتاريخين</t>
        </is>
      </c>
    </row>
    <row r="87">
      <c r="A87" s="9" t="n">
        <v>91</v>
      </c>
      <c r="B87" s="21" t="n">
        <v>46187</v>
      </c>
      <c r="C87" s="9" t="inlineStr">
        <is>
          <t>NS-0755</t>
        </is>
      </c>
      <c r="D87" s="9" t="inlineStr">
        <is>
          <t>زهور زينيا</t>
        </is>
      </c>
      <c r="E87" s="9" t="n">
        <v>3500</v>
      </c>
      <c r="F87" s="9" t="n">
        <v>0.5</v>
      </c>
      <c r="G87" s="11">
        <f>E87*F87</f>
        <v/>
      </c>
      <c r="H87" s="9" t="inlineStr">
        <is>
          <t>ISV-0010، ISV-0038</t>
        </is>
      </c>
      <c r="I87" s="9" t="n"/>
      <c r="J87" s="9" t="inlineStr">
        <is>
          <t>يوجد فرق</t>
        </is>
      </c>
      <c r="K87" s="9" t="inlineStr"/>
    </row>
    <row r="88">
      <c r="A88" s="9" t="n">
        <v>92</v>
      </c>
      <c r="B88" s="21" t="n">
        <v>46187</v>
      </c>
      <c r="C88" s="9" t="inlineStr">
        <is>
          <t>NS-0755</t>
        </is>
      </c>
      <c r="D88" s="9" t="inlineStr">
        <is>
          <t>اكاسيا جلوكا من 1 - 2 متر</t>
        </is>
      </c>
      <c r="E88" s="9" t="n">
        <v>6</v>
      </c>
      <c r="F88" s="9" t="n">
        <v>25</v>
      </c>
      <c r="G88" s="11">
        <f>E88*F88</f>
        <v/>
      </c>
      <c r="H88" s="9" t="inlineStr">
        <is>
          <t>ISV-0010، ISV-0038</t>
        </is>
      </c>
      <c r="I88" s="9" t="n"/>
      <c r="J88" s="9" t="inlineStr">
        <is>
          <t>يوجد فرق</t>
        </is>
      </c>
      <c r="K88" s="9" t="inlineStr"/>
    </row>
    <row r="89">
      <c r="A89" s="9" t="n">
        <v>93</v>
      </c>
      <c r="B89" s="21" t="n">
        <v>46187</v>
      </c>
      <c r="C89" s="9" t="inlineStr">
        <is>
          <t>NS-0755</t>
        </is>
      </c>
      <c r="D89" s="9" t="inlineStr">
        <is>
          <t>كف مريم 1.5 : 2 م</t>
        </is>
      </c>
      <c r="E89" s="9" t="n">
        <v>6</v>
      </c>
      <c r="F89" s="9" t="n">
        <v>5.5</v>
      </c>
      <c r="G89" s="11">
        <f>E89*F89</f>
        <v/>
      </c>
      <c r="H89" s="9" t="inlineStr">
        <is>
          <t>ISV-0010، ISV-0038</t>
        </is>
      </c>
      <c r="I89" s="9" t="n"/>
      <c r="J89" s="9" t="inlineStr">
        <is>
          <t>يوجد فرق</t>
        </is>
      </c>
      <c r="K89" s="9" t="inlineStr"/>
    </row>
    <row r="90">
      <c r="A90" s="9" t="n">
        <v>97</v>
      </c>
      <c r="B90" s="21" t="n">
        <v>46197</v>
      </c>
      <c r="C90" s="9" t="inlineStr">
        <is>
          <t>NS-0755</t>
        </is>
      </c>
      <c r="D90" s="9" t="inlineStr">
        <is>
          <t>جهنمية كروية تايلندي كبير</t>
        </is>
      </c>
      <c r="E90" s="9" t="n">
        <v>5</v>
      </c>
      <c r="F90" s="9" t="n">
        <v>300</v>
      </c>
      <c r="G90" s="11">
        <f>E90*F90</f>
        <v/>
      </c>
      <c r="H90" s="9" t="inlineStr">
        <is>
          <t>ISV-0010، ISV-0038</t>
        </is>
      </c>
      <c r="I90" s="9" t="n"/>
      <c r="J90" s="9" t="inlineStr">
        <is>
          <t>يوجد فرق</t>
        </is>
      </c>
      <c r="K90" s="9" t="inlineStr"/>
    </row>
    <row r="91">
      <c r="A91" s="17" t="n">
        <v>94</v>
      </c>
      <c r="B91" s="23" t="n">
        <v>46187</v>
      </c>
      <c r="C91" s="17" t="inlineStr">
        <is>
          <t>NS-588</t>
        </is>
      </c>
      <c r="D91" s="17" t="inlineStr">
        <is>
          <t>زهور زينيا</t>
        </is>
      </c>
      <c r="E91" s="17" t="n">
        <v>3500</v>
      </c>
      <c r="F91" s="17" t="n">
        <v>0.5</v>
      </c>
      <c r="G91" s="19">
        <f>E91*F91</f>
        <v/>
      </c>
      <c r="H91" s="17" t="inlineStr">
        <is>
          <t>ISV-0011، ISV-0016</t>
        </is>
      </c>
      <c r="I91" s="17" t="n">
        <v>3500</v>
      </c>
      <c r="J91" s="17" t="inlineStr">
        <is>
          <t>مطابق الكمية</t>
        </is>
      </c>
      <c r="K91" s="17" t="inlineStr">
        <is>
          <t>يقابله سندان ISV-0011 (2,000) و ISV-0016 (1,500) = 3,500 – مطابق (وهذا يفسر تكرار مرجع NS-REQ-008)</t>
        </is>
      </c>
    </row>
    <row r="92">
      <c r="A92" s="17" t="n">
        <v>95</v>
      </c>
      <c r="B92" s="23" t="n">
        <v>46190</v>
      </c>
      <c r="C92" s="17" t="inlineStr">
        <is>
          <t>ISV-0017</t>
        </is>
      </c>
      <c r="D92" s="17" t="inlineStr">
        <is>
          <t>جهنمية كروية تايلندي صغير</t>
        </is>
      </c>
      <c r="E92" s="17" t="n">
        <v>2</v>
      </c>
      <c r="F92" s="17" t="n">
        <v>250</v>
      </c>
      <c r="G92" s="19">
        <f>E92*F92</f>
        <v/>
      </c>
      <c r="H92" s="17" t="inlineStr">
        <is>
          <t>ISV-0017</t>
        </is>
      </c>
      <c r="I92" s="17" t="n">
        <v>2</v>
      </c>
      <c r="J92" s="17" t="inlineStr">
        <is>
          <t>مطابق الكمية</t>
        </is>
      </c>
      <c r="K92" s="17" t="inlineStr"/>
    </row>
    <row r="93">
      <c r="A93" s="17" t="n">
        <v>96</v>
      </c>
      <c r="B93" s="23" t="n">
        <v>46195</v>
      </c>
      <c r="C93" s="17" t="inlineStr">
        <is>
          <t>NS-0786</t>
        </is>
      </c>
      <c r="D93" s="17" t="inlineStr">
        <is>
          <t>اكاسيا جلوكا من 1 - 2 متر</t>
        </is>
      </c>
      <c r="E93" s="17" t="n">
        <v>150</v>
      </c>
      <c r="F93" s="17" t="n">
        <v>25</v>
      </c>
      <c r="G93" s="19">
        <f>E93*F93</f>
        <v/>
      </c>
      <c r="H93" s="17" t="inlineStr">
        <is>
          <t>ISV-0026</t>
        </is>
      </c>
      <c r="I93" s="17" t="n">
        <v>150</v>
      </c>
      <c r="J93" s="17" t="inlineStr">
        <is>
          <t>مطابق الكمية</t>
        </is>
      </c>
      <c r="K93" s="17" t="inlineStr"/>
    </row>
    <row r="94">
      <c r="A94" s="17" t="n">
        <v>98</v>
      </c>
      <c r="B94" s="23" t="n">
        <v>46200</v>
      </c>
      <c r="C94" s="17" t="inlineStr">
        <is>
          <t>NS-471</t>
        </is>
      </c>
      <c r="D94" s="17" t="inlineStr">
        <is>
          <t>زهور فينكا روزا</t>
        </is>
      </c>
      <c r="E94" s="17" t="n">
        <v>8000</v>
      </c>
      <c r="F94" s="17" t="n">
        <v>0.5</v>
      </c>
      <c r="G94" s="19">
        <f>E94*F94</f>
        <v/>
      </c>
      <c r="H94" s="17" t="inlineStr">
        <is>
          <t>ISV-0048</t>
        </is>
      </c>
      <c r="I94" s="17" t="n">
        <v>8000</v>
      </c>
      <c r="J94" s="17" t="inlineStr">
        <is>
          <t>مطابق الكمية</t>
        </is>
      </c>
      <c r="K94" s="17" t="inlineStr"/>
    </row>
    <row r="95">
      <c r="A95" s="17" t="n">
        <v>99</v>
      </c>
      <c r="B95" s="23" t="n">
        <v>46201</v>
      </c>
      <c r="C95" s="17" t="inlineStr">
        <is>
          <t>NS-470</t>
        </is>
      </c>
      <c r="D95" s="17" t="inlineStr">
        <is>
          <t>زهور فينكا روزا</t>
        </is>
      </c>
      <c r="E95" s="17" t="n">
        <v>35500</v>
      </c>
      <c r="F95" s="17" t="n">
        <v>0.5</v>
      </c>
      <c r="G95" s="19">
        <f>E95*F95</f>
        <v/>
      </c>
      <c r="H95" s="17" t="inlineStr">
        <is>
          <t>ISV-0054</t>
        </is>
      </c>
      <c r="I95" s="17" t="n">
        <v>35500</v>
      </c>
      <c r="J95" s="17" t="inlineStr">
        <is>
          <t>مطابق الكمية</t>
        </is>
      </c>
      <c r="K95" s="17" t="inlineStr"/>
    </row>
    <row r="96">
      <c r="A96" s="17" t="n">
        <v>100</v>
      </c>
      <c r="B96" s="23" t="n">
        <v>46205</v>
      </c>
      <c r="C96" s="17" t="inlineStr">
        <is>
          <t>ISV-0073</t>
        </is>
      </c>
      <c r="D96" s="17" t="inlineStr">
        <is>
          <t>زهور فينكا روزا</t>
        </is>
      </c>
      <c r="E96" s="17" t="n">
        <v>10000</v>
      </c>
      <c r="F96" s="17" t="n">
        <v>0.5</v>
      </c>
      <c r="G96" s="19">
        <f>E96*F96</f>
        <v/>
      </c>
      <c r="H96" s="17" t="inlineStr">
        <is>
          <t>ISV-0073</t>
        </is>
      </c>
      <c r="I96" s="17" t="n">
        <v>10000</v>
      </c>
      <c r="J96" s="17" t="inlineStr">
        <is>
          <t>مطابق الكمية</t>
        </is>
      </c>
      <c r="K96" s="17" t="inlineStr"/>
    </row>
    <row r="97">
      <c r="A97" s="9" t="n">
        <v>101</v>
      </c>
      <c r="B97" s="21" t="n">
        <v>46209</v>
      </c>
      <c r="C97" s="9" t="inlineStr">
        <is>
          <t>NS-0807</t>
        </is>
      </c>
      <c r="D97" s="9" t="inlineStr">
        <is>
          <t>زهور فينكا روزا</t>
        </is>
      </c>
      <c r="E97" s="9" t="n">
        <v>1300</v>
      </c>
      <c r="F97" s="9" t="n">
        <v>0.5</v>
      </c>
      <c r="G97" s="11">
        <f>E97*F97</f>
        <v/>
      </c>
      <c r="H97" s="9" t="inlineStr">
        <is>
          <t>ISV-0081</t>
        </is>
      </c>
      <c r="I97" s="9" t="n">
        <v>1578</v>
      </c>
      <c r="J97" s="9" t="inlineStr">
        <is>
          <t>يوجد فرق</t>
        </is>
      </c>
      <c r="K97" s="9" t="inlineStr">
        <is>
          <t>يقابله ISV-0081. ⚠ المحاسب أسقط بند تيكوماريا 50 سم × 250 الموجود بالسند</t>
        </is>
      </c>
    </row>
    <row r="98">
      <c r="A98" s="9" t="n">
        <v>102</v>
      </c>
      <c r="B98" s="21" t="n">
        <v>46209</v>
      </c>
      <c r="C98" s="9" t="inlineStr">
        <is>
          <t>NS-0807</t>
        </is>
      </c>
      <c r="D98" s="9" t="inlineStr">
        <is>
          <t>تراديسكانتيا مركن 19 علاقي</t>
        </is>
      </c>
      <c r="E98" s="9" t="n">
        <v>25</v>
      </c>
      <c r="F98" s="9" t="n">
        <v>10</v>
      </c>
      <c r="G98" s="11">
        <f>E98*F98</f>
        <v/>
      </c>
      <c r="H98" s="9" t="inlineStr">
        <is>
          <t>ISV-0081</t>
        </is>
      </c>
      <c r="I98" s="9" t="n"/>
      <c r="J98" s="9" t="inlineStr">
        <is>
          <t>يوجد فرق</t>
        </is>
      </c>
      <c r="K98" s="9" t="inlineStr"/>
    </row>
    <row r="99">
      <c r="A99" s="9" t="n">
        <v>103</v>
      </c>
      <c r="B99" s="21" t="n">
        <v>46209</v>
      </c>
      <c r="C99" s="9" t="inlineStr">
        <is>
          <t>NS-0807</t>
        </is>
      </c>
      <c r="D99" s="9" t="inlineStr">
        <is>
          <t>نخيل سايكس 40 سم</t>
        </is>
      </c>
      <c r="E99" s="9" t="n">
        <v>3</v>
      </c>
      <c r="F99" s="9" t="n">
        <v>400</v>
      </c>
      <c r="G99" s="11">
        <f>E99*F99</f>
        <v/>
      </c>
      <c r="H99" s="9" t="inlineStr">
        <is>
          <t>ISV-0081</t>
        </is>
      </c>
      <c r="I99" s="9" t="n"/>
      <c r="J99" s="9" t="inlineStr">
        <is>
          <t>يوجد فرق</t>
        </is>
      </c>
      <c r="K99" s="9" t="inlineStr"/>
    </row>
    <row r="100">
      <c r="A100" s="17" t="n">
        <v>104</v>
      </c>
      <c r="B100" s="23" t="n">
        <v>46214</v>
      </c>
      <c r="C100" s="17" t="inlineStr">
        <is>
          <t>ISV-0090</t>
        </is>
      </c>
      <c r="D100" s="17" t="inlineStr">
        <is>
          <t>زهور فينكا روزا</t>
        </is>
      </c>
      <c r="E100" s="17" t="n">
        <v>1800</v>
      </c>
      <c r="F100" s="17" t="n">
        <v>0.5</v>
      </c>
      <c r="G100" s="19">
        <f>E100*F100</f>
        <v/>
      </c>
      <c r="H100" s="17" t="inlineStr">
        <is>
          <t>ISV-0090</t>
        </is>
      </c>
      <c r="I100" s="17" t="n">
        <v>1800</v>
      </c>
      <c r="J100" s="17" t="inlineStr">
        <is>
          <t>مطابق الكمية</t>
        </is>
      </c>
      <c r="K100" s="17" t="inlineStr"/>
    </row>
    <row r="101">
      <c r="A101" s="17" t="n">
        <v>105</v>
      </c>
      <c r="B101" s="23" t="n">
        <v>46214</v>
      </c>
      <c r="C101" s="17" t="inlineStr">
        <is>
          <t>ISV-0091</t>
        </is>
      </c>
      <c r="D101" s="17" t="inlineStr">
        <is>
          <t>زهور فينكا روزا</t>
        </is>
      </c>
      <c r="E101" s="17" t="n">
        <v>600</v>
      </c>
      <c r="F101" s="17" t="n">
        <v>0.5</v>
      </c>
      <c r="G101" s="19">
        <f>E101*F101</f>
        <v/>
      </c>
      <c r="H101" s="17" t="inlineStr">
        <is>
          <t>ISV-0091</t>
        </is>
      </c>
      <c r="I101" s="17" t="n">
        <v>600</v>
      </c>
      <c r="J101" s="17" t="inlineStr">
        <is>
          <t>مطابق الكمية</t>
        </is>
      </c>
      <c r="K101" s="17" t="inlineStr"/>
    </row>
    <row r="102">
      <c r="A102" s="17" t="n">
        <v>106</v>
      </c>
      <c r="B102" s="23" t="n">
        <v>46214</v>
      </c>
      <c r="C102" s="17" t="inlineStr">
        <is>
          <t>ISV-0092</t>
        </is>
      </c>
      <c r="D102" s="17" t="inlineStr">
        <is>
          <t>زهور فينكا روزا</t>
        </is>
      </c>
      <c r="E102" s="17" t="n">
        <v>1500</v>
      </c>
      <c r="F102" s="17" t="n">
        <v>0.5</v>
      </c>
      <c r="G102" s="19">
        <f>E102*F102</f>
        <v/>
      </c>
      <c r="H102" s="17" t="inlineStr">
        <is>
          <t>ISV-0092</t>
        </is>
      </c>
      <c r="I102" s="17" t="n">
        <v>1500</v>
      </c>
      <c r="J102" s="17" t="inlineStr">
        <is>
          <t>مطابق الكمية</t>
        </is>
      </c>
      <c r="K102" s="17" t="inlineStr"/>
    </row>
    <row r="103">
      <c r="A103" s="9" t="n">
        <v>107</v>
      </c>
      <c r="B103" s="21" t="n">
        <v>46214</v>
      </c>
      <c r="C103" s="9" t="inlineStr">
        <is>
          <t>RNT - 205</t>
        </is>
      </c>
      <c r="D103" s="9" t="inlineStr">
        <is>
          <t>سكندابسس مركن 19 علاقي</t>
        </is>
      </c>
      <c r="E103" s="9" t="n">
        <v>300</v>
      </c>
      <c r="F103" s="9" t="n">
        <v>10</v>
      </c>
      <c r="G103" s="11">
        <f>E103*F103</f>
        <v/>
      </c>
      <c r="H103" s="9" t="inlineStr">
        <is>
          <t>TRF-0107، TRF-0122، TRF-0120</t>
        </is>
      </c>
      <c r="I103" s="9" t="n"/>
      <c r="J103" s="9" t="inlineStr">
        <is>
          <t>يوجد فرق</t>
        </is>
      </c>
      <c r="K103" s="9" t="inlineStr">
        <is>
          <t>⚠ يقابله TRF-0107 (9 أصناف) + TRF-0122 − TRF-0120. المحاسب أدرج 3 أصناف فقط وأسقط 6 أصناف من TRF-0107: دورانتا 1,290، اكاليفا 60، فل بلدي 450، تيكوماريا 2,384، ياسمين أزرق 580، تجيل كروي 2,400 (قيمتها 14,550 بدون ضريبة). السيسبانيا 240 = الصافي بعد المرتجع – صحيح</t>
        </is>
      </c>
    </row>
    <row r="104">
      <c r="A104" s="9" t="n">
        <v>108</v>
      </c>
      <c r="B104" s="21" t="n">
        <v>46214</v>
      </c>
      <c r="C104" s="9" t="inlineStr">
        <is>
          <t>RNT - 205</t>
        </is>
      </c>
      <c r="D104" s="9" t="inlineStr">
        <is>
          <t>هيدرا علاقي مركن 19</t>
        </is>
      </c>
      <c r="E104" s="9" t="n">
        <v>100</v>
      </c>
      <c r="F104" s="9" t="n">
        <v>10</v>
      </c>
      <c r="G104" s="11">
        <f>E104*F104</f>
        <v/>
      </c>
      <c r="H104" s="9" t="inlineStr">
        <is>
          <t>TRF-0107، TRF-0122، TRF-0120</t>
        </is>
      </c>
      <c r="I104" s="9" t="n"/>
      <c r="J104" s="9" t="inlineStr">
        <is>
          <t>يوجد فرق</t>
        </is>
      </c>
      <c r="K104" s="9" t="inlineStr"/>
    </row>
    <row r="105">
      <c r="A105" s="9" t="n">
        <v>109</v>
      </c>
      <c r="B105" s="21" t="n">
        <v>46214</v>
      </c>
      <c r="C105" s="9" t="inlineStr">
        <is>
          <t>RNT - 205</t>
        </is>
      </c>
      <c r="D105" s="9" t="inlineStr">
        <is>
          <t xml:space="preserve">سيسلبانيا 1 - 2 متر </t>
        </is>
      </c>
      <c r="E105" s="9" t="n">
        <v>240</v>
      </c>
      <c r="F105" s="9" t="n">
        <v>25.5</v>
      </c>
      <c r="G105" s="11">
        <f>E105*F105</f>
        <v/>
      </c>
      <c r="H105" s="9" t="inlineStr">
        <is>
          <t>TRF-0107، TRF-0122، TRF-0120</t>
        </is>
      </c>
      <c r="I105" s="9" t="n"/>
      <c r="J105" s="9" t="inlineStr">
        <is>
          <t>يوجد فرق</t>
        </is>
      </c>
      <c r="K105" s="9" t="inlineStr"/>
    </row>
    <row r="106">
      <c r="A106" s="17" t="n">
        <v>110</v>
      </c>
      <c r="B106" s="23" t="n">
        <v>46229</v>
      </c>
      <c r="C106" s="17" t="inlineStr">
        <is>
          <t>ISV-0127</t>
        </is>
      </c>
      <c r="D106" s="17" t="inlineStr">
        <is>
          <t>زهور فينكا روزا</t>
        </is>
      </c>
      <c r="E106" s="17" t="n">
        <v>2720</v>
      </c>
      <c r="F106" s="17" t="n">
        <v>0.5</v>
      </c>
      <c r="G106" s="19">
        <f>E106*F106</f>
        <v/>
      </c>
      <c r="H106" s="17" t="inlineStr">
        <is>
          <t>ISV-0127</t>
        </is>
      </c>
      <c r="I106" s="17" t="n">
        <v>2720</v>
      </c>
      <c r="J106" s="17" t="inlineStr">
        <is>
          <t>مطابق الكمية</t>
        </is>
      </c>
      <c r="K106" s="17" t="inlineStr"/>
    </row>
    <row r="107">
      <c r="A107" s="17" t="n">
        <v>111</v>
      </c>
      <c r="B107" s="23" t="n">
        <v>46229</v>
      </c>
      <c r="C107" s="17" t="inlineStr">
        <is>
          <t>ISV-0128</t>
        </is>
      </c>
      <c r="D107" s="17" t="inlineStr">
        <is>
          <t>زهور فينكا روزا</t>
        </is>
      </c>
      <c r="E107" s="17" t="n">
        <v>4700</v>
      </c>
      <c r="F107" s="17" t="n">
        <v>0.5</v>
      </c>
      <c r="G107" s="19">
        <f>E107*F107</f>
        <v/>
      </c>
      <c r="H107" s="17" t="inlineStr">
        <is>
          <t>ISV-0128</t>
        </is>
      </c>
      <c r="I107" s="17" t="n">
        <v>4720</v>
      </c>
      <c r="J107" s="17" t="inlineStr">
        <is>
          <t>مطابق الكمية</t>
        </is>
      </c>
      <c r="K107" s="17" t="inlineStr"/>
    </row>
    <row r="108">
      <c r="A108" s="17" t="n">
        <v>112</v>
      </c>
      <c r="B108" s="23" t="n">
        <v>46229</v>
      </c>
      <c r="C108" s="17" t="inlineStr">
        <is>
          <t>ISV-0128</t>
        </is>
      </c>
      <c r="D108" s="17" t="inlineStr">
        <is>
          <t>جهنمية بلدي1 متر</t>
        </is>
      </c>
      <c r="E108" s="17" t="n">
        <v>10</v>
      </c>
      <c r="F108" s="17" t="n">
        <v>6</v>
      </c>
      <c r="G108" s="19">
        <f>E108*F108</f>
        <v/>
      </c>
      <c r="H108" s="17" t="inlineStr">
        <is>
          <t>ISV-0128</t>
        </is>
      </c>
      <c r="I108" s="17" t="n"/>
      <c r="J108" s="17" t="inlineStr">
        <is>
          <t>مطابق الكمية</t>
        </is>
      </c>
      <c r="K108" s="17" t="inlineStr"/>
    </row>
    <row r="109">
      <c r="A109" s="17" t="n">
        <v>113</v>
      </c>
      <c r="B109" s="23" t="n">
        <v>46229</v>
      </c>
      <c r="C109" s="17" t="inlineStr">
        <is>
          <t>ISV-0128</t>
        </is>
      </c>
      <c r="D109" s="17" t="inlineStr">
        <is>
          <t>فيكس بندا 50 سم</t>
        </is>
      </c>
      <c r="E109" s="17" t="n">
        <v>10</v>
      </c>
      <c r="F109" s="17" t="n">
        <v>10</v>
      </c>
      <c r="G109" s="19">
        <f>E109*F109</f>
        <v/>
      </c>
      <c r="H109" s="17" t="inlineStr">
        <is>
          <t>ISV-0128</t>
        </is>
      </c>
      <c r="I109" s="17" t="n"/>
      <c r="J109" s="17" t="inlineStr">
        <is>
          <t>مطابق الكمية</t>
        </is>
      </c>
      <c r="K109" s="17" t="inlineStr"/>
    </row>
    <row r="110">
      <c r="A110" s="15" t="inlineStr"/>
      <c r="B110" s="15" t="inlineStr"/>
      <c r="C110" s="15" t="inlineStr"/>
      <c r="D110" s="15" t="inlineStr">
        <is>
          <t>الإجمالي الصحيح</t>
        </is>
      </c>
      <c r="E110" s="15" t="n"/>
      <c r="F110" s="15" t="n"/>
      <c r="G110" s="16">
        <f>SUM(G2:G109)</f>
        <v/>
      </c>
      <c r="H110" s="15" t="n"/>
      <c r="I110" s="15" t="n"/>
      <c r="J110" s="15" t="n"/>
      <c r="K110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0" customWidth="1" min="4" max="4"/>
    <col width="15" customWidth="1" min="5" max="5"/>
    <col width="70" customWidth="1" min="6" max="6"/>
    <col width="50" customWidth="1" min="7" max="7"/>
  </cols>
  <sheetData>
    <row r="1">
      <c r="A1" s="2" t="inlineStr">
        <is>
          <t>الشيت الذي يجب أن تُدرج فيه</t>
        </is>
      </c>
      <c r="B1" s="2" t="inlineStr">
        <is>
          <t>رقم السند</t>
        </is>
      </c>
      <c r="C1" s="2" t="inlineStr">
        <is>
          <t>التاريخ</t>
        </is>
      </c>
      <c r="D1" s="2" t="inlineStr">
        <is>
          <t>الجهة</t>
        </is>
      </c>
      <c r="E1" s="2" t="inlineStr">
        <is>
          <t>القيمة بالنظام</t>
        </is>
      </c>
      <c r="F1" s="2" t="inlineStr">
        <is>
          <t>الأصناف والكميات</t>
        </is>
      </c>
      <c r="G1" s="2" t="inlineStr">
        <is>
          <t>ملاحظة</t>
        </is>
      </c>
    </row>
    <row r="2">
      <c r="A2" s="3" t="inlineStr">
        <is>
          <t>مسحوبات الرياض من تبوك</t>
        </is>
      </c>
      <c r="B2" s="3" t="inlineStr">
        <is>
          <t>TNR-2689</t>
        </is>
      </c>
      <c r="C2" s="24" t="n">
        <v>45959</v>
      </c>
      <c r="D2" s="3" t="inlineStr">
        <is>
          <t>WHOLESALE DEPARTMENT TABUK NURSERY</t>
        </is>
      </c>
      <c r="E2" s="4" t="n">
        <v>22137.5</v>
      </c>
      <c r="F2" s="3" t="inlineStr">
        <is>
          <t>بدون تفصيل بنود بالنظام</t>
        </is>
      </c>
      <c r="G2" s="3" t="inlineStr"/>
    </row>
    <row r="3">
      <c r="A3" s="3" t="inlineStr">
        <is>
          <t>مسحوبات الرياض من تبوك</t>
        </is>
      </c>
      <c r="B3" s="3" t="inlineStr">
        <is>
          <t>TNR-2888</t>
        </is>
      </c>
      <c r="C3" s="24" t="n">
        <v>45976</v>
      </c>
      <c r="D3" s="3" t="inlineStr">
        <is>
          <t>WHOLESALE DEPARTMENT TABUK NURSERY</t>
        </is>
      </c>
      <c r="E3" s="4" t="n">
        <v>23797.81</v>
      </c>
      <c r="F3" s="3" t="inlineStr">
        <is>
          <t>بدون تفصيل بنود بالنظام</t>
        </is>
      </c>
      <c r="G3" s="3" t="inlineStr"/>
    </row>
    <row r="4">
      <c r="A4" s="3" t="inlineStr">
        <is>
          <t>مسحوبات الرياض من تبوك</t>
        </is>
      </c>
      <c r="B4" s="3" t="inlineStr">
        <is>
          <t>TRF-0188</t>
        </is>
      </c>
      <c r="C4" s="24" t="n">
        <v>46231</v>
      </c>
      <c r="D4" s="3" t="inlineStr">
        <is>
          <t>تبوك ← الرياض</t>
        </is>
      </c>
      <c r="E4" s="4" t="n">
        <v>934.38</v>
      </c>
      <c r="F4" s="3" t="inlineStr">
        <is>
          <t>بيرلايت 100 لتر × 25</t>
        </is>
      </c>
      <c r="G4" s="3" t="inlineStr"/>
    </row>
    <row r="5">
      <c r="A5" s="3" t="inlineStr">
        <is>
          <t>مسحوبات تبوك من الرياض</t>
        </is>
      </c>
      <c r="B5" s="3" t="inlineStr">
        <is>
          <t>RNT-1789</t>
        </is>
      </c>
      <c r="C5" s="24" t="n">
        <v>45863</v>
      </c>
      <c r="D5" s="3" t="inlineStr">
        <is>
          <t>TRANSACTIONS BETWEEN RIYADH -TABUK NURSERY</t>
        </is>
      </c>
      <c r="E5" s="4" t="n">
        <v>5483.2</v>
      </c>
      <c r="F5" s="3" t="inlineStr">
        <is>
          <t>بدون تفصيل بنود بالنظام</t>
        </is>
      </c>
      <c r="G5" s="3" t="inlineStr">
        <is>
          <t>قبل 30-7-2025 لكن شيت المحاسب يبدأ من 1-7-2025</t>
        </is>
      </c>
    </row>
    <row r="6">
      <c r="A6" s="3" t="inlineStr">
        <is>
          <t>مسحوبات تبوك من الرياض</t>
        </is>
      </c>
      <c r="B6" s="3" t="inlineStr">
        <is>
          <t>RNT-2166</t>
        </is>
      </c>
      <c r="C6" s="24" t="n">
        <v>45887</v>
      </c>
      <c r="D6" s="3" t="inlineStr">
        <is>
          <t>TRANSACTIONS BETWEEN RIYADH -TABUK NURSERY</t>
        </is>
      </c>
      <c r="E6" s="4" t="n">
        <v>7475</v>
      </c>
      <c r="F6" s="3" t="inlineStr">
        <is>
          <t>بدون تفصيل بنود بالنظام</t>
        </is>
      </c>
      <c r="G6" s="3" t="inlineStr"/>
    </row>
    <row r="7">
      <c r="A7" s="3" t="inlineStr">
        <is>
          <t>مسحوبات تبوك من الرياض</t>
        </is>
      </c>
      <c r="B7" s="3" t="inlineStr">
        <is>
          <t>RNT-2141</t>
        </is>
      </c>
      <c r="C7" s="24" t="n">
        <v>45909</v>
      </c>
      <c r="D7" s="3" t="inlineStr">
        <is>
          <t>TRANSACTIONS BETWEEN RIYADH -TABUK NURSERY</t>
        </is>
      </c>
      <c r="E7" s="4" t="n">
        <v>8855</v>
      </c>
      <c r="F7" s="3" t="inlineStr">
        <is>
          <t>بدون تفصيل بنود بالنظام</t>
        </is>
      </c>
      <c r="G7" s="3" t="inlineStr"/>
    </row>
    <row r="8">
      <c r="A8" s="3" t="inlineStr">
        <is>
          <t>مسحوبات تبوك من الرياض</t>
        </is>
      </c>
      <c r="B8" s="3" t="inlineStr">
        <is>
          <t>RNT-3077</t>
        </is>
      </c>
      <c r="C8" s="24" t="n">
        <v>45992</v>
      </c>
      <c r="D8" s="3" t="inlineStr">
        <is>
          <t>TRANSACTIONS BETWEEN RIYADH -TABUK NURSERY</t>
        </is>
      </c>
      <c r="E8" s="4" t="n">
        <v>4305.03</v>
      </c>
      <c r="F8" s="3" t="inlineStr">
        <is>
          <t>بدون تفصيل بنود بالنظام</t>
        </is>
      </c>
      <c r="G8" s="3" t="inlineStr"/>
    </row>
    <row r="9">
      <c r="A9" s="3" t="inlineStr">
        <is>
          <t>مسحوبات تبوك من الرياض</t>
        </is>
      </c>
      <c r="B9" s="3" t="inlineStr">
        <is>
          <t>RNT-3346</t>
        </is>
      </c>
      <c r="C9" s="24" t="n">
        <v>46016</v>
      </c>
      <c r="D9" s="3" t="inlineStr">
        <is>
          <t>TRANSACTIONS BETWEEN RIYADH -TABUK NURSERY</t>
        </is>
      </c>
      <c r="E9" s="4" t="n">
        <v>1765.25</v>
      </c>
      <c r="F9" s="3" t="inlineStr">
        <is>
          <t>بدون تفصيل بنود بالنظام</t>
        </is>
      </c>
      <c r="G9" s="3" t="inlineStr"/>
    </row>
    <row r="10">
      <c r="A10" s="3" t="inlineStr">
        <is>
          <t>مسحوبات تبوك من الرياض</t>
        </is>
      </c>
      <c r="B10" s="3" t="inlineStr">
        <is>
          <t>RNP-2297</t>
        </is>
      </c>
      <c r="C10" s="24" t="n">
        <v>45926</v>
      </c>
      <c r="D10" s="3" t="inlineStr">
        <is>
          <t>NESMA ELSHARQ COMPANY-PROJECTS</t>
        </is>
      </c>
      <c r="E10" s="4" t="n">
        <v>5433.75</v>
      </c>
      <c r="F10" s="3" t="inlineStr">
        <is>
          <t>بدون تفصيل بنود بالنظام</t>
        </is>
      </c>
      <c r="G10" s="3" t="inlineStr"/>
    </row>
    <row r="11">
      <c r="A11" s="3" t="inlineStr">
        <is>
          <t>مسحوبات تبوك من الرياض</t>
        </is>
      </c>
      <c r="B11" s="3" t="inlineStr">
        <is>
          <t>RNP-2427</t>
        </is>
      </c>
      <c r="C11" s="24" t="n">
        <v>45938</v>
      </c>
      <c r="D11" s="3" t="inlineStr">
        <is>
          <t>NESMA ELSHARQ COMPANY-PROJECTS</t>
        </is>
      </c>
      <c r="E11" s="4" t="n">
        <v>7078.25</v>
      </c>
      <c r="F11" s="3" t="inlineStr">
        <is>
          <t>بدون تفصيل بنود بالنظام</t>
        </is>
      </c>
      <c r="G11" s="3" t="inlineStr"/>
    </row>
    <row r="12">
      <c r="A12" s="3" t="inlineStr">
        <is>
          <t>مسحوبات تبوك من الرياض</t>
        </is>
      </c>
      <c r="B12" s="3" t="inlineStr">
        <is>
          <t>RNP-3756</t>
        </is>
      </c>
      <c r="C12" s="24" t="n">
        <v>46057</v>
      </c>
      <c r="D12" s="3" t="inlineStr">
        <is>
          <t>NESMA ELSHARQ COMPANY- PROJECTS</t>
        </is>
      </c>
      <c r="E12" s="4" t="n">
        <v>747.5</v>
      </c>
      <c r="F12" s="3" t="inlineStr">
        <is>
          <t>ياسمين هندي كبير × 20</t>
        </is>
      </c>
      <c r="G12" s="3" t="inlineStr"/>
    </row>
    <row r="13">
      <c r="A13" s="3" t="inlineStr">
        <is>
          <t>مسحوبات تبوك من الرياض</t>
        </is>
      </c>
      <c r="B13" s="3" t="inlineStr">
        <is>
          <t>ISV-0075</t>
        </is>
      </c>
      <c r="C13" s="24" t="n">
        <v>46207</v>
      </c>
      <c r="D13" s="3" t="inlineStr">
        <is>
          <t>REQ:رائد الخير</t>
        </is>
      </c>
      <c r="E13" s="4" t="n">
        <v>2750</v>
      </c>
      <c r="F13" s="3" t="inlineStr">
        <is>
          <t>بدون تفصيل بنود بالنظام</t>
        </is>
      </c>
      <c r="G13" s="3" t="inlineStr">
        <is>
          <t>موجود بالأرشيف فقط – صنفان، الجهة: رائد الخير</t>
        </is>
      </c>
    </row>
    <row r="14">
      <c r="A14" s="3" t="inlineStr">
        <is>
          <t>مسحوبات تبوك من الرياض</t>
        </is>
      </c>
      <c r="B14" s="3" t="inlineStr">
        <is>
          <t>RNP-1787</t>
        </is>
      </c>
      <c r="C14" s="24" t="n">
        <v>45863</v>
      </c>
      <c r="D14" s="3" t="inlineStr">
        <is>
          <t>NESMA ELSHARQ COMPANY-PROJECTS</t>
        </is>
      </c>
      <c r="E14" s="4" t="n">
        <v>18975</v>
      </c>
      <c r="F14" s="3" t="inlineStr">
        <is>
          <t>بدون تفصيل بنود بالنظام</t>
        </is>
      </c>
      <c r="G14" s="3" t="inlineStr">
        <is>
          <t>رقم مكرر لحركتين – حركة 4-8-2025 جهتها WHOLESALE DEPARTMENT RIYADH (قد لا تخص تبوك)</t>
        </is>
      </c>
    </row>
    <row r="15">
      <c r="A15" s="3" t="inlineStr">
        <is>
          <t>مسحوبات تبوك من الرياض</t>
        </is>
      </c>
      <c r="B15" s="3" t="inlineStr">
        <is>
          <t>RNP-1787</t>
        </is>
      </c>
      <c r="C15" s="24" t="n">
        <v>45873</v>
      </c>
      <c r="D15" s="3" t="inlineStr">
        <is>
          <t>WHOLESALE DEPARTMENT RIYADH NURSERY</t>
        </is>
      </c>
      <c r="E15" s="4" t="n">
        <v>20872.5</v>
      </c>
      <c r="F15" s="3" t="inlineStr">
        <is>
          <t>بدون تفصيل بنود بالنظام</t>
        </is>
      </c>
      <c r="G15" s="3" t="inlineStr">
        <is>
          <t>رقم مكرر لحركتين – حركة 4-8-2025 جهتها WHOLESALE DEPARTMENT RIYADH (قد لا تخص تبوك)</t>
        </is>
      </c>
    </row>
    <row r="16">
      <c r="A16" s="3" t="inlineStr">
        <is>
          <t>مسحوبات تبوك من الرياض</t>
        </is>
      </c>
      <c r="B16" s="3" t="inlineStr">
        <is>
          <t>TRF-0107 (جزء)</t>
        </is>
      </c>
      <c r="C16" s="24" t="n">
        <v>46214</v>
      </c>
      <c r="D16" s="3" t="inlineStr">
        <is>
          <t>الرياض ← تبوك</t>
        </is>
      </c>
      <c r="E16" s="4" t="n">
        <v>16732.5</v>
      </c>
      <c r="F16" s="3" t="inlineStr">
        <is>
          <t>دورانتا × 1,290، اكاليفا × 60، فل بلدي × 450، تيكوماريا 50 سم × 2,384، ياسمين أزرق × 580، تجيل كروي مركن 9 × 2,400</t>
        </is>
      </c>
      <c r="G16" s="3" t="inlineStr">
        <is>
          <t>6 أصناف أسقطها المحاسب من السند (14,550 + ضريبة 15%)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2026-09-27T23:20:06Z</dcterms:created>
  <dcterms:modified xsi:type="dcterms:W3CDTF">2026-09-27T23:20:19Z</dcterms:modified>
</cp:coreProperties>
</file>