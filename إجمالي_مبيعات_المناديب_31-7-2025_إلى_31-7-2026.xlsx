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عصمت - جملة WHT" sheetId="2" state="visible" r:id="rId2"/>
    <sheet name="عماد - جملة WHE" sheetId="3" state="visible" r:id="rId3"/>
    <sheet name="أبو خالد - جملة WHK" sheetId="4" state="visible" r:id="rId4"/>
    <sheet name="مبيعات السيارات 6-7 2026" sheetId="5" state="visible" r:id="rId5"/>
  </sheets>
  <definedNames>
    <definedName name="_xlnm._FilterDatabase" localSheetId="1" hidden="1">'عصمت - جملة WHT'!$A$1:$H$212</definedName>
    <definedName name="_xlnm._FilterDatabase" localSheetId="2" hidden="1">'عماد - جملة WHE'!$A$1:$H$46</definedName>
    <definedName name="_xlnm._FilterDatabase" localSheetId="3" hidden="1">'أبو خالد - جملة WHK'!$A$1:$H$48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2" fillId="6" borderId="1" pivotButton="0" quotePrefix="0" xfId="0"/>
    <xf numFmtId="4" fontId="2" fillId="6" borderId="1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3" borderId="1" pivotButton="0" quotePrefix="0" xfId="0"/>
    <xf numFmtId="165" fontId="0" fillId="3" borderId="1" pivotButton="0" quotePrefix="0" xfId="0"/>
    <xf numFmtId="4" fontId="0" fillId="3" borderId="1" pivotButton="0" quotePrefix="0" xfId="0"/>
    <xf numFmtId="165" fontId="0" fillId="0" borderId="1" pivotButton="0" quotePrefix="0" xfId="0"/>
    <xf numFmtId="0" fontId="0" fillId="4" borderId="1" pivotButton="0" quotePrefix="0" xfId="0"/>
    <xf numFmtId="165" fontId="0" fillId="4" borderId="1" pivotButton="0" quotePrefix="0" xfId="0"/>
    <xf numFmtId="4" fontId="0" fillId="4" borderId="1" pivotButton="0" quotePrefix="0" xfId="0"/>
    <xf numFmtId="0" fontId="0" fillId="5" borderId="1" pivotButton="0" quotePrefix="0" xfId="0"/>
    <xf numFmtId="165" fontId="0" fillId="5" borderId="1" pivotButton="0" quotePrefix="0" xfId="0"/>
    <xf numFmtId="4" fontId="0" fillId="5" borderId="1" pivotButton="0" quotePrefix="0" xfId="0"/>
    <xf numFmtId="0" fontId="0" fillId="7" borderId="1" pivotButton="0" quotePrefix="0" xfId="0"/>
    <xf numFmtId="165" fontId="0" fillId="7" borderId="1" pivotButton="0" quotePrefix="0" xfId="0"/>
    <xf numFmtId="4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6" customWidth="1" min="4" max="4"/>
    <col width="26" customWidth="1" min="5" max="5"/>
    <col width="20" customWidth="1" min="6" max="6"/>
    <col width="11" customWidth="1" min="7" max="7"/>
  </cols>
  <sheetData>
    <row r="1">
      <c r="A1" s="1" t="inlineStr">
        <is>
          <t>ملخص إجمالي مبيعات المناديب – مزرعة الرياض</t>
        </is>
      </c>
    </row>
    <row r="2">
      <c r="A2" t="inlineStr">
        <is>
          <t>الفترة: من 31-7-2025 إلى 31-7-2026 – مبيعات الجملة (عقود WHT/WHE/WHK) + مبيعات السيارات لشهري 6 و7 لسنة 2026</t>
        </is>
      </c>
    </row>
    <row r="4">
      <c r="A4" s="2" t="inlineStr">
        <is>
          <t>المندوب</t>
        </is>
      </c>
      <c r="B4" s="2" t="inlineStr">
        <is>
          <t>مبيعات الجملة حسب المحاسب</t>
        </is>
      </c>
      <c r="C4" s="2" t="inlineStr">
        <is>
          <t>مبيعات الجملة بعد المراجعة</t>
        </is>
      </c>
      <c r="D4" s="2" t="inlineStr">
        <is>
          <t>الفرق</t>
        </is>
      </c>
      <c r="E4" s="2" t="inlineStr">
        <is>
          <t>مبيعات السيارة 6-7 (صافي بعد المرتجع)</t>
        </is>
      </c>
      <c r="F4" s="2" t="inlineStr">
        <is>
          <t>الإجمالي النهائي</t>
        </is>
      </c>
      <c r="G4" s="2" t="inlineStr">
        <is>
          <t>السيارة</t>
        </is>
      </c>
    </row>
    <row r="5">
      <c r="A5" s="3" t="inlineStr">
        <is>
          <t>عصمت الله خان</t>
        </is>
      </c>
      <c r="B5" s="4">
        <f>'عصمت - جملة WHT'!D213</f>
        <v/>
      </c>
      <c r="C5" s="4">
        <f>'عصمت - جملة WHT'!E213</f>
        <v/>
      </c>
      <c r="D5" s="4">
        <f>C5-B5</f>
        <v/>
      </c>
      <c r="E5" s="4">
        <f>SUMIFS('مبيعات السيارات 6-7 2026'!H2:H57,'مبيعات السيارات 6-7 2026'!C2:C57,"VHC-1219")</f>
        <v/>
      </c>
      <c r="F5" s="4">
        <f>C5+E5</f>
        <v/>
      </c>
      <c r="G5" s="3" t="inlineStr">
        <is>
          <t>VHC-1219</t>
        </is>
      </c>
    </row>
    <row r="6">
      <c r="A6" s="3" t="inlineStr">
        <is>
          <t>عماد حمدي</t>
        </is>
      </c>
      <c r="B6" s="4">
        <f>'عماد - جملة WHE'!D47</f>
        <v/>
      </c>
      <c r="C6" s="4">
        <f>'عماد - جملة WHE'!E47</f>
        <v/>
      </c>
      <c r="D6" s="4">
        <f>C6-B6</f>
        <v/>
      </c>
      <c r="E6" s="4">
        <f>SUMIFS('مبيعات السيارات 6-7 2026'!H2:H57,'مبيعات السيارات 6-7 2026'!C2:C57,"VHC-3010")</f>
        <v/>
      </c>
      <c r="F6" s="4">
        <f>C6+E6</f>
        <v/>
      </c>
      <c r="G6" s="3" t="inlineStr">
        <is>
          <t>VHC-3010</t>
        </is>
      </c>
    </row>
    <row r="7">
      <c r="A7" s="3" t="inlineStr">
        <is>
          <t>م/ عادل أبو خالد</t>
        </is>
      </c>
      <c r="B7" s="4">
        <f>'أبو خالد - جملة WHK'!D49</f>
        <v/>
      </c>
      <c r="C7" s="4">
        <f>'أبو خالد - جملة WHK'!E49</f>
        <v/>
      </c>
      <c r="D7" s="4">
        <f>C7-B7</f>
        <v/>
      </c>
      <c r="E7" s="4" t="n">
        <v>0</v>
      </c>
      <c r="F7" s="4">
        <f>C7+E7</f>
        <v/>
      </c>
      <c r="G7" s="3" t="inlineStr">
        <is>
          <t>—</t>
        </is>
      </c>
    </row>
    <row r="8">
      <c r="A8" s="5" t="inlineStr">
        <is>
          <t>الإجمالي</t>
        </is>
      </c>
      <c r="B8" s="6">
        <f>SUM(B5:B7)</f>
        <v/>
      </c>
      <c r="C8" s="6">
        <f>SUM(C5:C7)</f>
        <v/>
      </c>
      <c r="D8" s="6">
        <f>SUM(D5:D7)</f>
        <v/>
      </c>
      <c r="E8" s="6">
        <f>SUM(E5:E7)</f>
        <v/>
      </c>
      <c r="F8" s="6">
        <f>SUM(F5:F7)</f>
        <v/>
      </c>
      <c r="G8" s="5" t="n"/>
    </row>
    <row r="9">
      <c r="A9" s="7" t="inlineStr"/>
    </row>
    <row r="10">
      <c r="A10" s="8" t="inlineStr">
        <is>
          <t>ملاحظات المراجعة (كل الأرقام بالقيمة الإجمالية كما هي بالمستندات):</t>
        </is>
      </c>
    </row>
    <row r="11" ht="30" customHeight="1">
      <c r="A11" s="7" t="inlineStr">
        <is>
          <t>1) عصمت (WHT): شيت المحاسب مكتوب "من 9-10-2025" لكنه أدرج عقوداً من يوليو–سبتمبر، وأسقط 4 عقود من 1 إلى 8 أكتوبر (WHT-2348/2358/2378/2408 = 21,087.50) فتمت إضافتها.</t>
        </is>
      </c>
    </row>
    <row r="12" ht="30" customHeight="1">
      <c r="A12" s="7" t="inlineStr">
        <is>
          <t>2) عصمت: عقدان WHT-2756 و WHT-2758 (16,810.00) موجودان في سجل العقود فقط، بدون فاتورة مبدئية ولا قيد في الكشف – تمت إضافتهما.</t>
        </is>
      </c>
    </row>
    <row r="13" ht="30" customHeight="1">
      <c r="A13" s="7" t="inlineStr">
        <is>
          <t>3) عصمت: 3 عقود مكررة الرقم في شيت المحاسب (WHT-3786 و WHT-4052 و WHT-4234) – القيم صحيحة والأرقام الصحيحة WHT-3804 و WHT-4062 و WHT-4243.</t>
        </is>
      </c>
    </row>
    <row r="14" ht="30" customHeight="1">
      <c r="A14" s="7" t="inlineStr">
        <is>
          <t>4) العقدان WHT-1908 (16,658.75) و WHK-1909 (11,570.00) بتاريخ 30-7-2025 (قبل بداية الفترة بيوم) – أُدرجا بناءً على طلبك.</t>
        </is>
      </c>
    </row>
    <row r="15" ht="30" customHeight="1">
      <c r="A15" s="7" t="inlineStr">
        <is>
          <t>5) أبو خالد (WHK): عقد عرعر WHK-2364 أُدرج بالقيمة الكاملة 440,000 بناءً على طلبك، علماً بأن المسجل بكشف الحساب 367,803.75 (الفرق 72,196.25 بدون قيد بالكشف).</t>
        </is>
      </c>
    </row>
    <row r="16" ht="30" customHeight="1">
      <c r="A16" s="7" t="inlineStr">
        <is>
          <t>6) أبو خالد: العقد WHK-3400 (505.00 – فاتورة 103) سقط من شيت المحاسب فتمت إضافته.</t>
        </is>
      </c>
    </row>
    <row r="17" ht="30" customHeight="1">
      <c r="A17" s="7" t="inlineStr">
        <is>
          <t>7) عماد (WHE): الشيت مطابق تماماً للفواتير المبدئية وسجل العقود (45 عقد).</t>
        </is>
      </c>
    </row>
    <row r="18" ht="30" customHeight="1">
      <c r="A18" s="7" t="inlineStr">
        <is>
          <t>8) مبيعات السيارات: السيارة 1219 = عصمت، والسيارة 3010 = عماد. إجمالي المحاسب للسيارة 1219 (38,733.08) لم يخصم 3 فواتير مرتجعة بالكامل (4,123.90) فالصافي 34,609.18. شيت المرتجعات فيه صفّان مكرران (WS-RET-0002 و 0003).</t>
        </is>
      </c>
    </row>
    <row r="19" ht="30" customHeight="1">
      <c r="A19" s="7" t="inlineStr">
        <is>
          <t>9) بعض التواريخ في ملفات المحاسب مقلوبة (يوم/شهر) مثل 2026-11-07 وهي 7-11 أي 11 يوليو – تم تصحيحها.</t>
        </is>
      </c>
    </row>
  </sheetData>
  <mergeCells count="13">
    <mergeCell ref="A13:G13"/>
    <mergeCell ref="A14:G14"/>
    <mergeCell ref="A1:G1"/>
    <mergeCell ref="A17:G17"/>
    <mergeCell ref="A9:G9"/>
    <mergeCell ref="A18:G18"/>
    <mergeCell ref="A12:G12"/>
    <mergeCell ref="A2:G2"/>
    <mergeCell ref="A16:G16"/>
    <mergeCell ref="A15:G15"/>
    <mergeCell ref="A19:G19"/>
    <mergeCell ref="A11:G1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17" customWidth="1" min="4" max="4"/>
    <col width="16" customWidth="1" min="5" max="5"/>
    <col width="16" customWidth="1" min="6" max="6"/>
    <col width="40" customWidth="1" min="7" max="7"/>
    <col width="80" customWidth="1" min="8" max="8"/>
  </cols>
  <sheetData>
    <row r="1">
      <c r="A1" s="2" t="inlineStr">
        <is>
          <t>م</t>
        </is>
      </c>
      <c r="B1" s="2" t="inlineStr">
        <is>
          <t>التاريخ</t>
        </is>
      </c>
      <c r="C1" s="2" t="inlineStr">
        <is>
          <t>رقم العقد</t>
        </is>
      </c>
      <c r="D1" s="2" t="inlineStr">
        <is>
          <t>القيمة بشيت المحاسب</t>
        </is>
      </c>
      <c r="E1" s="2" t="inlineStr">
        <is>
          <t>القيمة المعتمدة</t>
        </is>
      </c>
      <c r="F1" s="2" t="inlineStr">
        <is>
          <t>الحالة</t>
        </is>
      </c>
      <c r="G1" s="2" t="inlineStr">
        <is>
          <t>المستندات المؤيدة</t>
        </is>
      </c>
      <c r="H1" s="2" t="inlineStr">
        <is>
          <t>ملاحظة</t>
        </is>
      </c>
    </row>
    <row r="2">
      <c r="A2" s="9" t="n">
        <v>1</v>
      </c>
      <c r="B2" s="10" t="n">
        <v>45868</v>
      </c>
      <c r="C2" s="9" t="inlineStr">
        <is>
          <t>WHT-1908</t>
        </is>
      </c>
      <c r="D2" s="11" t="n">
        <v>16658.75</v>
      </c>
      <c r="E2" s="11" t="n">
        <v>16658.75</v>
      </c>
      <c r="F2" s="9" t="inlineStr">
        <is>
          <t>صحيح (ملاحظة)</t>
        </is>
      </c>
      <c r="G2" s="9" t="inlineStr">
        <is>
          <t>سجل العقود</t>
        </is>
      </c>
      <c r="H2" s="9" t="inlineStr">
        <is>
          <t>تاريخه 2025-07-30 قبل بداية الفترة 31-7-2025 بيوم – أُدرج بناءً على طلبك</t>
        </is>
      </c>
    </row>
    <row r="3">
      <c r="A3" s="3" t="n">
        <v>2</v>
      </c>
      <c r="B3" s="12" t="n">
        <v>45878</v>
      </c>
      <c r="C3" s="3" t="inlineStr">
        <is>
          <t>WHT-1892</t>
        </is>
      </c>
      <c r="D3" s="4" t="n">
        <v>150</v>
      </c>
      <c r="E3" s="4" t="n">
        <v>150</v>
      </c>
      <c r="F3" s="3" t="inlineStr">
        <is>
          <t>صحيح</t>
        </is>
      </c>
      <c r="G3" s="3" t="inlineStr">
        <is>
          <t>سجل العقود</t>
        </is>
      </c>
      <c r="H3" s="3" t="inlineStr"/>
    </row>
    <row r="4">
      <c r="A4" s="3" t="n">
        <v>3</v>
      </c>
      <c r="B4" s="12" t="n">
        <v>45885</v>
      </c>
      <c r="C4" s="3" t="inlineStr">
        <is>
          <t>WHT-1934</t>
        </is>
      </c>
      <c r="D4" s="4" t="n">
        <v>162.5</v>
      </c>
      <c r="E4" s="4" t="n">
        <v>162.5</v>
      </c>
      <c r="F4" s="3" t="inlineStr">
        <is>
          <t>صحيح</t>
        </is>
      </c>
      <c r="G4" s="3" t="inlineStr">
        <is>
          <t>سجل العقود</t>
        </is>
      </c>
      <c r="H4" s="3" t="inlineStr"/>
    </row>
    <row r="5">
      <c r="A5" s="3" t="n">
        <v>4</v>
      </c>
      <c r="B5" s="12" t="n">
        <v>45885</v>
      </c>
      <c r="C5" s="3" t="inlineStr">
        <is>
          <t>WHT-1937</t>
        </is>
      </c>
      <c r="D5" s="4" t="n">
        <v>50</v>
      </c>
      <c r="E5" s="4" t="n">
        <v>50</v>
      </c>
      <c r="F5" s="3" t="inlineStr">
        <is>
          <t>صحيح</t>
        </is>
      </c>
      <c r="G5" s="3" t="inlineStr">
        <is>
          <t>سجل العقود</t>
        </is>
      </c>
      <c r="H5" s="3" t="inlineStr"/>
    </row>
    <row r="6">
      <c r="A6" s="3" t="n">
        <v>5</v>
      </c>
      <c r="B6" s="12" t="n">
        <v>45887</v>
      </c>
      <c r="C6" s="3" t="inlineStr">
        <is>
          <t>WHT-1952</t>
        </is>
      </c>
      <c r="D6" s="4" t="n">
        <v>450</v>
      </c>
      <c r="E6" s="4" t="n">
        <v>450</v>
      </c>
      <c r="F6" s="3" t="inlineStr">
        <is>
          <t>صحيح</t>
        </is>
      </c>
      <c r="G6" s="3" t="inlineStr">
        <is>
          <t>سجل العقود</t>
        </is>
      </c>
      <c r="H6" s="3" t="inlineStr"/>
    </row>
    <row r="7">
      <c r="A7" s="3" t="n">
        <v>6</v>
      </c>
      <c r="B7" s="12" t="n">
        <v>45889</v>
      </c>
      <c r="C7" s="3" t="inlineStr">
        <is>
          <t>WHT-1970</t>
        </is>
      </c>
      <c r="D7" s="4" t="n">
        <v>125</v>
      </c>
      <c r="E7" s="4" t="n">
        <v>125</v>
      </c>
      <c r="F7" s="3" t="inlineStr">
        <is>
          <t>صحيح</t>
        </is>
      </c>
      <c r="G7" s="3" t="inlineStr">
        <is>
          <t>سجل العقود</t>
        </is>
      </c>
      <c r="H7" s="3" t="inlineStr"/>
    </row>
    <row r="8">
      <c r="A8" s="3" t="n">
        <v>7</v>
      </c>
      <c r="B8" s="12" t="n">
        <v>45890</v>
      </c>
      <c r="C8" s="3" t="inlineStr">
        <is>
          <t>WHT-1999</t>
        </is>
      </c>
      <c r="D8" s="4" t="n">
        <v>800</v>
      </c>
      <c r="E8" s="4" t="n">
        <v>800</v>
      </c>
      <c r="F8" s="3" t="inlineStr">
        <is>
          <t>صحيح</t>
        </is>
      </c>
      <c r="G8" s="3" t="inlineStr">
        <is>
          <t>سجل العقود</t>
        </is>
      </c>
      <c r="H8" s="3" t="inlineStr"/>
    </row>
    <row r="9">
      <c r="A9" s="3" t="n">
        <v>8</v>
      </c>
      <c r="B9" s="12" t="n">
        <v>45892</v>
      </c>
      <c r="C9" s="3" t="inlineStr">
        <is>
          <t>WHT-2007</t>
        </is>
      </c>
      <c r="D9" s="4" t="n">
        <v>155</v>
      </c>
      <c r="E9" s="4" t="n">
        <v>155</v>
      </c>
      <c r="F9" s="3" t="inlineStr">
        <is>
          <t>صحيح</t>
        </is>
      </c>
      <c r="G9" s="3" t="inlineStr">
        <is>
          <t>سجل العقود</t>
        </is>
      </c>
      <c r="H9" s="3" t="inlineStr"/>
    </row>
    <row r="10">
      <c r="A10" s="3" t="n">
        <v>9</v>
      </c>
      <c r="B10" s="12" t="n">
        <v>45894</v>
      </c>
      <c r="C10" s="3" t="inlineStr">
        <is>
          <t>WHT-2030</t>
        </is>
      </c>
      <c r="D10" s="4" t="n">
        <v>350</v>
      </c>
      <c r="E10" s="4" t="n">
        <v>350</v>
      </c>
      <c r="F10" s="3" t="inlineStr">
        <is>
          <t>صحيح</t>
        </is>
      </c>
      <c r="G10" s="3" t="inlineStr">
        <is>
          <t>سجل العقود</t>
        </is>
      </c>
      <c r="H10" s="3" t="inlineStr"/>
    </row>
    <row r="11">
      <c r="A11" s="3" t="n">
        <v>10</v>
      </c>
      <c r="B11" s="12" t="n">
        <v>45895</v>
      </c>
      <c r="C11" s="3" t="inlineStr">
        <is>
          <t>WHT-2040</t>
        </is>
      </c>
      <c r="D11" s="4" t="n">
        <v>205</v>
      </c>
      <c r="E11" s="4" t="n">
        <v>205</v>
      </c>
      <c r="F11" s="3" t="inlineStr">
        <is>
          <t>صحيح</t>
        </is>
      </c>
      <c r="G11" s="3" t="inlineStr">
        <is>
          <t>سجل العقود</t>
        </is>
      </c>
      <c r="H11" s="3" t="inlineStr"/>
    </row>
    <row r="12">
      <c r="A12" s="3" t="n">
        <v>11</v>
      </c>
      <c r="B12" s="12" t="n">
        <v>45897</v>
      </c>
      <c r="C12" s="3" t="inlineStr">
        <is>
          <t>WHT-2065</t>
        </is>
      </c>
      <c r="D12" s="4" t="n">
        <v>62.5</v>
      </c>
      <c r="E12" s="4" t="n">
        <v>62.5</v>
      </c>
      <c r="F12" s="3" t="inlineStr">
        <is>
          <t>صحيح</t>
        </is>
      </c>
      <c r="G12" s="3" t="inlineStr">
        <is>
          <t>سجل العقود</t>
        </is>
      </c>
      <c r="H12" s="3" t="inlineStr"/>
    </row>
    <row r="13">
      <c r="A13" s="3" t="n">
        <v>12</v>
      </c>
      <c r="B13" s="12" t="n">
        <v>45901</v>
      </c>
      <c r="C13" s="3" t="inlineStr">
        <is>
          <t>WHT-2084</t>
        </is>
      </c>
      <c r="D13" s="4" t="n">
        <v>202.5</v>
      </c>
      <c r="E13" s="4" t="n">
        <v>202.5</v>
      </c>
      <c r="F13" s="3" t="inlineStr">
        <is>
          <t>صحيح</t>
        </is>
      </c>
      <c r="G13" s="3" t="inlineStr">
        <is>
          <t>سجل العقود</t>
        </is>
      </c>
      <c r="H13" s="3" t="inlineStr"/>
    </row>
    <row r="14">
      <c r="A14" s="3" t="n">
        <v>13</v>
      </c>
      <c r="B14" s="12" t="n">
        <v>45904</v>
      </c>
      <c r="C14" s="3" t="inlineStr">
        <is>
          <t>WHT-2112</t>
        </is>
      </c>
      <c r="D14" s="4" t="n">
        <v>517.5</v>
      </c>
      <c r="E14" s="4" t="n">
        <v>517.5</v>
      </c>
      <c r="F14" s="3" t="inlineStr">
        <is>
          <t>صحيح</t>
        </is>
      </c>
      <c r="G14" s="3" t="inlineStr">
        <is>
          <t>سجل العقود</t>
        </is>
      </c>
      <c r="H14" s="3" t="inlineStr"/>
    </row>
    <row r="15">
      <c r="A15" s="3" t="n">
        <v>14</v>
      </c>
      <c r="B15" s="12" t="n">
        <v>45907</v>
      </c>
      <c r="C15" s="3" t="inlineStr">
        <is>
          <t>WHT-2144</t>
        </is>
      </c>
      <c r="D15" s="4" t="n">
        <v>650</v>
      </c>
      <c r="E15" s="4" t="n">
        <v>650</v>
      </c>
      <c r="F15" s="3" t="inlineStr">
        <is>
          <t>صحيح</t>
        </is>
      </c>
      <c r="G15" s="3" t="inlineStr">
        <is>
          <t>سجل العقود</t>
        </is>
      </c>
      <c r="H15" s="3" t="inlineStr"/>
    </row>
    <row r="16">
      <c r="A16" s="3" t="n">
        <v>15</v>
      </c>
      <c r="B16" s="12" t="n">
        <v>45908</v>
      </c>
      <c r="C16" s="3" t="inlineStr">
        <is>
          <t>WHT-2146</t>
        </is>
      </c>
      <c r="D16" s="4" t="n">
        <v>95</v>
      </c>
      <c r="E16" s="4" t="n">
        <v>95</v>
      </c>
      <c r="F16" s="3" t="inlineStr">
        <is>
          <t>صحيح</t>
        </is>
      </c>
      <c r="G16" s="3" t="inlineStr">
        <is>
          <t>سجل العقود</t>
        </is>
      </c>
      <c r="H16" s="3" t="inlineStr"/>
    </row>
    <row r="17">
      <c r="A17" s="3" t="n">
        <v>16</v>
      </c>
      <c r="B17" s="12" t="n">
        <v>45909</v>
      </c>
      <c r="C17" s="3" t="inlineStr">
        <is>
          <t>WHT-2150</t>
        </is>
      </c>
      <c r="D17" s="4" t="n">
        <v>242.5</v>
      </c>
      <c r="E17" s="4" t="n">
        <v>242.5</v>
      </c>
      <c r="F17" s="3" t="inlineStr">
        <is>
          <t>صحيح</t>
        </is>
      </c>
      <c r="G17" s="3" t="inlineStr">
        <is>
          <t>سجل العقود</t>
        </is>
      </c>
      <c r="H17" s="3" t="inlineStr"/>
    </row>
    <row r="18">
      <c r="A18" s="3" t="n">
        <v>17</v>
      </c>
      <c r="B18" s="12" t="n">
        <v>45911</v>
      </c>
      <c r="C18" s="3" t="inlineStr">
        <is>
          <t>WHT-2162</t>
        </is>
      </c>
      <c r="D18" s="4" t="n">
        <v>1827.5</v>
      </c>
      <c r="E18" s="4" t="n">
        <v>1827.5</v>
      </c>
      <c r="F18" s="3" t="inlineStr">
        <is>
          <t>صحيح</t>
        </is>
      </c>
      <c r="G18" s="3" t="inlineStr">
        <is>
          <t>سجل العقود</t>
        </is>
      </c>
      <c r="H18" s="3" t="inlineStr"/>
    </row>
    <row r="19">
      <c r="A19" s="3" t="n">
        <v>18</v>
      </c>
      <c r="B19" s="12" t="n">
        <v>45915</v>
      </c>
      <c r="C19" s="3" t="inlineStr">
        <is>
          <t>WHT-2187</t>
        </is>
      </c>
      <c r="D19" s="4" t="n">
        <v>2260</v>
      </c>
      <c r="E19" s="4" t="n">
        <v>2260</v>
      </c>
      <c r="F19" s="3" t="inlineStr">
        <is>
          <t>صحيح</t>
        </is>
      </c>
      <c r="G19" s="3" t="inlineStr">
        <is>
          <t>سجل العقود</t>
        </is>
      </c>
      <c r="H19" s="3" t="inlineStr"/>
    </row>
    <row r="20">
      <c r="A20" s="3" t="n">
        <v>19</v>
      </c>
      <c r="B20" s="12" t="n">
        <v>45915</v>
      </c>
      <c r="C20" s="3" t="inlineStr">
        <is>
          <t>WHT-2199</t>
        </is>
      </c>
      <c r="D20" s="4" t="n">
        <v>1330</v>
      </c>
      <c r="E20" s="4" t="n">
        <v>1330</v>
      </c>
      <c r="F20" s="3" t="inlineStr">
        <is>
          <t>صحيح</t>
        </is>
      </c>
      <c r="G20" s="3" t="inlineStr">
        <is>
          <t>سجل العقود</t>
        </is>
      </c>
      <c r="H20" s="3" t="inlineStr"/>
    </row>
    <row r="21">
      <c r="A21" s="3" t="n">
        <v>20</v>
      </c>
      <c r="B21" s="12" t="n">
        <v>45916</v>
      </c>
      <c r="C21" s="3" t="inlineStr">
        <is>
          <t>WHT-2216</t>
        </is>
      </c>
      <c r="D21" s="4" t="n">
        <v>160</v>
      </c>
      <c r="E21" s="4" t="n">
        <v>160</v>
      </c>
      <c r="F21" s="3" t="inlineStr">
        <is>
          <t>صحيح</t>
        </is>
      </c>
      <c r="G21" s="3" t="inlineStr">
        <is>
          <t>سجل العقود</t>
        </is>
      </c>
      <c r="H21" s="3" t="inlineStr"/>
    </row>
    <row r="22">
      <c r="A22" s="3" t="n">
        <v>21</v>
      </c>
      <c r="B22" s="12" t="n">
        <v>45917</v>
      </c>
      <c r="C22" s="3" t="inlineStr">
        <is>
          <t>WHT-2228</t>
        </is>
      </c>
      <c r="D22" s="4" t="n">
        <v>180</v>
      </c>
      <c r="E22" s="4" t="n">
        <v>180</v>
      </c>
      <c r="F22" s="3" t="inlineStr">
        <is>
          <t>صحيح</t>
        </is>
      </c>
      <c r="G22" s="3" t="inlineStr">
        <is>
          <t>سجل العقود</t>
        </is>
      </c>
      <c r="H22" s="3" t="inlineStr"/>
    </row>
    <row r="23">
      <c r="A23" s="3" t="n">
        <v>22</v>
      </c>
      <c r="B23" s="12" t="n">
        <v>45918</v>
      </c>
      <c r="C23" s="3" t="inlineStr">
        <is>
          <t>WHT-2244</t>
        </is>
      </c>
      <c r="D23" s="4" t="n">
        <v>1400</v>
      </c>
      <c r="E23" s="4" t="n">
        <v>1400</v>
      </c>
      <c r="F23" s="3" t="inlineStr">
        <is>
          <t>صحيح</t>
        </is>
      </c>
      <c r="G23" s="3" t="inlineStr">
        <is>
          <t>سجل العقود</t>
        </is>
      </c>
      <c r="H23" s="3" t="inlineStr"/>
    </row>
    <row r="24">
      <c r="A24" s="3" t="n">
        <v>23</v>
      </c>
      <c r="B24" s="12" t="n">
        <v>45920</v>
      </c>
      <c r="C24" s="3" t="inlineStr">
        <is>
          <t>WHT-2259</t>
        </is>
      </c>
      <c r="D24" s="4" t="n">
        <v>1305</v>
      </c>
      <c r="E24" s="4" t="n">
        <v>1305</v>
      </c>
      <c r="F24" s="3" t="inlineStr">
        <is>
          <t>صحيح</t>
        </is>
      </c>
      <c r="G24" s="3" t="inlineStr">
        <is>
          <t>سجل العقود</t>
        </is>
      </c>
      <c r="H24" s="3" t="inlineStr"/>
    </row>
    <row r="25">
      <c r="A25" s="3" t="n">
        <v>24</v>
      </c>
      <c r="B25" s="12" t="n">
        <v>45921</v>
      </c>
      <c r="C25" s="3" t="inlineStr">
        <is>
          <t>WHT-2261</t>
        </is>
      </c>
      <c r="D25" s="4" t="n">
        <v>1690</v>
      </c>
      <c r="E25" s="4" t="n">
        <v>1690</v>
      </c>
      <c r="F25" s="3" t="inlineStr">
        <is>
          <t>صحيح</t>
        </is>
      </c>
      <c r="G25" s="3" t="inlineStr">
        <is>
          <t>سجل العقود</t>
        </is>
      </c>
      <c r="H25" s="3" t="inlineStr"/>
    </row>
    <row r="26">
      <c r="A26" s="3" t="n">
        <v>25</v>
      </c>
      <c r="B26" s="12" t="n">
        <v>45922</v>
      </c>
      <c r="C26" s="3" t="inlineStr">
        <is>
          <t>WHT-2268</t>
        </is>
      </c>
      <c r="D26" s="4" t="n">
        <v>8812.5</v>
      </c>
      <c r="E26" s="4" t="n">
        <v>8812.5</v>
      </c>
      <c r="F26" s="3" t="inlineStr">
        <is>
          <t>صحيح</t>
        </is>
      </c>
      <c r="G26" s="3" t="inlineStr">
        <is>
          <t>سجل العقود</t>
        </is>
      </c>
      <c r="H26" s="3" t="inlineStr"/>
    </row>
    <row r="27">
      <c r="A27" s="3" t="n">
        <v>26</v>
      </c>
      <c r="B27" s="12" t="n">
        <v>45924</v>
      </c>
      <c r="C27" s="3" t="inlineStr">
        <is>
          <t>WHT-2290</t>
        </is>
      </c>
      <c r="D27" s="4" t="n">
        <v>4160</v>
      </c>
      <c r="E27" s="4" t="n">
        <v>4160</v>
      </c>
      <c r="F27" s="3" t="inlineStr">
        <is>
          <t>صحيح</t>
        </is>
      </c>
      <c r="G27" s="3" t="inlineStr">
        <is>
          <t>سجل العقود</t>
        </is>
      </c>
      <c r="H27" s="3" t="inlineStr"/>
    </row>
    <row r="28">
      <c r="A28" s="3" t="n">
        <v>27</v>
      </c>
      <c r="B28" s="12" t="n">
        <v>45925</v>
      </c>
      <c r="C28" s="3" t="inlineStr">
        <is>
          <t>WHT-2292</t>
        </is>
      </c>
      <c r="D28" s="4" t="n">
        <v>8860</v>
      </c>
      <c r="E28" s="4" t="n">
        <v>8860</v>
      </c>
      <c r="F28" s="3" t="inlineStr">
        <is>
          <t>صحيح</t>
        </is>
      </c>
      <c r="G28" s="3" t="inlineStr">
        <is>
          <t>سجل العقود</t>
        </is>
      </c>
      <c r="H28" s="3" t="inlineStr"/>
    </row>
    <row r="29">
      <c r="A29" s="3" t="n">
        <v>28</v>
      </c>
      <c r="B29" s="12" t="n">
        <v>45926</v>
      </c>
      <c r="C29" s="3" t="inlineStr">
        <is>
          <t>WHT-2296</t>
        </is>
      </c>
      <c r="D29" s="4" t="n">
        <v>14816</v>
      </c>
      <c r="E29" s="4" t="n">
        <v>14816</v>
      </c>
      <c r="F29" s="3" t="inlineStr">
        <is>
          <t>صحيح</t>
        </is>
      </c>
      <c r="G29" s="3" t="inlineStr">
        <is>
          <t>سجل العقود</t>
        </is>
      </c>
      <c r="H29" s="3" t="inlineStr"/>
    </row>
    <row r="30">
      <c r="A30" s="3" t="n">
        <v>29</v>
      </c>
      <c r="B30" s="12" t="n">
        <v>45930</v>
      </c>
      <c r="C30" s="3" t="inlineStr">
        <is>
          <t>WHT-2331</t>
        </is>
      </c>
      <c r="D30" s="4" t="n">
        <v>2820</v>
      </c>
      <c r="E30" s="4" t="n">
        <v>2820</v>
      </c>
      <c r="F30" s="3" t="inlineStr">
        <is>
          <t>صحيح</t>
        </is>
      </c>
      <c r="G30" s="3" t="inlineStr">
        <is>
          <t>سجل العقود</t>
        </is>
      </c>
      <c r="H30" s="3" t="inlineStr"/>
    </row>
    <row r="31">
      <c r="A31" s="3" t="n">
        <v>30</v>
      </c>
      <c r="B31" s="12" t="n">
        <v>45930</v>
      </c>
      <c r="C31" s="3" t="inlineStr">
        <is>
          <t>WHT-2344</t>
        </is>
      </c>
      <c r="D31" s="4" t="n">
        <v>2485</v>
      </c>
      <c r="E31" s="4" t="n">
        <v>2485</v>
      </c>
      <c r="F31" s="3" t="inlineStr">
        <is>
          <t>صحيح</t>
        </is>
      </c>
      <c r="G31" s="3" t="inlineStr">
        <is>
          <t>سجل العقود</t>
        </is>
      </c>
      <c r="H31" s="3" t="inlineStr"/>
    </row>
    <row r="32">
      <c r="A32" s="13" t="n">
        <v>31</v>
      </c>
      <c r="B32" s="14" t="n">
        <v>45931</v>
      </c>
      <c r="C32" s="13" t="inlineStr">
        <is>
          <t>WHT-2348</t>
        </is>
      </c>
      <c r="D32" s="15" t="n">
        <v>0</v>
      </c>
      <c r="E32" s="15" t="n">
        <v>3920</v>
      </c>
      <c r="F32" s="13" t="inlineStr">
        <is>
          <t>مضاف</t>
        </is>
      </c>
      <c r="G32" s="13" t="inlineStr">
        <is>
          <t>سجل العقود</t>
        </is>
      </c>
      <c r="H32" s="13" t="inlineStr">
        <is>
          <t>موجود في سجل العقود وسقط من شيت المحاسب (المحاسب بدأ من 9-10 رغم إدراجه عقود أقدم)</t>
        </is>
      </c>
    </row>
    <row r="33">
      <c r="A33" s="13" t="n">
        <v>32</v>
      </c>
      <c r="B33" s="14" t="n">
        <v>45932</v>
      </c>
      <c r="C33" s="13" t="inlineStr">
        <is>
          <t>WHT-2358</t>
        </is>
      </c>
      <c r="D33" s="15" t="n">
        <v>0</v>
      </c>
      <c r="E33" s="15" t="n">
        <v>4910</v>
      </c>
      <c r="F33" s="13" t="inlineStr">
        <is>
          <t>مضاف</t>
        </is>
      </c>
      <c r="G33" s="13" t="inlineStr">
        <is>
          <t>سجل العقود</t>
        </is>
      </c>
      <c r="H33" s="13" t="inlineStr">
        <is>
          <t>موجود في سجل العقود وسقط من شيت المحاسب (المحاسب بدأ من 9-10 رغم إدراجه عقود أقدم)</t>
        </is>
      </c>
    </row>
    <row r="34">
      <c r="A34" s="13" t="n">
        <v>33</v>
      </c>
      <c r="B34" s="14" t="n">
        <v>45934</v>
      </c>
      <c r="C34" s="13" t="inlineStr">
        <is>
          <t>WHT-2378</t>
        </is>
      </c>
      <c r="D34" s="15" t="n">
        <v>0</v>
      </c>
      <c r="E34" s="15" t="n">
        <v>4760</v>
      </c>
      <c r="F34" s="13" t="inlineStr">
        <is>
          <t>مضاف</t>
        </is>
      </c>
      <c r="G34" s="13" t="inlineStr">
        <is>
          <t>سجل العقود</t>
        </is>
      </c>
      <c r="H34" s="13" t="inlineStr">
        <is>
          <t>موجود في سجل العقود وسقط من شيت المحاسب (المحاسب بدأ من 9-10 رغم إدراجه عقود أقدم)</t>
        </is>
      </c>
    </row>
    <row r="35">
      <c r="A35" s="13" t="n">
        <v>34</v>
      </c>
      <c r="B35" s="14" t="n">
        <v>45935</v>
      </c>
      <c r="C35" s="13" t="inlineStr">
        <is>
          <t>WHT-2756</t>
        </is>
      </c>
      <c r="D35" s="15" t="n">
        <v>0</v>
      </c>
      <c r="E35" s="15" t="n">
        <v>3520</v>
      </c>
      <c r="F35" s="13" t="inlineStr">
        <is>
          <t>مضاف</t>
        </is>
      </c>
      <c r="G35" s="13" t="inlineStr">
        <is>
          <t>سجل العقود</t>
        </is>
      </c>
      <c r="H35" s="13" t="inlineStr">
        <is>
          <t>موجود في سجل العقود فقط (بدون فاتورة مبدئية وغير مسجل بالكشف) – يحتاج تأكيد</t>
        </is>
      </c>
    </row>
    <row r="36">
      <c r="A36" s="13" t="n">
        <v>35</v>
      </c>
      <c r="B36" s="14" t="n">
        <v>45936</v>
      </c>
      <c r="C36" s="13" t="inlineStr">
        <is>
          <t>WHT-2758</t>
        </is>
      </c>
      <c r="D36" s="15" t="n">
        <v>0</v>
      </c>
      <c r="E36" s="15" t="n">
        <v>13290</v>
      </c>
      <c r="F36" s="13" t="inlineStr">
        <is>
          <t>مضاف</t>
        </is>
      </c>
      <c r="G36" s="13" t="inlineStr">
        <is>
          <t>سجل العقود</t>
        </is>
      </c>
      <c r="H36" s="13" t="inlineStr">
        <is>
          <t>موجود في سجل العقود فقط (بدون فاتورة مبدئية وغير مسجل بالكشف) – يحتاج تأكيد</t>
        </is>
      </c>
    </row>
    <row r="37">
      <c r="A37" s="13" t="n">
        <v>36</v>
      </c>
      <c r="B37" s="14" t="n">
        <v>45938</v>
      </c>
      <c r="C37" s="13" t="inlineStr">
        <is>
          <t>WHT-2408</t>
        </is>
      </c>
      <c r="D37" s="15" t="n">
        <v>0</v>
      </c>
      <c r="E37" s="15" t="n">
        <v>7497.5</v>
      </c>
      <c r="F37" s="13" t="inlineStr">
        <is>
          <t>مضاف</t>
        </is>
      </c>
      <c r="G37" s="13" t="inlineStr">
        <is>
          <t>سجل العقود</t>
        </is>
      </c>
      <c r="H37" s="13" t="inlineStr">
        <is>
          <t>موجود في سجل العقود وسقط من شيت المحاسب (المحاسب بدأ من 9-10 رغم إدراجه عقود أقدم)</t>
        </is>
      </c>
    </row>
    <row r="38">
      <c r="A38" s="3" t="n">
        <v>37</v>
      </c>
      <c r="B38" s="12" t="n">
        <v>45939</v>
      </c>
      <c r="C38" s="3" t="inlineStr">
        <is>
          <t>WHT-2423</t>
        </is>
      </c>
      <c r="D38" s="4" t="n">
        <v>5790</v>
      </c>
      <c r="E38" s="4" t="n">
        <v>5790</v>
      </c>
      <c r="F38" s="3" t="inlineStr">
        <is>
          <t>صحيح</t>
        </is>
      </c>
      <c r="G38" s="3" t="inlineStr">
        <is>
          <t>سجل العقود</t>
        </is>
      </c>
      <c r="H38" s="3" t="inlineStr"/>
    </row>
    <row r="39">
      <c r="A39" s="3" t="n">
        <v>38</v>
      </c>
      <c r="B39" s="12" t="n">
        <v>45941</v>
      </c>
      <c r="C39" s="3" t="inlineStr">
        <is>
          <t>WHT-2437</t>
        </is>
      </c>
      <c r="D39" s="4" t="n">
        <v>10270</v>
      </c>
      <c r="E39" s="4" t="n">
        <v>10270</v>
      </c>
      <c r="F39" s="3" t="inlineStr">
        <is>
          <t>صحيح</t>
        </is>
      </c>
      <c r="G39" s="3" t="inlineStr">
        <is>
          <t>سجل العقود</t>
        </is>
      </c>
      <c r="H39" s="3" t="inlineStr"/>
    </row>
    <row r="40">
      <c r="A40" s="3" t="n">
        <v>39</v>
      </c>
      <c r="B40" s="12" t="n">
        <v>45942</v>
      </c>
      <c r="C40" s="3" t="inlineStr">
        <is>
          <t>WHT-2454</t>
        </is>
      </c>
      <c r="D40" s="4" t="n">
        <v>6282.5</v>
      </c>
      <c r="E40" s="4" t="n">
        <v>6282.5</v>
      </c>
      <c r="F40" s="3" t="inlineStr">
        <is>
          <t>صحيح</t>
        </is>
      </c>
      <c r="G40" s="3" t="inlineStr">
        <is>
          <t>سجل العقود</t>
        </is>
      </c>
      <c r="H40" s="3" t="inlineStr"/>
    </row>
    <row r="41">
      <c r="A41" s="3" t="n">
        <v>40</v>
      </c>
      <c r="B41" s="12" t="n">
        <v>45943</v>
      </c>
      <c r="C41" s="3" t="inlineStr">
        <is>
          <t>WHT-2471</t>
        </is>
      </c>
      <c r="D41" s="4" t="n">
        <v>3275</v>
      </c>
      <c r="E41" s="4" t="n">
        <v>3275</v>
      </c>
      <c r="F41" s="3" t="inlineStr">
        <is>
          <t>صحيح</t>
        </is>
      </c>
      <c r="G41" s="3" t="inlineStr">
        <is>
          <t>سجل العقود</t>
        </is>
      </c>
      <c r="H41" s="3" t="inlineStr"/>
    </row>
    <row r="42">
      <c r="A42" s="3" t="n">
        <v>41</v>
      </c>
      <c r="B42" s="12" t="n">
        <v>45944</v>
      </c>
      <c r="C42" s="3" t="inlineStr">
        <is>
          <t>WHT-2483</t>
        </is>
      </c>
      <c r="D42" s="4" t="n">
        <v>6077.5</v>
      </c>
      <c r="E42" s="4" t="n">
        <v>6077.5</v>
      </c>
      <c r="F42" s="3" t="inlineStr">
        <is>
          <t>صحيح</t>
        </is>
      </c>
      <c r="G42" s="3" t="inlineStr">
        <is>
          <t>سجل العقود</t>
        </is>
      </c>
      <c r="H42" s="3" t="inlineStr"/>
    </row>
    <row r="43">
      <c r="A43" s="3" t="n">
        <v>42</v>
      </c>
      <c r="B43" s="12" t="n">
        <v>45945</v>
      </c>
      <c r="C43" s="3" t="inlineStr">
        <is>
          <t>WHT-2501</t>
        </is>
      </c>
      <c r="D43" s="4" t="n">
        <v>6087.5</v>
      </c>
      <c r="E43" s="4" t="n">
        <v>6087.5</v>
      </c>
      <c r="F43" s="3" t="inlineStr">
        <is>
          <t>صحيح</t>
        </is>
      </c>
      <c r="G43" s="3" t="inlineStr">
        <is>
          <t>سجل العقود</t>
        </is>
      </c>
      <c r="H43" s="3" t="inlineStr"/>
    </row>
    <row r="44">
      <c r="A44" s="3" t="n">
        <v>43</v>
      </c>
      <c r="B44" s="12" t="n">
        <v>45946</v>
      </c>
      <c r="C44" s="3" t="inlineStr">
        <is>
          <t>WHT-2511</t>
        </is>
      </c>
      <c r="D44" s="4" t="n">
        <v>3365</v>
      </c>
      <c r="E44" s="4" t="n">
        <v>3365</v>
      </c>
      <c r="F44" s="3" t="inlineStr">
        <is>
          <t>صحيح</t>
        </is>
      </c>
      <c r="G44" s="3" t="inlineStr">
        <is>
          <t>سجل العقود</t>
        </is>
      </c>
      <c r="H44" s="3" t="inlineStr"/>
    </row>
    <row r="45">
      <c r="A45" s="3" t="n">
        <v>44</v>
      </c>
      <c r="B45" s="12" t="n">
        <v>45949</v>
      </c>
      <c r="C45" s="3" t="inlineStr">
        <is>
          <t>WHT-2541</t>
        </is>
      </c>
      <c r="D45" s="4" t="n">
        <v>8378.75</v>
      </c>
      <c r="E45" s="4" t="n">
        <v>8378.75</v>
      </c>
      <c r="F45" s="3" t="inlineStr">
        <is>
          <t>صحيح</t>
        </is>
      </c>
      <c r="G45" s="3" t="inlineStr">
        <is>
          <t>سجل العقود</t>
        </is>
      </c>
      <c r="H45" s="3" t="inlineStr"/>
    </row>
    <row r="46">
      <c r="A46" s="3" t="n">
        <v>45</v>
      </c>
      <c r="B46" s="12" t="n">
        <v>45950</v>
      </c>
      <c r="C46" s="3" t="inlineStr">
        <is>
          <t>WHT-2549</t>
        </is>
      </c>
      <c r="D46" s="4" t="n">
        <v>6680</v>
      </c>
      <c r="E46" s="4" t="n">
        <v>6680</v>
      </c>
      <c r="F46" s="3" t="inlineStr">
        <is>
          <t>صحيح</t>
        </is>
      </c>
      <c r="G46" s="3" t="inlineStr">
        <is>
          <t>سجل العقود</t>
        </is>
      </c>
      <c r="H46" s="3" t="inlineStr"/>
    </row>
    <row r="47">
      <c r="A47" s="3" t="n">
        <v>46</v>
      </c>
      <c r="B47" s="12" t="n">
        <v>45951</v>
      </c>
      <c r="C47" s="3" t="inlineStr">
        <is>
          <t>WHT-2585</t>
        </is>
      </c>
      <c r="D47" s="4" t="n">
        <v>2355</v>
      </c>
      <c r="E47" s="4" t="n">
        <v>2355</v>
      </c>
      <c r="F47" s="3" t="inlineStr">
        <is>
          <t>صحيح</t>
        </is>
      </c>
      <c r="G47" s="3" t="inlineStr">
        <is>
          <t>سجل العقود</t>
        </is>
      </c>
      <c r="H47" s="3" t="inlineStr"/>
    </row>
    <row r="48">
      <c r="A48" s="3" t="n">
        <v>47</v>
      </c>
      <c r="B48" s="12" t="n">
        <v>45952</v>
      </c>
      <c r="C48" s="3" t="inlineStr">
        <is>
          <t>WHT-2596</t>
        </is>
      </c>
      <c r="D48" s="4" t="n">
        <v>4715</v>
      </c>
      <c r="E48" s="4" t="n">
        <v>4715</v>
      </c>
      <c r="F48" s="3" t="inlineStr">
        <is>
          <t>صحيح</t>
        </is>
      </c>
      <c r="G48" s="3" t="inlineStr">
        <is>
          <t>سجل العقود</t>
        </is>
      </c>
      <c r="H48" s="3" t="inlineStr"/>
    </row>
    <row r="49">
      <c r="A49" s="3" t="n">
        <v>48</v>
      </c>
      <c r="B49" s="12" t="n">
        <v>45953</v>
      </c>
      <c r="C49" s="3" t="inlineStr">
        <is>
          <t>WHT-2607</t>
        </is>
      </c>
      <c r="D49" s="4" t="n">
        <v>5998.75</v>
      </c>
      <c r="E49" s="4" t="n">
        <v>5998.75</v>
      </c>
      <c r="F49" s="3" t="inlineStr">
        <is>
          <t>صحيح</t>
        </is>
      </c>
      <c r="G49" s="3" t="inlineStr">
        <is>
          <t>سجل العقود</t>
        </is>
      </c>
      <c r="H49" s="3" t="inlineStr"/>
    </row>
    <row r="50">
      <c r="A50" s="3" t="n">
        <v>49</v>
      </c>
      <c r="B50" s="12" t="n">
        <v>45955</v>
      </c>
      <c r="C50" s="3" t="inlineStr">
        <is>
          <t>WHT-2628</t>
        </is>
      </c>
      <c r="D50" s="4" t="n">
        <v>4885</v>
      </c>
      <c r="E50" s="4" t="n">
        <v>4885</v>
      </c>
      <c r="F50" s="3" t="inlineStr">
        <is>
          <t>صحيح</t>
        </is>
      </c>
      <c r="G50" s="3" t="inlineStr">
        <is>
          <t>سجل العقود</t>
        </is>
      </c>
      <c r="H50" s="3" t="inlineStr"/>
    </row>
    <row r="51">
      <c r="A51" s="3" t="n">
        <v>50</v>
      </c>
      <c r="B51" s="12" t="n">
        <v>45956</v>
      </c>
      <c r="C51" s="3" t="inlineStr">
        <is>
          <t>WHT-2645</t>
        </is>
      </c>
      <c r="D51" s="4" t="n">
        <v>3245</v>
      </c>
      <c r="E51" s="4" t="n">
        <v>3245</v>
      </c>
      <c r="F51" s="3" t="inlineStr">
        <is>
          <t>صحيح</t>
        </is>
      </c>
      <c r="G51" s="3" t="inlineStr">
        <is>
          <t>فاتورة مبدئية 25، سجل العقود</t>
        </is>
      </c>
      <c r="H51" s="3" t="inlineStr"/>
    </row>
    <row r="52">
      <c r="A52" s="3" t="n">
        <v>51</v>
      </c>
      <c r="B52" s="12" t="n">
        <v>45957</v>
      </c>
      <c r="C52" s="3" t="inlineStr">
        <is>
          <t>WHT-2660</t>
        </is>
      </c>
      <c r="D52" s="4" t="n">
        <v>4420</v>
      </c>
      <c r="E52" s="4" t="n">
        <v>4420</v>
      </c>
      <c r="F52" s="3" t="inlineStr">
        <is>
          <t>صحيح</t>
        </is>
      </c>
      <c r="G52" s="3" t="inlineStr">
        <is>
          <t>فاتورة مبدئية 27، سجل العقود</t>
        </is>
      </c>
      <c r="H52" s="3" t="inlineStr"/>
    </row>
    <row r="53">
      <c r="A53" s="3" t="n">
        <v>52</v>
      </c>
      <c r="B53" s="12" t="n">
        <v>45958</v>
      </c>
      <c r="C53" s="3" t="inlineStr">
        <is>
          <t>WHT-2672</t>
        </is>
      </c>
      <c r="D53" s="4" t="n">
        <v>4645</v>
      </c>
      <c r="E53" s="4" t="n">
        <v>4645</v>
      </c>
      <c r="F53" s="3" t="inlineStr">
        <is>
          <t>صحيح</t>
        </is>
      </c>
      <c r="G53" s="3" t="inlineStr">
        <is>
          <t>فاتورة مبدئية 28، سجل العقود</t>
        </is>
      </c>
      <c r="H53" s="3" t="inlineStr"/>
    </row>
    <row r="54">
      <c r="A54" s="3" t="n">
        <v>53</v>
      </c>
      <c r="B54" s="12" t="n">
        <v>45959</v>
      </c>
      <c r="C54" s="3" t="inlineStr">
        <is>
          <t>WHT-2682</t>
        </is>
      </c>
      <c r="D54" s="4" t="n">
        <v>2990</v>
      </c>
      <c r="E54" s="4" t="n">
        <v>2990</v>
      </c>
      <c r="F54" s="3" t="inlineStr">
        <is>
          <t>صحيح</t>
        </is>
      </c>
      <c r="G54" s="3" t="inlineStr">
        <is>
          <t>فاتورة مبدئية 29، سجل العقود</t>
        </is>
      </c>
      <c r="H54" s="3" t="inlineStr"/>
    </row>
    <row r="55">
      <c r="A55" s="3" t="n">
        <v>54</v>
      </c>
      <c r="B55" s="12" t="n">
        <v>45960</v>
      </c>
      <c r="C55" s="3" t="inlineStr">
        <is>
          <t>WHT-2701</t>
        </is>
      </c>
      <c r="D55" s="4" t="n">
        <v>6225</v>
      </c>
      <c r="E55" s="4" t="n">
        <v>6225</v>
      </c>
      <c r="F55" s="3" t="inlineStr">
        <is>
          <t>صحيح</t>
        </is>
      </c>
      <c r="G55" s="3" t="inlineStr">
        <is>
          <t>فاتورة مبدئية 30، سجل العقود</t>
        </is>
      </c>
      <c r="H55" s="3" t="inlineStr"/>
    </row>
    <row r="56">
      <c r="A56" s="3" t="n">
        <v>55</v>
      </c>
      <c r="B56" s="12" t="n">
        <v>45962</v>
      </c>
      <c r="C56" s="3" t="inlineStr">
        <is>
          <t>WHT-2714</t>
        </is>
      </c>
      <c r="D56" s="4" t="n">
        <v>8192.5</v>
      </c>
      <c r="E56" s="4" t="n">
        <v>8192.5</v>
      </c>
      <c r="F56" s="3" t="inlineStr">
        <is>
          <t>صحيح</t>
        </is>
      </c>
      <c r="G56" s="3" t="inlineStr">
        <is>
          <t>فاتورة مبدئية 32، سجل العقود، كشف الحساب</t>
        </is>
      </c>
      <c r="H56" s="3" t="inlineStr"/>
    </row>
    <row r="57">
      <c r="A57" s="3" t="n">
        <v>56</v>
      </c>
      <c r="B57" s="12" t="n">
        <v>45963</v>
      </c>
      <c r="C57" s="3" t="inlineStr">
        <is>
          <t>WHT-2743</t>
        </is>
      </c>
      <c r="D57" s="4" t="n">
        <v>5930</v>
      </c>
      <c r="E57" s="4" t="n">
        <v>5930</v>
      </c>
      <c r="F57" s="3" t="inlineStr">
        <is>
          <t>صحيح</t>
        </is>
      </c>
      <c r="G57" s="3" t="inlineStr">
        <is>
          <t>فاتورة مبدئية 33، سجل العقود، كشف الحساب</t>
        </is>
      </c>
      <c r="H57" s="3" t="inlineStr"/>
    </row>
    <row r="58">
      <c r="A58" s="3" t="n">
        <v>57</v>
      </c>
      <c r="B58" s="12" t="n">
        <v>45964</v>
      </c>
      <c r="C58" s="3" t="inlineStr">
        <is>
          <t>WHT-2752</t>
        </is>
      </c>
      <c r="D58" s="4" t="n">
        <v>5327.5</v>
      </c>
      <c r="E58" s="4" t="n">
        <v>5327.5</v>
      </c>
      <c r="F58" s="3" t="inlineStr">
        <is>
          <t>صحيح</t>
        </is>
      </c>
      <c r="G58" s="3" t="inlineStr">
        <is>
          <t>فاتورة مبدئية 34، سجل العقود، كشف الحساب</t>
        </is>
      </c>
      <c r="H58" s="3" t="inlineStr"/>
    </row>
    <row r="59">
      <c r="A59" s="3" t="n">
        <v>58</v>
      </c>
      <c r="B59" s="12" t="n">
        <v>45966</v>
      </c>
      <c r="C59" s="3" t="inlineStr">
        <is>
          <t>WHT-2779</t>
        </is>
      </c>
      <c r="D59" s="4" t="n">
        <v>7530</v>
      </c>
      <c r="E59" s="4" t="n">
        <v>7530</v>
      </c>
      <c r="F59" s="3" t="inlineStr">
        <is>
          <t>صحيح</t>
        </is>
      </c>
      <c r="G59" s="3" t="inlineStr">
        <is>
          <t>فاتورة مبدئية 36، سجل العقود، كشف الحساب</t>
        </is>
      </c>
      <c r="H59" s="3" t="inlineStr"/>
    </row>
    <row r="60">
      <c r="A60" s="3" t="n">
        <v>59</v>
      </c>
      <c r="B60" s="12" t="n">
        <v>45967</v>
      </c>
      <c r="C60" s="3" t="inlineStr">
        <is>
          <t>WHT-2790</t>
        </is>
      </c>
      <c r="D60" s="4" t="n">
        <v>7570</v>
      </c>
      <c r="E60" s="4" t="n">
        <v>7570</v>
      </c>
      <c r="F60" s="3" t="inlineStr">
        <is>
          <t>صحيح</t>
        </is>
      </c>
      <c r="G60" s="3" t="inlineStr">
        <is>
          <t>فاتورة مبدئية 38، سجل العقود، كشف الحساب</t>
        </is>
      </c>
      <c r="H60" s="3" t="inlineStr"/>
    </row>
    <row r="61">
      <c r="A61" s="3" t="n">
        <v>60</v>
      </c>
      <c r="B61" s="12" t="n">
        <v>45969</v>
      </c>
      <c r="C61" s="3" t="inlineStr">
        <is>
          <t>WHT-2809</t>
        </is>
      </c>
      <c r="D61" s="4" t="n">
        <v>4826</v>
      </c>
      <c r="E61" s="4" t="n">
        <v>4826</v>
      </c>
      <c r="F61" s="3" t="inlineStr">
        <is>
          <t>صحيح</t>
        </is>
      </c>
      <c r="G61" s="3" t="inlineStr">
        <is>
          <t>فاتورة مبدئية 41، سجل العقود، كشف الحساب</t>
        </is>
      </c>
      <c r="H61" s="3" t="inlineStr"/>
    </row>
    <row r="62">
      <c r="A62" s="3" t="n">
        <v>61</v>
      </c>
      <c r="B62" s="12" t="n">
        <v>45970</v>
      </c>
      <c r="C62" s="3" t="inlineStr">
        <is>
          <t>WHT-2819</t>
        </is>
      </c>
      <c r="D62" s="4" t="n">
        <v>5310</v>
      </c>
      <c r="E62" s="4" t="n">
        <v>5310</v>
      </c>
      <c r="F62" s="3" t="inlineStr">
        <is>
          <t>صحيح</t>
        </is>
      </c>
      <c r="G62" s="3" t="inlineStr">
        <is>
          <t>فاتورة مبدئية 42، سجل العقود، كشف الحساب</t>
        </is>
      </c>
      <c r="H62" s="3" t="inlineStr"/>
    </row>
    <row r="63">
      <c r="A63" s="3" t="n">
        <v>62</v>
      </c>
      <c r="B63" s="12" t="n">
        <v>45971</v>
      </c>
      <c r="C63" s="3" t="inlineStr">
        <is>
          <t>WHT-2840</t>
        </is>
      </c>
      <c r="D63" s="4" t="n">
        <v>5745</v>
      </c>
      <c r="E63" s="4" t="n">
        <v>5745</v>
      </c>
      <c r="F63" s="3" t="inlineStr">
        <is>
          <t>صحيح</t>
        </is>
      </c>
      <c r="G63" s="3" t="inlineStr">
        <is>
          <t>فاتورة مبدئية 44، سجل العقود، كشف الحساب</t>
        </is>
      </c>
      <c r="H63" s="3" t="inlineStr"/>
    </row>
    <row r="64">
      <c r="A64" s="3" t="n">
        <v>63</v>
      </c>
      <c r="B64" s="12" t="n">
        <v>45973</v>
      </c>
      <c r="C64" s="3" t="inlineStr">
        <is>
          <t>WHT-2870</t>
        </is>
      </c>
      <c r="D64" s="4" t="n">
        <v>3112.5</v>
      </c>
      <c r="E64" s="4" t="n">
        <v>3112.5</v>
      </c>
      <c r="F64" s="3" t="inlineStr">
        <is>
          <t>صحيح</t>
        </is>
      </c>
      <c r="G64" s="3" t="inlineStr">
        <is>
          <t>فاتورة مبدئية 48، سجل العقود، كشف الحساب</t>
        </is>
      </c>
      <c r="H64" s="3" t="inlineStr"/>
    </row>
    <row r="65">
      <c r="A65" s="3" t="n">
        <v>64</v>
      </c>
      <c r="B65" s="12" t="n">
        <v>45974</v>
      </c>
      <c r="C65" s="3" t="inlineStr">
        <is>
          <t>WHT-2883</t>
        </is>
      </c>
      <c r="D65" s="4" t="n">
        <v>4600</v>
      </c>
      <c r="E65" s="4" t="n">
        <v>4600</v>
      </c>
      <c r="F65" s="3" t="inlineStr">
        <is>
          <t>صحيح</t>
        </is>
      </c>
      <c r="G65" s="3" t="inlineStr">
        <is>
          <t>فاتورة مبدئية 50، سجل العقود، كشف الحساب</t>
        </is>
      </c>
      <c r="H65" s="3" t="inlineStr"/>
    </row>
    <row r="66">
      <c r="A66" s="3" t="n">
        <v>65</v>
      </c>
      <c r="B66" s="12" t="n">
        <v>45977</v>
      </c>
      <c r="C66" s="3" t="inlineStr">
        <is>
          <t>WHT-2897</t>
        </is>
      </c>
      <c r="D66" s="4" t="n">
        <v>900</v>
      </c>
      <c r="E66" s="4" t="n">
        <v>900</v>
      </c>
      <c r="F66" s="3" t="inlineStr">
        <is>
          <t>صحيح</t>
        </is>
      </c>
      <c r="G66" s="3" t="inlineStr">
        <is>
          <t>فاتورة مبدئية 51، سجل العقود، كشف الحساب</t>
        </is>
      </c>
      <c r="H66" s="3" t="inlineStr"/>
    </row>
    <row r="67">
      <c r="A67" s="3" t="n">
        <v>66</v>
      </c>
      <c r="B67" s="12" t="n">
        <v>45978</v>
      </c>
      <c r="C67" s="3" t="inlineStr">
        <is>
          <t>WHT-2914</t>
        </is>
      </c>
      <c r="D67" s="4" t="n">
        <v>5520</v>
      </c>
      <c r="E67" s="4" t="n">
        <v>5520</v>
      </c>
      <c r="F67" s="3" t="inlineStr">
        <is>
          <t>صحيح</t>
        </is>
      </c>
      <c r="G67" s="3" t="inlineStr">
        <is>
          <t>فاتورة مبدئية 53، سجل العقود، كشف الحساب</t>
        </is>
      </c>
      <c r="H67" s="3" t="inlineStr"/>
    </row>
    <row r="68">
      <c r="A68" s="3" t="n">
        <v>67</v>
      </c>
      <c r="B68" s="12" t="n">
        <v>45979</v>
      </c>
      <c r="C68" s="3" t="inlineStr">
        <is>
          <t>WHT-2951</t>
        </is>
      </c>
      <c r="D68" s="4" t="n">
        <v>5955</v>
      </c>
      <c r="E68" s="4" t="n">
        <v>5955</v>
      </c>
      <c r="F68" s="3" t="inlineStr">
        <is>
          <t>صحيح</t>
        </is>
      </c>
      <c r="G68" s="3" t="inlineStr">
        <is>
          <t>فاتورة مبدئية 56، سجل العقود، كشف الحساب</t>
        </is>
      </c>
      <c r="H68" s="3" t="inlineStr"/>
    </row>
    <row r="69">
      <c r="A69" s="3" t="n">
        <v>68</v>
      </c>
      <c r="B69" s="12" t="n">
        <v>45980</v>
      </c>
      <c r="C69" s="3" t="inlineStr">
        <is>
          <t>WHT-2953</t>
        </is>
      </c>
      <c r="D69" s="4" t="n">
        <v>12742.5</v>
      </c>
      <c r="E69" s="4" t="n">
        <v>12742.5</v>
      </c>
      <c r="F69" s="3" t="inlineStr">
        <is>
          <t>صحيح</t>
        </is>
      </c>
      <c r="G69" s="3" t="inlineStr">
        <is>
          <t>فاتورة مبدئية 57/58، سجل العقود، كشف الحساب</t>
        </is>
      </c>
      <c r="H69" s="3" t="inlineStr"/>
    </row>
    <row r="70">
      <c r="A70" s="3" t="n">
        <v>69</v>
      </c>
      <c r="B70" s="12" t="n">
        <v>45981</v>
      </c>
      <c r="C70" s="3" t="inlineStr">
        <is>
          <t>WHT-2955</t>
        </is>
      </c>
      <c r="D70" s="4" t="n">
        <v>8847.5</v>
      </c>
      <c r="E70" s="4" t="n">
        <v>8847.5</v>
      </c>
      <c r="F70" s="3" t="inlineStr">
        <is>
          <t>صحيح</t>
        </is>
      </c>
      <c r="G70" s="3" t="inlineStr">
        <is>
          <t>فاتورة مبدئية 59، سجل العقود، كشف الحساب</t>
        </is>
      </c>
      <c r="H70" s="3" t="inlineStr"/>
    </row>
    <row r="71">
      <c r="A71" s="3" t="n">
        <v>70</v>
      </c>
      <c r="B71" s="12" t="n">
        <v>45983</v>
      </c>
      <c r="C71" s="3" t="inlineStr">
        <is>
          <t>WHT-2968</t>
        </is>
      </c>
      <c r="D71" s="4" t="n">
        <v>10135</v>
      </c>
      <c r="E71" s="4" t="n">
        <v>10135</v>
      </c>
      <c r="F71" s="3" t="inlineStr">
        <is>
          <t>صحيح</t>
        </is>
      </c>
      <c r="G71" s="3" t="inlineStr">
        <is>
          <t>فاتورة مبدئية 60، سجل العقود، كشف الحساب</t>
        </is>
      </c>
      <c r="H71" s="3" t="inlineStr"/>
    </row>
    <row r="72">
      <c r="A72" s="3" t="n">
        <v>71</v>
      </c>
      <c r="B72" s="12" t="n">
        <v>45984</v>
      </c>
      <c r="C72" s="3" t="inlineStr">
        <is>
          <t>WHT-2980</t>
        </is>
      </c>
      <c r="D72" s="4" t="n">
        <v>8455</v>
      </c>
      <c r="E72" s="4" t="n">
        <v>8455</v>
      </c>
      <c r="F72" s="3" t="inlineStr">
        <is>
          <t>صحيح</t>
        </is>
      </c>
      <c r="G72" s="3" t="inlineStr">
        <is>
          <t>فاتورة مبدئية 63، سجل العقود، كشف الحساب</t>
        </is>
      </c>
      <c r="H72" s="3" t="inlineStr"/>
    </row>
    <row r="73">
      <c r="A73" s="3" t="n">
        <v>72</v>
      </c>
      <c r="B73" s="12" t="n">
        <v>45985</v>
      </c>
      <c r="C73" s="3" t="inlineStr">
        <is>
          <t>WHT-2997</t>
        </is>
      </c>
      <c r="D73" s="4" t="n">
        <v>6210</v>
      </c>
      <c r="E73" s="4" t="n">
        <v>6210</v>
      </c>
      <c r="F73" s="3" t="inlineStr">
        <is>
          <t>صحيح</t>
        </is>
      </c>
      <c r="G73" s="3" t="inlineStr">
        <is>
          <t>فاتورة مبدئية 65، سجل العقود، كشف الحساب</t>
        </is>
      </c>
      <c r="H73" s="3" t="inlineStr"/>
    </row>
    <row r="74">
      <c r="A74" s="3" t="n">
        <v>73</v>
      </c>
      <c r="B74" s="12" t="n">
        <v>45986</v>
      </c>
      <c r="C74" s="3" t="inlineStr">
        <is>
          <t>WHT-3009</t>
        </is>
      </c>
      <c r="D74" s="4" t="n">
        <v>4080</v>
      </c>
      <c r="E74" s="4" t="n">
        <v>4080</v>
      </c>
      <c r="F74" s="3" t="inlineStr">
        <is>
          <t>صحيح</t>
        </is>
      </c>
      <c r="G74" s="3" t="inlineStr">
        <is>
          <t>فاتورة مبدئية 66، سجل العقود، كشف الحساب</t>
        </is>
      </c>
      <c r="H74" s="3" t="inlineStr"/>
    </row>
    <row r="75">
      <c r="A75" s="3" t="n">
        <v>74</v>
      </c>
      <c r="B75" s="12" t="n">
        <v>45988</v>
      </c>
      <c r="C75" s="3" t="inlineStr">
        <is>
          <t>WHT-3039</t>
        </is>
      </c>
      <c r="D75" s="4" t="n">
        <v>5737.5</v>
      </c>
      <c r="E75" s="4" t="n">
        <v>5737.5</v>
      </c>
      <c r="F75" s="3" t="inlineStr">
        <is>
          <t>صحيح</t>
        </is>
      </c>
      <c r="G75" s="3" t="inlineStr">
        <is>
          <t>فاتورة مبدئية 69، سجل العقود، كشف الحساب</t>
        </is>
      </c>
      <c r="H75" s="3" t="inlineStr"/>
    </row>
    <row r="76">
      <c r="A76" s="3" t="n">
        <v>75</v>
      </c>
      <c r="B76" s="12" t="n">
        <v>45990</v>
      </c>
      <c r="C76" s="3" t="inlineStr">
        <is>
          <t>WHT-3053</t>
        </is>
      </c>
      <c r="D76" s="4" t="n">
        <v>8065</v>
      </c>
      <c r="E76" s="4" t="n">
        <v>8065</v>
      </c>
      <c r="F76" s="3" t="inlineStr">
        <is>
          <t>صحيح</t>
        </is>
      </c>
      <c r="G76" s="3" t="inlineStr">
        <is>
          <t>فاتورة مبدئية 71، سجل العقود، كشف الحساب</t>
        </is>
      </c>
      <c r="H76" s="3" t="inlineStr"/>
    </row>
    <row r="77">
      <c r="A77" s="3" t="n">
        <v>76</v>
      </c>
      <c r="B77" s="12" t="n">
        <v>45991</v>
      </c>
      <c r="C77" s="3" t="inlineStr">
        <is>
          <t>WHT-3074</t>
        </is>
      </c>
      <c r="D77" s="4" t="n">
        <v>5075</v>
      </c>
      <c r="E77" s="4" t="n">
        <v>5075</v>
      </c>
      <c r="F77" s="3" t="inlineStr">
        <is>
          <t>صحيح</t>
        </is>
      </c>
      <c r="G77" s="3" t="inlineStr">
        <is>
          <t>فاتورة مبدئية 72، سجل العقود، كشف الحساب</t>
        </is>
      </c>
      <c r="H77" s="3" t="inlineStr"/>
    </row>
    <row r="78">
      <c r="A78" s="3" t="n">
        <v>77</v>
      </c>
      <c r="B78" s="12" t="n">
        <v>45992</v>
      </c>
      <c r="C78" s="3" t="inlineStr">
        <is>
          <t>WHT-3090</t>
        </is>
      </c>
      <c r="D78" s="4" t="n">
        <v>6787.5</v>
      </c>
      <c r="E78" s="4" t="n">
        <v>6787.5</v>
      </c>
      <c r="F78" s="3" t="inlineStr">
        <is>
          <t>صحيح</t>
        </is>
      </c>
      <c r="G78" s="3" t="inlineStr">
        <is>
          <t>فاتورة مبدئية 74، سجل العقود، كشف الحساب</t>
        </is>
      </c>
      <c r="H78" s="3" t="inlineStr"/>
    </row>
    <row r="79">
      <c r="A79" s="3" t="n">
        <v>78</v>
      </c>
      <c r="B79" s="12" t="n">
        <v>45993</v>
      </c>
      <c r="C79" s="3" t="inlineStr">
        <is>
          <t>WHT-3102</t>
        </is>
      </c>
      <c r="D79" s="4" t="n">
        <v>2772.5</v>
      </c>
      <c r="E79" s="4" t="n">
        <v>2772.5</v>
      </c>
      <c r="F79" s="3" t="inlineStr">
        <is>
          <t>صحيح</t>
        </is>
      </c>
      <c r="G79" s="3" t="inlineStr">
        <is>
          <t>فاتورة مبدئية 75، سجل العقود، كشف الحساب</t>
        </is>
      </c>
      <c r="H79" s="3" t="inlineStr"/>
    </row>
    <row r="80">
      <c r="A80" s="3" t="n">
        <v>79</v>
      </c>
      <c r="B80" s="12" t="n">
        <v>45994</v>
      </c>
      <c r="C80" s="3" t="inlineStr">
        <is>
          <t>WHT-3117</t>
        </is>
      </c>
      <c r="D80" s="4" t="n">
        <v>4505</v>
      </c>
      <c r="E80" s="4" t="n">
        <v>4505</v>
      </c>
      <c r="F80" s="3" t="inlineStr">
        <is>
          <t>صحيح</t>
        </is>
      </c>
      <c r="G80" s="3" t="inlineStr">
        <is>
          <t>فاتورة مبدئية 76، سجل العقود، كشف الحساب</t>
        </is>
      </c>
      <c r="H80" s="3" t="inlineStr"/>
    </row>
    <row r="81">
      <c r="A81" s="3" t="n">
        <v>80</v>
      </c>
      <c r="B81" s="12" t="n">
        <v>45995</v>
      </c>
      <c r="C81" s="3" t="inlineStr">
        <is>
          <t>WHT-3133</t>
        </is>
      </c>
      <c r="D81" s="4" t="n">
        <v>2880</v>
      </c>
      <c r="E81" s="4" t="n">
        <v>2880</v>
      </c>
      <c r="F81" s="3" t="inlineStr">
        <is>
          <t>صحيح</t>
        </is>
      </c>
      <c r="G81" s="3" t="inlineStr">
        <is>
          <t>فاتورة مبدئية 77، سجل العقود، كشف الحساب</t>
        </is>
      </c>
      <c r="H81" s="3" t="inlineStr"/>
    </row>
    <row r="82">
      <c r="A82" s="3" t="n">
        <v>81</v>
      </c>
      <c r="B82" s="12" t="n">
        <v>45997</v>
      </c>
      <c r="C82" s="3" t="inlineStr">
        <is>
          <t>WHT-3150</t>
        </is>
      </c>
      <c r="D82" s="4" t="n">
        <v>7617.5</v>
      </c>
      <c r="E82" s="4" t="n">
        <v>7617.5</v>
      </c>
      <c r="F82" s="3" t="inlineStr">
        <is>
          <t>صحيح</t>
        </is>
      </c>
      <c r="G82" s="3" t="inlineStr">
        <is>
          <t>فاتورة مبدئية 79، سجل العقود، كشف الحساب</t>
        </is>
      </c>
      <c r="H82" s="3" t="inlineStr"/>
    </row>
    <row r="83">
      <c r="A83" s="3" t="n">
        <v>82</v>
      </c>
      <c r="B83" s="12" t="n">
        <v>45998</v>
      </c>
      <c r="C83" s="3" t="inlineStr">
        <is>
          <t>WHT-3162</t>
        </is>
      </c>
      <c r="D83" s="4" t="n">
        <v>2637.5</v>
      </c>
      <c r="E83" s="4" t="n">
        <v>2637.5</v>
      </c>
      <c r="F83" s="3" t="inlineStr">
        <is>
          <t>صحيح</t>
        </is>
      </c>
      <c r="G83" s="3" t="inlineStr">
        <is>
          <t>فاتورة مبدئية 80، سجل العقود، كشف الحساب</t>
        </is>
      </c>
      <c r="H83" s="3" t="inlineStr"/>
    </row>
    <row r="84">
      <c r="A84" s="3" t="n">
        <v>83</v>
      </c>
      <c r="B84" s="12" t="n">
        <v>45999</v>
      </c>
      <c r="C84" s="3" t="inlineStr">
        <is>
          <t>WHT-3173</t>
        </is>
      </c>
      <c r="D84" s="4" t="n">
        <v>2940</v>
      </c>
      <c r="E84" s="4" t="n">
        <v>2940</v>
      </c>
      <c r="F84" s="3" t="inlineStr">
        <is>
          <t>صحيح</t>
        </is>
      </c>
      <c r="G84" s="3" t="inlineStr">
        <is>
          <t>فاتورة مبدئية 81، سجل العقود، كشف الحساب</t>
        </is>
      </c>
      <c r="H84" s="3" t="inlineStr"/>
    </row>
    <row r="85">
      <c r="A85" s="3" t="n">
        <v>84</v>
      </c>
      <c r="B85" s="12" t="n">
        <v>46000</v>
      </c>
      <c r="C85" s="3" t="inlineStr">
        <is>
          <t>WHT-3197</t>
        </is>
      </c>
      <c r="D85" s="4" t="n">
        <v>2546.25</v>
      </c>
      <c r="E85" s="4" t="n">
        <v>2546.25</v>
      </c>
      <c r="F85" s="3" t="inlineStr">
        <is>
          <t>صحيح</t>
        </is>
      </c>
      <c r="G85" s="3" t="inlineStr">
        <is>
          <t>فاتورة مبدئية 82، سجل العقود، كشف الحساب</t>
        </is>
      </c>
      <c r="H85" s="3" t="inlineStr"/>
    </row>
    <row r="86">
      <c r="A86" s="3" t="n">
        <v>85</v>
      </c>
      <c r="B86" s="12" t="n">
        <v>46001</v>
      </c>
      <c r="C86" s="3" t="inlineStr">
        <is>
          <t>WHT-3208</t>
        </is>
      </c>
      <c r="D86" s="4" t="n">
        <v>2253.75</v>
      </c>
      <c r="E86" s="4" t="n">
        <v>2253.75</v>
      </c>
      <c r="F86" s="3" t="inlineStr">
        <is>
          <t>صحيح</t>
        </is>
      </c>
      <c r="G86" s="3" t="inlineStr">
        <is>
          <t>فاتورة مبدئية 83، سجل العقود، كشف الحساب</t>
        </is>
      </c>
      <c r="H86" s="3" t="inlineStr"/>
    </row>
    <row r="87">
      <c r="A87" s="3" t="n">
        <v>86</v>
      </c>
      <c r="B87" s="12" t="n">
        <v>46002</v>
      </c>
      <c r="C87" s="3" t="inlineStr">
        <is>
          <t>WHT-3215</t>
        </is>
      </c>
      <c r="D87" s="4" t="n">
        <v>3075</v>
      </c>
      <c r="E87" s="4" t="n">
        <v>3075</v>
      </c>
      <c r="F87" s="3" t="inlineStr">
        <is>
          <t>صحيح</t>
        </is>
      </c>
      <c r="G87" s="3" t="inlineStr">
        <is>
          <t>فاتورة مبدئية 86، سجل العقود، كشف الحساب</t>
        </is>
      </c>
      <c r="H87" s="3" t="inlineStr"/>
    </row>
    <row r="88">
      <c r="A88" s="3" t="n">
        <v>87</v>
      </c>
      <c r="B88" s="12" t="n">
        <v>46004</v>
      </c>
      <c r="C88" s="3" t="inlineStr">
        <is>
          <t>WHT-3228</t>
        </is>
      </c>
      <c r="D88" s="4" t="n">
        <v>1728.75</v>
      </c>
      <c r="E88" s="4" t="n">
        <v>1728.75</v>
      </c>
      <c r="F88" s="3" t="inlineStr">
        <is>
          <t>صحيح</t>
        </is>
      </c>
      <c r="G88" s="3" t="inlineStr">
        <is>
          <t>فاتورة مبدئية 87، سجل العقود، كشف الحساب</t>
        </is>
      </c>
      <c r="H88" s="3" t="inlineStr"/>
    </row>
    <row r="89">
      <c r="A89" s="3" t="n">
        <v>88</v>
      </c>
      <c r="B89" s="12" t="n">
        <v>46005</v>
      </c>
      <c r="C89" s="3" t="inlineStr">
        <is>
          <t>WHT-3241</t>
        </is>
      </c>
      <c r="D89" s="4" t="n">
        <v>1057.5</v>
      </c>
      <c r="E89" s="4" t="n">
        <v>1057.5</v>
      </c>
      <c r="F89" s="3" t="inlineStr">
        <is>
          <t>صحيح</t>
        </is>
      </c>
      <c r="G89" s="3" t="inlineStr">
        <is>
          <t>فاتورة مبدئية 88، سجل العقود، كشف الحساب</t>
        </is>
      </c>
      <c r="H89" s="3" t="inlineStr"/>
    </row>
    <row r="90">
      <c r="A90" s="3" t="n">
        <v>89</v>
      </c>
      <c r="B90" s="12" t="n">
        <v>46006</v>
      </c>
      <c r="C90" s="3" t="inlineStr">
        <is>
          <t>WHT-3253</t>
        </is>
      </c>
      <c r="D90" s="4" t="n">
        <v>5730</v>
      </c>
      <c r="E90" s="4" t="n">
        <v>5730</v>
      </c>
      <c r="F90" s="3" t="inlineStr">
        <is>
          <t>صحيح</t>
        </is>
      </c>
      <c r="G90" s="3" t="inlineStr">
        <is>
          <t>فاتورة مبدئية 91، سجل العقود، كشف الحساب</t>
        </is>
      </c>
      <c r="H90" s="3" t="inlineStr"/>
    </row>
    <row r="91">
      <c r="A91" s="3" t="n">
        <v>90</v>
      </c>
      <c r="B91" s="12" t="n">
        <v>46007</v>
      </c>
      <c r="C91" s="3" t="inlineStr">
        <is>
          <t>WHT-3266</t>
        </is>
      </c>
      <c r="D91" s="4" t="n">
        <v>7080</v>
      </c>
      <c r="E91" s="4" t="n">
        <v>7080</v>
      </c>
      <c r="F91" s="3" t="inlineStr">
        <is>
          <t>صحيح</t>
        </is>
      </c>
      <c r="G91" s="3" t="inlineStr">
        <is>
          <t>فاتورة مبدئية 92، سجل العقود، كشف الحساب</t>
        </is>
      </c>
      <c r="H91" s="3" t="inlineStr"/>
    </row>
    <row r="92">
      <c r="A92" s="3" t="n">
        <v>91</v>
      </c>
      <c r="B92" s="12" t="n">
        <v>46008</v>
      </c>
      <c r="C92" s="3" t="inlineStr">
        <is>
          <t>WHT-3270</t>
        </is>
      </c>
      <c r="D92" s="4" t="n">
        <v>1785</v>
      </c>
      <c r="E92" s="4" t="n">
        <v>1785</v>
      </c>
      <c r="F92" s="3" t="inlineStr">
        <is>
          <t>صحيح</t>
        </is>
      </c>
      <c r="G92" s="3" t="inlineStr">
        <is>
          <t>فاتورة مبدئية 93، سجل العقود، كشف الحساب</t>
        </is>
      </c>
      <c r="H92" s="3" t="inlineStr"/>
    </row>
    <row r="93">
      <c r="A93" s="3" t="n">
        <v>92</v>
      </c>
      <c r="B93" s="12" t="n">
        <v>46011</v>
      </c>
      <c r="C93" s="3" t="inlineStr">
        <is>
          <t>WHT-3294</t>
        </is>
      </c>
      <c r="D93" s="4" t="n">
        <v>885</v>
      </c>
      <c r="E93" s="4" t="n">
        <v>885</v>
      </c>
      <c r="F93" s="3" t="inlineStr">
        <is>
          <t>صحيح</t>
        </is>
      </c>
      <c r="G93" s="3" t="inlineStr">
        <is>
          <t>فاتورة مبدئية 95، سجل العقود، كشف الحساب</t>
        </is>
      </c>
      <c r="H93" s="3" t="inlineStr"/>
    </row>
    <row r="94">
      <c r="A94" s="3" t="n">
        <v>93</v>
      </c>
      <c r="B94" s="12" t="n">
        <v>46012</v>
      </c>
      <c r="C94" s="3" t="inlineStr">
        <is>
          <t>WHT-3303</t>
        </is>
      </c>
      <c r="D94" s="4" t="n">
        <v>970</v>
      </c>
      <c r="E94" s="4" t="n">
        <v>970</v>
      </c>
      <c r="F94" s="3" t="inlineStr">
        <is>
          <t>صحيح</t>
        </is>
      </c>
      <c r="G94" s="3" t="inlineStr">
        <is>
          <t>فاتورة مبدئية 96، سجل العقود، كشف الحساب</t>
        </is>
      </c>
      <c r="H94" s="3" t="inlineStr"/>
    </row>
    <row r="95">
      <c r="A95" s="3" t="n">
        <v>94</v>
      </c>
      <c r="B95" s="12" t="n">
        <v>46013</v>
      </c>
      <c r="C95" s="3" t="inlineStr">
        <is>
          <t>WHT-3316</t>
        </is>
      </c>
      <c r="D95" s="4" t="n">
        <v>615</v>
      </c>
      <c r="E95" s="4" t="n">
        <v>615</v>
      </c>
      <c r="F95" s="3" t="inlineStr">
        <is>
          <t>صحيح</t>
        </is>
      </c>
      <c r="G95" s="3" t="inlineStr">
        <is>
          <t>فاتورة مبدئية 97، سجل العقود، كشف الحساب</t>
        </is>
      </c>
      <c r="H95" s="3" t="inlineStr"/>
    </row>
    <row r="96">
      <c r="A96" s="3" t="n">
        <v>95</v>
      </c>
      <c r="B96" s="12" t="n">
        <v>46014</v>
      </c>
      <c r="C96" s="3" t="inlineStr">
        <is>
          <t>WHT-3329</t>
        </is>
      </c>
      <c r="D96" s="4" t="n">
        <v>1380</v>
      </c>
      <c r="E96" s="4" t="n">
        <v>1380</v>
      </c>
      <c r="F96" s="3" t="inlineStr">
        <is>
          <t>صحيح</t>
        </is>
      </c>
      <c r="G96" s="3" t="inlineStr">
        <is>
          <t>فاتورة مبدئية 98، سجل العقود، كشف الحساب</t>
        </is>
      </c>
      <c r="H96" s="3" t="inlineStr"/>
    </row>
    <row r="97">
      <c r="A97" s="3" t="n">
        <v>96</v>
      </c>
      <c r="B97" s="12" t="n">
        <v>46015</v>
      </c>
      <c r="C97" s="3" t="inlineStr">
        <is>
          <t>WHT-3343</t>
        </is>
      </c>
      <c r="D97" s="4" t="n">
        <v>870</v>
      </c>
      <c r="E97" s="4" t="n">
        <v>870</v>
      </c>
      <c r="F97" s="3" t="inlineStr">
        <is>
          <t>صحيح</t>
        </is>
      </c>
      <c r="G97" s="3" t="inlineStr">
        <is>
          <t>سجل العقود، كشف الحساب</t>
        </is>
      </c>
      <c r="H97" s="3" t="inlineStr"/>
    </row>
    <row r="98">
      <c r="A98" s="3" t="n">
        <v>97</v>
      </c>
      <c r="B98" s="12" t="n">
        <v>46016</v>
      </c>
      <c r="C98" s="3" t="inlineStr">
        <is>
          <t>WHT-3349</t>
        </is>
      </c>
      <c r="D98" s="4" t="n">
        <v>1541.25</v>
      </c>
      <c r="E98" s="4" t="n">
        <v>1541.25</v>
      </c>
      <c r="F98" s="3" t="inlineStr">
        <is>
          <t>صحيح</t>
        </is>
      </c>
      <c r="G98" s="3" t="inlineStr">
        <is>
          <t>سجل العقود، كشف الحساب</t>
        </is>
      </c>
      <c r="H98" s="3" t="inlineStr"/>
    </row>
    <row r="99">
      <c r="A99" s="3" t="n">
        <v>98</v>
      </c>
      <c r="B99" s="12" t="n">
        <v>46018</v>
      </c>
      <c r="C99" s="3" t="inlineStr">
        <is>
          <t>WHT-3355</t>
        </is>
      </c>
      <c r="D99" s="4" t="n">
        <v>4845</v>
      </c>
      <c r="E99" s="4" t="n">
        <v>4845</v>
      </c>
      <c r="F99" s="3" t="inlineStr">
        <is>
          <t>صحيح</t>
        </is>
      </c>
      <c r="G99" s="3" t="inlineStr">
        <is>
          <t>فاتورة مبدئية 99، سجل العقود، كشف الحساب</t>
        </is>
      </c>
      <c r="H99" s="3" t="inlineStr"/>
    </row>
    <row r="100">
      <c r="A100" s="3" t="n">
        <v>99</v>
      </c>
      <c r="B100" s="12" t="n">
        <v>46019</v>
      </c>
      <c r="C100" s="3" t="inlineStr">
        <is>
          <t>WHT-3368</t>
        </is>
      </c>
      <c r="D100" s="4" t="n">
        <v>1245</v>
      </c>
      <c r="E100" s="4" t="n">
        <v>1245</v>
      </c>
      <c r="F100" s="3" t="inlineStr">
        <is>
          <t>صحيح</t>
        </is>
      </c>
      <c r="G100" s="3" t="inlineStr">
        <is>
          <t>فاتورة مبدئية 101، كشف الحساب</t>
        </is>
      </c>
      <c r="H100" s="3" t="inlineStr"/>
    </row>
    <row r="101">
      <c r="A101" s="3" t="n">
        <v>100</v>
      </c>
      <c r="B101" s="12" t="n">
        <v>46020</v>
      </c>
      <c r="C101" s="3" t="inlineStr">
        <is>
          <t>WHT-3379</t>
        </is>
      </c>
      <c r="D101" s="4" t="n">
        <v>1132.5</v>
      </c>
      <c r="E101" s="4" t="n">
        <v>1132.5</v>
      </c>
      <c r="F101" s="3" t="inlineStr">
        <is>
          <t>صحيح</t>
        </is>
      </c>
      <c r="G101" s="3" t="inlineStr">
        <is>
          <t>فاتورة مبدئية 102، كشف الحساب</t>
        </is>
      </c>
      <c r="H101" s="3" t="inlineStr"/>
    </row>
    <row r="102">
      <c r="A102" s="3" t="n">
        <v>101</v>
      </c>
      <c r="B102" s="12" t="n">
        <v>46021</v>
      </c>
      <c r="C102" s="3" t="inlineStr">
        <is>
          <t>WHT-3404</t>
        </is>
      </c>
      <c r="D102" s="4" t="n">
        <v>2630</v>
      </c>
      <c r="E102" s="4" t="n">
        <v>2630</v>
      </c>
      <c r="F102" s="3" t="inlineStr">
        <is>
          <t>صحيح</t>
        </is>
      </c>
      <c r="G102" s="3" t="inlineStr">
        <is>
          <t>فاتورة مبدئية 105، كشف الحساب</t>
        </is>
      </c>
      <c r="H102" s="3" t="inlineStr"/>
    </row>
    <row r="103">
      <c r="A103" s="3" t="n">
        <v>102</v>
      </c>
      <c r="B103" s="12" t="n">
        <v>46023</v>
      </c>
      <c r="C103" s="3" t="inlineStr">
        <is>
          <t>WHT-3426</t>
        </is>
      </c>
      <c r="D103" s="4" t="n">
        <v>790</v>
      </c>
      <c r="E103" s="4" t="n">
        <v>790</v>
      </c>
      <c r="F103" s="3" t="inlineStr">
        <is>
          <t>صحيح</t>
        </is>
      </c>
      <c r="G103" s="3" t="inlineStr">
        <is>
          <t>فاتورة مبدئية 107، سجل العقود، كشف الحساب</t>
        </is>
      </c>
      <c r="H103" s="3" t="inlineStr"/>
    </row>
    <row r="104">
      <c r="A104" s="3" t="n">
        <v>103</v>
      </c>
      <c r="B104" s="12" t="n">
        <v>46025</v>
      </c>
      <c r="C104" s="3" t="inlineStr">
        <is>
          <t>WHT-3431</t>
        </is>
      </c>
      <c r="D104" s="4" t="n">
        <v>1412.5</v>
      </c>
      <c r="E104" s="4" t="n">
        <v>1412.5</v>
      </c>
      <c r="F104" s="3" t="inlineStr">
        <is>
          <t>صحيح</t>
        </is>
      </c>
      <c r="G104" s="3" t="inlineStr">
        <is>
          <t>فاتورة مبدئية 108، سجل العقود، كشف الحساب</t>
        </is>
      </c>
      <c r="H104" s="3" t="inlineStr"/>
    </row>
    <row r="105">
      <c r="A105" s="3" t="n">
        <v>104</v>
      </c>
      <c r="B105" s="12" t="n">
        <v>46026</v>
      </c>
      <c r="C105" s="3" t="inlineStr">
        <is>
          <t>WHT-3448</t>
        </is>
      </c>
      <c r="D105" s="4" t="n">
        <v>42695</v>
      </c>
      <c r="E105" s="4" t="n">
        <v>42695</v>
      </c>
      <c r="F105" s="3" t="inlineStr">
        <is>
          <t>صحيح</t>
        </is>
      </c>
      <c r="G105" s="3" t="inlineStr">
        <is>
          <t>فاتورة مبدئية 109، سجل العقود، كشف الحساب</t>
        </is>
      </c>
      <c r="H105" s="3" t="inlineStr"/>
    </row>
    <row r="106">
      <c r="A106" s="3" t="n">
        <v>105</v>
      </c>
      <c r="B106" s="12" t="n">
        <v>46027</v>
      </c>
      <c r="C106" s="3" t="inlineStr">
        <is>
          <t>WHT-3464</t>
        </is>
      </c>
      <c r="D106" s="4" t="n">
        <v>1972.5</v>
      </c>
      <c r="E106" s="4" t="n">
        <v>1972.5</v>
      </c>
      <c r="F106" s="3" t="inlineStr">
        <is>
          <t>صحيح</t>
        </is>
      </c>
      <c r="G106" s="3" t="inlineStr">
        <is>
          <t>فاتورة مبدئية 110، سجل العقود، كشف الحساب</t>
        </is>
      </c>
      <c r="H106" s="3" t="inlineStr"/>
    </row>
    <row r="107">
      <c r="A107" s="3" t="n">
        <v>106</v>
      </c>
      <c r="B107" s="12" t="n">
        <v>46028</v>
      </c>
      <c r="C107" s="3" t="inlineStr">
        <is>
          <t>WHT-3488</t>
        </is>
      </c>
      <c r="D107" s="4" t="n">
        <v>3500</v>
      </c>
      <c r="E107" s="4" t="n">
        <v>3500</v>
      </c>
      <c r="F107" s="3" t="inlineStr">
        <is>
          <t>صحيح</t>
        </is>
      </c>
      <c r="G107" s="3" t="inlineStr">
        <is>
          <t>فاتورة مبدئية 112، سجل العقود، كشف الحساب</t>
        </is>
      </c>
      <c r="H107" s="3" t="inlineStr"/>
    </row>
    <row r="108">
      <c r="A108" s="3" t="n">
        <v>107</v>
      </c>
      <c r="B108" s="12" t="n">
        <v>46029</v>
      </c>
      <c r="C108" s="3" t="inlineStr">
        <is>
          <t>WHT-3496</t>
        </is>
      </c>
      <c r="D108" s="4" t="n">
        <v>1095</v>
      </c>
      <c r="E108" s="4" t="n">
        <v>1095</v>
      </c>
      <c r="F108" s="3" t="inlineStr">
        <is>
          <t>صحيح</t>
        </is>
      </c>
      <c r="G108" s="3" t="inlineStr">
        <is>
          <t>فاتورة مبدئية 113، سجل العقود، كشف الحساب</t>
        </is>
      </c>
      <c r="H108" s="3" t="inlineStr"/>
    </row>
    <row r="109">
      <c r="A109" s="3" t="n">
        <v>108</v>
      </c>
      <c r="B109" s="12" t="n">
        <v>46030</v>
      </c>
      <c r="C109" s="3" t="inlineStr">
        <is>
          <t>WHT-3503</t>
        </is>
      </c>
      <c r="D109" s="4" t="n">
        <v>2020</v>
      </c>
      <c r="E109" s="4" t="n">
        <v>2020</v>
      </c>
      <c r="F109" s="3" t="inlineStr">
        <is>
          <t>صحيح</t>
        </is>
      </c>
      <c r="G109" s="3" t="inlineStr">
        <is>
          <t>فاتورة مبدئية 114، سجل العقود، كشف الحساب</t>
        </is>
      </c>
      <c r="H109" s="3" t="inlineStr"/>
    </row>
    <row r="110">
      <c r="A110" s="3" t="n">
        <v>109</v>
      </c>
      <c r="B110" s="12" t="n">
        <v>46032</v>
      </c>
      <c r="C110" s="3" t="inlineStr">
        <is>
          <t>WHT-3518</t>
        </is>
      </c>
      <c r="D110" s="4" t="n">
        <v>2175</v>
      </c>
      <c r="E110" s="4" t="n">
        <v>2175</v>
      </c>
      <c r="F110" s="3" t="inlineStr">
        <is>
          <t>صحيح</t>
        </is>
      </c>
      <c r="G110" s="3" t="inlineStr">
        <is>
          <t>فاتورة مبدئية 115، سجل العقود، كشف الحساب</t>
        </is>
      </c>
      <c r="H110" s="3" t="inlineStr"/>
    </row>
    <row r="111">
      <c r="A111" s="3" t="n">
        <v>110</v>
      </c>
      <c r="B111" s="12" t="n">
        <v>46034</v>
      </c>
      <c r="C111" s="3" t="inlineStr">
        <is>
          <t>WHT-3543</t>
        </is>
      </c>
      <c r="D111" s="4" t="n">
        <v>5655</v>
      </c>
      <c r="E111" s="4" t="n">
        <v>5655</v>
      </c>
      <c r="F111" s="3" t="inlineStr">
        <is>
          <t>صحيح</t>
        </is>
      </c>
      <c r="G111" s="3" t="inlineStr">
        <is>
          <t>فاتورة مبدئية 116، سجل العقود، كشف الحساب</t>
        </is>
      </c>
      <c r="H111" s="3" t="inlineStr"/>
    </row>
    <row r="112">
      <c r="A112" s="3" t="n">
        <v>111</v>
      </c>
      <c r="B112" s="12" t="n">
        <v>46035</v>
      </c>
      <c r="C112" s="3" t="inlineStr">
        <is>
          <t>WHT-3549</t>
        </is>
      </c>
      <c r="D112" s="4" t="n">
        <v>2130</v>
      </c>
      <c r="E112" s="4" t="n">
        <v>2130</v>
      </c>
      <c r="F112" s="3" t="inlineStr">
        <is>
          <t>صحيح</t>
        </is>
      </c>
      <c r="G112" s="3" t="inlineStr">
        <is>
          <t>فاتورة مبدئية 117، سجل العقود، كشف الحساب</t>
        </is>
      </c>
      <c r="H112" s="3" t="inlineStr"/>
    </row>
    <row r="113">
      <c r="A113" s="3" t="n">
        <v>112</v>
      </c>
      <c r="B113" s="12" t="n">
        <v>46036</v>
      </c>
      <c r="C113" s="3" t="inlineStr">
        <is>
          <t>WHT-3560</t>
        </is>
      </c>
      <c r="D113" s="4" t="n">
        <v>2250</v>
      </c>
      <c r="E113" s="4" t="n">
        <v>2250</v>
      </c>
      <c r="F113" s="3" t="inlineStr">
        <is>
          <t>صحيح</t>
        </is>
      </c>
      <c r="G113" s="3" t="inlineStr">
        <is>
          <t>فاتورة مبدئية 118، سجل العقود، كشف الحساب</t>
        </is>
      </c>
      <c r="H113" s="3" t="inlineStr"/>
    </row>
    <row r="114">
      <c r="A114" s="3" t="n">
        <v>113</v>
      </c>
      <c r="B114" s="12" t="n">
        <v>46037</v>
      </c>
      <c r="C114" s="3" t="inlineStr">
        <is>
          <t>WHT-3568</t>
        </is>
      </c>
      <c r="D114" s="4" t="n">
        <v>2205</v>
      </c>
      <c r="E114" s="4" t="n">
        <v>2205</v>
      </c>
      <c r="F114" s="3" t="inlineStr">
        <is>
          <t>صحيح</t>
        </is>
      </c>
      <c r="G114" s="3" t="inlineStr">
        <is>
          <t>فاتورة مبدئية 119، سجل العقود، كشف الحساب</t>
        </is>
      </c>
      <c r="H114" s="3" t="inlineStr"/>
    </row>
    <row r="115">
      <c r="A115" s="3" t="n">
        <v>114</v>
      </c>
      <c r="B115" s="12" t="n">
        <v>46039</v>
      </c>
      <c r="C115" s="3" t="inlineStr">
        <is>
          <t>WHT-3580</t>
        </is>
      </c>
      <c r="D115" s="4" t="n">
        <v>3227.5</v>
      </c>
      <c r="E115" s="4" t="n">
        <v>3227.5</v>
      </c>
      <c r="F115" s="3" t="inlineStr">
        <is>
          <t>صحيح</t>
        </is>
      </c>
      <c r="G115" s="3" t="inlineStr">
        <is>
          <t>فاتورة مبدئية 121، سجل العقود، كشف الحساب</t>
        </is>
      </c>
      <c r="H115" s="3" t="inlineStr"/>
    </row>
    <row r="116">
      <c r="A116" s="3" t="n">
        <v>115</v>
      </c>
      <c r="B116" s="12" t="n">
        <v>46040</v>
      </c>
      <c r="C116" s="3" t="inlineStr">
        <is>
          <t>WHT-3591</t>
        </is>
      </c>
      <c r="D116" s="4" t="n">
        <v>3225</v>
      </c>
      <c r="E116" s="4" t="n">
        <v>3225</v>
      </c>
      <c r="F116" s="3" t="inlineStr">
        <is>
          <t>صحيح</t>
        </is>
      </c>
      <c r="G116" s="3" t="inlineStr">
        <is>
          <t>فاتورة مبدئية 122، سجل العقود، كشف الحساب</t>
        </is>
      </c>
      <c r="H116" s="3" t="inlineStr"/>
    </row>
    <row r="117">
      <c r="A117" s="3" t="n">
        <v>116</v>
      </c>
      <c r="B117" s="12" t="n">
        <v>46041</v>
      </c>
      <c r="C117" s="3" t="inlineStr">
        <is>
          <t>WHT-3603</t>
        </is>
      </c>
      <c r="D117" s="4" t="n">
        <v>2347.5</v>
      </c>
      <c r="E117" s="4" t="n">
        <v>2347.5</v>
      </c>
      <c r="F117" s="3" t="inlineStr">
        <is>
          <t>صحيح</t>
        </is>
      </c>
      <c r="G117" s="3" t="inlineStr">
        <is>
          <t>فاتورة مبدئية 123، سجل العقود، كشف الحساب</t>
        </is>
      </c>
      <c r="H117" s="3" t="inlineStr"/>
    </row>
    <row r="118">
      <c r="A118" s="3" t="n">
        <v>117</v>
      </c>
      <c r="B118" s="12" t="n">
        <v>46044</v>
      </c>
      <c r="C118" s="3" t="inlineStr">
        <is>
          <t>WHT-3623</t>
        </is>
      </c>
      <c r="D118" s="4" t="n">
        <v>3382.5</v>
      </c>
      <c r="E118" s="4" t="n">
        <v>3382.5</v>
      </c>
      <c r="F118" s="3" t="inlineStr">
        <is>
          <t>صحيح</t>
        </is>
      </c>
      <c r="G118" s="3" t="inlineStr">
        <is>
          <t>فاتورة مبدئية 125، سجل العقود، كشف الحساب</t>
        </is>
      </c>
      <c r="H118" s="3" t="inlineStr"/>
    </row>
    <row r="119">
      <c r="A119" s="3" t="n">
        <v>118</v>
      </c>
      <c r="B119" s="12" t="n">
        <v>46046</v>
      </c>
      <c r="C119" s="3" t="inlineStr">
        <is>
          <t>WHT-3629</t>
        </is>
      </c>
      <c r="D119" s="4" t="n">
        <v>2430</v>
      </c>
      <c r="E119" s="4" t="n">
        <v>2430</v>
      </c>
      <c r="F119" s="3" t="inlineStr">
        <is>
          <t>صحيح</t>
        </is>
      </c>
      <c r="G119" s="3" t="inlineStr">
        <is>
          <t>فاتورة مبدئية 126، سجل العقود، كشف الحساب</t>
        </is>
      </c>
      <c r="H119" s="3" t="inlineStr"/>
    </row>
    <row r="120">
      <c r="A120" s="3" t="n">
        <v>119</v>
      </c>
      <c r="B120" s="12" t="n">
        <v>46047</v>
      </c>
      <c r="C120" s="3" t="inlineStr">
        <is>
          <t>WHT-3633</t>
        </is>
      </c>
      <c r="D120" s="4" t="n">
        <v>1852.5</v>
      </c>
      <c r="E120" s="4" t="n">
        <v>1852.5</v>
      </c>
      <c r="F120" s="3" t="inlineStr">
        <is>
          <t>صحيح</t>
        </is>
      </c>
      <c r="G120" s="3" t="inlineStr">
        <is>
          <t>فاتورة مبدئية 127، سجل العقود، كشف الحساب</t>
        </is>
      </c>
      <c r="H120" s="3" t="inlineStr"/>
    </row>
    <row r="121">
      <c r="A121" s="3" t="n">
        <v>120</v>
      </c>
      <c r="B121" s="12" t="n">
        <v>46048</v>
      </c>
      <c r="C121" s="3" t="inlineStr">
        <is>
          <t>WHT-3654</t>
        </is>
      </c>
      <c r="D121" s="4" t="n">
        <v>2622.5</v>
      </c>
      <c r="E121" s="4" t="n">
        <v>2622.5</v>
      </c>
      <c r="F121" s="3" t="inlineStr">
        <is>
          <t>صحيح</t>
        </is>
      </c>
      <c r="G121" s="3" t="inlineStr">
        <is>
          <t>فاتورة مبدئية 128، سجل العقود، كشف الحساب</t>
        </is>
      </c>
      <c r="H121" s="3" t="inlineStr"/>
    </row>
    <row r="122">
      <c r="A122" s="3" t="n">
        <v>121</v>
      </c>
      <c r="B122" s="12" t="n">
        <v>46049</v>
      </c>
      <c r="C122" s="3" t="inlineStr">
        <is>
          <t>WHT-3679</t>
        </is>
      </c>
      <c r="D122" s="4" t="n">
        <v>1172.5</v>
      </c>
      <c r="E122" s="4" t="n">
        <v>1172.5</v>
      </c>
      <c r="F122" s="3" t="inlineStr">
        <is>
          <t>صحيح</t>
        </is>
      </c>
      <c r="G122" s="3" t="inlineStr">
        <is>
          <t>فاتورة مبدئية 130، سجل العقود، كشف الحساب</t>
        </is>
      </c>
      <c r="H122" s="3" t="inlineStr"/>
    </row>
    <row r="123">
      <c r="A123" s="3" t="n">
        <v>122</v>
      </c>
      <c r="B123" s="12" t="n">
        <v>46050</v>
      </c>
      <c r="C123" s="3" t="inlineStr">
        <is>
          <t>WHT-3687</t>
        </is>
      </c>
      <c r="D123" s="4" t="n">
        <v>6142.5</v>
      </c>
      <c r="E123" s="4" t="n">
        <v>6142.5</v>
      </c>
      <c r="F123" s="3" t="inlineStr">
        <is>
          <t>صحيح</t>
        </is>
      </c>
      <c r="G123" s="3" t="inlineStr">
        <is>
          <t>فاتورة مبدئية 131، سجل العقود، كشف الحساب</t>
        </is>
      </c>
      <c r="H123" s="3" t="inlineStr"/>
    </row>
    <row r="124">
      <c r="A124" s="3" t="n">
        <v>123</v>
      </c>
      <c r="B124" s="12" t="n">
        <v>46051</v>
      </c>
      <c r="C124" s="3" t="inlineStr">
        <is>
          <t>WHT-3697</t>
        </is>
      </c>
      <c r="D124" s="4" t="n">
        <v>2850</v>
      </c>
      <c r="E124" s="4" t="n">
        <v>2850</v>
      </c>
      <c r="F124" s="3" t="inlineStr">
        <is>
          <t>صحيح</t>
        </is>
      </c>
      <c r="G124" s="3" t="inlineStr">
        <is>
          <t>فاتورة مبدئية 132، سجل العقود، كشف الحساب</t>
        </is>
      </c>
      <c r="H124" s="3" t="inlineStr"/>
    </row>
    <row r="125">
      <c r="A125" s="3" t="n">
        <v>124</v>
      </c>
      <c r="B125" s="12" t="n">
        <v>46053</v>
      </c>
      <c r="C125" s="3" t="inlineStr">
        <is>
          <t>WHT-3700</t>
        </is>
      </c>
      <c r="D125" s="4" t="n">
        <v>5397.5</v>
      </c>
      <c r="E125" s="4" t="n">
        <v>5397.5</v>
      </c>
      <c r="F125" s="3" t="inlineStr">
        <is>
          <t>صحيح</t>
        </is>
      </c>
      <c r="G125" s="3" t="inlineStr">
        <is>
          <t>فاتورة مبدئية 133، سجل العقود، كشف الحساب</t>
        </is>
      </c>
      <c r="H125" s="3" t="inlineStr"/>
    </row>
    <row r="126">
      <c r="A126" s="3" t="n">
        <v>125</v>
      </c>
      <c r="B126" s="12" t="n">
        <v>46054</v>
      </c>
      <c r="C126" s="3" t="inlineStr">
        <is>
          <t>WHT-3716</t>
        </is>
      </c>
      <c r="D126" s="4" t="n">
        <v>4575</v>
      </c>
      <c r="E126" s="4" t="n">
        <v>4575</v>
      </c>
      <c r="F126" s="3" t="inlineStr">
        <is>
          <t>صحيح</t>
        </is>
      </c>
      <c r="G126" s="3" t="inlineStr">
        <is>
          <t>فاتورة مبدئية 135، سجل العقود، كشف الحساب</t>
        </is>
      </c>
      <c r="H126" s="3" t="inlineStr"/>
    </row>
    <row r="127">
      <c r="A127" s="3" t="n">
        <v>126</v>
      </c>
      <c r="B127" s="12" t="n">
        <v>46055</v>
      </c>
      <c r="C127" s="3" t="inlineStr">
        <is>
          <t>WHT-3732</t>
        </is>
      </c>
      <c r="D127" s="4" t="n">
        <v>4887.5</v>
      </c>
      <c r="E127" s="4" t="n">
        <v>4887.5</v>
      </c>
      <c r="F127" s="3" t="inlineStr">
        <is>
          <t>صحيح</t>
        </is>
      </c>
      <c r="G127" s="3" t="inlineStr">
        <is>
          <t>فاتورة مبدئية 136، سجل العقود، كشف الحساب</t>
        </is>
      </c>
      <c r="H127" s="3" t="inlineStr"/>
    </row>
    <row r="128">
      <c r="A128" s="3" t="n">
        <v>127</v>
      </c>
      <c r="B128" s="12" t="n">
        <v>46056</v>
      </c>
      <c r="C128" s="3" t="inlineStr">
        <is>
          <t>WHT-3746</t>
        </is>
      </c>
      <c r="D128" s="4" t="n">
        <v>3750</v>
      </c>
      <c r="E128" s="4" t="n">
        <v>3750</v>
      </c>
      <c r="F128" s="3" t="inlineStr">
        <is>
          <t>صحيح</t>
        </is>
      </c>
      <c r="G128" s="3" t="inlineStr">
        <is>
          <t>فاتورة مبدئية 137، سجل العقود، كشف الحساب</t>
        </is>
      </c>
      <c r="H128" s="3" t="inlineStr"/>
    </row>
    <row r="129">
      <c r="A129" s="3" t="n">
        <v>128</v>
      </c>
      <c r="B129" s="12" t="n">
        <v>46057</v>
      </c>
      <c r="C129" s="3" t="inlineStr">
        <is>
          <t>WHT-3755</t>
        </is>
      </c>
      <c r="D129" s="4" t="n">
        <v>5205</v>
      </c>
      <c r="E129" s="4" t="n">
        <v>5205</v>
      </c>
      <c r="F129" s="3" t="inlineStr">
        <is>
          <t>صحيح</t>
        </is>
      </c>
      <c r="G129" s="3" t="inlineStr">
        <is>
          <t>فاتورة مبدئية 139، سجل العقود، كشف الحساب</t>
        </is>
      </c>
      <c r="H129" s="3" t="inlineStr"/>
    </row>
    <row r="130">
      <c r="A130" s="3" t="n">
        <v>129</v>
      </c>
      <c r="B130" s="12" t="n">
        <v>46058</v>
      </c>
      <c r="C130" s="3" t="inlineStr">
        <is>
          <t>WHT-3766</t>
        </is>
      </c>
      <c r="D130" s="4" t="n">
        <v>6875</v>
      </c>
      <c r="E130" s="4" t="n">
        <v>6875</v>
      </c>
      <c r="F130" s="3" t="inlineStr">
        <is>
          <t>صحيح</t>
        </is>
      </c>
      <c r="G130" s="3" t="inlineStr">
        <is>
          <t>فاتورة مبدئية 143، سجل العقود، كشف الحساب</t>
        </is>
      </c>
      <c r="H130" s="3" t="inlineStr"/>
    </row>
    <row r="131">
      <c r="A131" s="3" t="n">
        <v>130</v>
      </c>
      <c r="B131" s="12" t="n">
        <v>46060</v>
      </c>
      <c r="C131" s="3" t="inlineStr">
        <is>
          <t>WHT-3775</t>
        </is>
      </c>
      <c r="D131" s="4" t="n">
        <v>5235</v>
      </c>
      <c r="E131" s="4" t="n">
        <v>5235</v>
      </c>
      <c r="F131" s="3" t="inlineStr">
        <is>
          <t>صحيح</t>
        </is>
      </c>
      <c r="G131" s="3" t="inlineStr">
        <is>
          <t>فاتورة مبدئية 144، سجل العقود، كشف الحساب</t>
        </is>
      </c>
      <c r="H131" s="3" t="inlineStr"/>
    </row>
    <row r="132">
      <c r="A132" s="3" t="n">
        <v>131</v>
      </c>
      <c r="B132" s="12" t="n">
        <v>46061</v>
      </c>
      <c r="C132" s="3" t="inlineStr">
        <is>
          <t>WHT-3782</t>
        </is>
      </c>
      <c r="D132" s="4" t="n">
        <v>5725</v>
      </c>
      <c r="E132" s="4" t="n">
        <v>5725</v>
      </c>
      <c r="F132" s="3" t="inlineStr">
        <is>
          <t>صحيح</t>
        </is>
      </c>
      <c r="G132" s="3" t="inlineStr">
        <is>
          <t>فاتورة مبدئية 145، سجل العقود، كشف الحساب</t>
        </is>
      </c>
      <c r="H132" s="3" t="inlineStr"/>
    </row>
    <row r="133">
      <c r="A133" s="3" t="n">
        <v>132</v>
      </c>
      <c r="B133" s="12" t="n">
        <v>46062</v>
      </c>
      <c r="C133" s="3" t="inlineStr">
        <is>
          <t>WHT-3786</t>
        </is>
      </c>
      <c r="D133" s="4" t="n">
        <v>6900</v>
      </c>
      <c r="E133" s="4" t="n">
        <v>6900</v>
      </c>
      <c r="F133" s="3" t="inlineStr">
        <is>
          <t>صحيح</t>
        </is>
      </c>
      <c r="G133" s="3" t="inlineStr">
        <is>
          <t>فاتورة مبدئية 147، سجل العقود، كشف الحساب</t>
        </is>
      </c>
      <c r="H133" s="3" t="inlineStr"/>
    </row>
    <row r="134">
      <c r="A134" s="16" t="n">
        <v>133</v>
      </c>
      <c r="B134" s="17" t="n">
        <v>46063</v>
      </c>
      <c r="C134" s="16" t="inlineStr">
        <is>
          <t>WHT-3804</t>
        </is>
      </c>
      <c r="D134" s="18" t="n">
        <v>4472.5</v>
      </c>
      <c r="E134" s="18" t="n">
        <v>4472.5</v>
      </c>
      <c r="F134" s="16" t="inlineStr">
        <is>
          <t>صحيح (تصحيح رقم)</t>
        </is>
      </c>
      <c r="G134" s="16" t="inlineStr">
        <is>
          <t>فاتورة مبدئية 148، سجل العقود</t>
        </is>
      </c>
      <c r="H134" s="16" t="inlineStr">
        <is>
          <t>رقم العقد مكرر في شيت المحاسب – الصحيح WHT-3804</t>
        </is>
      </c>
    </row>
    <row r="135">
      <c r="A135" s="3" t="n">
        <v>134</v>
      </c>
      <c r="B135" s="12" t="n">
        <v>46064</v>
      </c>
      <c r="C135" s="3" t="inlineStr">
        <is>
          <t>WHT-3814</t>
        </is>
      </c>
      <c r="D135" s="4" t="n">
        <v>6267.5</v>
      </c>
      <c r="E135" s="4" t="n">
        <v>6267.5</v>
      </c>
      <c r="F135" s="3" t="inlineStr">
        <is>
          <t>صحيح</t>
        </is>
      </c>
      <c r="G135" s="3" t="inlineStr">
        <is>
          <t>فاتورة مبدئية 150، سجل العقود، كشف الحساب</t>
        </is>
      </c>
      <c r="H135" s="3" t="inlineStr"/>
    </row>
    <row r="136">
      <c r="A136" s="3" t="n">
        <v>135</v>
      </c>
      <c r="B136" s="12" t="n">
        <v>46065</v>
      </c>
      <c r="C136" s="3" t="inlineStr">
        <is>
          <t>WHT-3828</t>
        </is>
      </c>
      <c r="D136" s="4" t="n">
        <v>5862.5</v>
      </c>
      <c r="E136" s="4" t="n">
        <v>5862.5</v>
      </c>
      <c r="F136" s="3" t="inlineStr">
        <is>
          <t>صحيح</t>
        </is>
      </c>
      <c r="G136" s="3" t="inlineStr">
        <is>
          <t>فاتورة مبدئية 151، سجل العقود، كشف الحساب</t>
        </is>
      </c>
      <c r="H136" s="3" t="inlineStr"/>
    </row>
    <row r="137">
      <c r="A137" s="3" t="n">
        <v>136</v>
      </c>
      <c r="B137" s="12" t="n">
        <v>46067</v>
      </c>
      <c r="C137" s="3" t="inlineStr">
        <is>
          <t>WHT-3837</t>
        </is>
      </c>
      <c r="D137" s="4" t="n">
        <v>7380</v>
      </c>
      <c r="E137" s="4" t="n">
        <v>7380</v>
      </c>
      <c r="F137" s="3" t="inlineStr">
        <is>
          <t>صحيح</t>
        </is>
      </c>
      <c r="G137" s="3" t="inlineStr">
        <is>
          <t>فاتورة مبدئية 153، سجل العقود، كشف الحساب</t>
        </is>
      </c>
      <c r="H137" s="3" t="inlineStr"/>
    </row>
    <row r="138">
      <c r="A138" s="3" t="n">
        <v>137</v>
      </c>
      <c r="B138" s="12" t="n">
        <v>46068</v>
      </c>
      <c r="C138" s="3" t="inlineStr">
        <is>
          <t>WHT-3851</t>
        </is>
      </c>
      <c r="D138" s="4" t="n">
        <v>5520</v>
      </c>
      <c r="E138" s="4" t="n">
        <v>5520</v>
      </c>
      <c r="F138" s="3" t="inlineStr">
        <is>
          <t>صحيح</t>
        </is>
      </c>
      <c r="G138" s="3" t="inlineStr">
        <is>
          <t>فاتورة مبدئية 155، سجل العقود، كشف الحساب</t>
        </is>
      </c>
      <c r="H138" s="3" t="inlineStr"/>
    </row>
    <row r="139">
      <c r="A139" s="3" t="n">
        <v>138</v>
      </c>
      <c r="B139" s="12" t="n">
        <v>46069</v>
      </c>
      <c r="C139" s="3" t="inlineStr">
        <is>
          <t>WHT-3857</t>
        </is>
      </c>
      <c r="D139" s="4" t="n">
        <v>5447.75</v>
      </c>
      <c r="E139" s="4" t="n">
        <v>5447.75</v>
      </c>
      <c r="F139" s="3" t="inlineStr">
        <is>
          <t>صحيح</t>
        </is>
      </c>
      <c r="G139" s="3" t="inlineStr">
        <is>
          <t>فاتورة مبدئية 156، سجل العقود، كشف الحساب</t>
        </is>
      </c>
      <c r="H139" s="3" t="inlineStr"/>
    </row>
    <row r="140">
      <c r="A140" s="3" t="n">
        <v>139</v>
      </c>
      <c r="B140" s="12" t="n">
        <v>46070</v>
      </c>
      <c r="C140" s="3" t="inlineStr">
        <is>
          <t>WHT-3864</t>
        </is>
      </c>
      <c r="D140" s="4" t="n">
        <v>6536.25</v>
      </c>
      <c r="E140" s="4" t="n">
        <v>6536.25</v>
      </c>
      <c r="F140" s="3" t="inlineStr">
        <is>
          <t>صحيح</t>
        </is>
      </c>
      <c r="G140" s="3" t="inlineStr">
        <is>
          <t>فاتورة مبدئية 157، سجل العقود، كشف الحساب</t>
        </is>
      </c>
      <c r="H140" s="3" t="inlineStr"/>
    </row>
    <row r="141">
      <c r="A141" s="3" t="n">
        <v>140</v>
      </c>
      <c r="B141" s="12" t="n">
        <v>46071</v>
      </c>
      <c r="C141" s="3" t="inlineStr">
        <is>
          <t>WHT-3875</t>
        </is>
      </c>
      <c r="D141" s="4" t="n">
        <v>4275</v>
      </c>
      <c r="E141" s="4" t="n">
        <v>4275</v>
      </c>
      <c r="F141" s="3" t="inlineStr">
        <is>
          <t>صحيح</t>
        </is>
      </c>
      <c r="G141" s="3" t="inlineStr">
        <is>
          <t>فاتورة مبدئية 159، سجل العقود، كشف الحساب</t>
        </is>
      </c>
      <c r="H141" s="3" t="inlineStr"/>
    </row>
    <row r="142">
      <c r="A142" s="3" t="n">
        <v>141</v>
      </c>
      <c r="B142" s="12" t="n">
        <v>46073</v>
      </c>
      <c r="C142" s="3" t="inlineStr">
        <is>
          <t>WHT-3885</t>
        </is>
      </c>
      <c r="D142" s="4" t="n">
        <v>5175</v>
      </c>
      <c r="E142" s="4" t="n">
        <v>5175</v>
      </c>
      <c r="F142" s="3" t="inlineStr">
        <is>
          <t>صحيح</t>
        </is>
      </c>
      <c r="G142" s="3" t="inlineStr">
        <is>
          <t>فاتورة مبدئية 161، سجل العقود، كشف الحساب</t>
        </is>
      </c>
      <c r="H142" s="3" t="inlineStr"/>
    </row>
    <row r="143">
      <c r="A143" s="3" t="n">
        <v>142</v>
      </c>
      <c r="B143" s="12" t="n">
        <v>46074</v>
      </c>
      <c r="C143" s="3" t="inlineStr">
        <is>
          <t>WHT-3905</t>
        </is>
      </c>
      <c r="D143" s="4" t="n">
        <v>4030</v>
      </c>
      <c r="E143" s="4" t="n">
        <v>4030</v>
      </c>
      <c r="F143" s="3" t="inlineStr">
        <is>
          <t>صحيح</t>
        </is>
      </c>
      <c r="G143" s="3" t="inlineStr">
        <is>
          <t>فاتورة مبدئية 162، سجل العقود، كشف الحساب</t>
        </is>
      </c>
      <c r="H143" s="3" t="inlineStr"/>
    </row>
    <row r="144">
      <c r="A144" s="3" t="n">
        <v>143</v>
      </c>
      <c r="B144" s="12" t="n">
        <v>46075</v>
      </c>
      <c r="C144" s="3" t="inlineStr">
        <is>
          <t>WHT-3909</t>
        </is>
      </c>
      <c r="D144" s="4" t="n">
        <v>2787.5</v>
      </c>
      <c r="E144" s="4" t="n">
        <v>2787.5</v>
      </c>
      <c r="F144" s="3" t="inlineStr">
        <is>
          <t>صحيح</t>
        </is>
      </c>
      <c r="G144" s="3" t="inlineStr">
        <is>
          <t>فاتورة مبدئية 163، سجل العقود، كشف الحساب</t>
        </is>
      </c>
      <c r="H144" s="3" t="inlineStr"/>
    </row>
    <row r="145">
      <c r="A145" s="3" t="n">
        <v>144</v>
      </c>
      <c r="B145" s="12" t="n">
        <v>46076</v>
      </c>
      <c r="C145" s="3" t="inlineStr">
        <is>
          <t>WHT-3918</t>
        </is>
      </c>
      <c r="D145" s="4" t="n">
        <v>3787.5</v>
      </c>
      <c r="E145" s="4" t="n">
        <v>3787.5</v>
      </c>
      <c r="F145" s="3" t="inlineStr">
        <is>
          <t>صحيح</t>
        </is>
      </c>
      <c r="G145" s="3" t="inlineStr">
        <is>
          <t>فاتورة مبدئية 165، سجل العقود، كشف الحساب</t>
        </is>
      </c>
      <c r="H145" s="3" t="inlineStr"/>
    </row>
    <row r="146">
      <c r="A146" s="3" t="n">
        <v>145</v>
      </c>
      <c r="B146" s="12" t="n">
        <v>46077</v>
      </c>
      <c r="C146" s="3" t="inlineStr">
        <is>
          <t>WHT-3924</t>
        </is>
      </c>
      <c r="D146" s="4" t="n">
        <v>2020</v>
      </c>
      <c r="E146" s="4" t="n">
        <v>2020</v>
      </c>
      <c r="F146" s="3" t="inlineStr">
        <is>
          <t>صحيح</t>
        </is>
      </c>
      <c r="G146" s="3" t="inlineStr">
        <is>
          <t>فاتورة مبدئية 167، سجل العقود، كشف الحساب</t>
        </is>
      </c>
      <c r="H146" s="3" t="inlineStr"/>
    </row>
    <row r="147">
      <c r="A147" s="3" t="n">
        <v>146</v>
      </c>
      <c r="B147" s="12" t="n">
        <v>46078</v>
      </c>
      <c r="C147" s="3" t="inlineStr">
        <is>
          <t>WHT-3934</t>
        </is>
      </c>
      <c r="D147" s="4" t="n">
        <v>2790</v>
      </c>
      <c r="E147" s="4" t="n">
        <v>2790</v>
      </c>
      <c r="F147" s="3" t="inlineStr">
        <is>
          <t>صحيح</t>
        </is>
      </c>
      <c r="G147" s="3" t="inlineStr">
        <is>
          <t>فاتورة مبدئية 169، سجل العقود، كشف الحساب</t>
        </is>
      </c>
      <c r="H147" s="3" t="inlineStr"/>
    </row>
    <row r="148">
      <c r="A148" s="3" t="n">
        <v>147</v>
      </c>
      <c r="B148" s="12" t="n">
        <v>46081</v>
      </c>
      <c r="C148" s="3" t="inlineStr">
        <is>
          <t>WHT-3946</t>
        </is>
      </c>
      <c r="D148" s="4" t="n">
        <v>2575</v>
      </c>
      <c r="E148" s="4" t="n">
        <v>2575</v>
      </c>
      <c r="F148" s="3" t="inlineStr">
        <is>
          <t>صحيح</t>
        </is>
      </c>
      <c r="G148" s="3" t="inlineStr">
        <is>
          <t>فاتورة مبدئية 170، سجل العقود، كشف الحساب</t>
        </is>
      </c>
      <c r="H148" s="3" t="inlineStr"/>
    </row>
    <row r="149">
      <c r="A149" s="3" t="n">
        <v>148</v>
      </c>
      <c r="B149" s="12" t="n">
        <v>46082</v>
      </c>
      <c r="C149" s="3" t="inlineStr">
        <is>
          <t>WHT-3951</t>
        </is>
      </c>
      <c r="D149" s="4" t="n">
        <v>3205</v>
      </c>
      <c r="E149" s="4" t="n">
        <v>3205</v>
      </c>
      <c r="F149" s="3" t="inlineStr">
        <is>
          <t>صحيح</t>
        </is>
      </c>
      <c r="G149" s="3" t="inlineStr">
        <is>
          <t>فاتورة مبدئية 171، سجل العقود، كشف الحساب</t>
        </is>
      </c>
      <c r="H149" s="3" t="inlineStr"/>
    </row>
    <row r="150">
      <c r="A150" s="3" t="n">
        <v>149</v>
      </c>
      <c r="B150" s="12" t="n">
        <v>46083</v>
      </c>
      <c r="C150" s="3" t="inlineStr">
        <is>
          <t>WHT-3955</t>
        </is>
      </c>
      <c r="D150" s="4" t="n">
        <v>1665</v>
      </c>
      <c r="E150" s="4" t="n">
        <v>1665</v>
      </c>
      <c r="F150" s="3" t="inlineStr">
        <is>
          <t>صحيح</t>
        </is>
      </c>
      <c r="G150" s="3" t="inlineStr">
        <is>
          <t>فاتورة مبدئية 172، سجل العقود، كشف الحساب</t>
        </is>
      </c>
      <c r="H150" s="3" t="inlineStr"/>
    </row>
    <row r="151">
      <c r="A151" s="3" t="n">
        <v>150</v>
      </c>
      <c r="B151" s="12" t="n">
        <v>46086</v>
      </c>
      <c r="C151" s="3" t="inlineStr">
        <is>
          <t>WHT-3966</t>
        </is>
      </c>
      <c r="D151" s="4" t="n">
        <v>1320</v>
      </c>
      <c r="E151" s="4" t="n">
        <v>1320</v>
      </c>
      <c r="F151" s="3" t="inlineStr">
        <is>
          <t>صحيح</t>
        </is>
      </c>
      <c r="G151" s="3" t="inlineStr">
        <is>
          <t>فاتورة مبدئية 175، سجل العقود، كشف الحساب</t>
        </is>
      </c>
      <c r="H151" s="3" t="inlineStr"/>
    </row>
    <row r="152">
      <c r="A152" s="3" t="n">
        <v>151</v>
      </c>
      <c r="B152" s="12" t="n">
        <v>46088</v>
      </c>
      <c r="C152" s="3" t="inlineStr">
        <is>
          <t>WHT-3968</t>
        </is>
      </c>
      <c r="D152" s="4" t="n">
        <v>1910</v>
      </c>
      <c r="E152" s="4" t="n">
        <v>1910</v>
      </c>
      <c r="F152" s="3" t="inlineStr">
        <is>
          <t>صحيح</t>
        </is>
      </c>
      <c r="G152" s="3" t="inlineStr">
        <is>
          <t>فاتورة مبدئية 176، سجل العقود، كشف الحساب</t>
        </is>
      </c>
      <c r="H152" s="3" t="inlineStr"/>
    </row>
    <row r="153">
      <c r="A153" s="3" t="n">
        <v>152</v>
      </c>
      <c r="B153" s="12" t="n">
        <v>46089</v>
      </c>
      <c r="C153" s="3" t="inlineStr">
        <is>
          <t>WHT-3978</t>
        </is>
      </c>
      <c r="D153" s="4" t="n">
        <v>2537.5</v>
      </c>
      <c r="E153" s="4" t="n">
        <v>2537.5</v>
      </c>
      <c r="F153" s="3" t="inlineStr">
        <is>
          <t>صحيح</t>
        </is>
      </c>
      <c r="G153" s="3" t="inlineStr">
        <is>
          <t>فاتورة مبدئية 177، سجل العقود، كشف الحساب</t>
        </is>
      </c>
      <c r="H153" s="3" t="inlineStr"/>
    </row>
    <row r="154">
      <c r="A154" s="3" t="n">
        <v>153</v>
      </c>
      <c r="B154" s="12" t="n">
        <v>46090</v>
      </c>
      <c r="C154" s="3" t="inlineStr">
        <is>
          <t>WHT-3988</t>
        </is>
      </c>
      <c r="D154" s="4" t="n">
        <v>1762.5</v>
      </c>
      <c r="E154" s="4" t="n">
        <v>1762.5</v>
      </c>
      <c r="F154" s="3" t="inlineStr">
        <is>
          <t>صحيح</t>
        </is>
      </c>
      <c r="G154" s="3" t="inlineStr">
        <is>
          <t>فاتورة مبدئية 178، سجل العقود، كشف الحساب</t>
        </is>
      </c>
      <c r="H154" s="3" t="inlineStr"/>
    </row>
    <row r="155">
      <c r="A155" s="3" t="n">
        <v>154</v>
      </c>
      <c r="B155" s="12" t="n">
        <v>46091</v>
      </c>
      <c r="C155" s="3" t="inlineStr">
        <is>
          <t>WHT-3993</t>
        </is>
      </c>
      <c r="D155" s="4" t="n">
        <v>1261.25</v>
      </c>
      <c r="E155" s="4" t="n">
        <v>1261.25</v>
      </c>
      <c r="F155" s="3" t="inlineStr">
        <is>
          <t>صحيح</t>
        </is>
      </c>
      <c r="G155" s="3" t="inlineStr">
        <is>
          <t>فاتورة مبدئية 180، سجل العقود، كشف الحساب</t>
        </is>
      </c>
      <c r="H155" s="3" t="inlineStr"/>
    </row>
    <row r="156">
      <c r="A156" s="3" t="n">
        <v>155</v>
      </c>
      <c r="B156" s="12" t="n">
        <v>46092</v>
      </c>
      <c r="C156" s="3" t="inlineStr">
        <is>
          <t>WHT-3999</t>
        </is>
      </c>
      <c r="D156" s="4" t="n">
        <v>3133.75</v>
      </c>
      <c r="E156" s="4" t="n">
        <v>3133.75</v>
      </c>
      <c r="F156" s="3" t="inlineStr">
        <is>
          <t>صحيح</t>
        </is>
      </c>
      <c r="G156" s="3" t="inlineStr">
        <is>
          <t>فاتورة مبدئية 181، سجل العقود، كشف الحساب</t>
        </is>
      </c>
      <c r="H156" s="3" t="inlineStr"/>
    </row>
    <row r="157">
      <c r="A157" s="3" t="n">
        <v>156</v>
      </c>
      <c r="B157" s="12" t="n">
        <v>46093</v>
      </c>
      <c r="C157" s="3" t="inlineStr">
        <is>
          <t>WHT-4010</t>
        </is>
      </c>
      <c r="D157" s="4" t="n">
        <v>1870</v>
      </c>
      <c r="E157" s="4" t="n">
        <v>1870</v>
      </c>
      <c r="F157" s="3" t="inlineStr">
        <is>
          <t>صحيح</t>
        </is>
      </c>
      <c r="G157" s="3" t="inlineStr">
        <is>
          <t>فاتورة مبدئية 182، سجل العقود، كشف الحساب</t>
        </is>
      </c>
      <c r="H157" s="3" t="inlineStr"/>
    </row>
    <row r="158">
      <c r="A158" s="3" t="n">
        <v>157</v>
      </c>
      <c r="B158" s="12" t="n">
        <v>46094</v>
      </c>
      <c r="C158" s="3" t="inlineStr">
        <is>
          <t>WHT-4015</t>
        </is>
      </c>
      <c r="D158" s="4" t="n">
        <v>2212.5</v>
      </c>
      <c r="E158" s="4" t="n">
        <v>2212.5</v>
      </c>
      <c r="F158" s="3" t="inlineStr">
        <is>
          <t>صحيح</t>
        </is>
      </c>
      <c r="G158" s="3" t="inlineStr">
        <is>
          <t>فاتورة مبدئية 183، سجل العقود، كشف الحساب</t>
        </is>
      </c>
      <c r="H158" s="3" t="inlineStr"/>
    </row>
    <row r="159">
      <c r="A159" s="3" t="n">
        <v>158</v>
      </c>
      <c r="B159" s="12" t="n">
        <v>46095</v>
      </c>
      <c r="C159" s="3" t="inlineStr">
        <is>
          <t>WHT-4018</t>
        </is>
      </c>
      <c r="D159" s="4" t="n">
        <v>3240</v>
      </c>
      <c r="E159" s="4" t="n">
        <v>3240</v>
      </c>
      <c r="F159" s="3" t="inlineStr">
        <is>
          <t>صحيح</t>
        </is>
      </c>
      <c r="G159" s="3" t="inlineStr">
        <is>
          <t>فاتورة مبدئية 185، سجل العقود، كشف الحساب</t>
        </is>
      </c>
      <c r="H159" s="3" t="inlineStr"/>
    </row>
    <row r="160">
      <c r="A160" s="3" t="n">
        <v>159</v>
      </c>
      <c r="B160" s="12" t="n">
        <v>46096</v>
      </c>
      <c r="C160" s="3" t="inlineStr">
        <is>
          <t>WHT-4022</t>
        </is>
      </c>
      <c r="D160" s="4" t="n">
        <v>2180</v>
      </c>
      <c r="E160" s="4" t="n">
        <v>2180</v>
      </c>
      <c r="F160" s="3" t="inlineStr">
        <is>
          <t>صحيح</t>
        </is>
      </c>
      <c r="G160" s="3" t="inlineStr">
        <is>
          <t>فاتورة مبدئية 186، سجل العقود، كشف الحساب</t>
        </is>
      </c>
      <c r="H160" s="3" t="inlineStr"/>
    </row>
    <row r="161">
      <c r="A161" s="3" t="n">
        <v>160</v>
      </c>
      <c r="B161" s="12" t="n">
        <v>46097</v>
      </c>
      <c r="C161" s="3" t="inlineStr">
        <is>
          <t>WHT-4034</t>
        </is>
      </c>
      <c r="D161" s="4" t="n">
        <v>1117.5</v>
      </c>
      <c r="E161" s="4" t="n">
        <v>1117.5</v>
      </c>
      <c r="F161" s="3" t="inlineStr">
        <is>
          <t>صحيح</t>
        </is>
      </c>
      <c r="G161" s="3" t="inlineStr">
        <is>
          <t>فاتورة مبدئية 187، سجل العقود، كشف الحساب</t>
        </is>
      </c>
      <c r="H161" s="3" t="inlineStr"/>
    </row>
    <row r="162">
      <c r="A162" s="3" t="n">
        <v>161</v>
      </c>
      <c r="B162" s="12" t="n">
        <v>46098</v>
      </c>
      <c r="C162" s="3" t="inlineStr">
        <is>
          <t>WHT-4048</t>
        </is>
      </c>
      <c r="D162" s="4" t="n">
        <v>1710</v>
      </c>
      <c r="E162" s="4" t="n">
        <v>1710</v>
      </c>
      <c r="F162" s="3" t="inlineStr">
        <is>
          <t>صحيح</t>
        </is>
      </c>
      <c r="G162" s="3" t="inlineStr">
        <is>
          <t>فاتورة مبدئية 188، سجل العقود، كشف الحساب</t>
        </is>
      </c>
      <c r="H162" s="3" t="inlineStr"/>
    </row>
    <row r="163">
      <c r="A163" s="3" t="n">
        <v>162</v>
      </c>
      <c r="B163" s="12" t="n">
        <v>46100</v>
      </c>
      <c r="C163" s="3" t="inlineStr">
        <is>
          <t>WHT-4052</t>
        </is>
      </c>
      <c r="D163" s="4" t="n">
        <v>3332.5</v>
      </c>
      <c r="E163" s="4" t="n">
        <v>3332.5</v>
      </c>
      <c r="F163" s="3" t="inlineStr">
        <is>
          <t>صحيح</t>
        </is>
      </c>
      <c r="G163" s="3" t="inlineStr">
        <is>
          <t>فاتورة مبدئية 190، سجل العقود، كشف الحساب</t>
        </is>
      </c>
      <c r="H163" s="3" t="inlineStr"/>
    </row>
    <row r="164">
      <c r="A164" s="16" t="n">
        <v>163</v>
      </c>
      <c r="B164" s="17" t="n">
        <v>46106</v>
      </c>
      <c r="C164" s="16" t="inlineStr">
        <is>
          <t>WHT-4062</t>
        </is>
      </c>
      <c r="D164" s="18" t="n">
        <v>636.25</v>
      </c>
      <c r="E164" s="18" t="n">
        <v>636.25</v>
      </c>
      <c r="F164" s="16" t="inlineStr">
        <is>
          <t>صحيح (تصحيح رقم)</t>
        </is>
      </c>
      <c r="G164" s="16" t="inlineStr">
        <is>
          <t>فاتورة مبدئية 191، سجل العقود</t>
        </is>
      </c>
      <c r="H164" s="16" t="inlineStr">
        <is>
          <t>رقم العقد مكرر في شيت المحاسب – الصحيح WHT-4062</t>
        </is>
      </c>
    </row>
    <row r="165">
      <c r="A165" s="3" t="n">
        <v>164</v>
      </c>
      <c r="B165" s="12" t="n">
        <v>46107</v>
      </c>
      <c r="C165" s="3" t="inlineStr">
        <is>
          <t>WHT-4065</t>
        </is>
      </c>
      <c r="D165" s="4" t="n">
        <v>543.75</v>
      </c>
      <c r="E165" s="4" t="n">
        <v>543.75</v>
      </c>
      <c r="F165" s="3" t="inlineStr">
        <is>
          <t>صحيح</t>
        </is>
      </c>
      <c r="G165" s="3" t="inlineStr">
        <is>
          <t>فاتورة مبدئية 192، سجل العقود، كشف الحساب</t>
        </is>
      </c>
      <c r="H165" s="3" t="inlineStr"/>
    </row>
    <row r="166">
      <c r="A166" s="3" t="n">
        <v>165</v>
      </c>
      <c r="B166" s="12" t="n">
        <v>46110</v>
      </c>
      <c r="C166" s="3" t="inlineStr">
        <is>
          <t>WHT-4075</t>
        </is>
      </c>
      <c r="D166" s="4" t="n">
        <v>1140</v>
      </c>
      <c r="E166" s="4" t="n">
        <v>1140</v>
      </c>
      <c r="F166" s="3" t="inlineStr">
        <is>
          <t>صحيح</t>
        </is>
      </c>
      <c r="G166" s="3" t="inlineStr">
        <is>
          <t>فاتورة مبدئية 193، سجل العقود، كشف الحساب</t>
        </is>
      </c>
      <c r="H166" s="3" t="inlineStr"/>
    </row>
    <row r="167">
      <c r="A167" s="3" t="n">
        <v>166</v>
      </c>
      <c r="B167" s="12" t="n">
        <v>46111</v>
      </c>
      <c r="C167" s="3" t="inlineStr">
        <is>
          <t>WHT-4086</t>
        </is>
      </c>
      <c r="D167" s="4" t="n">
        <v>255</v>
      </c>
      <c r="E167" s="4" t="n">
        <v>255</v>
      </c>
      <c r="F167" s="3" t="inlineStr">
        <is>
          <t>صحيح</t>
        </is>
      </c>
      <c r="G167" s="3" t="inlineStr">
        <is>
          <t>فاتورة مبدئية 194، سجل العقود، كشف الحساب</t>
        </is>
      </c>
      <c r="H167" s="3" t="inlineStr"/>
    </row>
    <row r="168">
      <c r="A168" s="3" t="n">
        <v>167</v>
      </c>
      <c r="B168" s="12" t="n">
        <v>46112</v>
      </c>
      <c r="C168" s="3" t="inlineStr">
        <is>
          <t>WHT-4092</t>
        </is>
      </c>
      <c r="D168" s="4" t="n">
        <v>1306.75</v>
      </c>
      <c r="E168" s="4" t="n">
        <v>1306.75</v>
      </c>
      <c r="F168" s="3" t="inlineStr">
        <is>
          <t>صحيح</t>
        </is>
      </c>
      <c r="G168" s="3" t="inlineStr">
        <is>
          <t>فاتورة مبدئية 195، سجل العقود، كشف الحساب</t>
        </is>
      </c>
      <c r="H168" s="3" t="inlineStr"/>
    </row>
    <row r="169">
      <c r="A169" s="3" t="n">
        <v>168</v>
      </c>
      <c r="B169" s="12" t="n">
        <v>46113</v>
      </c>
      <c r="C169" s="3" t="inlineStr">
        <is>
          <t>WHT-4097</t>
        </is>
      </c>
      <c r="D169" s="4" t="n">
        <v>675</v>
      </c>
      <c r="E169" s="4" t="n">
        <v>675</v>
      </c>
      <c r="F169" s="3" t="inlineStr">
        <is>
          <t>صحيح</t>
        </is>
      </c>
      <c r="G169" s="3" t="inlineStr">
        <is>
          <t>فاتورة مبدئية 196، سجل العقود، كشف الحساب</t>
        </is>
      </c>
      <c r="H169" s="3" t="inlineStr"/>
    </row>
    <row r="170">
      <c r="A170" s="3" t="n">
        <v>169</v>
      </c>
      <c r="B170" s="12" t="n">
        <v>46114</v>
      </c>
      <c r="C170" s="3" t="inlineStr">
        <is>
          <t>WHT-4103</t>
        </is>
      </c>
      <c r="D170" s="4" t="n">
        <v>590</v>
      </c>
      <c r="E170" s="4" t="n">
        <v>590</v>
      </c>
      <c r="F170" s="3" t="inlineStr">
        <is>
          <t>صحيح</t>
        </is>
      </c>
      <c r="G170" s="3" t="inlineStr">
        <is>
          <t>فاتورة مبدئية 197، سجل العقود، كشف الحساب</t>
        </is>
      </c>
      <c r="H170" s="3" t="inlineStr"/>
    </row>
    <row r="171">
      <c r="A171" s="3" t="n">
        <v>170</v>
      </c>
      <c r="B171" s="12" t="n">
        <v>46116</v>
      </c>
      <c r="C171" s="3" t="inlineStr">
        <is>
          <t>WHT-4108</t>
        </is>
      </c>
      <c r="D171" s="4" t="n">
        <v>722.5</v>
      </c>
      <c r="E171" s="4" t="n">
        <v>722.5</v>
      </c>
      <c r="F171" s="3" t="inlineStr">
        <is>
          <t>صحيح</t>
        </is>
      </c>
      <c r="G171" s="3" t="inlineStr">
        <is>
          <t>فاتورة مبدئية 198، سجل العقود، كشف الحساب</t>
        </is>
      </c>
      <c r="H171" s="3" t="inlineStr"/>
    </row>
    <row r="172">
      <c r="A172" s="3" t="n">
        <v>171</v>
      </c>
      <c r="B172" s="12" t="n">
        <v>46117</v>
      </c>
      <c r="C172" s="3" t="inlineStr">
        <is>
          <t>WHT-4112</t>
        </is>
      </c>
      <c r="D172" s="4" t="n">
        <v>2030</v>
      </c>
      <c r="E172" s="4" t="n">
        <v>2030</v>
      </c>
      <c r="F172" s="3" t="inlineStr">
        <is>
          <t>صحيح</t>
        </is>
      </c>
      <c r="G172" s="3" t="inlineStr">
        <is>
          <t>فاتورة مبدئية 199، سجل العقود، كشف الحساب</t>
        </is>
      </c>
      <c r="H172" s="3" t="inlineStr"/>
    </row>
    <row r="173">
      <c r="A173" s="3" t="n">
        <v>172</v>
      </c>
      <c r="B173" s="12" t="n">
        <v>46118</v>
      </c>
      <c r="C173" s="3" t="inlineStr">
        <is>
          <t>WHT-4128</t>
        </is>
      </c>
      <c r="D173" s="4" t="n">
        <v>2650</v>
      </c>
      <c r="E173" s="4" t="n">
        <v>2650</v>
      </c>
      <c r="F173" s="3" t="inlineStr">
        <is>
          <t>صحيح</t>
        </is>
      </c>
      <c r="G173" s="3" t="inlineStr">
        <is>
          <t>فاتورة مبدئية 200، سجل العقود، كشف الحساب</t>
        </is>
      </c>
      <c r="H173" s="3" t="inlineStr"/>
    </row>
    <row r="174">
      <c r="A174" s="3" t="n">
        <v>173</v>
      </c>
      <c r="B174" s="12" t="n">
        <v>46119</v>
      </c>
      <c r="C174" s="3" t="inlineStr">
        <is>
          <t>WHT-4134</t>
        </is>
      </c>
      <c r="D174" s="4" t="n">
        <v>1000</v>
      </c>
      <c r="E174" s="4" t="n">
        <v>1000</v>
      </c>
      <c r="F174" s="3" t="inlineStr">
        <is>
          <t>صحيح</t>
        </is>
      </c>
      <c r="G174" s="3" t="inlineStr">
        <is>
          <t>فاتورة مبدئية 202، سجل العقود، كشف الحساب</t>
        </is>
      </c>
      <c r="H174" s="3" t="inlineStr"/>
    </row>
    <row r="175">
      <c r="A175" s="3" t="n">
        <v>174</v>
      </c>
      <c r="B175" s="12" t="n">
        <v>46121</v>
      </c>
      <c r="C175" s="3" t="inlineStr">
        <is>
          <t>WHT-4149</t>
        </is>
      </c>
      <c r="D175" s="4" t="n">
        <v>500</v>
      </c>
      <c r="E175" s="4" t="n">
        <v>500</v>
      </c>
      <c r="F175" s="3" t="inlineStr">
        <is>
          <t>صحيح</t>
        </is>
      </c>
      <c r="G175" s="3" t="inlineStr">
        <is>
          <t>فاتورة مبدئية 203، سجل العقود، كشف الحساب</t>
        </is>
      </c>
      <c r="H175" s="3" t="inlineStr"/>
    </row>
    <row r="176">
      <c r="A176" s="3" t="n">
        <v>175</v>
      </c>
      <c r="B176" s="12" t="n">
        <v>46123</v>
      </c>
      <c r="C176" s="3" t="inlineStr">
        <is>
          <t>WHT-4152</t>
        </is>
      </c>
      <c r="D176" s="4" t="n">
        <v>1335</v>
      </c>
      <c r="E176" s="4" t="n">
        <v>1335</v>
      </c>
      <c r="F176" s="3" t="inlineStr">
        <is>
          <t>صحيح</t>
        </is>
      </c>
      <c r="G176" s="3" t="inlineStr">
        <is>
          <t>فاتورة مبدئية 204، سجل العقود، كشف الحساب</t>
        </is>
      </c>
      <c r="H176" s="3" t="inlineStr"/>
    </row>
    <row r="177">
      <c r="A177" s="3" t="n">
        <v>176</v>
      </c>
      <c r="B177" s="12" t="n">
        <v>46127</v>
      </c>
      <c r="C177" s="3" t="inlineStr">
        <is>
          <t>WHT-4181</t>
        </is>
      </c>
      <c r="D177" s="4" t="n">
        <v>1195</v>
      </c>
      <c r="E177" s="4" t="n">
        <v>1195</v>
      </c>
      <c r="F177" s="3" t="inlineStr">
        <is>
          <t>صحيح</t>
        </is>
      </c>
      <c r="G177" s="3" t="inlineStr">
        <is>
          <t>فاتورة مبدئية 206، سجل العقود، كشف الحساب</t>
        </is>
      </c>
      <c r="H177" s="3" t="inlineStr"/>
    </row>
    <row r="178">
      <c r="A178" s="3" t="n">
        <v>177</v>
      </c>
      <c r="B178" s="12" t="n">
        <v>46130</v>
      </c>
      <c r="C178" s="3" t="inlineStr">
        <is>
          <t>WHT-4187</t>
        </is>
      </c>
      <c r="D178" s="4" t="n">
        <v>2850</v>
      </c>
      <c r="E178" s="4" t="n">
        <v>2850</v>
      </c>
      <c r="F178" s="3" t="inlineStr">
        <is>
          <t>صحيح</t>
        </is>
      </c>
      <c r="G178" s="3" t="inlineStr">
        <is>
          <t>فاتورة مبدئية 209، سجل العقود، كشف الحساب</t>
        </is>
      </c>
      <c r="H178" s="3" t="inlineStr"/>
    </row>
    <row r="179">
      <c r="A179" s="3" t="n">
        <v>178</v>
      </c>
      <c r="B179" s="12" t="n">
        <v>46131</v>
      </c>
      <c r="C179" s="3" t="inlineStr">
        <is>
          <t>WHT-4191</t>
        </is>
      </c>
      <c r="D179" s="4" t="n">
        <v>1400</v>
      </c>
      <c r="E179" s="4" t="n">
        <v>1400</v>
      </c>
      <c r="F179" s="3" t="inlineStr">
        <is>
          <t>صحيح</t>
        </is>
      </c>
      <c r="G179" s="3" t="inlineStr">
        <is>
          <t>فاتورة مبدئية 210، سجل العقود، كشف الحساب</t>
        </is>
      </c>
      <c r="H179" s="3" t="inlineStr"/>
    </row>
    <row r="180">
      <c r="A180" s="3" t="n">
        <v>179</v>
      </c>
      <c r="B180" s="12" t="n">
        <v>46132</v>
      </c>
      <c r="C180" s="3" t="inlineStr">
        <is>
          <t>WHT-4193</t>
        </is>
      </c>
      <c r="D180" s="4" t="n">
        <v>1390</v>
      </c>
      <c r="E180" s="4" t="n">
        <v>1390</v>
      </c>
      <c r="F180" s="3" t="inlineStr">
        <is>
          <t>صحيح</t>
        </is>
      </c>
      <c r="G180" s="3" t="inlineStr">
        <is>
          <t>فاتورة مبدئية 212، سجل العقود، كشف الحساب</t>
        </is>
      </c>
      <c r="H180" s="3" t="inlineStr"/>
    </row>
    <row r="181">
      <c r="A181" s="3" t="n">
        <v>180</v>
      </c>
      <c r="B181" s="12" t="n">
        <v>46133</v>
      </c>
      <c r="C181" s="3" t="inlineStr">
        <is>
          <t>WHT-4198</t>
        </is>
      </c>
      <c r="D181" s="4" t="n">
        <v>555</v>
      </c>
      <c r="E181" s="4" t="n">
        <v>555</v>
      </c>
      <c r="F181" s="3" t="inlineStr">
        <is>
          <t>صحيح</t>
        </is>
      </c>
      <c r="G181" s="3" t="inlineStr">
        <is>
          <t>فاتورة مبدئية 213، سجل العقود، كشف الحساب</t>
        </is>
      </c>
      <c r="H181" s="3" t="inlineStr"/>
    </row>
    <row r="182">
      <c r="A182" s="3" t="n">
        <v>181</v>
      </c>
      <c r="B182" s="12" t="n">
        <v>46134</v>
      </c>
      <c r="C182" s="3" t="inlineStr">
        <is>
          <t>WHT-4207</t>
        </is>
      </c>
      <c r="D182" s="4" t="n">
        <v>2160</v>
      </c>
      <c r="E182" s="4" t="n">
        <v>2160</v>
      </c>
      <c r="F182" s="3" t="inlineStr">
        <is>
          <t>صحيح</t>
        </is>
      </c>
      <c r="G182" s="3" t="inlineStr">
        <is>
          <t>فاتورة مبدئية 216، سجل العقود، كشف الحساب</t>
        </is>
      </c>
      <c r="H182" s="3" t="inlineStr"/>
    </row>
    <row r="183">
      <c r="A183" s="3" t="n">
        <v>182</v>
      </c>
      <c r="B183" s="12" t="n">
        <v>46137</v>
      </c>
      <c r="C183" s="3" t="inlineStr">
        <is>
          <t>WHT-4214</t>
        </is>
      </c>
      <c r="D183" s="4" t="n">
        <v>2157.5</v>
      </c>
      <c r="E183" s="4" t="n">
        <v>2157.5</v>
      </c>
      <c r="F183" s="3" t="inlineStr">
        <is>
          <t>صحيح</t>
        </is>
      </c>
      <c r="G183" s="3" t="inlineStr">
        <is>
          <t>فاتورة مبدئية 218، سجل العقود، كشف الحساب</t>
        </is>
      </c>
      <c r="H183" s="3" t="inlineStr"/>
    </row>
    <row r="184">
      <c r="A184" s="3" t="n">
        <v>183</v>
      </c>
      <c r="B184" s="12" t="n">
        <v>46138</v>
      </c>
      <c r="C184" s="3" t="inlineStr">
        <is>
          <t>WHT-4219</t>
        </is>
      </c>
      <c r="D184" s="4" t="n">
        <v>1835</v>
      </c>
      <c r="E184" s="4" t="n">
        <v>1835</v>
      </c>
      <c r="F184" s="3" t="inlineStr">
        <is>
          <t>صحيح</t>
        </is>
      </c>
      <c r="G184" s="3" t="inlineStr">
        <is>
          <t>فاتورة مبدئية 220، سجل العقود، كشف الحساب</t>
        </is>
      </c>
      <c r="H184" s="3" t="inlineStr"/>
    </row>
    <row r="185">
      <c r="A185" s="3" t="n">
        <v>184</v>
      </c>
      <c r="B185" s="12" t="n">
        <v>46139</v>
      </c>
      <c r="C185" s="3" t="inlineStr">
        <is>
          <t>WHT-4226</t>
        </is>
      </c>
      <c r="D185" s="4" t="n">
        <v>1327.5</v>
      </c>
      <c r="E185" s="4" t="n">
        <v>1327.5</v>
      </c>
      <c r="F185" s="3" t="inlineStr">
        <is>
          <t>صحيح</t>
        </is>
      </c>
      <c r="G185" s="3" t="inlineStr">
        <is>
          <t>فاتورة مبدئية 221، سجل العقود، كشف الحساب</t>
        </is>
      </c>
      <c r="H185" s="3" t="inlineStr"/>
    </row>
    <row r="186">
      <c r="A186" s="3" t="n">
        <v>185</v>
      </c>
      <c r="B186" s="12" t="n">
        <v>46141</v>
      </c>
      <c r="C186" s="3" t="inlineStr">
        <is>
          <t>WHT-4230</t>
        </is>
      </c>
      <c r="D186" s="4" t="n">
        <v>757.5</v>
      </c>
      <c r="E186" s="4" t="n">
        <v>757.5</v>
      </c>
      <c r="F186" s="3" t="inlineStr">
        <is>
          <t>صحيح</t>
        </is>
      </c>
      <c r="G186" s="3" t="inlineStr">
        <is>
          <t>فاتورة مبدئية 222، سجل العقود، كشف الحساب</t>
        </is>
      </c>
      <c r="H186" s="3" t="inlineStr"/>
    </row>
    <row r="187">
      <c r="A187" s="3" t="n">
        <v>186</v>
      </c>
      <c r="B187" s="12" t="n">
        <v>46141</v>
      </c>
      <c r="C187" s="3" t="inlineStr">
        <is>
          <t>WHT-4234</t>
        </is>
      </c>
      <c r="D187" s="4" t="n">
        <v>1350</v>
      </c>
      <c r="E187" s="4" t="n">
        <v>1350</v>
      </c>
      <c r="F187" s="3" t="inlineStr">
        <is>
          <t>صحيح</t>
        </is>
      </c>
      <c r="G187" s="3" t="inlineStr">
        <is>
          <t>فاتورة مبدئية 224، سجل العقود، كشف الحساب</t>
        </is>
      </c>
      <c r="H187" s="3" t="inlineStr"/>
    </row>
    <row r="188">
      <c r="A188" s="16" t="n">
        <v>187</v>
      </c>
      <c r="B188" s="17" t="n">
        <v>46142</v>
      </c>
      <c r="C188" s="16" t="inlineStr">
        <is>
          <t>WHT-4243</t>
        </is>
      </c>
      <c r="D188" s="18" t="n">
        <v>1350</v>
      </c>
      <c r="E188" s="18" t="n">
        <v>1350</v>
      </c>
      <c r="F188" s="16" t="inlineStr">
        <is>
          <t>صحيح (تصحيح رقم)</t>
        </is>
      </c>
      <c r="G188" s="16" t="inlineStr">
        <is>
          <t>فاتورة مبدئية 225، سجل العقود</t>
        </is>
      </c>
      <c r="H188" s="16" t="inlineStr">
        <is>
          <t>رقم العقد مكرر في شيت المحاسب – الصحيح WHT-4243</t>
        </is>
      </c>
    </row>
    <row r="189">
      <c r="A189" s="3" t="n">
        <v>188</v>
      </c>
      <c r="B189" s="12" t="n">
        <v>46144</v>
      </c>
      <c r="C189" s="3" t="inlineStr">
        <is>
          <t>WHT-4247</t>
        </is>
      </c>
      <c r="D189" s="4" t="n">
        <v>895</v>
      </c>
      <c r="E189" s="4" t="n">
        <v>895</v>
      </c>
      <c r="F189" s="3" t="inlineStr">
        <is>
          <t>صحيح</t>
        </is>
      </c>
      <c r="G189" s="3" t="inlineStr">
        <is>
          <t>فاتورة مبدئية 226، سجل العقود، كشف الحساب</t>
        </is>
      </c>
      <c r="H189" s="3" t="inlineStr"/>
    </row>
    <row r="190">
      <c r="A190" s="3" t="n">
        <v>189</v>
      </c>
      <c r="B190" s="12" t="n">
        <v>46145</v>
      </c>
      <c r="C190" s="3" t="inlineStr">
        <is>
          <t>WHT-4260</t>
        </is>
      </c>
      <c r="D190" s="4" t="n">
        <v>1950</v>
      </c>
      <c r="E190" s="4" t="n">
        <v>1950</v>
      </c>
      <c r="F190" s="3" t="inlineStr">
        <is>
          <t>صحيح</t>
        </is>
      </c>
      <c r="G190" s="3" t="inlineStr">
        <is>
          <t>فاتورة مبدئية 228، سجل العقود، كشف الحساب</t>
        </is>
      </c>
      <c r="H190" s="3" t="inlineStr"/>
    </row>
    <row r="191">
      <c r="A191" s="3" t="n">
        <v>190</v>
      </c>
      <c r="B191" s="12" t="n">
        <v>46146</v>
      </c>
      <c r="C191" s="3" t="inlineStr">
        <is>
          <t>WHT-4270</t>
        </is>
      </c>
      <c r="D191" s="4" t="n">
        <v>2895</v>
      </c>
      <c r="E191" s="4" t="n">
        <v>2895</v>
      </c>
      <c r="F191" s="3" t="inlineStr">
        <is>
          <t>صحيح</t>
        </is>
      </c>
      <c r="G191" s="3" t="inlineStr">
        <is>
          <t>فاتورة مبدئية 230، سجل العقود، كشف الحساب</t>
        </is>
      </c>
      <c r="H191" s="3" t="inlineStr"/>
    </row>
    <row r="192">
      <c r="A192" s="3" t="n">
        <v>191</v>
      </c>
      <c r="B192" s="12" t="n">
        <v>46147</v>
      </c>
      <c r="C192" s="3" t="inlineStr">
        <is>
          <t>WHT-4276</t>
        </is>
      </c>
      <c r="D192" s="4" t="n">
        <v>2880</v>
      </c>
      <c r="E192" s="4" t="n">
        <v>2880</v>
      </c>
      <c r="F192" s="3" t="inlineStr">
        <is>
          <t>صحيح</t>
        </is>
      </c>
      <c r="G192" s="3" t="inlineStr">
        <is>
          <t>فاتورة مبدئية 232، سجل العقود، كشف الحساب</t>
        </is>
      </c>
      <c r="H192" s="3" t="inlineStr"/>
    </row>
    <row r="193">
      <c r="A193" s="3" t="n">
        <v>192</v>
      </c>
      <c r="B193" s="12" t="n">
        <v>46148</v>
      </c>
      <c r="C193" s="3" t="inlineStr">
        <is>
          <t>WHT-4285</t>
        </is>
      </c>
      <c r="D193" s="4" t="n">
        <v>3330</v>
      </c>
      <c r="E193" s="4" t="n">
        <v>3330</v>
      </c>
      <c r="F193" s="3" t="inlineStr">
        <is>
          <t>صحيح</t>
        </is>
      </c>
      <c r="G193" s="3" t="inlineStr">
        <is>
          <t>فاتورة مبدئية 234، سجل العقود، كشف الحساب</t>
        </is>
      </c>
      <c r="H193" s="3" t="inlineStr"/>
    </row>
    <row r="194">
      <c r="A194" s="3" t="n">
        <v>193</v>
      </c>
      <c r="B194" s="12" t="n">
        <v>46149</v>
      </c>
      <c r="C194" s="3" t="inlineStr">
        <is>
          <t>WHT-4287</t>
        </is>
      </c>
      <c r="D194" s="4" t="n">
        <v>3060</v>
      </c>
      <c r="E194" s="4" t="n">
        <v>3060</v>
      </c>
      <c r="F194" s="3" t="inlineStr">
        <is>
          <t>صحيح</t>
        </is>
      </c>
      <c r="G194" s="3" t="inlineStr">
        <is>
          <t>فاتورة مبدئية 236، سجل العقود، كشف الحساب</t>
        </is>
      </c>
      <c r="H194" s="3" t="inlineStr"/>
    </row>
    <row r="195">
      <c r="A195" s="3" t="n">
        <v>194</v>
      </c>
      <c r="B195" s="12" t="n">
        <v>46151</v>
      </c>
      <c r="C195" s="3" t="inlineStr">
        <is>
          <t>WHT-4289</t>
        </is>
      </c>
      <c r="D195" s="4" t="n">
        <v>4337.5</v>
      </c>
      <c r="E195" s="4" t="n">
        <v>4337.5</v>
      </c>
      <c r="F195" s="3" t="inlineStr">
        <is>
          <t>صحيح</t>
        </is>
      </c>
      <c r="G195" s="3" t="inlineStr">
        <is>
          <t>فاتورة مبدئية 237، سجل العقود، كشف الحساب</t>
        </is>
      </c>
      <c r="H195" s="3" t="inlineStr"/>
    </row>
    <row r="196">
      <c r="A196" s="3" t="n">
        <v>195</v>
      </c>
      <c r="B196" s="12" t="n">
        <v>46152</v>
      </c>
      <c r="C196" s="3" t="inlineStr">
        <is>
          <t>WHT-4299</t>
        </is>
      </c>
      <c r="D196" s="4" t="n">
        <v>2415</v>
      </c>
      <c r="E196" s="4" t="n">
        <v>2415</v>
      </c>
      <c r="F196" s="3" t="inlineStr">
        <is>
          <t>صحيح</t>
        </is>
      </c>
      <c r="G196" s="3" t="inlineStr">
        <is>
          <t>فاتورة مبدئية 240، سجل العقود، كشف الحساب</t>
        </is>
      </c>
      <c r="H196" s="3" t="inlineStr"/>
    </row>
    <row r="197">
      <c r="A197" s="3" t="n">
        <v>196</v>
      </c>
      <c r="B197" s="12" t="n">
        <v>46153</v>
      </c>
      <c r="C197" s="3" t="inlineStr">
        <is>
          <t>WHT-4303</t>
        </is>
      </c>
      <c r="D197" s="4" t="n">
        <v>3225</v>
      </c>
      <c r="E197" s="4" t="n">
        <v>3225</v>
      </c>
      <c r="F197" s="3" t="inlineStr">
        <is>
          <t>صحيح</t>
        </is>
      </c>
      <c r="G197" s="3" t="inlineStr">
        <is>
          <t>فاتورة مبدئية 241، سجل العقود، كشف الحساب</t>
        </is>
      </c>
      <c r="H197" s="3" t="inlineStr"/>
    </row>
    <row r="198">
      <c r="A198" s="3" t="n">
        <v>197</v>
      </c>
      <c r="B198" s="12" t="n">
        <v>46154</v>
      </c>
      <c r="C198" s="3" t="inlineStr">
        <is>
          <t>WHT-4307</t>
        </is>
      </c>
      <c r="D198" s="4" t="n">
        <v>2448.75</v>
      </c>
      <c r="E198" s="4" t="n">
        <v>2448.75</v>
      </c>
      <c r="F198" s="3" t="inlineStr">
        <is>
          <t>صحيح</t>
        </is>
      </c>
      <c r="G198" s="3" t="inlineStr">
        <is>
          <t>فاتورة مبدئية 244، سجل العقود، كشف الحساب</t>
        </is>
      </c>
      <c r="H198" s="3" t="inlineStr"/>
    </row>
    <row r="199">
      <c r="A199" s="3" t="n">
        <v>198</v>
      </c>
      <c r="B199" s="12" t="n">
        <v>46155</v>
      </c>
      <c r="C199" s="3" t="inlineStr">
        <is>
          <t>WHT-4309</t>
        </is>
      </c>
      <c r="D199" s="4" t="n">
        <v>2531</v>
      </c>
      <c r="E199" s="4" t="n">
        <v>2531</v>
      </c>
      <c r="F199" s="3" t="inlineStr">
        <is>
          <t>صحيح</t>
        </is>
      </c>
      <c r="G199" s="3" t="inlineStr">
        <is>
          <t>فاتورة مبدئية 245، سجل العقود، كشف الحساب</t>
        </is>
      </c>
      <c r="H199" s="3" t="inlineStr"/>
    </row>
    <row r="200">
      <c r="A200" s="3" t="n">
        <v>199</v>
      </c>
      <c r="B200" s="12" t="n">
        <v>46156</v>
      </c>
      <c r="C200" s="3" t="inlineStr">
        <is>
          <t>WHT-4313</t>
        </is>
      </c>
      <c r="D200" s="4" t="n">
        <v>3370</v>
      </c>
      <c r="E200" s="4" t="n">
        <v>3370</v>
      </c>
      <c r="F200" s="3" t="inlineStr">
        <is>
          <t>صحيح</t>
        </is>
      </c>
      <c r="G200" s="3" t="inlineStr">
        <is>
          <t>فاتورة مبدئية 246، سجل العقود، كشف الحساب</t>
        </is>
      </c>
      <c r="H200" s="3" t="inlineStr"/>
    </row>
    <row r="201">
      <c r="A201" s="3" t="n">
        <v>200</v>
      </c>
      <c r="B201" s="12" t="n">
        <v>46158</v>
      </c>
      <c r="C201" s="3" t="inlineStr">
        <is>
          <t>WHT-4317</t>
        </is>
      </c>
      <c r="D201" s="4" t="n">
        <v>3525</v>
      </c>
      <c r="E201" s="4" t="n">
        <v>3525</v>
      </c>
      <c r="F201" s="3" t="inlineStr">
        <is>
          <t>صحيح</t>
        </is>
      </c>
      <c r="G201" s="3" t="inlineStr">
        <is>
          <t>فاتورة مبدئية 248، سجل العقود، كشف الحساب</t>
        </is>
      </c>
      <c r="H201" s="3" t="inlineStr"/>
    </row>
    <row r="202">
      <c r="A202" s="3" t="n">
        <v>201</v>
      </c>
      <c r="B202" s="12" t="n">
        <v>46159</v>
      </c>
      <c r="C202" s="3" t="inlineStr">
        <is>
          <t>WHT-4322</t>
        </is>
      </c>
      <c r="D202" s="4" t="n">
        <v>2892</v>
      </c>
      <c r="E202" s="4" t="n">
        <v>2892</v>
      </c>
      <c r="F202" s="3" t="inlineStr">
        <is>
          <t>صحيح</t>
        </is>
      </c>
      <c r="G202" s="3" t="inlineStr">
        <is>
          <t>فاتورة مبدئية 249، سجل العقود، كشف الحساب</t>
        </is>
      </c>
      <c r="H202" s="3" t="inlineStr"/>
    </row>
    <row r="203">
      <c r="A203" s="3" t="n">
        <v>202</v>
      </c>
      <c r="B203" s="12" t="n">
        <v>46160</v>
      </c>
      <c r="C203" s="3" t="inlineStr">
        <is>
          <t>WHT-4326</t>
        </is>
      </c>
      <c r="D203" s="4" t="n">
        <v>2145</v>
      </c>
      <c r="E203" s="4" t="n">
        <v>2145</v>
      </c>
      <c r="F203" s="3" t="inlineStr">
        <is>
          <t>صحيح</t>
        </is>
      </c>
      <c r="G203" s="3" t="inlineStr">
        <is>
          <t>فاتورة مبدئية 251، سجل العقود، كشف الحساب</t>
        </is>
      </c>
      <c r="H203" s="3" t="inlineStr"/>
    </row>
    <row r="204">
      <c r="A204" s="3" t="n">
        <v>203</v>
      </c>
      <c r="B204" s="12" t="n">
        <v>46166</v>
      </c>
      <c r="C204" s="3" t="inlineStr">
        <is>
          <t>WHT-4340</t>
        </is>
      </c>
      <c r="D204" s="4" t="n">
        <v>1570</v>
      </c>
      <c r="E204" s="4" t="n">
        <v>1570</v>
      </c>
      <c r="F204" s="3" t="inlineStr">
        <is>
          <t>صحيح</t>
        </is>
      </c>
      <c r="G204" s="3" t="inlineStr">
        <is>
          <t>فاتورة مبدئية 253، سجل العقود، كشف الحساب</t>
        </is>
      </c>
      <c r="H204" s="3" t="inlineStr"/>
    </row>
    <row r="205">
      <c r="A205" s="3" t="n">
        <v>204</v>
      </c>
      <c r="B205" s="12" t="n">
        <v>46167</v>
      </c>
      <c r="C205" s="3" t="inlineStr">
        <is>
          <t>WHT-4342</t>
        </is>
      </c>
      <c r="D205" s="4" t="n">
        <v>2950</v>
      </c>
      <c r="E205" s="4" t="n">
        <v>2950</v>
      </c>
      <c r="F205" s="3" t="inlineStr">
        <is>
          <t>صحيح</t>
        </is>
      </c>
      <c r="G205" s="3" t="inlineStr">
        <is>
          <t>فاتورة مبدئية 254، سجل العقود، كشف الحساب</t>
        </is>
      </c>
      <c r="H205" s="3" t="inlineStr"/>
    </row>
    <row r="206">
      <c r="A206" s="3" t="n">
        <v>205</v>
      </c>
      <c r="B206" s="12" t="n">
        <v>46167</v>
      </c>
      <c r="C206" s="3" t="inlineStr">
        <is>
          <t>WHT-4346</t>
        </is>
      </c>
      <c r="D206" s="4" t="n">
        <v>4417.5</v>
      </c>
      <c r="E206" s="4" t="n">
        <v>4417.5</v>
      </c>
      <c r="F206" s="3" t="inlineStr">
        <is>
          <t>صحيح</t>
        </is>
      </c>
      <c r="G206" s="3" t="inlineStr">
        <is>
          <t>فاتورة مبدئية 256، سجل العقود، كشف الحساب</t>
        </is>
      </c>
      <c r="H206" s="3" t="inlineStr"/>
    </row>
    <row r="207">
      <c r="A207" s="3" t="n">
        <v>206</v>
      </c>
      <c r="B207" s="12" t="n">
        <v>46168</v>
      </c>
      <c r="C207" s="3" t="inlineStr">
        <is>
          <t>WHT-4347</t>
        </is>
      </c>
      <c r="D207" s="4" t="n">
        <v>4420</v>
      </c>
      <c r="E207" s="4" t="n">
        <v>4420</v>
      </c>
      <c r="F207" s="3" t="inlineStr">
        <is>
          <t>صحيح</t>
        </is>
      </c>
      <c r="G207" s="3" t="inlineStr">
        <is>
          <t>فاتورة مبدئية 257، سجل العقود، كشف الحساب</t>
        </is>
      </c>
      <c r="H207" s="3" t="inlineStr"/>
    </row>
    <row r="208">
      <c r="A208" s="3" t="n">
        <v>207</v>
      </c>
      <c r="B208" s="12" t="n">
        <v>46172</v>
      </c>
      <c r="C208" s="3" t="inlineStr">
        <is>
          <t>WHT-4348</t>
        </is>
      </c>
      <c r="D208" s="4" t="n">
        <v>2765</v>
      </c>
      <c r="E208" s="4" t="n">
        <v>2765</v>
      </c>
      <c r="F208" s="3" t="inlineStr">
        <is>
          <t>صحيح</t>
        </is>
      </c>
      <c r="G208" s="3" t="inlineStr">
        <is>
          <t>فاتورة مبدئية 258، سجل العقود، كشف الحساب</t>
        </is>
      </c>
      <c r="H208" s="3" t="inlineStr"/>
    </row>
    <row r="209">
      <c r="A209" s="3" t="n">
        <v>208</v>
      </c>
      <c r="B209" s="12" t="n">
        <v>46173</v>
      </c>
      <c r="C209" s="3" t="inlineStr">
        <is>
          <t>WHT-4349</t>
        </is>
      </c>
      <c r="D209" s="4" t="n">
        <v>1395</v>
      </c>
      <c r="E209" s="4" t="n">
        <v>1395</v>
      </c>
      <c r="F209" s="3" t="inlineStr">
        <is>
          <t>صحيح</t>
        </is>
      </c>
      <c r="G209" s="3" t="inlineStr">
        <is>
          <t>فاتورة مبدئية 259، سجل العقود، كشف الحساب</t>
        </is>
      </c>
      <c r="H209" s="3" t="inlineStr"/>
    </row>
    <row r="210">
      <c r="A210" s="3" t="n">
        <v>209</v>
      </c>
      <c r="B210" s="12" t="n">
        <v>46174</v>
      </c>
      <c r="C210" s="3" t="inlineStr">
        <is>
          <t>WHT-4352</t>
        </is>
      </c>
      <c r="D210" s="4" t="n">
        <v>2349</v>
      </c>
      <c r="E210" s="4" t="n">
        <v>2349</v>
      </c>
      <c r="F210" s="3" t="inlineStr">
        <is>
          <t>صحيح</t>
        </is>
      </c>
      <c r="G210" s="3" t="inlineStr">
        <is>
          <t>فاتورة مبدئية 260، سجل العقود، كشف الحساب</t>
        </is>
      </c>
      <c r="H210" s="3" t="inlineStr"/>
    </row>
    <row r="211">
      <c r="A211" s="3" t="n">
        <v>210</v>
      </c>
      <c r="B211" s="12" t="n">
        <v>46175</v>
      </c>
      <c r="C211" s="3" t="inlineStr">
        <is>
          <t>WHT-4357</t>
        </is>
      </c>
      <c r="D211" s="4" t="n">
        <v>2065</v>
      </c>
      <c r="E211" s="4" t="n">
        <v>2065</v>
      </c>
      <c r="F211" s="3" t="inlineStr">
        <is>
          <t>صحيح</t>
        </is>
      </c>
      <c r="G211" s="3" t="inlineStr">
        <is>
          <t>فاتورة مبدئية 261، سجل العقود، كشف الحساب</t>
        </is>
      </c>
      <c r="H211" s="3" t="inlineStr"/>
    </row>
    <row r="212">
      <c r="A212" s="3" t="n">
        <v>211</v>
      </c>
      <c r="B212" s="12" t="n">
        <v>46176</v>
      </c>
      <c r="C212" s="3" t="inlineStr">
        <is>
          <t>WHT-4360</t>
        </is>
      </c>
      <c r="D212" s="4" t="n">
        <v>1542.5</v>
      </c>
      <c r="E212" s="4" t="n">
        <v>1542.5</v>
      </c>
      <c r="F212" s="3" t="inlineStr">
        <is>
          <t>صحيح</t>
        </is>
      </c>
      <c r="G212" s="3" t="inlineStr">
        <is>
          <t>فاتورة مبدئية 263، كشف الحساب</t>
        </is>
      </c>
      <c r="H212" s="3" t="inlineStr"/>
    </row>
    <row r="213">
      <c r="A213" s="5" t="inlineStr"/>
      <c r="B213" s="5" t="inlineStr"/>
      <c r="C213" s="5" t="inlineStr">
        <is>
          <t>الإجمالي</t>
        </is>
      </c>
      <c r="D213" s="6">
        <f>SUM(D2:D212)</f>
        <v/>
      </c>
      <c r="E213" s="6">
        <f>SUM(E2:E212)</f>
        <v/>
      </c>
      <c r="F213" s="5" t="n"/>
      <c r="G213" s="5" t="n"/>
      <c r="H213" s="5" t="n"/>
    </row>
  </sheetData>
  <autoFilter ref="A1:H2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17" customWidth="1" min="4" max="4"/>
    <col width="16" customWidth="1" min="5" max="5"/>
    <col width="16" customWidth="1" min="6" max="6"/>
    <col width="40" customWidth="1" min="7" max="7"/>
    <col width="80" customWidth="1" min="8" max="8"/>
  </cols>
  <sheetData>
    <row r="1">
      <c r="A1" s="2" t="inlineStr">
        <is>
          <t>م</t>
        </is>
      </c>
      <c r="B1" s="2" t="inlineStr">
        <is>
          <t>التاريخ</t>
        </is>
      </c>
      <c r="C1" s="2" t="inlineStr">
        <is>
          <t>رقم العقد</t>
        </is>
      </c>
      <c r="D1" s="2" t="inlineStr">
        <is>
          <t>القيمة بشيت المحاسب</t>
        </is>
      </c>
      <c r="E1" s="2" t="inlineStr">
        <is>
          <t>القيمة المعتمدة</t>
        </is>
      </c>
      <c r="F1" s="2" t="inlineStr">
        <is>
          <t>الحالة</t>
        </is>
      </c>
      <c r="G1" s="2" t="inlineStr">
        <is>
          <t>المستندات المؤيدة</t>
        </is>
      </c>
      <c r="H1" s="2" t="inlineStr">
        <is>
          <t>ملاحظة</t>
        </is>
      </c>
    </row>
    <row r="2">
      <c r="A2" s="3" t="n">
        <v>1</v>
      </c>
      <c r="B2" s="12" t="n">
        <v>45983</v>
      </c>
      <c r="C2" s="3" t="inlineStr">
        <is>
          <t>WHE-2973</t>
        </is>
      </c>
      <c r="D2" s="4" t="n">
        <v>6315</v>
      </c>
      <c r="E2" s="4" t="n">
        <v>6315</v>
      </c>
      <c r="F2" s="3" t="inlineStr">
        <is>
          <t>صحيح</t>
        </is>
      </c>
      <c r="G2" s="3" t="inlineStr">
        <is>
          <t>فاتورة مبدئية 62، سجل العقود، كشف الحساب</t>
        </is>
      </c>
      <c r="H2" s="3" t="inlineStr"/>
    </row>
    <row r="3">
      <c r="A3" s="3" t="n">
        <v>2</v>
      </c>
      <c r="B3" s="12" t="n">
        <v>45987</v>
      </c>
      <c r="C3" s="3" t="inlineStr">
        <is>
          <t>WHE-3011</t>
        </is>
      </c>
      <c r="D3" s="4" t="n">
        <v>8300.5</v>
      </c>
      <c r="E3" s="4" t="n">
        <v>8300.5</v>
      </c>
      <c r="F3" s="3" t="inlineStr">
        <is>
          <t>صحيح</t>
        </is>
      </c>
      <c r="G3" s="3" t="inlineStr">
        <is>
          <t>فاتورة مبدئية 67، سجل العقود، كشف الحساب</t>
        </is>
      </c>
      <c r="H3" s="3" t="inlineStr"/>
    </row>
    <row r="4">
      <c r="A4" s="3" t="n">
        <v>3</v>
      </c>
      <c r="B4" s="12" t="n">
        <v>45989</v>
      </c>
      <c r="C4" s="3" t="inlineStr">
        <is>
          <t>WHE-3041</t>
        </is>
      </c>
      <c r="D4" s="4" t="n">
        <v>7387.5</v>
      </c>
      <c r="E4" s="4" t="n">
        <v>7387.5</v>
      </c>
      <c r="F4" s="3" t="inlineStr">
        <is>
          <t>صحيح</t>
        </is>
      </c>
      <c r="G4" s="3" t="inlineStr">
        <is>
          <t>فاتورة مبدئية 70، سجل العقود، كشف الحساب</t>
        </is>
      </c>
      <c r="H4" s="3" t="inlineStr"/>
    </row>
    <row r="5">
      <c r="A5" s="3" t="n">
        <v>4</v>
      </c>
      <c r="B5" s="12" t="n">
        <v>45991</v>
      </c>
      <c r="C5" s="3" t="inlineStr">
        <is>
          <t>WHE-3076</t>
        </is>
      </c>
      <c r="D5" s="4" t="n">
        <v>8400</v>
      </c>
      <c r="E5" s="4" t="n">
        <v>8400</v>
      </c>
      <c r="F5" s="3" t="inlineStr">
        <is>
          <t>صحيح</t>
        </is>
      </c>
      <c r="G5" s="3" t="inlineStr">
        <is>
          <t>فاتورة مبدئية 73، سجل العقود، كشف الحساب</t>
        </is>
      </c>
      <c r="H5" s="3" t="inlineStr"/>
    </row>
    <row r="6">
      <c r="A6" s="3" t="n">
        <v>5</v>
      </c>
      <c r="B6" s="12" t="n">
        <v>46002</v>
      </c>
      <c r="C6" s="3" t="inlineStr">
        <is>
          <t>WHE-3212</t>
        </is>
      </c>
      <c r="D6" s="4" t="n">
        <v>10731.25</v>
      </c>
      <c r="E6" s="4" t="n">
        <v>10731.25</v>
      </c>
      <c r="F6" s="3" t="inlineStr">
        <is>
          <t>صحيح</t>
        </is>
      </c>
      <c r="G6" s="3" t="inlineStr">
        <is>
          <t>فاتورة مبدئية 85، سجل العقود، كشف الحساب</t>
        </is>
      </c>
      <c r="H6" s="3" t="inlineStr"/>
    </row>
    <row r="7">
      <c r="A7" s="3" t="n">
        <v>6</v>
      </c>
      <c r="B7" s="12" t="n">
        <v>46006</v>
      </c>
      <c r="C7" s="3" t="inlineStr">
        <is>
          <t>WHE-3245</t>
        </is>
      </c>
      <c r="D7" s="4" t="n">
        <v>4845.5</v>
      </c>
      <c r="E7" s="4" t="n">
        <v>4845.5</v>
      </c>
      <c r="F7" s="3" t="inlineStr">
        <is>
          <t>صحيح</t>
        </is>
      </c>
      <c r="G7" s="3" t="inlineStr">
        <is>
          <t>فاتورة مبدئية 90، سجل العقود، كشف الحساب</t>
        </is>
      </c>
      <c r="H7" s="3" t="inlineStr"/>
    </row>
    <row r="8">
      <c r="A8" s="3" t="n">
        <v>7</v>
      </c>
      <c r="B8" s="12" t="n">
        <v>46008</v>
      </c>
      <c r="C8" s="3" t="inlineStr">
        <is>
          <t>WHE-3274</t>
        </is>
      </c>
      <c r="D8" s="4" t="n">
        <v>6818.5</v>
      </c>
      <c r="E8" s="4" t="n">
        <v>6818.5</v>
      </c>
      <c r="F8" s="3" t="inlineStr">
        <is>
          <t>صحيح</t>
        </is>
      </c>
      <c r="G8" s="3" t="inlineStr">
        <is>
          <t>فاتورة مبدئية 94، سجل العقود، كشف الحساب</t>
        </is>
      </c>
      <c r="H8" s="3" t="inlineStr"/>
    </row>
    <row r="9">
      <c r="A9" s="3" t="n">
        <v>8</v>
      </c>
      <c r="B9" s="12" t="n">
        <v>46021</v>
      </c>
      <c r="C9" s="3" t="inlineStr">
        <is>
          <t>WHE-3402</t>
        </is>
      </c>
      <c r="D9" s="4" t="n">
        <v>6097.5</v>
      </c>
      <c r="E9" s="4" t="n">
        <v>6097.5</v>
      </c>
      <c r="F9" s="3" t="inlineStr">
        <is>
          <t>صحيح</t>
        </is>
      </c>
      <c r="G9" s="3" t="inlineStr">
        <is>
          <t>فاتورة مبدئية 104، كشف الحساب</t>
        </is>
      </c>
      <c r="H9" s="3" t="inlineStr"/>
    </row>
    <row r="10">
      <c r="A10" s="3" t="n">
        <v>9</v>
      </c>
      <c r="B10" s="12" t="n">
        <v>46024</v>
      </c>
      <c r="C10" s="3" t="inlineStr">
        <is>
          <t>WHE-3424</t>
        </is>
      </c>
      <c r="D10" s="4" t="n">
        <v>6577.5</v>
      </c>
      <c r="E10" s="4" t="n">
        <v>6577.5</v>
      </c>
      <c r="F10" s="3" t="inlineStr">
        <is>
          <t>صحيح</t>
        </is>
      </c>
      <c r="G10" s="3" t="inlineStr">
        <is>
          <t>فاتورة مبدئية 106، سجل العقود، كشف الحساب</t>
        </is>
      </c>
      <c r="H10" s="3" t="inlineStr"/>
    </row>
    <row r="11">
      <c r="A11" s="3" t="n">
        <v>10</v>
      </c>
      <c r="B11" s="12" t="n">
        <v>46027</v>
      </c>
      <c r="C11" s="3" t="inlineStr">
        <is>
          <t>WHE-3475</t>
        </is>
      </c>
      <c r="D11" s="4" t="n">
        <v>8985</v>
      </c>
      <c r="E11" s="4" t="n">
        <v>8985</v>
      </c>
      <c r="F11" s="3" t="inlineStr">
        <is>
          <t>صحيح</t>
        </is>
      </c>
      <c r="G11" s="3" t="inlineStr">
        <is>
          <t>فاتورة مبدئية 111، سجل العقود، كشف الحساب</t>
        </is>
      </c>
      <c r="H11" s="3" t="inlineStr"/>
    </row>
    <row r="12">
      <c r="A12" s="3" t="n">
        <v>11</v>
      </c>
      <c r="B12" s="12" t="n">
        <v>46037</v>
      </c>
      <c r="C12" s="3" t="inlineStr">
        <is>
          <t>WHE-3570</t>
        </is>
      </c>
      <c r="D12" s="4" t="n">
        <v>8562.5</v>
      </c>
      <c r="E12" s="4" t="n">
        <v>8562.5</v>
      </c>
      <c r="F12" s="3" t="inlineStr">
        <is>
          <t>صحيح</t>
        </is>
      </c>
      <c r="G12" s="3" t="inlineStr">
        <is>
          <t>فاتورة مبدئية 120، سجل العقود، كشف الحساب</t>
        </is>
      </c>
      <c r="H12" s="3" t="inlineStr"/>
    </row>
    <row r="13">
      <c r="A13" s="3" t="n">
        <v>12</v>
      </c>
      <c r="B13" s="12" t="n">
        <v>46042</v>
      </c>
      <c r="C13" s="3" t="inlineStr">
        <is>
          <t>WHE-3615</t>
        </is>
      </c>
      <c r="D13" s="4" t="n">
        <v>6699.5</v>
      </c>
      <c r="E13" s="4" t="n">
        <v>6699.5</v>
      </c>
      <c r="F13" s="3" t="inlineStr">
        <is>
          <t>صحيح</t>
        </is>
      </c>
      <c r="G13" s="3" t="inlineStr">
        <is>
          <t>فاتورة مبدئية 124، سجل العقود، كشف الحساب</t>
        </is>
      </c>
      <c r="H13" s="3" t="inlineStr"/>
    </row>
    <row r="14">
      <c r="A14" s="3" t="n">
        <v>13</v>
      </c>
      <c r="B14" s="12" t="n">
        <v>46048</v>
      </c>
      <c r="C14" s="3" t="inlineStr">
        <is>
          <t>WHE-3657</t>
        </is>
      </c>
      <c r="D14" s="4" t="n">
        <v>4881.25</v>
      </c>
      <c r="E14" s="4" t="n">
        <v>4881.25</v>
      </c>
      <c r="F14" s="3" t="inlineStr">
        <is>
          <t>صحيح</t>
        </is>
      </c>
      <c r="G14" s="3" t="inlineStr">
        <is>
          <t>فاتورة مبدئية 129، سجل العقود، كشف الحساب</t>
        </is>
      </c>
      <c r="H14" s="3" t="inlineStr"/>
    </row>
    <row r="15">
      <c r="A15" s="3" t="n">
        <v>14</v>
      </c>
      <c r="B15" s="12" t="n">
        <v>46053</v>
      </c>
      <c r="C15" s="3" t="inlineStr">
        <is>
          <t>WHE-3702</t>
        </is>
      </c>
      <c r="D15" s="4" t="n">
        <v>4311.25</v>
      </c>
      <c r="E15" s="4" t="n">
        <v>4311.25</v>
      </c>
      <c r="F15" s="3" t="inlineStr">
        <is>
          <t>صحيح</t>
        </is>
      </c>
      <c r="G15" s="3" t="inlineStr">
        <is>
          <t>فاتورة مبدئية 134، سجل العقود، كشف الحساب</t>
        </is>
      </c>
      <c r="H15" s="3" t="inlineStr"/>
    </row>
    <row r="16">
      <c r="A16" s="3" t="n">
        <v>15</v>
      </c>
      <c r="B16" s="12" t="n">
        <v>46056</v>
      </c>
      <c r="C16" s="3" t="inlineStr">
        <is>
          <t>WHE-3748</t>
        </is>
      </c>
      <c r="D16" s="4" t="n">
        <v>5237.5</v>
      </c>
      <c r="E16" s="4" t="n">
        <v>5237.5</v>
      </c>
      <c r="F16" s="3" t="inlineStr">
        <is>
          <t>صحيح</t>
        </is>
      </c>
      <c r="G16" s="3" t="inlineStr">
        <is>
          <t>فاتورة مبدئية 138، سجل العقود، كشف الحساب</t>
        </is>
      </c>
      <c r="H16" s="3" t="inlineStr"/>
    </row>
    <row r="17">
      <c r="A17" s="3" t="n">
        <v>16</v>
      </c>
      <c r="B17" s="12" t="n">
        <v>46058</v>
      </c>
      <c r="C17" s="3" t="inlineStr">
        <is>
          <t>WHE-3764</t>
        </is>
      </c>
      <c r="D17" s="4" t="n">
        <v>7425</v>
      </c>
      <c r="E17" s="4" t="n">
        <v>7425</v>
      </c>
      <c r="F17" s="3" t="inlineStr">
        <is>
          <t>صحيح</t>
        </is>
      </c>
      <c r="G17" s="3" t="inlineStr">
        <is>
          <t>فاتورة مبدئية 142، سجل العقود، كشف الحساب</t>
        </is>
      </c>
      <c r="H17" s="3" t="inlineStr"/>
    </row>
    <row r="18">
      <c r="A18" s="3" t="n">
        <v>17</v>
      </c>
      <c r="B18" s="12" t="n">
        <v>46062</v>
      </c>
      <c r="C18" s="3" t="inlineStr">
        <is>
          <t>WHE-3784</t>
        </is>
      </c>
      <c r="D18" s="4" t="n">
        <v>6660</v>
      </c>
      <c r="E18" s="4" t="n">
        <v>6660</v>
      </c>
      <c r="F18" s="3" t="inlineStr">
        <is>
          <t>صحيح</t>
        </is>
      </c>
      <c r="G18" s="3" t="inlineStr">
        <is>
          <t>فاتورة مبدئية 146، سجل العقود، كشف الحساب</t>
        </is>
      </c>
      <c r="H18" s="3" t="inlineStr"/>
    </row>
    <row r="19">
      <c r="A19" s="3" t="n">
        <v>18</v>
      </c>
      <c r="B19" s="12" t="n">
        <v>46065</v>
      </c>
      <c r="C19" s="3" t="inlineStr">
        <is>
          <t>WHE-3834</t>
        </is>
      </c>
      <c r="D19" s="4" t="n">
        <v>4628.75</v>
      </c>
      <c r="E19" s="4" t="n">
        <v>4628.75</v>
      </c>
      <c r="F19" s="3" t="inlineStr">
        <is>
          <t>صحيح</t>
        </is>
      </c>
      <c r="G19" s="3" t="inlineStr">
        <is>
          <t>فاتورة مبدئية 152، سجل العقود، كشف الحساب</t>
        </is>
      </c>
      <c r="H19" s="3" t="inlineStr"/>
    </row>
    <row r="20">
      <c r="A20" s="3" t="n">
        <v>19</v>
      </c>
      <c r="B20" s="12" t="n">
        <v>46068</v>
      </c>
      <c r="C20" s="3" t="inlineStr">
        <is>
          <t>WHE-3842</t>
        </is>
      </c>
      <c r="D20" s="4" t="n">
        <v>9600</v>
      </c>
      <c r="E20" s="4" t="n">
        <v>9600</v>
      </c>
      <c r="F20" s="3" t="inlineStr">
        <is>
          <t>صحيح</t>
        </is>
      </c>
      <c r="G20" s="3" t="inlineStr">
        <is>
          <t>فاتورة مبدئية 154، سجل العقود، كشف الحساب</t>
        </is>
      </c>
      <c r="H20" s="3" t="inlineStr"/>
    </row>
    <row r="21">
      <c r="A21" s="3" t="n">
        <v>20</v>
      </c>
      <c r="B21" s="12" t="n">
        <v>46071</v>
      </c>
      <c r="C21" s="3" t="inlineStr">
        <is>
          <t>WHE-3869</t>
        </is>
      </c>
      <c r="D21" s="4" t="n">
        <v>5768.75</v>
      </c>
      <c r="E21" s="4" t="n">
        <v>5768.75</v>
      </c>
      <c r="F21" s="3" t="inlineStr">
        <is>
          <t>صحيح</t>
        </is>
      </c>
      <c r="G21" s="3" t="inlineStr">
        <is>
          <t>فاتورة مبدئية 158، سجل العقود، كشف الحساب</t>
        </is>
      </c>
      <c r="H21" s="3" t="inlineStr"/>
    </row>
    <row r="22">
      <c r="A22" s="3" t="n">
        <v>21</v>
      </c>
      <c r="B22" s="12" t="n">
        <v>46075</v>
      </c>
      <c r="C22" s="3" t="inlineStr">
        <is>
          <t>WHE-3912</t>
        </is>
      </c>
      <c r="D22" s="4" t="n">
        <v>4952.5</v>
      </c>
      <c r="E22" s="4" t="n">
        <v>4952.5</v>
      </c>
      <c r="F22" s="3" t="inlineStr">
        <is>
          <t>صحيح</t>
        </is>
      </c>
      <c r="G22" s="3" t="inlineStr">
        <is>
          <t>فاتورة مبدئية 164، سجل العقود، كشف الحساب</t>
        </is>
      </c>
      <c r="H22" s="3" t="inlineStr"/>
    </row>
    <row r="23">
      <c r="A23" s="3" t="n">
        <v>22</v>
      </c>
      <c r="B23" s="12" t="n">
        <v>46084</v>
      </c>
      <c r="C23" s="3" t="inlineStr">
        <is>
          <t>WHE-3936</t>
        </is>
      </c>
      <c r="D23" s="4" t="n">
        <v>5331.25</v>
      </c>
      <c r="E23" s="4" t="n">
        <v>5331.25</v>
      </c>
      <c r="F23" s="3" t="inlineStr">
        <is>
          <t>صحيح</t>
        </is>
      </c>
      <c r="G23" s="3" t="inlineStr">
        <is>
          <t>فاتورة مبدئية 168، سجل العقود، كشف الحساب</t>
        </is>
      </c>
      <c r="H23" s="3" t="inlineStr"/>
    </row>
    <row r="24">
      <c r="A24" s="3" t="n">
        <v>23</v>
      </c>
      <c r="B24" s="12" t="n">
        <v>46085</v>
      </c>
      <c r="C24" s="3" t="inlineStr">
        <is>
          <t>WHE-3962</t>
        </is>
      </c>
      <c r="D24" s="4" t="n">
        <v>5463.75</v>
      </c>
      <c r="E24" s="4" t="n">
        <v>5463.75</v>
      </c>
      <c r="F24" s="3" t="inlineStr">
        <is>
          <t>صحيح</t>
        </is>
      </c>
      <c r="G24" s="3" t="inlineStr">
        <is>
          <t>فاتورة مبدئية 173، سجل العقود، كشف الحساب</t>
        </is>
      </c>
      <c r="H24" s="3" t="inlineStr"/>
    </row>
    <row r="25">
      <c r="A25" s="3" t="n">
        <v>24</v>
      </c>
      <c r="B25" s="12" t="n">
        <v>46090</v>
      </c>
      <c r="C25" s="3" t="inlineStr">
        <is>
          <t>WHE-3990</t>
        </is>
      </c>
      <c r="D25" s="4" t="n">
        <v>6240</v>
      </c>
      <c r="E25" s="4" t="n">
        <v>6240</v>
      </c>
      <c r="F25" s="3" t="inlineStr">
        <is>
          <t>صحيح</t>
        </is>
      </c>
      <c r="G25" s="3" t="inlineStr">
        <is>
          <t>فاتورة مبدئية 179، سجل العقود، كشف الحساب</t>
        </is>
      </c>
      <c r="H25" s="3" t="inlineStr"/>
    </row>
    <row r="26">
      <c r="A26" s="3" t="n">
        <v>25</v>
      </c>
      <c r="B26" s="12" t="n">
        <v>46095</v>
      </c>
      <c r="C26" s="3" t="inlineStr">
        <is>
          <t>WHE-4016</t>
        </is>
      </c>
      <c r="D26" s="4" t="n">
        <v>6700</v>
      </c>
      <c r="E26" s="4" t="n">
        <v>6700</v>
      </c>
      <c r="F26" s="3" t="inlineStr">
        <is>
          <t>صحيح</t>
        </is>
      </c>
      <c r="G26" s="3" t="inlineStr">
        <is>
          <t>فاتورة مبدئية 184، سجل العقود</t>
        </is>
      </c>
      <c r="H26" s="3" t="inlineStr"/>
    </row>
    <row r="27">
      <c r="A27" s="3" t="n">
        <v>26</v>
      </c>
      <c r="B27" s="12" t="n">
        <v>46100</v>
      </c>
      <c r="C27" s="3" t="inlineStr">
        <is>
          <t>WHE-4051</t>
        </is>
      </c>
      <c r="D27" s="4" t="n">
        <v>1355</v>
      </c>
      <c r="E27" s="4" t="n">
        <v>1355</v>
      </c>
      <c r="F27" s="3" t="inlineStr">
        <is>
          <t>صحيح</t>
        </is>
      </c>
      <c r="G27" s="3" t="inlineStr">
        <is>
          <t>فاتورة مبدئية 189، سجل العقود، كشف الحساب</t>
        </is>
      </c>
      <c r="H27" s="3" t="inlineStr"/>
    </row>
    <row r="28">
      <c r="A28" s="3" t="n">
        <v>27</v>
      </c>
      <c r="B28" s="12" t="n">
        <v>46119</v>
      </c>
      <c r="C28" s="3" t="inlineStr">
        <is>
          <t>WHE-4130</t>
        </is>
      </c>
      <c r="D28" s="4" t="n">
        <v>2147.5</v>
      </c>
      <c r="E28" s="4" t="n">
        <v>2147.5</v>
      </c>
      <c r="F28" s="3" t="inlineStr">
        <is>
          <t>صحيح</t>
        </is>
      </c>
      <c r="G28" s="3" t="inlineStr">
        <is>
          <t>فاتورة مبدئية 201، سجل العقود، كشف الحساب</t>
        </is>
      </c>
      <c r="H28" s="3" t="inlineStr"/>
    </row>
    <row r="29">
      <c r="A29" s="3" t="n">
        <v>28</v>
      </c>
      <c r="B29" s="12" t="n">
        <v>46125</v>
      </c>
      <c r="C29" s="3" t="inlineStr">
        <is>
          <t>WHE-4158</t>
        </is>
      </c>
      <c r="D29" s="4" t="n">
        <v>3217.5</v>
      </c>
      <c r="E29" s="4" t="n">
        <v>3217.5</v>
      </c>
      <c r="F29" s="3" t="inlineStr">
        <is>
          <t>صحيح</t>
        </is>
      </c>
      <c r="G29" s="3" t="inlineStr">
        <is>
          <t>فاتورة مبدئية 205، سجل العقود، كشف الحساب</t>
        </is>
      </c>
      <c r="H29" s="3" t="inlineStr"/>
    </row>
    <row r="30">
      <c r="A30" s="3" t="n">
        <v>29</v>
      </c>
      <c r="B30" s="12" t="n">
        <v>46128</v>
      </c>
      <c r="C30" s="3" t="inlineStr">
        <is>
          <t>WHE-4185</t>
        </is>
      </c>
      <c r="D30" s="4" t="n">
        <v>880</v>
      </c>
      <c r="E30" s="4" t="n">
        <v>880</v>
      </c>
      <c r="F30" s="3" t="inlineStr">
        <is>
          <t>صحيح</t>
        </is>
      </c>
      <c r="G30" s="3" t="inlineStr">
        <is>
          <t>فاتورة مبدئية 207، سجل العقود، كشف الحساب</t>
        </is>
      </c>
      <c r="H30" s="3" t="inlineStr"/>
    </row>
    <row r="31">
      <c r="A31" s="3" t="n">
        <v>30</v>
      </c>
      <c r="B31" s="12" t="n">
        <v>46130</v>
      </c>
      <c r="C31" s="3" t="inlineStr">
        <is>
          <t>WHE-4186</t>
        </is>
      </c>
      <c r="D31" s="4" t="n">
        <v>2070</v>
      </c>
      <c r="E31" s="4" t="n">
        <v>2070</v>
      </c>
      <c r="F31" s="3" t="inlineStr">
        <is>
          <t>صحيح</t>
        </is>
      </c>
      <c r="G31" s="3" t="inlineStr">
        <is>
          <t>فاتورة مبدئية 208، سجل العقود، كشف الحساب</t>
        </is>
      </c>
      <c r="H31" s="3" t="inlineStr"/>
    </row>
    <row r="32">
      <c r="A32" s="3" t="n">
        <v>31</v>
      </c>
      <c r="B32" s="12" t="n">
        <v>46132</v>
      </c>
      <c r="C32" s="3" t="inlineStr">
        <is>
          <t>WHE-4192</t>
        </is>
      </c>
      <c r="D32" s="4" t="n">
        <v>3100</v>
      </c>
      <c r="E32" s="4" t="n">
        <v>3100</v>
      </c>
      <c r="F32" s="3" t="inlineStr">
        <is>
          <t>صحيح</t>
        </is>
      </c>
      <c r="G32" s="3" t="inlineStr">
        <is>
          <t>فاتورة مبدئية 211، سجل العقود، كشف الحساب</t>
        </is>
      </c>
      <c r="H32" s="3" t="inlineStr"/>
    </row>
    <row r="33">
      <c r="A33" s="3" t="n">
        <v>32</v>
      </c>
      <c r="B33" s="12" t="n">
        <v>46134</v>
      </c>
      <c r="C33" s="3" t="inlineStr">
        <is>
          <t>WHE-4199</t>
        </is>
      </c>
      <c r="D33" s="4" t="n">
        <v>2602.5</v>
      </c>
      <c r="E33" s="4" t="n">
        <v>2602.5</v>
      </c>
      <c r="F33" s="3" t="inlineStr">
        <is>
          <t>صحيح</t>
        </is>
      </c>
      <c r="G33" s="3" t="inlineStr">
        <is>
          <t>فاتورة مبدئية 214، سجل العقود، كشف الحساب</t>
        </is>
      </c>
      <c r="H33" s="3" t="inlineStr"/>
    </row>
    <row r="34">
      <c r="A34" s="3" t="n">
        <v>33</v>
      </c>
      <c r="B34" s="12" t="n">
        <v>46134</v>
      </c>
      <c r="C34" s="3" t="inlineStr">
        <is>
          <t>WHE-4204</t>
        </is>
      </c>
      <c r="D34" s="4" t="n">
        <v>1180</v>
      </c>
      <c r="E34" s="4" t="n">
        <v>1180</v>
      </c>
      <c r="F34" s="3" t="inlineStr">
        <is>
          <t>صحيح</t>
        </is>
      </c>
      <c r="G34" s="3" t="inlineStr">
        <is>
          <t>فاتورة مبدئية 215، سجل العقود، كشف الحساب</t>
        </is>
      </c>
      <c r="H34" s="3" t="inlineStr"/>
    </row>
    <row r="35">
      <c r="A35" s="3" t="n">
        <v>34</v>
      </c>
      <c r="B35" s="12" t="n">
        <v>46137</v>
      </c>
      <c r="C35" s="3" t="inlineStr">
        <is>
          <t>WHE-4210</t>
        </is>
      </c>
      <c r="D35" s="4" t="n">
        <v>6711.25</v>
      </c>
      <c r="E35" s="4" t="n">
        <v>6711.25</v>
      </c>
      <c r="F35" s="3" t="inlineStr">
        <is>
          <t>صحيح</t>
        </is>
      </c>
      <c r="G35" s="3" t="inlineStr">
        <is>
          <t>فاتورة مبدئية 217، سجل العقود، كشف الحساب</t>
        </is>
      </c>
      <c r="H35" s="3" t="inlineStr"/>
    </row>
    <row r="36">
      <c r="A36" s="3" t="n">
        <v>35</v>
      </c>
      <c r="B36" s="12" t="n">
        <v>46139</v>
      </c>
      <c r="C36" s="3" t="inlineStr">
        <is>
          <t>WHE-4218</t>
        </is>
      </c>
      <c r="D36" s="4" t="n">
        <v>810</v>
      </c>
      <c r="E36" s="4" t="n">
        <v>810</v>
      </c>
      <c r="F36" s="3" t="inlineStr">
        <is>
          <t>صحيح</t>
        </is>
      </c>
      <c r="G36" s="3" t="inlineStr">
        <is>
          <t>فاتورة مبدئية 219، سجل العقود، كشف الحساب</t>
        </is>
      </c>
      <c r="H36" s="3" t="inlineStr"/>
    </row>
    <row r="37">
      <c r="A37" s="3" t="n">
        <v>36</v>
      </c>
      <c r="B37" s="12" t="n">
        <v>46141</v>
      </c>
      <c r="C37" s="3" t="inlineStr">
        <is>
          <t>WHE-4232</t>
        </is>
      </c>
      <c r="D37" s="4" t="n">
        <v>612.5</v>
      </c>
      <c r="E37" s="4" t="n">
        <v>612.5</v>
      </c>
      <c r="F37" s="3" t="inlineStr">
        <is>
          <t>صحيح</t>
        </is>
      </c>
      <c r="G37" s="3" t="inlineStr">
        <is>
          <t>فاتورة مبدئية 223، سجل العقود، كشف الحساب</t>
        </is>
      </c>
      <c r="H37" s="3" t="inlineStr"/>
    </row>
    <row r="38">
      <c r="A38" s="3" t="n">
        <v>37</v>
      </c>
      <c r="B38" s="12" t="n">
        <v>46146</v>
      </c>
      <c r="C38" s="3" t="inlineStr">
        <is>
          <t>WHE-4261</t>
        </is>
      </c>
      <c r="D38" s="4" t="n">
        <v>4200</v>
      </c>
      <c r="E38" s="4" t="n">
        <v>4200</v>
      </c>
      <c r="F38" s="3" t="inlineStr">
        <is>
          <t>صحيح</t>
        </is>
      </c>
      <c r="G38" s="3" t="inlineStr">
        <is>
          <t>فاتورة مبدئية 229، سجل العقود، كشف الحساب</t>
        </is>
      </c>
      <c r="H38" s="3" t="inlineStr"/>
    </row>
    <row r="39">
      <c r="A39" s="3" t="n">
        <v>38</v>
      </c>
      <c r="B39" s="12" t="n">
        <v>46148</v>
      </c>
      <c r="C39" s="3" t="inlineStr">
        <is>
          <t>WHE-4278</t>
        </is>
      </c>
      <c r="D39" s="4" t="n">
        <v>3328.75</v>
      </c>
      <c r="E39" s="4" t="n">
        <v>3328.75</v>
      </c>
      <c r="F39" s="3" t="inlineStr">
        <is>
          <t>صحيح</t>
        </is>
      </c>
      <c r="G39" s="3" t="inlineStr">
        <is>
          <t>فاتورة مبدئية 233، سجل العقود، كشف الحساب</t>
        </is>
      </c>
      <c r="H39" s="3" t="inlineStr"/>
    </row>
    <row r="40">
      <c r="A40" s="3" t="n">
        <v>39</v>
      </c>
      <c r="B40" s="12" t="n">
        <v>46149</v>
      </c>
      <c r="C40" s="3" t="inlineStr">
        <is>
          <t>WHE-4286</t>
        </is>
      </c>
      <c r="D40" s="4" t="n">
        <v>6000</v>
      </c>
      <c r="E40" s="4" t="n">
        <v>6000</v>
      </c>
      <c r="F40" s="3" t="inlineStr">
        <is>
          <t>صحيح</t>
        </is>
      </c>
      <c r="G40" s="3" t="inlineStr">
        <is>
          <t>فاتورة مبدئية 235، سجل العقود، كشف الحساب</t>
        </is>
      </c>
      <c r="H40" s="3" t="inlineStr"/>
    </row>
    <row r="41">
      <c r="A41" s="3" t="n">
        <v>40</v>
      </c>
      <c r="B41" s="12" t="n">
        <v>46151</v>
      </c>
      <c r="C41" s="3" t="inlineStr">
        <is>
          <t>WHE-4290</t>
        </is>
      </c>
      <c r="D41" s="4" t="n">
        <v>877.5</v>
      </c>
      <c r="E41" s="4" t="n">
        <v>877.5</v>
      </c>
      <c r="F41" s="3" t="inlineStr">
        <is>
          <t>صحيح</t>
        </is>
      </c>
      <c r="G41" s="3" t="inlineStr">
        <is>
          <t>فاتورة مبدئية 238، سجل العقود، كشف الحساب</t>
        </is>
      </c>
      <c r="H41" s="3" t="inlineStr"/>
    </row>
    <row r="42">
      <c r="A42" s="3" t="n">
        <v>41</v>
      </c>
      <c r="B42" s="12" t="n">
        <v>46154</v>
      </c>
      <c r="C42" s="3" t="inlineStr">
        <is>
          <t>WHE-4304</t>
        </is>
      </c>
      <c r="D42" s="4" t="n">
        <v>3955</v>
      </c>
      <c r="E42" s="4" t="n">
        <v>3955</v>
      </c>
      <c r="F42" s="3" t="inlineStr">
        <is>
          <t>صحيح</t>
        </is>
      </c>
      <c r="G42" s="3" t="inlineStr">
        <is>
          <t>فاتورة مبدئية 242، سجل العقود، كشف الحساب</t>
        </is>
      </c>
      <c r="H42" s="3" t="inlineStr"/>
    </row>
    <row r="43">
      <c r="A43" s="3" t="n">
        <v>42</v>
      </c>
      <c r="B43" s="12" t="n">
        <v>46156</v>
      </c>
      <c r="C43" s="3" t="inlineStr">
        <is>
          <t>WHE-4314</t>
        </is>
      </c>
      <c r="D43" s="4" t="n">
        <v>6455</v>
      </c>
      <c r="E43" s="4" t="n">
        <v>6455</v>
      </c>
      <c r="F43" s="3" t="inlineStr">
        <is>
          <t>صحيح</t>
        </is>
      </c>
      <c r="G43" s="3" t="inlineStr">
        <is>
          <t>فاتورة مبدئية 247، سجل العقود، كشف الحساب</t>
        </is>
      </c>
      <c r="H43" s="3" t="inlineStr"/>
    </row>
    <row r="44">
      <c r="A44" s="3" t="n">
        <v>43</v>
      </c>
      <c r="B44" s="12" t="n">
        <v>46161</v>
      </c>
      <c r="C44" s="3" t="inlineStr">
        <is>
          <t>WHE-4327</t>
        </is>
      </c>
      <c r="D44" s="4" t="n">
        <v>5890</v>
      </c>
      <c r="E44" s="4" t="n">
        <v>5890</v>
      </c>
      <c r="F44" s="3" t="inlineStr">
        <is>
          <t>صحيح</t>
        </is>
      </c>
      <c r="G44" s="3" t="inlineStr">
        <is>
          <t>فاتورة مبدئية 252، سجل العقود، كشف الحساب</t>
        </is>
      </c>
      <c r="H44" s="3" t="inlineStr"/>
    </row>
    <row r="45">
      <c r="A45" s="3" t="n">
        <v>44</v>
      </c>
      <c r="B45" s="12" t="n">
        <v>46167</v>
      </c>
      <c r="C45" s="3" t="inlineStr">
        <is>
          <t>WHE-4343</t>
        </is>
      </c>
      <c r="D45" s="4" t="n">
        <v>8328</v>
      </c>
      <c r="E45" s="4" t="n">
        <v>8328</v>
      </c>
      <c r="F45" s="3" t="inlineStr">
        <is>
          <t>صحيح</t>
        </is>
      </c>
      <c r="G45" s="3" t="inlineStr">
        <is>
          <t>فاتورة مبدئية 255، سجل العقود، كشف الحساب</t>
        </is>
      </c>
      <c r="H45" s="3" t="inlineStr"/>
    </row>
    <row r="46">
      <c r="A46" s="3" t="n">
        <v>45</v>
      </c>
      <c r="B46" s="12" t="n">
        <v>46176</v>
      </c>
      <c r="C46" s="3" t="inlineStr">
        <is>
          <t>WHE-4358</t>
        </is>
      </c>
      <c r="D46" s="4" t="n">
        <v>4810</v>
      </c>
      <c r="E46" s="4" t="n">
        <v>4810</v>
      </c>
      <c r="F46" s="3" t="inlineStr">
        <is>
          <t>صحيح</t>
        </is>
      </c>
      <c r="G46" s="3" t="inlineStr">
        <is>
          <t>فاتورة مبدئية 262، كشف الحساب</t>
        </is>
      </c>
      <c r="H46" s="3" t="inlineStr"/>
    </row>
    <row r="47">
      <c r="A47" s="5" t="inlineStr"/>
      <c r="B47" s="5" t="inlineStr"/>
      <c r="C47" s="5" t="inlineStr">
        <is>
          <t>الإجمالي</t>
        </is>
      </c>
      <c r="D47" s="6">
        <f>SUM(D2:D46)</f>
        <v/>
      </c>
      <c r="E47" s="6">
        <f>SUM(E2:E46)</f>
        <v/>
      </c>
      <c r="F47" s="5" t="n"/>
      <c r="G47" s="5" t="n"/>
      <c r="H47" s="5" t="n"/>
    </row>
  </sheetData>
  <autoFilter ref="A1:H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17" customWidth="1" min="4" max="4"/>
    <col width="16" customWidth="1" min="5" max="5"/>
    <col width="16" customWidth="1" min="6" max="6"/>
    <col width="40" customWidth="1" min="7" max="7"/>
    <col width="80" customWidth="1" min="8" max="8"/>
  </cols>
  <sheetData>
    <row r="1">
      <c r="A1" s="2" t="inlineStr">
        <is>
          <t>م</t>
        </is>
      </c>
      <c r="B1" s="2" t="inlineStr">
        <is>
          <t>التاريخ</t>
        </is>
      </c>
      <c r="C1" s="2" t="inlineStr">
        <is>
          <t>رقم العقد</t>
        </is>
      </c>
      <c r="D1" s="2" t="inlineStr">
        <is>
          <t>القيمة بشيت المحاسب</t>
        </is>
      </c>
      <c r="E1" s="2" t="inlineStr">
        <is>
          <t>القيمة المعتمدة</t>
        </is>
      </c>
      <c r="F1" s="2" t="inlineStr">
        <is>
          <t>الحالة</t>
        </is>
      </c>
      <c r="G1" s="2" t="inlineStr">
        <is>
          <t>المستندات المؤيدة</t>
        </is>
      </c>
      <c r="H1" s="2" t="inlineStr">
        <is>
          <t>ملاحظة</t>
        </is>
      </c>
    </row>
    <row r="2">
      <c r="A2" s="9" t="n">
        <v>1</v>
      </c>
      <c r="B2" s="10" t="n">
        <v>45868</v>
      </c>
      <c r="C2" s="9" t="inlineStr">
        <is>
          <t>WHK-1909</t>
        </is>
      </c>
      <c r="D2" s="11" t="n">
        <v>11570</v>
      </c>
      <c r="E2" s="11" t="n">
        <v>11570</v>
      </c>
      <c r="F2" s="9" t="inlineStr">
        <is>
          <t>صحيح (ملاحظة)</t>
        </is>
      </c>
      <c r="G2" s="9" t="inlineStr">
        <is>
          <t>لا يوجد مستند مؤيد</t>
        </is>
      </c>
      <c r="H2" s="9" t="inlineStr">
        <is>
          <t>تاريخه 2025-07-30 قبل بداية الفترة 31-7-2025 بيوم – أُدرج بناءً على طلبك</t>
        </is>
      </c>
    </row>
    <row r="3">
      <c r="A3" s="3" t="n">
        <v>2</v>
      </c>
      <c r="B3" s="12" t="n">
        <v>45909</v>
      </c>
      <c r="C3" s="3" t="inlineStr">
        <is>
          <t>WHK-2148</t>
        </is>
      </c>
      <c r="D3" s="4" t="n">
        <v>3320</v>
      </c>
      <c r="E3" s="4" t="n">
        <v>3320</v>
      </c>
      <c r="F3" s="3" t="inlineStr">
        <is>
          <t>صحيح</t>
        </is>
      </c>
      <c r="G3" s="3" t="inlineStr">
        <is>
          <t>لا يوجد مستند مؤيد</t>
        </is>
      </c>
      <c r="H3" s="3" t="inlineStr"/>
    </row>
    <row r="4">
      <c r="A4" s="3" t="n">
        <v>3</v>
      </c>
      <c r="B4" s="12" t="n">
        <v>45923</v>
      </c>
      <c r="C4" s="3" t="inlineStr">
        <is>
          <t>WHK-2271</t>
        </is>
      </c>
      <c r="D4" s="4" t="n">
        <v>2400</v>
      </c>
      <c r="E4" s="4" t="n">
        <v>2400</v>
      </c>
      <c r="F4" s="3" t="inlineStr">
        <is>
          <t>صحيح</t>
        </is>
      </c>
      <c r="G4" s="3" t="inlineStr">
        <is>
          <t>لا يوجد مستند مؤيد</t>
        </is>
      </c>
      <c r="H4" s="3" t="inlineStr"/>
    </row>
    <row r="5">
      <c r="A5" s="3" t="n">
        <v>4</v>
      </c>
      <c r="B5" s="12" t="n">
        <v>45924</v>
      </c>
      <c r="C5" s="3" t="inlineStr">
        <is>
          <t>WHK-2283</t>
        </is>
      </c>
      <c r="D5" s="4" t="n">
        <v>2800</v>
      </c>
      <c r="E5" s="4" t="n">
        <v>2800</v>
      </c>
      <c r="F5" s="3" t="inlineStr">
        <is>
          <t>صحيح</t>
        </is>
      </c>
      <c r="G5" s="3" t="inlineStr">
        <is>
          <t>لا يوجد مستند مؤيد</t>
        </is>
      </c>
      <c r="H5" s="3" t="inlineStr"/>
    </row>
    <row r="6">
      <c r="A6" s="3" t="n">
        <v>5</v>
      </c>
      <c r="B6" s="12" t="n">
        <v>45929</v>
      </c>
      <c r="C6" s="3" t="inlineStr">
        <is>
          <t>WHK-2328</t>
        </is>
      </c>
      <c r="D6" s="4" t="n">
        <v>4550</v>
      </c>
      <c r="E6" s="4" t="n">
        <v>4550</v>
      </c>
      <c r="F6" s="3" t="inlineStr">
        <is>
          <t>صحيح</t>
        </is>
      </c>
      <c r="G6" s="3" t="inlineStr">
        <is>
          <t>لا يوجد مستند مؤيد</t>
        </is>
      </c>
      <c r="H6" s="3" t="inlineStr"/>
    </row>
    <row r="7">
      <c r="A7" s="9" t="n">
        <v>6</v>
      </c>
      <c r="B7" s="10" t="n">
        <v>45935</v>
      </c>
      <c r="C7" s="9" t="inlineStr">
        <is>
          <t>WHK-2364</t>
        </is>
      </c>
      <c r="D7" s="11" t="n">
        <v>440000</v>
      </c>
      <c r="E7" s="11" t="n">
        <v>440000</v>
      </c>
      <c r="F7" s="9" t="inlineStr">
        <is>
          <t>صحيح (ملاحظة)</t>
        </is>
      </c>
      <c r="G7" s="9" t="inlineStr">
        <is>
          <t>كشف الحساب</t>
        </is>
      </c>
      <c r="H7" s="9" t="inlineStr">
        <is>
          <t>عقد عرعر – أُدرج بالقيمة الكاملة 440,000.00 بناءً على طلبك. المسجل بكشف الحساب (7 قيود) 367,803.75 – الفرق 72,196.25 بدون قيد بالكشف</t>
        </is>
      </c>
    </row>
    <row r="8">
      <c r="A8" s="3" t="n">
        <v>7</v>
      </c>
      <c r="B8" s="12" t="n">
        <v>45938</v>
      </c>
      <c r="C8" s="3" t="inlineStr">
        <is>
          <t>WHK-2411</t>
        </is>
      </c>
      <c r="D8" s="4" t="n">
        <v>4200</v>
      </c>
      <c r="E8" s="4" t="n">
        <v>4200</v>
      </c>
      <c r="F8" s="3" t="inlineStr">
        <is>
          <t>صحيح</t>
        </is>
      </c>
      <c r="G8" s="3" t="inlineStr">
        <is>
          <t>لا يوجد مستند مؤيد</t>
        </is>
      </c>
      <c r="H8" s="3" t="inlineStr"/>
    </row>
    <row r="9">
      <c r="A9" s="3" t="n">
        <v>8</v>
      </c>
      <c r="B9" s="12" t="n">
        <v>45939</v>
      </c>
      <c r="C9" s="3" t="inlineStr">
        <is>
          <t>WHK-2425</t>
        </is>
      </c>
      <c r="D9" s="4" t="n">
        <v>11000</v>
      </c>
      <c r="E9" s="4" t="n">
        <v>11000</v>
      </c>
      <c r="F9" s="3" t="inlineStr">
        <is>
          <t>صحيح</t>
        </is>
      </c>
      <c r="G9" s="3" t="inlineStr">
        <is>
          <t>لا يوجد مستند مؤيد</t>
        </is>
      </c>
      <c r="H9" s="3" t="inlineStr"/>
    </row>
    <row r="10">
      <c r="A10" s="3" t="n">
        <v>9</v>
      </c>
      <c r="B10" s="12" t="n">
        <v>45941</v>
      </c>
      <c r="C10" s="3" t="inlineStr">
        <is>
          <t>WHK-2434</t>
        </is>
      </c>
      <c r="D10" s="4" t="n">
        <v>70250</v>
      </c>
      <c r="E10" s="4" t="n">
        <v>70250</v>
      </c>
      <c r="F10" s="3" t="inlineStr">
        <is>
          <t>صحيح</t>
        </is>
      </c>
      <c r="G10" s="3" t="inlineStr">
        <is>
          <t>لا يوجد مستند مؤيد</t>
        </is>
      </c>
      <c r="H10" s="3" t="inlineStr"/>
    </row>
    <row r="11">
      <c r="A11" s="3" t="n">
        <v>10</v>
      </c>
      <c r="B11" s="12" t="n">
        <v>45943</v>
      </c>
      <c r="C11" s="3" t="inlineStr">
        <is>
          <t>WHK-2465</t>
        </is>
      </c>
      <c r="D11" s="4" t="n">
        <v>1750</v>
      </c>
      <c r="E11" s="4" t="n">
        <v>1750</v>
      </c>
      <c r="F11" s="3" t="inlineStr">
        <is>
          <t>صحيح</t>
        </is>
      </c>
      <c r="G11" s="3" t="inlineStr">
        <is>
          <t>لا يوجد مستند مؤيد</t>
        </is>
      </c>
      <c r="H11" s="3" t="inlineStr"/>
    </row>
    <row r="12">
      <c r="A12" s="3" t="n">
        <v>11</v>
      </c>
      <c r="B12" s="12" t="n">
        <v>45944</v>
      </c>
      <c r="C12" s="3" t="inlineStr">
        <is>
          <t>WHK-2480</t>
        </is>
      </c>
      <c r="D12" s="4" t="n">
        <v>412.5</v>
      </c>
      <c r="E12" s="4" t="n">
        <v>412.5</v>
      </c>
      <c r="F12" s="3" t="inlineStr">
        <is>
          <t>صحيح</t>
        </is>
      </c>
      <c r="G12" s="3" t="inlineStr">
        <is>
          <t>لا يوجد مستند مؤيد</t>
        </is>
      </c>
      <c r="H12" s="3" t="inlineStr"/>
    </row>
    <row r="13">
      <c r="A13" s="3" t="n">
        <v>12</v>
      </c>
      <c r="B13" s="12" t="n">
        <v>45945</v>
      </c>
      <c r="C13" s="3" t="inlineStr">
        <is>
          <t>WHK-2498</t>
        </is>
      </c>
      <c r="D13" s="4" t="n">
        <v>17055</v>
      </c>
      <c r="E13" s="4" t="n">
        <v>17055</v>
      </c>
      <c r="F13" s="3" t="inlineStr">
        <is>
          <t>صحيح</t>
        </is>
      </c>
      <c r="G13" s="3" t="inlineStr">
        <is>
          <t>لا يوجد مستند مؤيد</t>
        </is>
      </c>
      <c r="H13" s="3" t="inlineStr"/>
    </row>
    <row r="14">
      <c r="A14" s="3" t="n">
        <v>13</v>
      </c>
      <c r="B14" s="12" t="n">
        <v>45946</v>
      </c>
      <c r="C14" s="3" t="inlineStr">
        <is>
          <t>WHK-2509</t>
        </is>
      </c>
      <c r="D14" s="4" t="n">
        <v>3150</v>
      </c>
      <c r="E14" s="4" t="n">
        <v>3150</v>
      </c>
      <c r="F14" s="3" t="inlineStr">
        <is>
          <t>صحيح</t>
        </is>
      </c>
      <c r="G14" s="3" t="inlineStr">
        <is>
          <t>لا يوجد مستند مؤيد</t>
        </is>
      </c>
      <c r="H14" s="3" t="inlineStr"/>
    </row>
    <row r="15">
      <c r="A15" s="3" t="n">
        <v>14</v>
      </c>
      <c r="B15" s="12" t="n">
        <v>45948</v>
      </c>
      <c r="C15" s="3" t="inlineStr">
        <is>
          <t>WHK-2515</t>
        </is>
      </c>
      <c r="D15" s="4" t="n">
        <v>6975</v>
      </c>
      <c r="E15" s="4" t="n">
        <v>6975</v>
      </c>
      <c r="F15" s="3" t="inlineStr">
        <is>
          <t>صحيح</t>
        </is>
      </c>
      <c r="G15" s="3" t="inlineStr">
        <is>
          <t>لا يوجد مستند مؤيد</t>
        </is>
      </c>
      <c r="H15" s="3" t="inlineStr"/>
    </row>
    <row r="16">
      <c r="A16" s="3" t="n">
        <v>15</v>
      </c>
      <c r="B16" s="12" t="n">
        <v>45951</v>
      </c>
      <c r="C16" s="3" t="inlineStr">
        <is>
          <t>WHK-2563</t>
        </is>
      </c>
      <c r="D16" s="4" t="n">
        <v>2925</v>
      </c>
      <c r="E16" s="4" t="n">
        <v>2925</v>
      </c>
      <c r="F16" s="3" t="inlineStr">
        <is>
          <t>صحيح</t>
        </is>
      </c>
      <c r="G16" s="3" t="inlineStr">
        <is>
          <t>لا يوجد مستند مؤيد</t>
        </is>
      </c>
      <c r="H16" s="3" t="inlineStr"/>
    </row>
    <row r="17">
      <c r="A17" s="3" t="n">
        <v>16</v>
      </c>
      <c r="B17" s="12" t="n">
        <v>45952</v>
      </c>
      <c r="C17" s="3" t="inlineStr">
        <is>
          <t>WHK-2583</t>
        </is>
      </c>
      <c r="D17" s="4" t="n">
        <v>4125</v>
      </c>
      <c r="E17" s="4" t="n">
        <v>4125</v>
      </c>
      <c r="F17" s="3" t="inlineStr">
        <is>
          <t>صحيح</t>
        </is>
      </c>
      <c r="G17" s="3" t="inlineStr">
        <is>
          <t>لا يوجد مستند مؤيد</t>
        </is>
      </c>
      <c r="H17" s="3" t="inlineStr"/>
    </row>
    <row r="18">
      <c r="A18" s="3" t="n">
        <v>17</v>
      </c>
      <c r="B18" s="12" t="n">
        <v>45953</v>
      </c>
      <c r="C18" s="3" t="inlineStr">
        <is>
          <t>WHK-2605</t>
        </is>
      </c>
      <c r="D18" s="4" t="n">
        <v>1331.25</v>
      </c>
      <c r="E18" s="4" t="n">
        <v>1331.25</v>
      </c>
      <c r="F18" s="3" t="inlineStr">
        <is>
          <t>صحيح</t>
        </is>
      </c>
      <c r="G18" s="3" t="inlineStr">
        <is>
          <t>لا يوجد مستند مؤيد</t>
        </is>
      </c>
      <c r="H18" s="3" t="inlineStr"/>
    </row>
    <row r="19">
      <c r="A19" s="3" t="n">
        <v>18</v>
      </c>
      <c r="B19" s="12" t="n">
        <v>45955</v>
      </c>
      <c r="C19" s="3" t="inlineStr">
        <is>
          <t>WHK-2626</t>
        </is>
      </c>
      <c r="D19" s="4" t="n">
        <v>2150</v>
      </c>
      <c r="E19" s="4" t="n">
        <v>2150</v>
      </c>
      <c r="F19" s="3" t="inlineStr">
        <is>
          <t>صحيح</t>
        </is>
      </c>
      <c r="G19" s="3" t="inlineStr">
        <is>
          <t>لا يوجد مستند مؤيد</t>
        </is>
      </c>
      <c r="H19" s="3" t="inlineStr"/>
    </row>
    <row r="20">
      <c r="A20" s="3" t="n">
        <v>19</v>
      </c>
      <c r="B20" s="12" t="n">
        <v>45956</v>
      </c>
      <c r="C20" s="3" t="inlineStr">
        <is>
          <t>WHK-2639</t>
        </is>
      </c>
      <c r="D20" s="4" t="n">
        <v>1125</v>
      </c>
      <c r="E20" s="4" t="n">
        <v>1125</v>
      </c>
      <c r="F20" s="3" t="inlineStr">
        <is>
          <t>صحيح</t>
        </is>
      </c>
      <c r="G20" s="3" t="inlineStr">
        <is>
          <t>لا يوجد مستند مؤيد</t>
        </is>
      </c>
      <c r="H20" s="3" t="inlineStr"/>
    </row>
    <row r="21">
      <c r="A21" s="3" t="n">
        <v>20</v>
      </c>
      <c r="B21" s="12" t="n">
        <v>45957</v>
      </c>
      <c r="C21" s="3" t="inlineStr">
        <is>
          <t>WHK-2656</t>
        </is>
      </c>
      <c r="D21" s="4" t="n">
        <v>900</v>
      </c>
      <c r="E21" s="4" t="n">
        <v>900</v>
      </c>
      <c r="F21" s="3" t="inlineStr">
        <is>
          <t>صحيح</t>
        </is>
      </c>
      <c r="G21" s="3" t="inlineStr">
        <is>
          <t>فاتورة مبدئية 26</t>
        </is>
      </c>
      <c r="H21" s="3" t="inlineStr"/>
    </row>
    <row r="22">
      <c r="A22" s="3" t="n">
        <v>21</v>
      </c>
      <c r="B22" s="12" t="n">
        <v>45963</v>
      </c>
      <c r="C22" s="3" t="inlineStr">
        <is>
          <t>WHK-2712</t>
        </is>
      </c>
      <c r="D22" s="4" t="n">
        <v>1125</v>
      </c>
      <c r="E22" s="4" t="n">
        <v>1125</v>
      </c>
      <c r="F22" s="3" t="inlineStr">
        <is>
          <t>صحيح</t>
        </is>
      </c>
      <c r="G22" s="3" t="inlineStr">
        <is>
          <t>فاتورة مبدئية 31، كشف الحساب</t>
        </is>
      </c>
      <c r="H22" s="3" t="inlineStr"/>
    </row>
    <row r="23">
      <c r="A23" s="3" t="n">
        <v>22</v>
      </c>
      <c r="B23" s="12" t="n">
        <v>45966</v>
      </c>
      <c r="C23" s="3" t="inlineStr">
        <is>
          <t>WHK-2776</t>
        </is>
      </c>
      <c r="D23" s="4" t="n">
        <v>752.5</v>
      </c>
      <c r="E23" s="4" t="n">
        <v>752.5</v>
      </c>
      <c r="F23" s="3" t="inlineStr">
        <is>
          <t>صحيح</t>
        </is>
      </c>
      <c r="G23" s="3" t="inlineStr">
        <is>
          <t>فاتورة مبدئية 35، كشف الحساب</t>
        </is>
      </c>
      <c r="H23" s="3" t="inlineStr"/>
    </row>
    <row r="24">
      <c r="A24" s="3" t="n">
        <v>23</v>
      </c>
      <c r="B24" s="12" t="n">
        <v>45967</v>
      </c>
      <c r="C24" s="3" t="inlineStr">
        <is>
          <t>WHK-2787</t>
        </is>
      </c>
      <c r="D24" s="4" t="n">
        <v>337.5</v>
      </c>
      <c r="E24" s="4" t="n">
        <v>337.5</v>
      </c>
      <c r="F24" s="3" t="inlineStr">
        <is>
          <t>صحيح</t>
        </is>
      </c>
      <c r="G24" s="3" t="inlineStr">
        <is>
          <t>فاتورة مبدئية 37، كشف الحساب</t>
        </is>
      </c>
      <c r="H24" s="3" t="inlineStr"/>
    </row>
    <row r="25">
      <c r="A25" s="3" t="n">
        <v>24</v>
      </c>
      <c r="B25" s="12" t="n">
        <v>45969</v>
      </c>
      <c r="C25" s="3" t="inlineStr">
        <is>
          <t>WHK-2804</t>
        </is>
      </c>
      <c r="D25" s="4" t="n">
        <v>14850</v>
      </c>
      <c r="E25" s="4" t="n">
        <v>14850</v>
      </c>
      <c r="F25" s="3" t="inlineStr">
        <is>
          <t>صحيح</t>
        </is>
      </c>
      <c r="G25" s="3" t="inlineStr">
        <is>
          <t>كشف الحساب</t>
        </is>
      </c>
      <c r="H25" s="3" t="inlineStr"/>
    </row>
    <row r="26">
      <c r="A26" s="3" t="n">
        <v>25</v>
      </c>
      <c r="B26" s="12" t="n">
        <v>45971</v>
      </c>
      <c r="C26" s="3" t="inlineStr">
        <is>
          <t>WHK-2835</t>
        </is>
      </c>
      <c r="D26" s="4" t="n">
        <v>9047.5</v>
      </c>
      <c r="E26" s="4" t="n">
        <v>9047.5</v>
      </c>
      <c r="F26" s="3" t="inlineStr">
        <is>
          <t>صحيح</t>
        </is>
      </c>
      <c r="G26" s="3" t="inlineStr">
        <is>
          <t>فاتورة مبدئية 43، كشف الحساب</t>
        </is>
      </c>
      <c r="H26" s="3" t="inlineStr"/>
    </row>
    <row r="27">
      <c r="A27" s="3" t="n">
        <v>26</v>
      </c>
      <c r="B27" s="12" t="n">
        <v>45972</v>
      </c>
      <c r="C27" s="3" t="inlineStr">
        <is>
          <t>WHK-2853</t>
        </is>
      </c>
      <c r="D27" s="4" t="n">
        <v>7500</v>
      </c>
      <c r="E27" s="4" t="n">
        <v>7500</v>
      </c>
      <c r="F27" s="3" t="inlineStr">
        <is>
          <t>صحيح</t>
        </is>
      </c>
      <c r="G27" s="3" t="inlineStr">
        <is>
          <t>فاتورة مبدئية 46، كشف الحساب</t>
        </is>
      </c>
      <c r="H27" s="3" t="inlineStr"/>
    </row>
    <row r="28">
      <c r="A28" s="3" t="n">
        <v>27</v>
      </c>
      <c r="B28" s="12" t="n">
        <v>45973</v>
      </c>
      <c r="C28" s="3" t="inlineStr">
        <is>
          <t>WHK-2868</t>
        </is>
      </c>
      <c r="D28" s="4" t="n">
        <v>1500</v>
      </c>
      <c r="E28" s="4" t="n">
        <v>1500</v>
      </c>
      <c r="F28" s="3" t="inlineStr">
        <is>
          <t>صحيح</t>
        </is>
      </c>
      <c r="G28" s="3" t="inlineStr">
        <is>
          <t>فاتورة مبدئية 47، كشف الحساب</t>
        </is>
      </c>
      <c r="H28" s="3" t="inlineStr"/>
    </row>
    <row r="29">
      <c r="A29" s="3" t="n">
        <v>28</v>
      </c>
      <c r="B29" s="12" t="n">
        <v>45974</v>
      </c>
      <c r="C29" s="3" t="inlineStr">
        <is>
          <t>WHK-2881</t>
        </is>
      </c>
      <c r="D29" s="4" t="n">
        <v>1759.5</v>
      </c>
      <c r="E29" s="4" t="n">
        <v>1759.5</v>
      </c>
      <c r="F29" s="3" t="inlineStr">
        <is>
          <t>صحيح</t>
        </is>
      </c>
      <c r="G29" s="3" t="inlineStr">
        <is>
          <t>فاتورة مبدئية 49، كشف الحساب</t>
        </is>
      </c>
      <c r="H29" s="3" t="inlineStr"/>
    </row>
    <row r="30">
      <c r="A30" s="3" t="n">
        <v>29</v>
      </c>
      <c r="B30" s="12" t="n">
        <v>45978</v>
      </c>
      <c r="C30" s="3" t="inlineStr">
        <is>
          <t>WHK-2912</t>
        </is>
      </c>
      <c r="D30" s="4" t="n">
        <v>2650</v>
      </c>
      <c r="E30" s="4" t="n">
        <v>2650</v>
      </c>
      <c r="F30" s="3" t="inlineStr">
        <is>
          <t>صحيح</t>
        </is>
      </c>
      <c r="G30" s="3" t="inlineStr">
        <is>
          <t>فاتورة مبدئية 52، كشف الحساب</t>
        </is>
      </c>
      <c r="H30" s="3" t="inlineStr"/>
    </row>
    <row r="31">
      <c r="A31" s="3" t="n">
        <v>30</v>
      </c>
      <c r="B31" s="12" t="n">
        <v>45981</v>
      </c>
      <c r="C31" s="3" t="inlineStr">
        <is>
          <t>WHK-2948</t>
        </is>
      </c>
      <c r="D31" s="4" t="n">
        <v>1535</v>
      </c>
      <c r="E31" s="4" t="n">
        <v>1535</v>
      </c>
      <c r="F31" s="3" t="inlineStr">
        <is>
          <t>صحيح</t>
        </is>
      </c>
      <c r="G31" s="3" t="inlineStr">
        <is>
          <t>فاتورة مبدئية 55، كشف الحساب</t>
        </is>
      </c>
      <c r="H31" s="3" t="inlineStr"/>
    </row>
    <row r="32">
      <c r="A32" s="3" t="n">
        <v>31</v>
      </c>
      <c r="B32" s="12" t="n">
        <v>45984</v>
      </c>
      <c r="C32" s="3" t="inlineStr">
        <is>
          <t>WHK-2971</t>
        </is>
      </c>
      <c r="D32" s="4" t="n">
        <v>6090</v>
      </c>
      <c r="E32" s="4" t="n">
        <v>6090</v>
      </c>
      <c r="F32" s="3" t="inlineStr">
        <is>
          <t>صحيح</t>
        </is>
      </c>
      <c r="G32" s="3" t="inlineStr">
        <is>
          <t>فاتورة مبدئية 61، كشف الحساب</t>
        </is>
      </c>
      <c r="H32" s="3" t="inlineStr"/>
    </row>
    <row r="33">
      <c r="A33" s="3" t="n">
        <v>32</v>
      </c>
      <c r="B33" s="12" t="n">
        <v>45985</v>
      </c>
      <c r="C33" s="3" t="inlineStr">
        <is>
          <t>WHK-2995</t>
        </is>
      </c>
      <c r="D33" s="4" t="n">
        <v>4200</v>
      </c>
      <c r="E33" s="4" t="n">
        <v>4200</v>
      </c>
      <c r="F33" s="3" t="inlineStr">
        <is>
          <t>صحيح</t>
        </is>
      </c>
      <c r="G33" s="3" t="inlineStr">
        <is>
          <t>فاتورة مبدئية 64، كشف الحساب</t>
        </is>
      </c>
      <c r="H33" s="3" t="inlineStr"/>
    </row>
    <row r="34">
      <c r="A34" s="3" t="n">
        <v>33</v>
      </c>
      <c r="B34" s="12" t="n">
        <v>45988</v>
      </c>
      <c r="C34" s="3" t="inlineStr">
        <is>
          <t>WHK-3029</t>
        </is>
      </c>
      <c r="D34" s="4" t="n">
        <v>157.5</v>
      </c>
      <c r="E34" s="4" t="n">
        <v>157.5</v>
      </c>
      <c r="F34" s="3" t="inlineStr">
        <is>
          <t>صحيح</t>
        </is>
      </c>
      <c r="G34" s="3" t="inlineStr">
        <is>
          <t>فاتورة مبدئية 68، كشف الحساب</t>
        </is>
      </c>
      <c r="H34" s="3" t="inlineStr"/>
    </row>
    <row r="35">
      <c r="A35" s="3" t="n">
        <v>34</v>
      </c>
      <c r="B35" s="12" t="n">
        <v>45996</v>
      </c>
      <c r="C35" s="3" t="inlineStr">
        <is>
          <t>WHK-3135</t>
        </is>
      </c>
      <c r="D35" s="4" t="n">
        <v>1680</v>
      </c>
      <c r="E35" s="4" t="n">
        <v>1680</v>
      </c>
      <c r="F35" s="3" t="inlineStr">
        <is>
          <t>صحيح</t>
        </is>
      </c>
      <c r="G35" s="3" t="inlineStr">
        <is>
          <t>فاتورة مبدئية 78، كشف الحساب</t>
        </is>
      </c>
      <c r="H35" s="3" t="inlineStr"/>
    </row>
    <row r="36">
      <c r="A36" s="3" t="n">
        <v>35</v>
      </c>
      <c r="B36" s="12" t="n">
        <v>46006</v>
      </c>
      <c r="C36" s="3" t="inlineStr">
        <is>
          <t>WHK-3243</t>
        </is>
      </c>
      <c r="D36" s="4" t="n">
        <v>1875</v>
      </c>
      <c r="E36" s="4" t="n">
        <v>1875</v>
      </c>
      <c r="F36" s="3" t="inlineStr">
        <is>
          <t>صحيح</t>
        </is>
      </c>
      <c r="G36" s="3" t="inlineStr">
        <is>
          <t>فاتورة مبدئية 89، كشف الحساب</t>
        </is>
      </c>
      <c r="H36" s="3" t="inlineStr"/>
    </row>
    <row r="37">
      <c r="A37" s="13" t="n">
        <v>36</v>
      </c>
      <c r="B37" s="14" t="n">
        <v>46021</v>
      </c>
      <c r="C37" s="13" t="inlineStr">
        <is>
          <t>WHK-3400</t>
        </is>
      </c>
      <c r="D37" s="15" t="n">
        <v>0</v>
      </c>
      <c r="E37" s="15" t="n">
        <v>505</v>
      </c>
      <c r="F37" s="13" t="inlineStr">
        <is>
          <t>مضاف</t>
        </is>
      </c>
      <c r="G37" s="13" t="inlineStr">
        <is>
          <t>فاتورة مبدئية 103، كشف الحساب</t>
        </is>
      </c>
      <c r="H37" s="13" t="inlineStr">
        <is>
          <t>فاتورة مبدئية 103 ومسجلة بكشف الحساب – سقطت من شيت المحاسب</t>
        </is>
      </c>
    </row>
    <row r="38">
      <c r="A38" s="3" t="n">
        <v>37</v>
      </c>
      <c r="B38" s="12" t="n">
        <v>46058</v>
      </c>
      <c r="C38" s="3" t="inlineStr">
        <is>
          <t>WHK-3758</t>
        </is>
      </c>
      <c r="D38" s="4" t="n">
        <v>20300</v>
      </c>
      <c r="E38" s="4" t="n">
        <v>20300</v>
      </c>
      <c r="F38" s="3" t="inlineStr">
        <is>
          <t>صحيح</t>
        </is>
      </c>
      <c r="G38" s="3" t="inlineStr">
        <is>
          <t>فاتورة مبدئية 140، كشف الحساب</t>
        </is>
      </c>
      <c r="H38" s="3" t="inlineStr"/>
    </row>
    <row r="39">
      <c r="A39" s="3" t="n">
        <v>38</v>
      </c>
      <c r="B39" s="12" t="n">
        <v>46058</v>
      </c>
      <c r="C39" s="3" t="inlineStr">
        <is>
          <t>WHK-3760</t>
        </is>
      </c>
      <c r="D39" s="4" t="n">
        <v>30850</v>
      </c>
      <c r="E39" s="4" t="n">
        <v>30850</v>
      </c>
      <c r="F39" s="3" t="inlineStr">
        <is>
          <t>صحيح</t>
        </is>
      </c>
      <c r="G39" s="3" t="inlineStr">
        <is>
          <t>فاتورة مبدئية 141، كشف الحساب</t>
        </is>
      </c>
      <c r="H39" s="3" t="inlineStr"/>
    </row>
    <row r="40">
      <c r="A40" s="3" t="n">
        <v>39</v>
      </c>
      <c r="B40" s="12" t="n">
        <v>46064</v>
      </c>
      <c r="C40" s="3" t="inlineStr">
        <is>
          <t>WHK-3809</t>
        </is>
      </c>
      <c r="D40" s="4" t="n">
        <v>3125</v>
      </c>
      <c r="E40" s="4" t="n">
        <v>3125</v>
      </c>
      <c r="F40" s="3" t="inlineStr">
        <is>
          <t>صحيح</t>
        </is>
      </c>
      <c r="G40" s="3" t="inlineStr">
        <is>
          <t>فاتورة مبدئية 149، كشف الحساب</t>
        </is>
      </c>
      <c r="H40" s="3" t="inlineStr"/>
    </row>
    <row r="41">
      <c r="A41" s="3" t="n">
        <v>40</v>
      </c>
      <c r="B41" s="12" t="n">
        <v>46072</v>
      </c>
      <c r="C41" s="3" t="inlineStr">
        <is>
          <t>WHK-3878</t>
        </is>
      </c>
      <c r="D41" s="4" t="n">
        <v>2012.5</v>
      </c>
      <c r="E41" s="4" t="n">
        <v>2012.5</v>
      </c>
      <c r="F41" s="3" t="inlineStr">
        <is>
          <t>صحيح</t>
        </is>
      </c>
      <c r="G41" s="3" t="inlineStr">
        <is>
          <t>فاتورة مبدئية 160، كشف الحساب</t>
        </is>
      </c>
      <c r="H41" s="3" t="inlineStr"/>
    </row>
    <row r="42">
      <c r="A42" s="3" t="n">
        <v>41</v>
      </c>
      <c r="B42" s="12" t="n">
        <v>46084</v>
      </c>
      <c r="C42" s="3" t="inlineStr">
        <is>
          <t>WHK-3923</t>
        </is>
      </c>
      <c r="D42" s="4" t="n">
        <v>6862.5</v>
      </c>
      <c r="E42" s="4" t="n">
        <v>6862.5</v>
      </c>
      <c r="F42" s="3" t="inlineStr">
        <is>
          <t>صحيح</t>
        </is>
      </c>
      <c r="G42" s="3" t="inlineStr">
        <is>
          <t>فاتورة مبدئية 166، كشف الحساب</t>
        </is>
      </c>
      <c r="H42" s="3" t="inlineStr"/>
    </row>
    <row r="43">
      <c r="A43" s="3" t="n">
        <v>42</v>
      </c>
      <c r="B43" s="12" t="n">
        <v>46085</v>
      </c>
      <c r="C43" s="3" t="inlineStr">
        <is>
          <t>WHK-3963</t>
        </is>
      </c>
      <c r="D43" s="4" t="n">
        <v>2700</v>
      </c>
      <c r="E43" s="4" t="n">
        <v>2700</v>
      </c>
      <c r="F43" s="3" t="inlineStr">
        <is>
          <t>صحيح</t>
        </is>
      </c>
      <c r="G43" s="3" t="inlineStr">
        <is>
          <t>فاتورة مبدئية 174، كشف الحساب</t>
        </is>
      </c>
      <c r="H43" s="3" t="inlineStr"/>
    </row>
    <row r="44">
      <c r="A44" s="3" t="n">
        <v>43</v>
      </c>
      <c r="B44" s="12" t="n">
        <v>46145</v>
      </c>
      <c r="C44" s="3" t="inlineStr">
        <is>
          <t>WHK-4256</t>
        </is>
      </c>
      <c r="D44" s="4" t="n">
        <v>19490</v>
      </c>
      <c r="E44" s="4" t="n">
        <v>19490</v>
      </c>
      <c r="F44" s="3" t="inlineStr">
        <is>
          <t>صحيح</t>
        </is>
      </c>
      <c r="G44" s="3" t="inlineStr">
        <is>
          <t>فاتورة مبدئية 227، كشف الحساب</t>
        </is>
      </c>
      <c r="H44" s="3" t="inlineStr"/>
    </row>
    <row r="45">
      <c r="A45" s="3" t="n">
        <v>44</v>
      </c>
      <c r="B45" s="12" t="n">
        <v>46147</v>
      </c>
      <c r="C45" s="3" t="inlineStr">
        <is>
          <t>WHK-4275</t>
        </is>
      </c>
      <c r="D45" s="4" t="n">
        <v>21780</v>
      </c>
      <c r="E45" s="4" t="n">
        <v>21780</v>
      </c>
      <c r="F45" s="3" t="inlineStr">
        <is>
          <t>صحيح</t>
        </is>
      </c>
      <c r="G45" s="3" t="inlineStr">
        <is>
          <t>فاتورة مبدئية 231، كشف الحساب</t>
        </is>
      </c>
      <c r="H45" s="3" t="inlineStr"/>
    </row>
    <row r="46">
      <c r="A46" s="3" t="n">
        <v>45</v>
      </c>
      <c r="B46" s="12" t="n">
        <v>46152</v>
      </c>
      <c r="C46" s="3" t="inlineStr">
        <is>
          <t>WHK-4291</t>
        </is>
      </c>
      <c r="D46" s="4" t="n">
        <v>3135</v>
      </c>
      <c r="E46" s="4" t="n">
        <v>3135</v>
      </c>
      <c r="F46" s="3" t="inlineStr">
        <is>
          <t>صحيح</t>
        </is>
      </c>
      <c r="G46" s="3" t="inlineStr">
        <is>
          <t>فاتورة مبدئية 239، كشف الحساب</t>
        </is>
      </c>
      <c r="H46" s="3" t="inlineStr"/>
    </row>
    <row r="47">
      <c r="A47" s="3" t="n">
        <v>46</v>
      </c>
      <c r="B47" s="12" t="n">
        <v>46154</v>
      </c>
      <c r="C47" s="3" t="inlineStr">
        <is>
          <t>WHK-4305</t>
        </is>
      </c>
      <c r="D47" s="4" t="n">
        <v>3025</v>
      </c>
      <c r="E47" s="4" t="n">
        <v>3025</v>
      </c>
      <c r="F47" s="3" t="inlineStr">
        <is>
          <t>صحيح</t>
        </is>
      </c>
      <c r="G47" s="3" t="inlineStr">
        <is>
          <t>فاتورة مبدئية 243، كشف الحساب</t>
        </is>
      </c>
      <c r="H47" s="3" t="inlineStr"/>
    </row>
    <row r="48">
      <c r="A48" s="3" t="n">
        <v>47</v>
      </c>
      <c r="B48" s="12" t="n">
        <v>46160</v>
      </c>
      <c r="C48" s="3" t="inlineStr">
        <is>
          <t>WHK-4323</t>
        </is>
      </c>
      <c r="D48" s="4" t="n">
        <v>750</v>
      </c>
      <c r="E48" s="4" t="n">
        <v>750</v>
      </c>
      <c r="F48" s="3" t="inlineStr">
        <is>
          <t>صحيح</t>
        </is>
      </c>
      <c r="G48" s="3" t="inlineStr">
        <is>
          <t>فاتورة مبدئية 250، كشف الحساب</t>
        </is>
      </c>
      <c r="H48" s="3" t="inlineStr"/>
    </row>
    <row r="49">
      <c r="A49" s="5" t="inlineStr"/>
      <c r="B49" s="5" t="inlineStr"/>
      <c r="C49" s="5" t="inlineStr">
        <is>
          <t>الإجمالي</t>
        </is>
      </c>
      <c r="D49" s="6">
        <f>SUM(D2:D48)</f>
        <v/>
      </c>
      <c r="E49" s="6">
        <f>SUM(E2:E48)</f>
        <v/>
      </c>
      <c r="F49" s="5" t="n"/>
      <c r="G49" s="5" t="n"/>
      <c r="H49" s="5" t="n"/>
    </row>
  </sheetData>
  <autoFilter ref="A1:H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6" customWidth="1" min="4" max="4"/>
    <col width="42" customWidth="1" min="5" max="5"/>
    <col width="14" customWidth="1" min="6" max="6"/>
    <col width="15" customWidth="1" min="7" max="7"/>
    <col width="17" customWidth="1" min="8" max="8"/>
    <col width="9" customWidth="1" min="9" max="9"/>
  </cols>
  <sheetData>
    <row r="1">
      <c r="A1" s="2" t="inlineStr">
        <is>
          <t>رقم الفاتورة</t>
        </is>
      </c>
      <c r="B1" s="2" t="inlineStr">
        <is>
          <t>التاريخ</t>
        </is>
      </c>
      <c r="C1" s="2" t="inlineStr">
        <is>
          <t>السيارة</t>
        </is>
      </c>
      <c r="D1" s="2" t="inlineStr">
        <is>
          <t>المندوب</t>
        </is>
      </c>
      <c r="E1" s="2" t="inlineStr">
        <is>
          <t>العميل</t>
        </is>
      </c>
      <c r="F1" s="2" t="inlineStr">
        <is>
          <t>قيمة الفاتورة</t>
        </is>
      </c>
      <c r="G1" s="2" t="inlineStr">
        <is>
          <t>الحالة</t>
        </is>
      </c>
      <c r="H1" s="2" t="inlineStr">
        <is>
          <t>الصافي بعد المرتجع</t>
        </is>
      </c>
      <c r="I1" s="2" t="inlineStr">
        <is>
          <t>الشهر</t>
        </is>
      </c>
    </row>
    <row r="2">
      <c r="A2" s="3" t="inlineStr">
        <is>
          <t>WS-INV-0038</t>
        </is>
      </c>
      <c r="B2" s="12" t="n">
        <v>46186</v>
      </c>
      <c r="C2" s="3" t="inlineStr">
        <is>
          <t>VHC-1219</t>
        </is>
      </c>
      <c r="D2" s="3" t="inlineStr">
        <is>
          <t>عصمت الله خان</t>
        </is>
      </c>
      <c r="E2" s="3" t="inlineStr">
        <is>
          <t>مشاتل طريق ملك عبدالله-الرياض</t>
        </is>
      </c>
      <c r="F2" s="4" t="n">
        <v>340.5</v>
      </c>
      <c r="G2" s="3" t="inlineStr">
        <is>
          <t>مكتمل</t>
        </is>
      </c>
      <c r="H2" s="4" t="n">
        <v>340.5</v>
      </c>
      <c r="I2" s="3" t="inlineStr">
        <is>
          <t>6-2026</t>
        </is>
      </c>
    </row>
    <row r="3">
      <c r="A3" s="3" t="inlineStr">
        <is>
          <t>WS-INV-0035</t>
        </is>
      </c>
      <c r="B3" s="12" t="n">
        <v>46186</v>
      </c>
      <c r="C3" s="3" t="inlineStr">
        <is>
          <t>VHC-1219</t>
        </is>
      </c>
      <c r="D3" s="3" t="inlineStr">
        <is>
          <t>عصمت الله خان</t>
        </is>
      </c>
      <c r="E3" s="3" t="inlineStr">
        <is>
          <t>مشاتل مخرج 15-الرياض</t>
        </is>
      </c>
      <c r="F3" s="4" t="n">
        <v>2135</v>
      </c>
      <c r="G3" s="3" t="inlineStr">
        <is>
          <t>مكتمل</t>
        </is>
      </c>
      <c r="H3" s="4" t="n">
        <v>2135</v>
      </c>
      <c r="I3" s="3" t="inlineStr">
        <is>
          <t>6-2026</t>
        </is>
      </c>
    </row>
    <row r="4">
      <c r="A4" s="3" t="inlineStr">
        <is>
          <t>WS-INV-0034</t>
        </is>
      </c>
      <c r="B4" s="12" t="n">
        <v>46186</v>
      </c>
      <c r="C4" s="3" t="inlineStr">
        <is>
          <t>VHC-1219</t>
        </is>
      </c>
      <c r="D4" s="3" t="inlineStr">
        <is>
          <t>عصمت الله خان</t>
        </is>
      </c>
      <c r="E4" s="3" t="inlineStr">
        <is>
          <t>مشتل سالم-الرياض</t>
        </is>
      </c>
      <c r="F4" s="4" t="n">
        <v>105</v>
      </c>
      <c r="G4" s="3" t="inlineStr">
        <is>
          <t>مكتمل</t>
        </is>
      </c>
      <c r="H4" s="4" t="n">
        <v>105</v>
      </c>
      <c r="I4" s="3" t="inlineStr">
        <is>
          <t>6-2026</t>
        </is>
      </c>
    </row>
    <row r="5">
      <c r="A5" s="3" t="inlineStr">
        <is>
          <t>WS-INV-0002</t>
        </is>
      </c>
      <c r="B5" s="12" t="n">
        <v>46186</v>
      </c>
      <c r="C5" s="3" t="inlineStr">
        <is>
          <t>VHC-1219</t>
        </is>
      </c>
      <c r="D5" s="3" t="inlineStr">
        <is>
          <t>عصمت الله خان</t>
        </is>
      </c>
      <c r="E5" s="3" t="inlineStr">
        <is>
          <t>مشتل نسيم الصبا - الرياض</t>
        </is>
      </c>
      <c r="F5" s="4" t="n">
        <v>310</v>
      </c>
      <c r="G5" s="3" t="inlineStr">
        <is>
          <t>مكتمل</t>
        </is>
      </c>
      <c r="H5" s="4" t="n">
        <v>310</v>
      </c>
      <c r="I5" s="3" t="inlineStr">
        <is>
          <t>6-2026</t>
        </is>
      </c>
    </row>
    <row r="6">
      <c r="A6" s="3" t="inlineStr">
        <is>
          <t>WS-INV-0001</t>
        </is>
      </c>
      <c r="B6" s="12" t="n">
        <v>46186</v>
      </c>
      <c r="C6" s="3" t="inlineStr">
        <is>
          <t>VHC-1219</t>
        </is>
      </c>
      <c r="D6" s="3" t="inlineStr">
        <is>
          <t>عصمت الله خان</t>
        </is>
      </c>
      <c r="E6" s="3" t="inlineStr">
        <is>
          <t>مشتل عبدالقادر-الرياض</t>
        </is>
      </c>
      <c r="F6" s="4" t="n">
        <v>2007.5</v>
      </c>
      <c r="G6" s="3" t="inlineStr">
        <is>
          <t>مكتمل</t>
        </is>
      </c>
      <c r="H6" s="4" t="n">
        <v>2007.5</v>
      </c>
      <c r="I6" s="3" t="inlineStr">
        <is>
          <t>6-2026</t>
        </is>
      </c>
    </row>
    <row r="7">
      <c r="A7" s="3" t="inlineStr">
        <is>
          <t>WS-INV-0048</t>
        </is>
      </c>
      <c r="B7" s="12" t="n">
        <v>46187</v>
      </c>
      <c r="C7" s="3" t="inlineStr">
        <is>
          <t>VHC-1219</t>
        </is>
      </c>
      <c r="D7" s="3" t="inlineStr">
        <is>
          <t>عصمت الله خان</t>
        </is>
      </c>
      <c r="E7" s="3" t="inlineStr">
        <is>
          <t>مشتل حي لبن - الرياض</t>
        </is>
      </c>
      <c r="F7" s="4" t="n">
        <v>2250</v>
      </c>
      <c r="G7" s="3" t="inlineStr">
        <is>
          <t>مكتمل</t>
        </is>
      </c>
      <c r="H7" s="4" t="n">
        <v>2250</v>
      </c>
      <c r="I7" s="3" t="inlineStr">
        <is>
          <t>6-2026</t>
        </is>
      </c>
    </row>
    <row r="8">
      <c r="A8" s="3" t="inlineStr">
        <is>
          <t>WS-INV-0040</t>
        </is>
      </c>
      <c r="B8" s="12" t="n">
        <v>46187</v>
      </c>
      <c r="C8" s="3" t="inlineStr">
        <is>
          <t>VHC-1219</t>
        </is>
      </c>
      <c r="D8" s="3" t="inlineStr">
        <is>
          <t>عصمت الله خان</t>
        </is>
      </c>
      <c r="E8" s="3" t="inlineStr">
        <is>
          <t>مشاتل طريق مخرج 8-الرياض</t>
        </is>
      </c>
      <c r="F8" s="4" t="n">
        <v>1967</v>
      </c>
      <c r="G8" s="3" t="inlineStr">
        <is>
          <t>مكتمل</t>
        </is>
      </c>
      <c r="H8" s="4" t="n">
        <v>1967</v>
      </c>
      <c r="I8" s="3" t="inlineStr">
        <is>
          <t>6-2026</t>
        </is>
      </c>
    </row>
    <row r="9">
      <c r="A9" s="3" t="inlineStr">
        <is>
          <t>WS-INV-0039</t>
        </is>
      </c>
      <c r="B9" s="12" t="n">
        <v>46187</v>
      </c>
      <c r="C9" s="3" t="inlineStr">
        <is>
          <t>VHC-1219</t>
        </is>
      </c>
      <c r="D9" s="3" t="inlineStr">
        <is>
          <t>عصمت الله خان</t>
        </is>
      </c>
      <c r="E9" s="3" t="inlineStr">
        <is>
          <t>مشاتل طريق خريص-الرياض</t>
        </is>
      </c>
      <c r="F9" s="4" t="n">
        <v>2310</v>
      </c>
      <c r="G9" s="3" t="inlineStr">
        <is>
          <t>مكتمل</t>
        </is>
      </c>
      <c r="H9" s="4" t="n">
        <v>2310</v>
      </c>
      <c r="I9" s="3" t="inlineStr">
        <is>
          <t>6-2026</t>
        </is>
      </c>
    </row>
    <row r="10">
      <c r="A10" s="3" t="inlineStr">
        <is>
          <t>WS-INV-0056</t>
        </is>
      </c>
      <c r="B10" s="12" t="n">
        <v>46189</v>
      </c>
      <c r="C10" s="3" t="inlineStr">
        <is>
          <t>VHC-1219</t>
        </is>
      </c>
      <c r="D10" s="3" t="inlineStr">
        <is>
          <t>عصمت الله خان</t>
        </is>
      </c>
      <c r="E10" s="3" t="inlineStr">
        <is>
          <t>مشاتل طريق خريص-الرياض</t>
        </is>
      </c>
      <c r="F10" s="4" t="n">
        <v>952.5</v>
      </c>
      <c r="G10" s="3" t="inlineStr">
        <is>
          <t>مكتمل</t>
        </is>
      </c>
      <c r="H10" s="4" t="n">
        <v>952.5</v>
      </c>
      <c r="I10" s="3" t="inlineStr">
        <is>
          <t>6-2026</t>
        </is>
      </c>
    </row>
    <row r="11">
      <c r="A11" s="3" t="inlineStr">
        <is>
          <t>WS-INV-0063</t>
        </is>
      </c>
      <c r="B11" s="12" t="n">
        <v>46190</v>
      </c>
      <c r="C11" s="3" t="inlineStr">
        <is>
          <t>VHC-1219</t>
        </is>
      </c>
      <c r="D11" s="3" t="inlineStr">
        <is>
          <t>عصمت الله خان</t>
        </is>
      </c>
      <c r="E11" s="3" t="inlineStr">
        <is>
          <t>مشتل سالم-الرياض</t>
        </is>
      </c>
      <c r="F11" s="4" t="n">
        <v>767</v>
      </c>
      <c r="G11" s="3" t="inlineStr">
        <is>
          <t>مكتمل</t>
        </is>
      </c>
      <c r="H11" s="4" t="n">
        <v>767</v>
      </c>
      <c r="I11" s="3" t="inlineStr">
        <is>
          <t>6-2026</t>
        </is>
      </c>
    </row>
    <row r="12">
      <c r="A12" s="3" t="inlineStr">
        <is>
          <t>WS-INV-0072</t>
        </is>
      </c>
      <c r="B12" s="12" t="n">
        <v>46191</v>
      </c>
      <c r="C12" s="3" t="inlineStr">
        <is>
          <t>VHC-1219</t>
        </is>
      </c>
      <c r="D12" s="3" t="inlineStr">
        <is>
          <t>عصمت الله خان</t>
        </is>
      </c>
      <c r="E12" s="3" t="inlineStr">
        <is>
          <t>مشاتل مخرج 15-الرياض</t>
        </is>
      </c>
      <c r="F12" s="4" t="n">
        <v>1167</v>
      </c>
      <c r="G12" s="3" t="inlineStr">
        <is>
          <t>مكتمل</t>
        </is>
      </c>
      <c r="H12" s="4" t="n">
        <v>1167</v>
      </c>
      <c r="I12" s="3" t="inlineStr">
        <is>
          <t>6-2026</t>
        </is>
      </c>
    </row>
    <row r="13">
      <c r="A13" s="19" t="inlineStr">
        <is>
          <t>WS-INV-0082</t>
        </is>
      </c>
      <c r="B13" s="20" t="n">
        <v>46193</v>
      </c>
      <c r="C13" s="19" t="inlineStr">
        <is>
          <t>VHC-1219</t>
        </is>
      </c>
      <c r="D13" s="19" t="inlineStr">
        <is>
          <t>عصمت الله خان</t>
        </is>
      </c>
      <c r="E13" s="19" t="inlineStr">
        <is>
          <t>مشتل زهور الرياض - الرياض</t>
        </is>
      </c>
      <c r="F13" s="21" t="n">
        <v>1688.2</v>
      </c>
      <c r="G13" s="19" t="inlineStr">
        <is>
          <t>مرتجع بالكامل</t>
        </is>
      </c>
      <c r="H13" s="21" t="n">
        <v>0</v>
      </c>
      <c r="I13" s="19" t="inlineStr">
        <is>
          <t>6-2026</t>
        </is>
      </c>
    </row>
    <row r="14">
      <c r="A14" s="19" t="inlineStr">
        <is>
          <t>WS-INV-0079</t>
        </is>
      </c>
      <c r="B14" s="20" t="n">
        <v>46193</v>
      </c>
      <c r="C14" s="19" t="inlineStr">
        <is>
          <t>VHC-1219</t>
        </is>
      </c>
      <c r="D14" s="19" t="inlineStr">
        <is>
          <t>عصمت الله خان</t>
        </is>
      </c>
      <c r="E14" s="19" t="inlineStr">
        <is>
          <t>مشتل زهور الرياض - الرياض</t>
        </is>
      </c>
      <c r="F14" s="21" t="n">
        <v>1688.2</v>
      </c>
      <c r="G14" s="19" t="inlineStr">
        <is>
          <t>مرتجع بالكامل</t>
        </is>
      </c>
      <c r="H14" s="21" t="n">
        <v>0</v>
      </c>
      <c r="I14" s="19" t="inlineStr">
        <is>
          <t>6-2026</t>
        </is>
      </c>
    </row>
    <row r="15">
      <c r="A15" s="3" t="inlineStr">
        <is>
          <t>WS-INV-0086</t>
        </is>
      </c>
      <c r="B15" s="12" t="n">
        <v>46194</v>
      </c>
      <c r="C15" s="3" t="inlineStr">
        <is>
          <t>VHC-1219</t>
        </is>
      </c>
      <c r="D15" s="3" t="inlineStr">
        <is>
          <t>عصمت الله خان</t>
        </is>
      </c>
      <c r="E15" s="3" t="inlineStr">
        <is>
          <t>مشاتل الثمامة-الرياض</t>
        </is>
      </c>
      <c r="F15" s="4" t="n">
        <v>645</v>
      </c>
      <c r="G15" s="3" t="inlineStr">
        <is>
          <t>مكتمل</t>
        </is>
      </c>
      <c r="H15" s="4" t="n">
        <v>645</v>
      </c>
      <c r="I15" s="3" t="inlineStr">
        <is>
          <t>6-2026</t>
        </is>
      </c>
    </row>
    <row r="16">
      <c r="A16" s="19" t="inlineStr">
        <is>
          <t>WS-INV-0085</t>
        </is>
      </c>
      <c r="B16" s="20" t="n">
        <v>46194</v>
      </c>
      <c r="C16" s="19" t="inlineStr">
        <is>
          <t>VHC-1219</t>
        </is>
      </c>
      <c r="D16" s="19" t="inlineStr">
        <is>
          <t>عصمت الله خان</t>
        </is>
      </c>
      <c r="E16" s="19" t="inlineStr">
        <is>
          <t>مشاتل الثمامة-الرياض</t>
        </is>
      </c>
      <c r="F16" s="21" t="n">
        <v>747.5</v>
      </c>
      <c r="G16" s="19" t="inlineStr">
        <is>
          <t>مرتجع بالكامل</t>
        </is>
      </c>
      <c r="H16" s="21" t="n">
        <v>0</v>
      </c>
      <c r="I16" s="19" t="inlineStr">
        <is>
          <t>6-2026</t>
        </is>
      </c>
    </row>
    <row r="17">
      <c r="A17" s="3" t="inlineStr">
        <is>
          <t>WS-INV-0084</t>
        </is>
      </c>
      <c r="B17" s="12" t="n">
        <v>46194</v>
      </c>
      <c r="C17" s="3" t="inlineStr">
        <is>
          <t>VHC-1219</t>
        </is>
      </c>
      <c r="D17" s="3" t="inlineStr">
        <is>
          <t>عصمت الله خان</t>
        </is>
      </c>
      <c r="E17" s="3" t="inlineStr">
        <is>
          <t>مشتل زهور الرياض - الرياض</t>
        </is>
      </c>
      <c r="F17" s="4" t="n">
        <v>1395</v>
      </c>
      <c r="G17" s="3" t="inlineStr">
        <is>
          <t>مكتمل</t>
        </is>
      </c>
      <c r="H17" s="4" t="n">
        <v>1395</v>
      </c>
      <c r="I17" s="3" t="inlineStr">
        <is>
          <t>6-2026</t>
        </is>
      </c>
    </row>
    <row r="18">
      <c r="A18" s="3" t="inlineStr">
        <is>
          <t>WS-INV-0091</t>
        </is>
      </c>
      <c r="B18" s="12" t="n">
        <v>46195</v>
      </c>
      <c r="C18" s="3" t="inlineStr">
        <is>
          <t>VHC-1219</t>
        </is>
      </c>
      <c r="D18" s="3" t="inlineStr">
        <is>
          <t>عصمت الله خان</t>
        </is>
      </c>
      <c r="E18" s="3" t="inlineStr">
        <is>
          <t>مشتل نسيم الصبا - الرياض</t>
        </is>
      </c>
      <c r="F18" s="4" t="n">
        <v>420.3125</v>
      </c>
      <c r="G18" s="3" t="inlineStr">
        <is>
          <t>مكتمل</t>
        </is>
      </c>
      <c r="H18" s="4" t="n">
        <v>420.3125</v>
      </c>
      <c r="I18" s="3" t="inlineStr">
        <is>
          <t>6-2026</t>
        </is>
      </c>
    </row>
    <row r="19">
      <c r="A19" s="3" t="inlineStr">
        <is>
          <t>WS-INV-0097</t>
        </is>
      </c>
      <c r="B19" s="12" t="n">
        <v>46196</v>
      </c>
      <c r="C19" s="3" t="inlineStr">
        <is>
          <t>VHC-1219</t>
        </is>
      </c>
      <c r="D19" s="3" t="inlineStr">
        <is>
          <t>عصمت الله خان</t>
        </is>
      </c>
      <c r="E19" s="3" t="inlineStr">
        <is>
          <t>مشتل حي لبن - الرياض</t>
        </is>
      </c>
      <c r="F19" s="4" t="n">
        <v>255.5</v>
      </c>
      <c r="G19" s="3" t="inlineStr">
        <is>
          <t>مكتمل</t>
        </is>
      </c>
      <c r="H19" s="4" t="n">
        <v>255.5</v>
      </c>
      <c r="I19" s="3" t="inlineStr">
        <is>
          <t>6-2026</t>
        </is>
      </c>
    </row>
    <row r="20">
      <c r="A20" s="3" t="inlineStr">
        <is>
          <t>WS-INV-0103</t>
        </is>
      </c>
      <c r="B20" s="12" t="n">
        <v>46197</v>
      </c>
      <c r="C20" s="3" t="inlineStr">
        <is>
          <t>VHC-1219</t>
        </is>
      </c>
      <c r="D20" s="3" t="inlineStr">
        <is>
          <t>عصمت الله خان</t>
        </is>
      </c>
      <c r="E20" s="3" t="inlineStr">
        <is>
          <t>مشاتل طريق ملك عبدالله-الرياض</t>
        </is>
      </c>
      <c r="F20" s="4" t="n">
        <v>745.04375</v>
      </c>
      <c r="G20" s="3" t="inlineStr">
        <is>
          <t>مكتمل</t>
        </is>
      </c>
      <c r="H20" s="4" t="n">
        <v>745.04375</v>
      </c>
      <c r="I20" s="3" t="inlineStr">
        <is>
          <t>6-2026</t>
        </is>
      </c>
    </row>
    <row r="21">
      <c r="A21" s="3" t="inlineStr">
        <is>
          <t>WS-INV-0106</t>
        </is>
      </c>
      <c r="B21" s="12" t="n">
        <v>46198</v>
      </c>
      <c r="C21" s="3" t="inlineStr">
        <is>
          <t>VHC-1219</t>
        </is>
      </c>
      <c r="D21" s="3" t="inlineStr">
        <is>
          <t>عصمت الله خان</t>
        </is>
      </c>
      <c r="E21" s="3" t="inlineStr">
        <is>
          <t>مشاتل العليا-الرياض</t>
        </is>
      </c>
      <c r="F21" s="4" t="n">
        <v>980.75</v>
      </c>
      <c r="G21" s="3" t="inlineStr">
        <is>
          <t>مكتمل</t>
        </is>
      </c>
      <c r="H21" s="4" t="n">
        <v>980.75</v>
      </c>
      <c r="I21" s="3" t="inlineStr">
        <is>
          <t>6-2026</t>
        </is>
      </c>
    </row>
    <row r="22">
      <c r="A22" s="3" t="inlineStr">
        <is>
          <t>WS-INV-0111</t>
        </is>
      </c>
      <c r="B22" s="12" t="n">
        <v>46200</v>
      </c>
      <c r="C22" s="3" t="inlineStr">
        <is>
          <t>VHC-1219</t>
        </is>
      </c>
      <c r="D22" s="3" t="inlineStr">
        <is>
          <t>عصمت الله خان</t>
        </is>
      </c>
      <c r="E22" s="3" t="inlineStr">
        <is>
          <t>مشتل حي لبن - الرياض</t>
        </is>
      </c>
      <c r="F22" s="4" t="n">
        <v>445.06875</v>
      </c>
      <c r="G22" s="3" t="inlineStr">
        <is>
          <t>مكتمل</t>
        </is>
      </c>
      <c r="H22" s="4" t="n">
        <v>445.06875</v>
      </c>
      <c r="I22" s="3" t="inlineStr">
        <is>
          <t>6-2026</t>
        </is>
      </c>
    </row>
    <row r="23">
      <c r="A23" s="3" t="inlineStr">
        <is>
          <t>WS-INV-0116</t>
        </is>
      </c>
      <c r="B23" s="12" t="n">
        <v>46201</v>
      </c>
      <c r="C23" s="3" t="inlineStr">
        <is>
          <t>VHC-1219</t>
        </is>
      </c>
      <c r="D23" s="3" t="inlineStr">
        <is>
          <t>عصمت الله خان</t>
        </is>
      </c>
      <c r="E23" s="3" t="inlineStr">
        <is>
          <t>مشتل سالم-الرياض</t>
        </is>
      </c>
      <c r="F23" s="4" t="n">
        <v>1560</v>
      </c>
      <c r="G23" s="3" t="inlineStr">
        <is>
          <t>مكتمل</t>
        </is>
      </c>
      <c r="H23" s="4" t="n">
        <v>1560</v>
      </c>
      <c r="I23" s="3" t="inlineStr">
        <is>
          <t>6-2026</t>
        </is>
      </c>
    </row>
    <row r="24">
      <c r="A24" s="3" t="inlineStr">
        <is>
          <t>WS-INV-0119</t>
        </is>
      </c>
      <c r="B24" s="12" t="n">
        <v>46202</v>
      </c>
      <c r="C24" s="3" t="inlineStr">
        <is>
          <t>VHC-1219</t>
        </is>
      </c>
      <c r="D24" s="3" t="inlineStr">
        <is>
          <t>عصمت الله خان</t>
        </is>
      </c>
      <c r="E24" s="3" t="inlineStr">
        <is>
          <t>مشتل حي لبن - الرياض</t>
        </is>
      </c>
      <c r="F24" s="4" t="n">
        <v>1143</v>
      </c>
      <c r="G24" s="3" t="inlineStr">
        <is>
          <t>مكتمل</t>
        </is>
      </c>
      <c r="H24" s="4" t="n">
        <v>1143</v>
      </c>
      <c r="I24" s="3" t="inlineStr">
        <is>
          <t>6-2026</t>
        </is>
      </c>
    </row>
    <row r="25">
      <c r="A25" s="3" t="inlineStr">
        <is>
          <t>WS-INV-0124</t>
        </is>
      </c>
      <c r="B25" s="12" t="n">
        <v>46203</v>
      </c>
      <c r="C25" s="3" t="inlineStr">
        <is>
          <t>VHC-1219</t>
        </is>
      </c>
      <c r="D25" s="3" t="inlineStr">
        <is>
          <t>عصمت الله خان</t>
        </is>
      </c>
      <c r="E25" s="3" t="inlineStr">
        <is>
          <t>مشاتل وردة الياسمين - الرياض</t>
        </is>
      </c>
      <c r="F25" s="4" t="n">
        <v>620</v>
      </c>
      <c r="G25" s="3" t="inlineStr">
        <is>
          <t>مكتمل</t>
        </is>
      </c>
      <c r="H25" s="4" t="n">
        <v>620</v>
      </c>
      <c r="I25" s="3" t="inlineStr">
        <is>
          <t>6-2026</t>
        </is>
      </c>
    </row>
    <row r="26">
      <c r="A26" s="3" t="inlineStr">
        <is>
          <t>WS-INV-0128</t>
        </is>
      </c>
      <c r="B26" s="12" t="n">
        <v>46204</v>
      </c>
      <c r="C26" s="3" t="inlineStr">
        <is>
          <t>VHC-1219</t>
        </is>
      </c>
      <c r="D26" s="3" t="inlineStr">
        <is>
          <t>عصمت الله خان</t>
        </is>
      </c>
      <c r="E26" s="3" t="inlineStr">
        <is>
          <t>مشتل نسيم الصبا - الرياض</t>
        </is>
      </c>
      <c r="F26" s="4" t="n">
        <v>1325</v>
      </c>
      <c r="G26" s="3" t="inlineStr">
        <is>
          <t>مكتمل</t>
        </is>
      </c>
      <c r="H26" s="4" t="n">
        <v>1325</v>
      </c>
      <c r="I26" s="3" t="inlineStr">
        <is>
          <t>7-2026</t>
        </is>
      </c>
    </row>
    <row r="27">
      <c r="A27" s="3" t="inlineStr">
        <is>
          <t>WS-INV-0147</t>
        </is>
      </c>
      <c r="B27" s="12" t="n">
        <v>46208</v>
      </c>
      <c r="C27" s="3" t="inlineStr">
        <is>
          <t>VHC-1219</t>
        </is>
      </c>
      <c r="D27" s="3" t="inlineStr">
        <is>
          <t>عصمت الله خان</t>
        </is>
      </c>
      <c r="E27" s="3" t="inlineStr">
        <is>
          <t>مشاتل طريق خريص-الرياض</t>
        </is>
      </c>
      <c r="F27" s="4" t="n">
        <v>1245</v>
      </c>
      <c r="G27" s="3" t="inlineStr">
        <is>
          <t>مكتمل</t>
        </is>
      </c>
      <c r="H27" s="4" t="n">
        <v>1245</v>
      </c>
      <c r="I27" s="3" t="inlineStr">
        <is>
          <t>7-2026</t>
        </is>
      </c>
    </row>
    <row r="28">
      <c r="A28" s="3" t="inlineStr">
        <is>
          <t>WS-INV-0143</t>
        </is>
      </c>
      <c r="B28" s="12" t="n">
        <v>46208</v>
      </c>
      <c r="C28" s="3" t="inlineStr">
        <is>
          <t>VHC-1219</t>
        </is>
      </c>
      <c r="D28" s="3" t="inlineStr">
        <is>
          <t>عصمت الله خان</t>
        </is>
      </c>
      <c r="E28" s="3" t="inlineStr">
        <is>
          <t>مشاتل مخرج 15-الرياض</t>
        </is>
      </c>
      <c r="F28" s="4" t="n">
        <v>1695</v>
      </c>
      <c r="G28" s="3" t="inlineStr">
        <is>
          <t>مكتمل</t>
        </is>
      </c>
      <c r="H28" s="4" t="n">
        <v>1695</v>
      </c>
      <c r="I28" s="3" t="inlineStr">
        <is>
          <t>7-2026</t>
        </is>
      </c>
    </row>
    <row r="29">
      <c r="A29" s="3" t="inlineStr">
        <is>
          <t>WS-INV-0171</t>
        </is>
      </c>
      <c r="B29" s="12" t="n">
        <v>46214</v>
      </c>
      <c r="C29" s="3" t="inlineStr">
        <is>
          <t>VHC-1219</t>
        </is>
      </c>
      <c r="D29" s="3" t="inlineStr">
        <is>
          <t>عصمت الله خان</t>
        </is>
      </c>
      <c r="E29" s="3" t="inlineStr">
        <is>
          <t>مشاتل مخرج 22-الرياض</t>
        </is>
      </c>
      <c r="F29" s="4" t="n">
        <v>150</v>
      </c>
      <c r="G29" s="3" t="inlineStr">
        <is>
          <t>مكتمل</t>
        </is>
      </c>
      <c r="H29" s="4" t="n">
        <v>150</v>
      </c>
      <c r="I29" s="3" t="inlineStr">
        <is>
          <t>7-2026</t>
        </is>
      </c>
    </row>
    <row r="30">
      <c r="A30" s="3" t="inlineStr">
        <is>
          <t>WS-INV-0170</t>
        </is>
      </c>
      <c r="B30" s="12" t="n">
        <v>46214</v>
      </c>
      <c r="C30" s="3" t="inlineStr">
        <is>
          <t>VHC-1219</t>
        </is>
      </c>
      <c r="D30" s="3" t="inlineStr">
        <is>
          <t>عصمت الله خان</t>
        </is>
      </c>
      <c r="E30" s="3" t="inlineStr">
        <is>
          <t>مشتل عمر الخضير-الرياض</t>
        </is>
      </c>
      <c r="F30" s="4" t="n">
        <v>1070</v>
      </c>
      <c r="G30" s="3" t="inlineStr">
        <is>
          <t>مكتمل</t>
        </is>
      </c>
      <c r="H30" s="4" t="n">
        <v>1070</v>
      </c>
      <c r="I30" s="3" t="inlineStr">
        <is>
          <t>7-2026</t>
        </is>
      </c>
    </row>
    <row r="31">
      <c r="A31" s="3" t="inlineStr">
        <is>
          <t>WS-INV-0169</t>
        </is>
      </c>
      <c r="B31" s="12" t="n">
        <v>46214</v>
      </c>
      <c r="C31" s="3" t="inlineStr">
        <is>
          <t>VHC-1219</t>
        </is>
      </c>
      <c r="D31" s="3" t="inlineStr">
        <is>
          <t>عصمت الله خان</t>
        </is>
      </c>
      <c r="E31" s="3" t="inlineStr">
        <is>
          <t>مشتل احمد بتشا-الرياض</t>
        </is>
      </c>
      <c r="F31" s="4" t="n">
        <v>769</v>
      </c>
      <c r="G31" s="3" t="inlineStr">
        <is>
          <t>مكتمل</t>
        </is>
      </c>
      <c r="H31" s="4" t="n">
        <v>769</v>
      </c>
      <c r="I31" s="3" t="inlineStr">
        <is>
          <t>7-2026</t>
        </is>
      </c>
    </row>
    <row r="32">
      <c r="A32" s="3" t="inlineStr">
        <is>
          <t>WS-INV-0178</t>
        </is>
      </c>
      <c r="B32" s="12" t="n">
        <v>46216</v>
      </c>
      <c r="C32" s="3" t="inlineStr">
        <is>
          <t>VHC-1219</t>
        </is>
      </c>
      <c r="D32" s="3" t="inlineStr">
        <is>
          <t>عصمت الله خان</t>
        </is>
      </c>
      <c r="E32" s="3" t="inlineStr">
        <is>
          <t>مشتل نسيم الصبا - الرياض</t>
        </is>
      </c>
      <c r="F32" s="4" t="n">
        <v>160</v>
      </c>
      <c r="G32" s="3" t="inlineStr">
        <is>
          <t>مكتمل</t>
        </is>
      </c>
      <c r="H32" s="4" t="n">
        <v>160</v>
      </c>
      <c r="I32" s="3" t="inlineStr">
        <is>
          <t>7-2026</t>
        </is>
      </c>
    </row>
    <row r="33">
      <c r="A33" s="3" t="inlineStr">
        <is>
          <t>WS-INV-0190</t>
        </is>
      </c>
      <c r="B33" s="12" t="n">
        <v>46217</v>
      </c>
      <c r="C33" s="3" t="inlineStr">
        <is>
          <t>VHC-1219</t>
        </is>
      </c>
      <c r="D33" s="3" t="inlineStr">
        <is>
          <t>عصمت الله خان</t>
        </is>
      </c>
      <c r="E33" s="3" t="inlineStr">
        <is>
          <t>مشتل سالم-الرياض</t>
        </is>
      </c>
      <c r="F33" s="4" t="n">
        <v>400</v>
      </c>
      <c r="G33" s="3" t="inlineStr">
        <is>
          <t>مكتمل</t>
        </is>
      </c>
      <c r="H33" s="4" t="n">
        <v>400</v>
      </c>
      <c r="I33" s="3" t="inlineStr">
        <is>
          <t>7-2026</t>
        </is>
      </c>
    </row>
    <row r="34">
      <c r="A34" s="3" t="inlineStr">
        <is>
          <t>WS-INV-0197</t>
        </is>
      </c>
      <c r="B34" s="12" t="n">
        <v>46219</v>
      </c>
      <c r="C34" s="3" t="inlineStr">
        <is>
          <t>VHC-1219</t>
        </is>
      </c>
      <c r="D34" s="3" t="inlineStr">
        <is>
          <t>عصمت الله خان</t>
        </is>
      </c>
      <c r="E34" s="3" t="inlineStr">
        <is>
          <t>مشتل زهور الرياض - الرياض</t>
        </is>
      </c>
      <c r="F34" s="4" t="n">
        <v>630</v>
      </c>
      <c r="G34" s="3" t="inlineStr">
        <is>
          <t>مكتمل</t>
        </is>
      </c>
      <c r="H34" s="4" t="n">
        <v>630</v>
      </c>
      <c r="I34" s="3" t="inlineStr">
        <is>
          <t>7-2026</t>
        </is>
      </c>
    </row>
    <row r="35">
      <c r="A35" s="3" t="inlineStr">
        <is>
          <t>WS-INV-0206</t>
        </is>
      </c>
      <c r="B35" s="12" t="n">
        <v>46221</v>
      </c>
      <c r="C35" s="3" t="inlineStr">
        <is>
          <t>VHC-1219</t>
        </is>
      </c>
      <c r="D35" s="3" t="inlineStr">
        <is>
          <t>عصمت الله خان</t>
        </is>
      </c>
      <c r="E35" s="3" t="inlineStr">
        <is>
          <t>مشتل نسيم الصبا - الرياض</t>
        </is>
      </c>
      <c r="F35" s="4" t="n">
        <v>590</v>
      </c>
      <c r="G35" s="3" t="inlineStr">
        <is>
          <t>مكتمل</t>
        </is>
      </c>
      <c r="H35" s="4" t="n">
        <v>590</v>
      </c>
      <c r="I35" s="3" t="inlineStr">
        <is>
          <t>7-2026</t>
        </is>
      </c>
    </row>
    <row r="36">
      <c r="A36" s="3" t="inlineStr">
        <is>
          <t>WS-INV-0215</t>
        </is>
      </c>
      <c r="B36" s="12" t="n">
        <v>46222</v>
      </c>
      <c r="C36" s="3" t="inlineStr">
        <is>
          <t>VHC-1219</t>
        </is>
      </c>
      <c r="D36" s="3" t="inlineStr">
        <is>
          <t>عصمت الله خان</t>
        </is>
      </c>
      <c r="E36" s="3" t="inlineStr">
        <is>
          <t>مشاتل العليا-الرياض</t>
        </is>
      </c>
      <c r="F36" s="4" t="n">
        <v>540</v>
      </c>
      <c r="G36" s="3" t="inlineStr">
        <is>
          <t>مكتمل</t>
        </is>
      </c>
      <c r="H36" s="4" t="n">
        <v>540</v>
      </c>
      <c r="I36" s="3" t="inlineStr">
        <is>
          <t>7-2026</t>
        </is>
      </c>
    </row>
    <row r="37">
      <c r="A37" s="3" t="inlineStr">
        <is>
          <t>WS-INV-0222</t>
        </is>
      </c>
      <c r="B37" s="12" t="n">
        <v>46224</v>
      </c>
      <c r="C37" s="3" t="inlineStr">
        <is>
          <t>VHC-1219</t>
        </is>
      </c>
      <c r="D37" s="3" t="inlineStr">
        <is>
          <t>عصمت الله خان</t>
        </is>
      </c>
      <c r="E37" s="3" t="inlineStr">
        <is>
          <t>مشتل زهور الرياض - الرياض</t>
        </is>
      </c>
      <c r="F37" s="4" t="n">
        <v>300</v>
      </c>
      <c r="G37" s="3" t="inlineStr">
        <is>
          <t>مكتمل</t>
        </is>
      </c>
      <c r="H37" s="4" t="n">
        <v>300</v>
      </c>
      <c r="I37" s="3" t="inlineStr">
        <is>
          <t>7-2026</t>
        </is>
      </c>
    </row>
    <row r="38">
      <c r="A38" s="3" t="inlineStr">
        <is>
          <t>WS-INV-0230</t>
        </is>
      </c>
      <c r="B38" s="12" t="n">
        <v>46225</v>
      </c>
      <c r="C38" s="3" t="inlineStr">
        <is>
          <t>VHC-1219</t>
        </is>
      </c>
      <c r="D38" s="3" t="inlineStr">
        <is>
          <t>عصمت الله خان</t>
        </is>
      </c>
      <c r="E38" s="3" t="inlineStr">
        <is>
          <t>مشتل عمر الخضير-الرياض</t>
        </is>
      </c>
      <c r="F38" s="4" t="n">
        <v>845</v>
      </c>
      <c r="G38" s="3" t="inlineStr">
        <is>
          <t>مكتمل</t>
        </is>
      </c>
      <c r="H38" s="4" t="n">
        <v>845</v>
      </c>
      <c r="I38" s="3" t="inlineStr">
        <is>
          <t>7-2026</t>
        </is>
      </c>
    </row>
    <row r="39">
      <c r="A39" s="3" t="inlineStr">
        <is>
          <t>WS-INV-0233</t>
        </is>
      </c>
      <c r="B39" s="12" t="n">
        <v>46226</v>
      </c>
      <c r="C39" s="3" t="inlineStr">
        <is>
          <t>VHC-1219</t>
        </is>
      </c>
      <c r="D39" s="3" t="inlineStr">
        <is>
          <t>عصمت الله خان</t>
        </is>
      </c>
      <c r="E39" s="3" t="inlineStr">
        <is>
          <t>مشتل زهور الرياض - الرياض</t>
        </is>
      </c>
      <c r="F39" s="4" t="n">
        <v>319</v>
      </c>
      <c r="G39" s="3" t="inlineStr">
        <is>
          <t>مكتمل</t>
        </is>
      </c>
      <c r="H39" s="4" t="n">
        <v>319</v>
      </c>
      <c r="I39" s="3" t="inlineStr">
        <is>
          <t>7-2026</t>
        </is>
      </c>
    </row>
    <row r="40">
      <c r="A40" s="3" t="inlineStr">
        <is>
          <t>WS-INV-0237</t>
        </is>
      </c>
      <c r="B40" s="12" t="n">
        <v>46228</v>
      </c>
      <c r="C40" s="3" t="inlineStr">
        <is>
          <t>VHC-1219</t>
        </is>
      </c>
      <c r="D40" s="3" t="inlineStr">
        <is>
          <t>عصمت الله خان</t>
        </is>
      </c>
      <c r="E40" s="3" t="inlineStr">
        <is>
          <t>مشاتل مخرج 22-الرياض</t>
        </is>
      </c>
      <c r="F40" s="4" t="n">
        <v>658</v>
      </c>
      <c r="G40" s="3" t="inlineStr">
        <is>
          <t>مكتمل</t>
        </is>
      </c>
      <c r="H40" s="4" t="n">
        <v>658</v>
      </c>
      <c r="I40" s="3" t="inlineStr">
        <is>
          <t>7-2026</t>
        </is>
      </c>
    </row>
    <row r="41">
      <c r="A41" s="3" t="inlineStr">
        <is>
          <t>WS-INV-0243</t>
        </is>
      </c>
      <c r="B41" s="12" t="n">
        <v>46229</v>
      </c>
      <c r="C41" s="3" t="inlineStr">
        <is>
          <t>VHC-1219</t>
        </is>
      </c>
      <c r="D41" s="3" t="inlineStr">
        <is>
          <t>عصمت الله خان</t>
        </is>
      </c>
      <c r="E41" s="3" t="inlineStr">
        <is>
          <t>مشتل حي لبن - الرياض</t>
        </is>
      </c>
      <c r="F41" s="4" t="n">
        <v>277</v>
      </c>
      <c r="G41" s="3" t="inlineStr">
        <is>
          <t>مكتمل</t>
        </is>
      </c>
      <c r="H41" s="4" t="n">
        <v>277</v>
      </c>
      <c r="I41" s="3" t="inlineStr">
        <is>
          <t>7-2026</t>
        </is>
      </c>
    </row>
    <row r="42">
      <c r="A42" s="3" t="inlineStr">
        <is>
          <t>WS-INV-0248</t>
        </is>
      </c>
      <c r="B42" s="12" t="n">
        <v>46230</v>
      </c>
      <c r="C42" s="3" t="inlineStr">
        <is>
          <t>VHC-1219</t>
        </is>
      </c>
      <c r="D42" s="3" t="inlineStr">
        <is>
          <t>عصمت الله خان</t>
        </is>
      </c>
      <c r="E42" s="3" t="inlineStr">
        <is>
          <t>مشاتل طريق خريص-الرياض</t>
        </is>
      </c>
      <c r="F42" s="4" t="n">
        <v>225</v>
      </c>
      <c r="G42" s="3" t="inlineStr">
        <is>
          <t>مكتمل</t>
        </is>
      </c>
      <c r="H42" s="4" t="n">
        <v>225</v>
      </c>
      <c r="I42" s="3" t="inlineStr">
        <is>
          <t>7-2026</t>
        </is>
      </c>
    </row>
    <row r="43">
      <c r="A43" s="3" t="inlineStr">
        <is>
          <t>WS-INV-0250</t>
        </is>
      </c>
      <c r="B43" s="12" t="n">
        <v>46231</v>
      </c>
      <c r="C43" s="3" t="inlineStr">
        <is>
          <t>VHC-1219</t>
        </is>
      </c>
      <c r="D43" s="3" t="inlineStr">
        <is>
          <t>عصمت الله خان</t>
        </is>
      </c>
      <c r="E43" s="3" t="inlineStr">
        <is>
          <t>مشتل افتخار-الرياض</t>
        </is>
      </c>
      <c r="F43" s="4" t="n">
        <v>440</v>
      </c>
      <c r="G43" s="3" t="inlineStr">
        <is>
          <t>مكتمل</t>
        </is>
      </c>
      <c r="H43" s="4" t="n">
        <v>440</v>
      </c>
      <c r="I43" s="3" t="inlineStr">
        <is>
          <t>7-2026</t>
        </is>
      </c>
    </row>
    <row r="44">
      <c r="A44" s="3" t="inlineStr">
        <is>
          <t>WS-INV-0254</t>
        </is>
      </c>
      <c r="B44" s="12" t="n">
        <v>46233</v>
      </c>
      <c r="C44" s="3" t="inlineStr">
        <is>
          <t>VHC-1219</t>
        </is>
      </c>
      <c r="D44" s="3" t="inlineStr">
        <is>
          <t>عصمت الله خان</t>
        </is>
      </c>
      <c r="E44" s="3" t="inlineStr">
        <is>
          <t>مشتل ظهرة البديعة - الرياض</t>
        </is>
      </c>
      <c r="F44" s="4" t="n">
        <v>450</v>
      </c>
      <c r="G44" s="3" t="inlineStr">
        <is>
          <t>مكتمل</t>
        </is>
      </c>
      <c r="H44" s="4" t="n">
        <v>450</v>
      </c>
      <c r="I44" s="3" t="inlineStr">
        <is>
          <t>7-2026</t>
        </is>
      </c>
    </row>
    <row r="45">
      <c r="A45" s="3" t="inlineStr">
        <is>
          <t>WS-INV-0074</t>
        </is>
      </c>
      <c r="B45" s="12" t="n">
        <v>46192</v>
      </c>
      <c r="C45" s="3" t="inlineStr">
        <is>
          <t>VHC-3010</t>
        </is>
      </c>
      <c r="D45" s="3" t="inlineStr">
        <is>
          <t>عماد حمدي</t>
        </is>
      </c>
      <c r="E45" s="3" t="inlineStr">
        <is>
          <t>مشاتل اليوسف-الدمام</t>
        </is>
      </c>
      <c r="F45" s="4" t="n">
        <v>2054.75</v>
      </c>
      <c r="G45" s="3" t="inlineStr">
        <is>
          <t>مكتمل</t>
        </is>
      </c>
      <c r="H45" s="4" t="n">
        <v>2054.75</v>
      </c>
      <c r="I45" s="3" t="inlineStr">
        <is>
          <t>6-2026</t>
        </is>
      </c>
    </row>
    <row r="46">
      <c r="A46" s="3" t="inlineStr">
        <is>
          <t>WS-INV-0154</t>
        </is>
      </c>
      <c r="B46" s="12" t="n">
        <v>46210</v>
      </c>
      <c r="C46" s="3" t="inlineStr">
        <is>
          <t>VHC-3010</t>
        </is>
      </c>
      <c r="D46" s="3" t="inlineStr">
        <is>
          <t>عماد حمدي</t>
        </is>
      </c>
      <c r="E46" s="3" t="inlineStr">
        <is>
          <t>مشاتل زهور الاحساء-الدمام</t>
        </is>
      </c>
      <c r="F46" s="4" t="n">
        <v>1795</v>
      </c>
      <c r="G46" s="3" t="inlineStr">
        <is>
          <t>مكتمل</t>
        </is>
      </c>
      <c r="H46" s="4" t="n">
        <v>1795</v>
      </c>
      <c r="I46" s="3" t="inlineStr">
        <is>
          <t>7-2026</t>
        </is>
      </c>
    </row>
    <row r="47">
      <c r="A47" s="3" t="inlineStr">
        <is>
          <t>WS-INV-0196</t>
        </is>
      </c>
      <c r="B47" s="12" t="n">
        <v>46218</v>
      </c>
      <c r="C47" s="3" t="inlineStr">
        <is>
          <t>VHC-3010</t>
        </is>
      </c>
      <c r="D47" s="3" t="inlineStr">
        <is>
          <t>عماد حمدي</t>
        </is>
      </c>
      <c r="E47" s="3" t="inlineStr">
        <is>
          <t>مشتل اسماعيل - الرياض</t>
        </is>
      </c>
      <c r="F47" s="4" t="n">
        <v>745</v>
      </c>
      <c r="G47" s="3" t="inlineStr">
        <is>
          <t>مكتمل</t>
        </is>
      </c>
      <c r="H47" s="4" t="n">
        <v>745</v>
      </c>
      <c r="I47" s="3" t="inlineStr">
        <is>
          <t>7-2026</t>
        </is>
      </c>
    </row>
    <row r="48">
      <c r="A48" s="3" t="inlineStr">
        <is>
          <t>WS-INV-0198</t>
        </is>
      </c>
      <c r="B48" s="12" t="n">
        <v>46219</v>
      </c>
      <c r="C48" s="3" t="inlineStr">
        <is>
          <t>VHC-3010</t>
        </is>
      </c>
      <c r="D48" s="3" t="inlineStr">
        <is>
          <t>عماد حمدي</t>
        </is>
      </c>
      <c r="E48" s="3" t="inlineStr">
        <is>
          <t>مشتل اسماعيل - الرياض</t>
        </is>
      </c>
      <c r="F48" s="4" t="n">
        <v>295</v>
      </c>
      <c r="G48" s="3" t="inlineStr">
        <is>
          <t>مكتمل</t>
        </is>
      </c>
      <c r="H48" s="4" t="n">
        <v>295</v>
      </c>
      <c r="I48" s="3" t="inlineStr">
        <is>
          <t>7-2026</t>
        </is>
      </c>
    </row>
    <row r="49">
      <c r="A49" s="3" t="inlineStr">
        <is>
          <t>WS-INV-0207</t>
        </is>
      </c>
      <c r="B49" s="12" t="n">
        <v>46221</v>
      </c>
      <c r="C49" s="3" t="inlineStr">
        <is>
          <t>VHC-3010</t>
        </is>
      </c>
      <c r="D49" s="3" t="inlineStr">
        <is>
          <t>عماد حمدي</t>
        </is>
      </c>
      <c r="E49" s="3" t="inlineStr">
        <is>
          <t>مشتل اسماعيل - الرياض</t>
        </is>
      </c>
      <c r="F49" s="4" t="n">
        <v>285</v>
      </c>
      <c r="G49" s="3" t="inlineStr">
        <is>
          <t>مكتمل</t>
        </is>
      </c>
      <c r="H49" s="4" t="n">
        <v>285</v>
      </c>
      <c r="I49" s="3" t="inlineStr">
        <is>
          <t>7-2026</t>
        </is>
      </c>
    </row>
    <row r="50">
      <c r="A50" s="3" t="inlineStr">
        <is>
          <t>WS-INV-0216</t>
        </is>
      </c>
      <c r="B50" s="12" t="n">
        <v>46222</v>
      </c>
      <c r="C50" s="3" t="inlineStr">
        <is>
          <t>VHC-3010</t>
        </is>
      </c>
      <c r="D50" s="3" t="inlineStr">
        <is>
          <t>عماد حمدي</t>
        </is>
      </c>
      <c r="E50" s="3" t="inlineStr">
        <is>
          <t>مشتل اسماعيل - الرياض</t>
        </is>
      </c>
      <c r="F50" s="4" t="n">
        <v>145</v>
      </c>
      <c r="G50" s="3" t="inlineStr">
        <is>
          <t>مكتمل</t>
        </is>
      </c>
      <c r="H50" s="4" t="n">
        <v>145</v>
      </c>
      <c r="I50" s="3" t="inlineStr">
        <is>
          <t>7-2026</t>
        </is>
      </c>
    </row>
    <row r="51">
      <c r="A51" s="3" t="inlineStr">
        <is>
          <t>WS-INV-0217</t>
        </is>
      </c>
      <c r="B51" s="12" t="n">
        <v>46223</v>
      </c>
      <c r="C51" s="3" t="inlineStr">
        <is>
          <t>VHC-3010</t>
        </is>
      </c>
      <c r="D51" s="3" t="inlineStr">
        <is>
          <t>عماد حمدي</t>
        </is>
      </c>
      <c r="E51" s="3" t="inlineStr">
        <is>
          <t>مشتل اسماعيل - الرياض</t>
        </is>
      </c>
      <c r="F51" s="4" t="n">
        <v>270</v>
      </c>
      <c r="G51" s="3" t="inlineStr">
        <is>
          <t>مكتمل</t>
        </is>
      </c>
      <c r="H51" s="4" t="n">
        <v>270</v>
      </c>
      <c r="I51" s="3" t="inlineStr">
        <is>
          <t>7-2026</t>
        </is>
      </c>
    </row>
    <row r="52">
      <c r="A52" s="3" t="inlineStr">
        <is>
          <t>WS-INV-0223</t>
        </is>
      </c>
      <c r="B52" s="12" t="n">
        <v>46224</v>
      </c>
      <c r="C52" s="3" t="inlineStr">
        <is>
          <t>VHC-3010</t>
        </is>
      </c>
      <c r="D52" s="3" t="inlineStr">
        <is>
          <t>عماد حمدي</t>
        </is>
      </c>
      <c r="E52" s="3" t="inlineStr">
        <is>
          <t>مشتل اسماعيل - الرياض</t>
        </is>
      </c>
      <c r="F52" s="4" t="n">
        <v>150</v>
      </c>
      <c r="G52" s="3" t="inlineStr">
        <is>
          <t>مكتمل</t>
        </is>
      </c>
      <c r="H52" s="4" t="n">
        <v>150</v>
      </c>
      <c r="I52" s="3" t="inlineStr">
        <is>
          <t>7-2026</t>
        </is>
      </c>
    </row>
    <row r="53">
      <c r="A53" s="3" t="inlineStr">
        <is>
          <t>WS-INV-0231</t>
        </is>
      </c>
      <c r="B53" s="12" t="n">
        <v>46225</v>
      </c>
      <c r="C53" s="3" t="inlineStr">
        <is>
          <t>VHC-3010</t>
        </is>
      </c>
      <c r="D53" s="3" t="inlineStr">
        <is>
          <t>عماد حمدي</t>
        </is>
      </c>
      <c r="E53" s="3" t="inlineStr">
        <is>
          <t>مشتل اسماعيل - الرياض</t>
        </is>
      </c>
      <c r="F53" s="4" t="n">
        <v>125</v>
      </c>
      <c r="G53" s="3" t="inlineStr">
        <is>
          <t>مكتمل</t>
        </is>
      </c>
      <c r="H53" s="4" t="n">
        <v>125</v>
      </c>
      <c r="I53" s="3" t="inlineStr">
        <is>
          <t>7-2026</t>
        </is>
      </c>
    </row>
    <row r="54">
      <c r="A54" s="3" t="inlineStr">
        <is>
          <t>WS-INV-0234</t>
        </is>
      </c>
      <c r="B54" s="12" t="n">
        <v>46226</v>
      </c>
      <c r="C54" s="3" t="inlineStr">
        <is>
          <t>VHC-3010</t>
        </is>
      </c>
      <c r="D54" s="3" t="inlineStr">
        <is>
          <t>عماد حمدي</t>
        </is>
      </c>
      <c r="E54" s="3" t="inlineStr">
        <is>
          <t>مشتل اسماعيل - الرياض</t>
        </is>
      </c>
      <c r="F54" s="4" t="n">
        <v>125</v>
      </c>
      <c r="G54" s="3" t="inlineStr">
        <is>
          <t>مكتمل</t>
        </is>
      </c>
      <c r="H54" s="4" t="n">
        <v>125</v>
      </c>
      <c r="I54" s="3" t="inlineStr">
        <is>
          <t>7-2026</t>
        </is>
      </c>
    </row>
    <row r="55">
      <c r="A55" s="3" t="inlineStr">
        <is>
          <t>WS-INV-0238</t>
        </is>
      </c>
      <c r="B55" s="12" t="n">
        <v>46228</v>
      </c>
      <c r="C55" s="3" t="inlineStr">
        <is>
          <t>VHC-3010</t>
        </is>
      </c>
      <c r="D55" s="3" t="inlineStr">
        <is>
          <t>عماد حمدي</t>
        </is>
      </c>
      <c r="E55" s="3" t="inlineStr">
        <is>
          <t>مشتل اسماعيل - الرياض</t>
        </is>
      </c>
      <c r="F55" s="4" t="n">
        <v>270</v>
      </c>
      <c r="G55" s="3" t="inlineStr">
        <is>
          <t>مكتمل</t>
        </is>
      </c>
      <c r="H55" s="4" t="n">
        <v>270</v>
      </c>
      <c r="I55" s="3" t="inlineStr">
        <is>
          <t>7-2026</t>
        </is>
      </c>
    </row>
    <row r="56">
      <c r="A56" s="3" t="inlineStr">
        <is>
          <t>WS-INV-0253</t>
        </is>
      </c>
      <c r="B56" s="12" t="n">
        <v>46232</v>
      </c>
      <c r="C56" s="3" t="inlineStr">
        <is>
          <t>VHC-3010</t>
        </is>
      </c>
      <c r="D56" s="3" t="inlineStr">
        <is>
          <t>عماد حمدي</t>
        </is>
      </c>
      <c r="E56" s="3" t="inlineStr">
        <is>
          <t>كيان الوطن الصناعية ( اسماعيل ) - الرياض</t>
        </is>
      </c>
      <c r="F56" s="4" t="n">
        <v>125</v>
      </c>
      <c r="G56" s="3" t="inlineStr">
        <is>
          <t>مكتمل</t>
        </is>
      </c>
      <c r="H56" s="4" t="n">
        <v>125</v>
      </c>
      <c r="I56" s="3" t="inlineStr">
        <is>
          <t>7-2026</t>
        </is>
      </c>
    </row>
    <row r="57">
      <c r="A57" s="3" t="inlineStr">
        <is>
          <t>WS-INV-0255</t>
        </is>
      </c>
      <c r="B57" s="12" t="n">
        <v>46233</v>
      </c>
      <c r="C57" s="3" t="inlineStr">
        <is>
          <t>VHC-3010</t>
        </is>
      </c>
      <c r="D57" s="3" t="inlineStr">
        <is>
          <t>عماد حمدي</t>
        </is>
      </c>
      <c r="E57" s="3" t="inlineStr">
        <is>
          <t>مؤسسة فارس علي السالمي التجارية ( اسماعيل ) - الرياض</t>
        </is>
      </c>
      <c r="F57" s="4" t="n">
        <v>75</v>
      </c>
      <c r="G57" s="3" t="inlineStr">
        <is>
          <t>مكتمل</t>
        </is>
      </c>
      <c r="H57" s="4" t="n">
        <v>75</v>
      </c>
      <c r="I57" s="3" t="inlineStr">
        <is>
          <t>7-2026</t>
        </is>
      </c>
    </row>
    <row r="58">
      <c r="A58" s="5" t="inlineStr"/>
      <c r="B58" s="5" t="inlineStr"/>
      <c r="C58" s="5" t="inlineStr"/>
      <c r="D58" s="5" t="inlineStr"/>
      <c r="E58" s="5" t="inlineStr">
        <is>
          <t>الإجمالي</t>
        </is>
      </c>
      <c r="F58" s="6">
        <f>SUM(F2:F57)</f>
        <v/>
      </c>
      <c r="G58" s="5" t="inlineStr"/>
      <c r="H58" s="6">
        <f>SUM(H2:H57)</f>
        <v/>
      </c>
      <c r="I58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2026-09-27T22:02:16Z</dcterms:created>
  <dcterms:modified xsi:type="dcterms:W3CDTF">2026-09-27T22:02:17Z</dcterms:modified>
</cp:coreProperties>
</file>