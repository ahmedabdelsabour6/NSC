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0" fontId="0" fillId="4" borderId="0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الرياض'!G122</f>
        <v/>
      </c>
      <c r="C4" s="4">
        <f>'مسحوبات نسما من الرياض'!I122</f>
        <v/>
      </c>
      <c r="D4" s="4">
        <f>'مسحوبات نسما من الرياض'!J122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أصناف'!F10</f>
        <v/>
      </c>
      <c r="C7" s="4">
        <f>'سندات بدون تفصيل أصناف'!G10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</row>
    <row r="6">
      <c r="A6" s="4" t="n">
        <v>4</v>
      </c>
      <c r="B6" s="3" t="inlineStr">
        <is>
          <t>سيلوزيا</t>
        </is>
      </c>
      <c r="C6" s="3" t="inlineStr">
        <is>
          <t>زهور سيلوزيا</t>
        </is>
      </c>
      <c r="D6" s="3" t="inlineStr">
        <is>
          <t>0.5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</t>
        </is>
      </c>
      <c r="H6" s="4" t="n">
        <v>3000</v>
      </c>
    </row>
    <row r="7">
      <c r="A7" s="4" t="n">
        <v>5</v>
      </c>
      <c r="B7" s="3" t="inlineStr">
        <is>
          <t>فضيه</t>
        </is>
      </c>
      <c r="C7" s="3" t="inlineStr">
        <is>
          <t>زهور فضية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مسحوبات تبوك من الرياض</t>
        </is>
      </c>
      <c r="H7" s="4" t="n">
        <v>300</v>
      </c>
    </row>
    <row r="8">
      <c r="A8" s="4" t="n">
        <v>6</v>
      </c>
      <c r="B8" s="3" t="inlineStr">
        <is>
          <t>فينكا ابيض</t>
        </is>
      </c>
      <c r="C8" s="3" t="inlineStr">
        <is>
          <t>فينكا أبيض</t>
        </is>
      </c>
      <c r="D8" s="3" t="inlineStr">
        <is>
          <t>—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قبل الفترة</t>
        </is>
      </c>
      <c r="H8" s="4" t="n">
        <v>9000</v>
      </c>
    </row>
    <row r="9">
      <c r="A9" s="4" t="n">
        <v>7</v>
      </c>
      <c r="B9" s="3" t="inlineStr">
        <is>
          <t>فينكا ابيض نقطه حمراء</t>
        </is>
      </c>
      <c r="C9" s="3" t="inlineStr">
        <is>
          <t>فينكا أبيض نقطة حمراء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3875</v>
      </c>
    </row>
    <row r="10">
      <c r="A10" s="4" t="n">
        <v>8</v>
      </c>
      <c r="B10" s="3" t="inlineStr">
        <is>
          <t>فينكا احمر</t>
        </is>
      </c>
      <c r="C10" s="3" t="inlineStr">
        <is>
          <t>فينكا أحمر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11000</v>
      </c>
    </row>
    <row r="11">
      <c r="A11" s="4" t="n">
        <v>9</v>
      </c>
      <c r="B11" s="3" t="inlineStr">
        <is>
          <t>فينكا احمر بنقطه</t>
        </is>
      </c>
      <c r="C11" s="3" t="inlineStr">
        <is>
          <t>فينكا أحمر بنقطة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3000</v>
      </c>
    </row>
    <row r="12">
      <c r="A12" s="4" t="n">
        <v>10</v>
      </c>
      <c r="B12" s="3" t="inlineStr">
        <is>
          <t>فينكا ازرق</t>
        </is>
      </c>
      <c r="C12" s="3" t="inlineStr">
        <is>
          <t>فينكا أزرق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5000</v>
      </c>
    </row>
    <row r="13">
      <c r="A13" s="4" t="n">
        <v>11</v>
      </c>
      <c r="B13" s="3" t="inlineStr">
        <is>
          <t>فينكا روزا</t>
        </is>
      </c>
      <c r="C13" s="3" t="inlineStr">
        <is>
          <t>زهور فينكا روزا</t>
        </is>
      </c>
      <c r="D13" s="3" t="inlineStr">
        <is>
          <t>0.5 / 0.55</t>
        </is>
      </c>
      <c r="E13" s="6" t="n">
        <v>0.5</v>
      </c>
      <c r="F13" s="3" t="inlineStr">
        <is>
          <t>موحد 0.50 (قرارك)</t>
        </is>
      </c>
      <c r="G13" s="3" t="inlineStr">
        <is>
          <t>عقود أبو خالد + مسحوبات تبوك من الرياض</t>
        </is>
      </c>
      <c r="H13" s="4" t="n">
        <v>190390</v>
      </c>
    </row>
    <row r="14">
      <c r="A14" s="4" t="n">
        <v>12</v>
      </c>
      <c r="B14" s="3" t="inlineStr">
        <is>
          <t>فينكا مشمشي</t>
        </is>
      </c>
      <c r="C14" s="3" t="inlineStr">
        <is>
          <t>فينكا مشمشي</t>
        </is>
      </c>
      <c r="D14" s="3" t="inlineStr">
        <is>
          <t>—</t>
        </is>
      </c>
      <c r="E14" s="6" t="n">
        <v>0.5</v>
      </c>
      <c r="F14" s="3" t="inlineStr">
        <is>
          <t>موحد 0.50 (قرارك)</t>
        </is>
      </c>
      <c r="G14" s="3" t="inlineStr">
        <is>
          <t>مسحوبات قبل الفترة</t>
        </is>
      </c>
      <c r="H14" s="4" t="n">
        <v>5000</v>
      </c>
    </row>
    <row r="15">
      <c r="A15" s="4" t="n">
        <v>13</v>
      </c>
      <c r="B15" s="3" t="inlineStr">
        <is>
          <t>اشجار تيسبيسيا 2- 3 متر</t>
        </is>
      </c>
      <c r="C15" s="3" t="inlineStr">
        <is>
          <t>أشجار تيسبيسيا 2-3 متر</t>
        </is>
      </c>
      <c r="D15" s="3" t="inlineStr">
        <is>
          <t>60</t>
        </is>
      </c>
      <c r="E15" s="7" t="n"/>
      <c r="F15" s="3" t="inlineStr">
        <is>
          <t>يحتاج تسعير</t>
        </is>
      </c>
      <c r="G15" s="3" t="inlineStr">
        <is>
          <t>عقود أبو خالد</t>
        </is>
      </c>
      <c r="H15" s="4" t="n">
        <v>4</v>
      </c>
    </row>
    <row r="16">
      <c r="A16" s="4" t="n">
        <v>14</v>
      </c>
      <c r="B16" s="3" t="inlineStr">
        <is>
          <t>اقحوان افريقي مركن 12</t>
        </is>
      </c>
      <c r="C16" s="3" t="inlineStr">
        <is>
          <t>اقحوان افريقى مركن 12 / زهور اقحوان افريقى مركن12 سم / زهور اقحوان افريقي مركن 12</t>
        </is>
      </c>
      <c r="D16" s="3" t="inlineStr">
        <is>
          <t>3.25</t>
        </is>
      </c>
      <c r="E16" s="7" t="n"/>
      <c r="F16" s="3" t="inlineStr">
        <is>
          <t>يحتاج تسعير</t>
        </is>
      </c>
      <c r="G16" s="3" t="inlineStr">
        <is>
          <t>عقود أبو خالد + مسحوبات تبوك من الرياض</t>
        </is>
      </c>
      <c r="H16" s="4" t="n">
        <v>7010</v>
      </c>
    </row>
    <row r="17">
      <c r="A17" s="4" t="n">
        <v>15</v>
      </c>
      <c r="B17" s="3" t="inlineStr">
        <is>
          <t>اقحوان افريقي مركن 9</t>
        </is>
      </c>
      <c r="C17" s="3" t="inlineStr">
        <is>
          <t>زهور اقحوان افريقي مركن 9 / زهور اقحوان افريقي مركن9 سم</t>
        </is>
      </c>
      <c r="D17" s="3" t="inlineStr">
        <is>
          <t>1.5 / 2</t>
        </is>
      </c>
      <c r="E17" s="7" t="n"/>
      <c r="F17" s="3" t="inlineStr">
        <is>
          <t>يحتاج تسعير</t>
        </is>
      </c>
      <c r="G17" s="3" t="inlineStr">
        <is>
          <t>عقود أبو خالد + مسحوبات تبوك من الرياض</t>
        </is>
      </c>
      <c r="H17" s="4" t="n">
        <v>5975</v>
      </c>
    </row>
    <row r="18">
      <c r="A18" s="4" t="n">
        <v>16</v>
      </c>
      <c r="B18" s="3" t="inlineStr">
        <is>
          <t>اقحوان افريقي هولندي مركن 12</t>
        </is>
      </c>
      <c r="C18" s="3" t="inlineStr">
        <is>
          <t>زهور اقحوان افريقي هولندي مركن 12</t>
        </is>
      </c>
      <c r="D18" s="3" t="inlineStr">
        <is>
          <t>3.25</t>
        </is>
      </c>
      <c r="E18" s="7" t="n"/>
      <c r="F18" s="3" t="inlineStr">
        <is>
          <t>يحتاج تسعير</t>
        </is>
      </c>
      <c r="G18" s="3" t="inlineStr">
        <is>
          <t>مسحوبات تبوك من الرياض</t>
        </is>
      </c>
      <c r="H18" s="4" t="n">
        <v>1875</v>
      </c>
    </row>
    <row r="19">
      <c r="A19" s="4" t="n">
        <v>17</v>
      </c>
      <c r="B19" s="3" t="inlineStr">
        <is>
          <t>اكاسيا جلوكا من 1 - 2 متر</t>
        </is>
      </c>
      <c r="C19" s="3" t="inlineStr">
        <is>
          <t>اكاسيا جلوكا من 1 - 2 متر</t>
        </is>
      </c>
      <c r="D19" s="3" t="inlineStr">
        <is>
          <t>25</t>
        </is>
      </c>
      <c r="E19" s="7" t="n"/>
      <c r="F19" s="3" t="inlineStr">
        <is>
          <t>يحتاج تسعير</t>
        </is>
      </c>
      <c r="G19" s="3" t="inlineStr">
        <is>
          <t>مسحوبات تبوك من الرياض</t>
        </is>
      </c>
      <c r="H19" s="4" t="n">
        <v>172</v>
      </c>
    </row>
    <row r="20">
      <c r="A20" s="4" t="n">
        <v>18</v>
      </c>
      <c r="B20" s="3" t="inlineStr">
        <is>
          <t>اكاليفا</t>
        </is>
      </c>
      <c r="C20" s="3" t="inlineStr">
        <is>
          <t>اكاليفا / اكاليفيا</t>
        </is>
      </c>
      <c r="D20" s="3" t="inlineStr">
        <is>
          <t>2.5</t>
        </is>
      </c>
      <c r="E20" s="7" t="n"/>
      <c r="F20" s="3" t="inlineStr">
        <is>
          <t>يحتاج تسعير</t>
        </is>
      </c>
      <c r="G20" s="3" t="inlineStr">
        <is>
          <t>مسحوبات تبوك من الرياض + ترحيل تبوك للرياض</t>
        </is>
      </c>
      <c r="H20" s="4" t="n">
        <v>120</v>
      </c>
    </row>
    <row r="21">
      <c r="A21" s="4" t="n">
        <v>19</v>
      </c>
      <c r="B21" s="3" t="inlineStr">
        <is>
          <t>اليسوم</t>
        </is>
      </c>
      <c r="C21" s="3" t="inlineStr">
        <is>
          <t>زهور اليسوم / زهور اليسوم مركن9 سم</t>
        </is>
      </c>
      <c r="D21" s="3" t="inlineStr">
        <is>
          <t>0.5</t>
        </is>
      </c>
      <c r="E21" s="7" t="n"/>
      <c r="F21" s="3" t="inlineStr">
        <is>
          <t>يحتاج تسعير</t>
        </is>
      </c>
      <c r="G21" s="3" t="inlineStr">
        <is>
          <t>عقود أبو خالد + مسحوبات تبوك من الرياض + ترحيل تبوك للرياض</t>
        </is>
      </c>
      <c r="H21" s="4" t="n">
        <v>5275</v>
      </c>
    </row>
    <row r="22">
      <c r="A22" s="4" t="n">
        <v>20</v>
      </c>
      <c r="B22" s="3" t="inlineStr">
        <is>
          <t>بانستيم اخضر</t>
        </is>
      </c>
      <c r="C22" s="3" t="inlineStr">
        <is>
          <t>بانستيم اخضر</t>
        </is>
      </c>
      <c r="D22" s="3" t="inlineStr">
        <is>
          <t>2.5</t>
        </is>
      </c>
      <c r="E22" s="7" t="n"/>
      <c r="F22" s="3" t="inlineStr">
        <is>
          <t>يحتاج تسعير</t>
        </is>
      </c>
      <c r="G22" s="3" t="inlineStr">
        <is>
          <t>مسحوبات تبوك من الرياض</t>
        </is>
      </c>
      <c r="H22" s="4" t="n">
        <v>150</v>
      </c>
    </row>
    <row r="23">
      <c r="A23" s="4" t="n">
        <v>21</v>
      </c>
      <c r="B23" s="3" t="inlineStr">
        <is>
          <t>بوتنج سويل 70 لتر</t>
        </is>
      </c>
      <c r="C23" s="3" t="inlineStr">
        <is>
          <t>بوتنج سويل 70 لتر</t>
        </is>
      </c>
      <c r="D23" s="3" t="inlineStr">
        <is>
          <t>46</t>
        </is>
      </c>
      <c r="E23" s="7" t="n"/>
      <c r="F23" s="3" t="inlineStr">
        <is>
          <t>يحتاج تسعير</t>
        </is>
      </c>
      <c r="G23" s="3" t="inlineStr">
        <is>
          <t>مسحوبات تبوك من الرياض</t>
        </is>
      </c>
      <c r="H23" s="4" t="n">
        <v>10</v>
      </c>
    </row>
    <row r="24">
      <c r="A24" s="4" t="n">
        <v>22</v>
      </c>
      <c r="B24" s="3" t="inlineStr">
        <is>
          <t>بيرلايت 100 لتر</t>
        </is>
      </c>
      <c r="C24" s="3" t="inlineStr">
        <is>
          <t>بيرلايت 100 لتر</t>
        </is>
      </c>
      <c r="D24" s="3" t="inlineStr">
        <is>
          <t>32.5</t>
        </is>
      </c>
      <c r="E24" s="7" t="n"/>
      <c r="F24" s="3" t="inlineStr">
        <is>
          <t>يحتاج تسعير</t>
        </is>
      </c>
      <c r="G24" s="3" t="inlineStr">
        <is>
          <t>مسحوبات تبوك من الرياض + ترحيل تبوك للرياض</t>
        </is>
      </c>
      <c r="H24" s="4" t="n">
        <v>125</v>
      </c>
    </row>
    <row r="25">
      <c r="A25" s="4" t="n">
        <v>23</v>
      </c>
      <c r="B25" s="3" t="inlineStr">
        <is>
          <t>تجيل كروي مركن 9</t>
        </is>
      </c>
      <c r="C25" s="3" t="inlineStr">
        <is>
          <t>تجيل كروي مركن 9 سم</t>
        </is>
      </c>
      <c r="D25" s="3" t="inlineStr">
        <is>
          <t>1.1</t>
        </is>
      </c>
      <c r="E25" s="7" t="n"/>
      <c r="F25" s="3" t="inlineStr">
        <is>
          <t>يحتاج تسعير</t>
        </is>
      </c>
      <c r="G25" s="3" t="inlineStr">
        <is>
          <t>مسحوبات تبوك من الرياض</t>
        </is>
      </c>
      <c r="H25" s="4" t="n">
        <v>2400</v>
      </c>
    </row>
    <row r="26">
      <c r="A26" s="4" t="n">
        <v>24</v>
      </c>
      <c r="B26" s="3" t="inlineStr">
        <is>
          <t>تراديسكانتيا مركن 19 علاقي</t>
        </is>
      </c>
      <c r="C26" s="3" t="inlineStr">
        <is>
          <t>تراديسكانتيا مركن 19 علاقي</t>
        </is>
      </c>
      <c r="D26" s="3" t="inlineStr">
        <is>
          <t>10</t>
        </is>
      </c>
      <c r="E26" s="7" t="n"/>
      <c r="F26" s="3" t="inlineStr">
        <is>
          <t>يحتاج تسعير</t>
        </is>
      </c>
      <c r="G26" s="3" t="inlineStr">
        <is>
          <t>مسحوبات تبوك من الرياض</t>
        </is>
      </c>
      <c r="H26" s="4" t="n">
        <v>515</v>
      </c>
    </row>
    <row r="27">
      <c r="A27" s="4" t="n">
        <v>25</v>
      </c>
      <c r="B27" s="3" t="inlineStr">
        <is>
          <t>تيكوماريا 50</t>
        </is>
      </c>
      <c r="C27" s="3" t="inlineStr">
        <is>
          <t>تيكوماريا / تيكوماريا 50 سم / تيكوماريا50 سم</t>
        </is>
      </c>
      <c r="D27" s="3" t="inlineStr">
        <is>
          <t>2.5 / 4</t>
        </is>
      </c>
      <c r="E27" s="7" t="n"/>
      <c r="F27" s="3" t="inlineStr">
        <is>
          <t>يحتاج تسعير</t>
        </is>
      </c>
      <c r="G27" s="3" t="inlineStr">
        <is>
          <t>عقود أبو خالد + مسحوبات تبوك من الرياض + ترحيل تبوك للرياض</t>
        </is>
      </c>
      <c r="H27" s="4" t="n">
        <v>3530</v>
      </c>
    </row>
    <row r="28">
      <c r="A28" s="4" t="n">
        <v>26</v>
      </c>
      <c r="B28" s="3" t="inlineStr">
        <is>
          <t>جازانيا</t>
        </is>
      </c>
      <c r="C28" s="3" t="inlineStr">
        <is>
          <t>زهور جازانيا</t>
        </is>
      </c>
      <c r="D28" s="3" t="inlineStr">
        <is>
          <t>0.5</t>
        </is>
      </c>
      <c r="E28" s="7" t="n"/>
      <c r="F28" s="3" t="inlineStr">
        <is>
          <t>يحتاج تسعير</t>
        </is>
      </c>
      <c r="G28" s="3" t="inlineStr">
        <is>
          <t>عقود أبو خالد + مسحوبات تبوك من الرياض</t>
        </is>
      </c>
      <c r="H28" s="4" t="n">
        <v>5525</v>
      </c>
    </row>
    <row r="29">
      <c r="A29" s="4" t="n">
        <v>27</v>
      </c>
      <c r="B29" s="3" t="inlineStr">
        <is>
          <t>جهنميه بلدي 1 متر</t>
        </is>
      </c>
      <c r="C29" s="3" t="inlineStr">
        <is>
          <t>جهنمية بلدي1 متر</t>
        </is>
      </c>
      <c r="D29" s="3" t="inlineStr">
        <is>
          <t>6</t>
        </is>
      </c>
      <c r="E29" s="7" t="n"/>
      <c r="F29" s="3" t="inlineStr">
        <is>
          <t>يحتاج تسعير</t>
        </is>
      </c>
      <c r="G29" s="3" t="inlineStr">
        <is>
          <t>مسحوبات تبوك من الرياض</t>
        </is>
      </c>
      <c r="H29" s="4" t="n">
        <v>10</v>
      </c>
    </row>
    <row r="30">
      <c r="A30" s="4" t="n">
        <v>28</v>
      </c>
      <c r="B30" s="3" t="inlineStr">
        <is>
          <t>جهنميه بلدي 50</t>
        </is>
      </c>
      <c r="C30" s="3" t="inlineStr">
        <is>
          <t>جهنمية بلدى واحد عود 50سم / جهنمية بلدي 50 سم</t>
        </is>
      </c>
      <c r="D30" s="3" t="inlineStr">
        <is>
          <t>2.5 / 5</t>
        </is>
      </c>
      <c r="E30" s="7" t="n"/>
      <c r="F30" s="3" t="inlineStr">
        <is>
          <t>يحتاج تسعير</t>
        </is>
      </c>
      <c r="G30" s="3" t="inlineStr">
        <is>
          <t>مسحوبات تبوك من الرياض + ترحيل تبوك للرياض</t>
        </is>
      </c>
      <c r="H30" s="4" t="n">
        <v>600</v>
      </c>
    </row>
    <row r="31">
      <c r="A31" s="4" t="n">
        <v>29</v>
      </c>
      <c r="B31" s="3" t="inlineStr">
        <is>
          <t>جهنميه تايلاندي مركن 25</t>
        </is>
      </c>
      <c r="C31" s="3" t="inlineStr">
        <is>
          <t>جهنميه تايلاندى مركن 25</t>
        </is>
      </c>
      <c r="D31" s="3" t="inlineStr">
        <is>
          <t>250</t>
        </is>
      </c>
      <c r="E31" s="7" t="n"/>
      <c r="F31" s="3" t="inlineStr">
        <is>
          <t>يحتاج تسعير</t>
        </is>
      </c>
      <c r="G31" s="3" t="inlineStr">
        <is>
          <t>مسحوبات تبوك من الرياض</t>
        </is>
      </c>
      <c r="H31" s="4" t="n">
        <v>10</v>
      </c>
    </row>
    <row r="32">
      <c r="A32" s="4" t="n">
        <v>30</v>
      </c>
      <c r="B32" s="3" t="inlineStr">
        <is>
          <t>جهنميه كرويه تايلندي صغير</t>
        </is>
      </c>
      <c r="C32" s="3" t="inlineStr">
        <is>
          <t>جهنمية كروية تايلندي صغير</t>
        </is>
      </c>
      <c r="D32" s="3" t="inlineStr">
        <is>
          <t>250</t>
        </is>
      </c>
      <c r="E32" s="7" t="n"/>
      <c r="F32" s="3" t="inlineStr">
        <is>
          <t>يحتاج تسعير</t>
        </is>
      </c>
      <c r="G32" s="3" t="inlineStr">
        <is>
          <t>مسحوبات تبوك من الرياض</t>
        </is>
      </c>
      <c r="H32" s="4" t="n">
        <v>2</v>
      </c>
    </row>
    <row r="33">
      <c r="A33" s="4" t="n">
        <v>31</v>
      </c>
      <c r="B33" s="3" t="inlineStr">
        <is>
          <t>جهنميه كرويه تايلندي كبير</t>
        </is>
      </c>
      <c r="C33" s="3" t="inlineStr">
        <is>
          <t>جهنمية كروية تايلندي كبير</t>
        </is>
      </c>
      <c r="D33" s="3" t="inlineStr">
        <is>
          <t>300</t>
        </is>
      </c>
      <c r="E33" s="7" t="n"/>
      <c r="F33" s="3" t="inlineStr">
        <is>
          <t>يحتاج تسعير</t>
        </is>
      </c>
      <c r="G33" s="3" t="inlineStr">
        <is>
          <t>مسحوبات تبوك من الرياض</t>
        </is>
      </c>
      <c r="H33" s="4" t="n">
        <v>5</v>
      </c>
    </row>
    <row r="34">
      <c r="A34" s="4" t="n">
        <v>32</v>
      </c>
      <c r="B34" s="3" t="inlineStr">
        <is>
          <t>جيرانيوم مركن 12</t>
        </is>
      </c>
      <c r="C34" s="3" t="inlineStr">
        <is>
          <t>جيرانيوم مركن 12 / زهور جيرانيوم مركن 12 / زهور جيرانيوم مركن12 سم</t>
        </is>
      </c>
      <c r="D34" s="3" t="inlineStr">
        <is>
          <t>3 / 3.75</t>
        </is>
      </c>
      <c r="E34" s="7" t="n"/>
      <c r="F34" s="3" t="inlineStr">
        <is>
          <t>يحتاج تسعير</t>
        </is>
      </c>
      <c r="G34" s="3" t="inlineStr">
        <is>
          <t>عقود أبو خالد + مسحوبات تبوك من الرياض</t>
        </is>
      </c>
      <c r="H34" s="4" t="n">
        <v>20355</v>
      </c>
    </row>
    <row r="35">
      <c r="A35" s="4" t="n">
        <v>33</v>
      </c>
      <c r="B35" s="3" t="inlineStr">
        <is>
          <t>جيرانيوم مركن 9</t>
        </is>
      </c>
      <c r="C35" s="3" t="inlineStr">
        <is>
          <t>زهور جرانيوم مركن9 سم / زهور جيرانيوم مركن 9</t>
        </is>
      </c>
      <c r="D35" s="3" t="inlineStr">
        <is>
          <t>1.25 / 1.4 / 1.5</t>
        </is>
      </c>
      <c r="E35" s="7" t="n"/>
      <c r="F35" s="3" t="inlineStr">
        <is>
          <t>يحتاج تسعير</t>
        </is>
      </c>
      <c r="G35" s="3" t="inlineStr">
        <is>
          <t>عقود أبو خالد + مسحوبات تبوك من الرياض</t>
        </is>
      </c>
      <c r="H35" s="4" t="n">
        <v>41825</v>
      </c>
    </row>
    <row r="36">
      <c r="A36" s="4" t="n">
        <v>34</v>
      </c>
      <c r="B36" s="3" t="inlineStr">
        <is>
          <t>جيرانيوم هولندي مركن 12</t>
        </is>
      </c>
      <c r="C36" s="3" t="inlineStr">
        <is>
          <t>زهور جيرانيوم  هولندي مركن12 / زهور جيرانيوم هولندى مركن12 سم</t>
        </is>
      </c>
      <c r="D36" s="3" t="inlineStr">
        <is>
          <t>3.45 / 3.75</t>
        </is>
      </c>
      <c r="E36" s="7" t="n"/>
      <c r="F36" s="3" t="inlineStr">
        <is>
          <t>يحتاج تسعير</t>
        </is>
      </c>
      <c r="G36" s="3" t="inlineStr">
        <is>
          <t>عقود أبو خالد + مسحوبات تبوك من الرياض</t>
        </is>
      </c>
      <c r="H36" s="4" t="n">
        <v>1190</v>
      </c>
    </row>
    <row r="37">
      <c r="A37" s="4" t="n">
        <v>35</v>
      </c>
      <c r="B37" s="3" t="inlineStr">
        <is>
          <t>حجر ديكوري ابيض لامع 1: 3</t>
        </is>
      </c>
      <c r="C37" s="3" t="inlineStr">
        <is>
          <t>ابيض لامع / حجر ديكوري أبيض لامع 1:3 سم (10 كجم)</t>
        </is>
      </c>
      <c r="D37" s="3" t="inlineStr">
        <is>
          <t>18 / 25</t>
        </is>
      </c>
      <c r="E37" s="7" t="n"/>
      <c r="F37" s="3" t="inlineStr">
        <is>
          <t>يحتاج تسعير</t>
        </is>
      </c>
      <c r="G37" s="3" t="inlineStr">
        <is>
          <t>عقود أبو خالد + ترحيل تبوك للرياض</t>
        </is>
      </c>
      <c r="H37" s="4" t="n">
        <v>16</v>
      </c>
    </row>
    <row r="38">
      <c r="A38" s="4" t="n">
        <v>36</v>
      </c>
      <c r="B38" s="3" t="inlineStr">
        <is>
          <t>حجر ديكوري ابيض مطفي 3: 5</t>
        </is>
      </c>
      <c r="C38" s="3" t="inlineStr">
        <is>
          <t>حجر ديكورى ابيض مطفى 3:5سم-10كجم / حجر ديكوري أبيض مطفي 3:5 سم (10 كجم)</t>
        </is>
      </c>
      <c r="D38" s="3" t="inlineStr">
        <is>
          <t>10 / 13</t>
        </is>
      </c>
      <c r="E38" s="7" t="n"/>
      <c r="F38" s="3" t="inlineStr">
        <is>
          <t>يحتاج تسعير</t>
        </is>
      </c>
      <c r="G38" s="3" t="inlineStr">
        <is>
          <t>عقود أبو خالد + ترحيل تبوك للرياض</t>
        </is>
      </c>
      <c r="H38" s="4" t="n">
        <v>1123</v>
      </c>
    </row>
    <row r="39">
      <c r="A39" s="4" t="n">
        <v>37</v>
      </c>
      <c r="B39" s="3" t="inlineStr">
        <is>
          <t>حجر ديكوري احمر لامع 1: 3</t>
        </is>
      </c>
      <c r="C39" s="3" t="inlineStr">
        <is>
          <t>احمر لامع / حجر ديكوري أحمر لامع 1:3 سم (10 كجم)</t>
        </is>
      </c>
      <c r="D39" s="3" t="inlineStr">
        <is>
          <t>18 / 25</t>
        </is>
      </c>
      <c r="E39" s="7" t="n"/>
      <c r="F39" s="3" t="inlineStr">
        <is>
          <t>يحتاج تسعير</t>
        </is>
      </c>
      <c r="G39" s="3" t="inlineStr">
        <is>
          <t>عقود أبو خالد + ترحيل تبوك للرياض</t>
        </is>
      </c>
      <c r="H39" s="4" t="n">
        <v>15</v>
      </c>
    </row>
    <row r="40">
      <c r="A40" s="4" t="n">
        <v>38</v>
      </c>
      <c r="B40" s="3" t="inlineStr">
        <is>
          <t>حجر ديكوري احمر مطفي</t>
        </is>
      </c>
      <c r="C40" s="3" t="inlineStr">
        <is>
          <t>احمر مطفى</t>
        </is>
      </c>
      <c r="D40" s="3" t="inlineStr">
        <is>
          <t>10</t>
        </is>
      </c>
      <c r="E40" s="7" t="n"/>
      <c r="F40" s="3" t="inlineStr">
        <is>
          <t>يحتاج تسعير</t>
        </is>
      </c>
      <c r="G40" s="3" t="inlineStr">
        <is>
          <t>ترحيل تبوك للرياض</t>
        </is>
      </c>
      <c r="H40" s="4" t="n">
        <v>70</v>
      </c>
    </row>
    <row r="41">
      <c r="A41" s="4" t="n">
        <v>39</v>
      </c>
      <c r="B41" s="3" t="inlineStr">
        <is>
          <t>حجر ديكوري اسود لامع 1: 3</t>
        </is>
      </c>
      <c r="C41" s="3" t="inlineStr">
        <is>
          <t>اسود لامع / حجر ديكوري أسود لامع 1:3 سم (10 كجم)</t>
        </is>
      </c>
      <c r="D41" s="3" t="inlineStr">
        <is>
          <t>18 / 25</t>
        </is>
      </c>
      <c r="E41" s="7" t="n"/>
      <c r="F41" s="3" t="inlineStr">
        <is>
          <t>يحتاج تسعير</t>
        </is>
      </c>
      <c r="G41" s="3" t="inlineStr">
        <is>
          <t>عقود أبو خالد + ترحيل تبوك للرياض</t>
        </is>
      </c>
      <c r="H41" s="4" t="n">
        <v>14</v>
      </c>
    </row>
    <row r="42">
      <c r="A42" s="4" t="n">
        <v>40</v>
      </c>
      <c r="B42" s="3" t="inlineStr">
        <is>
          <t>حجر ديكوري اصفر مطفي 1: 3</t>
        </is>
      </c>
      <c r="C42" s="3" t="inlineStr">
        <is>
          <t>اصفر مطفى / حجر اصفر مطفى / حجر ديكوري أصفر مطفي 1:3 سم (10 كجم)</t>
        </is>
      </c>
      <c r="D42" s="3" t="inlineStr">
        <is>
          <t>10 / 10.5 / 13</t>
        </is>
      </c>
      <c r="E42" s="7" t="n"/>
      <c r="F42" s="3" t="inlineStr">
        <is>
          <t>يحتاج تسعير</t>
        </is>
      </c>
      <c r="G42" s="3" t="inlineStr">
        <is>
          <t>عقود أبو خالد + مسحوبات تبوك من الرياض + ترحيل تبوك للرياض</t>
        </is>
      </c>
      <c r="H42" s="4" t="n">
        <v>202</v>
      </c>
    </row>
    <row r="43">
      <c r="A43" s="4" t="n">
        <v>41</v>
      </c>
      <c r="B43" s="3" t="inlineStr">
        <is>
          <t>دورانتا اخضر</t>
        </is>
      </c>
      <c r="C43" s="3" t="inlineStr">
        <is>
          <t>دورانتا أخضر / دورانتا اخضر</t>
        </is>
      </c>
      <c r="D43" s="3" t="inlineStr">
        <is>
          <t>2.5</t>
        </is>
      </c>
      <c r="E43" s="7" t="n"/>
      <c r="F43" s="3" t="inlineStr">
        <is>
          <t>يحتاج تسعير</t>
        </is>
      </c>
      <c r="G43" s="3" t="inlineStr">
        <is>
          <t>مسحوبات تبوك من الرياض + ترحيل تبوك للرياض</t>
        </is>
      </c>
      <c r="H43" s="4" t="n">
        <v>4000</v>
      </c>
    </row>
    <row r="44">
      <c r="A44" s="4" t="n">
        <v>42</v>
      </c>
      <c r="B44" s="3" t="inlineStr">
        <is>
          <t>رويليا</t>
        </is>
      </c>
      <c r="C44" s="3" t="inlineStr">
        <is>
          <t>رويليا</t>
        </is>
      </c>
      <c r="D44" s="3" t="inlineStr">
        <is>
          <t>2.5</t>
        </is>
      </c>
      <c r="E44" s="7" t="n"/>
      <c r="F44" s="3" t="inlineStr">
        <is>
          <t>يحتاج تسعير</t>
        </is>
      </c>
      <c r="G44" s="3" t="inlineStr">
        <is>
          <t>مسحوبات تبوك من الرياض + ترحيل تبوك للرياض</t>
        </is>
      </c>
      <c r="H44" s="4" t="n">
        <v>600</v>
      </c>
    </row>
    <row r="45">
      <c r="A45" s="4" t="n">
        <v>43</v>
      </c>
      <c r="B45" s="3" t="inlineStr">
        <is>
          <t>سالفيا مركن 9</t>
        </is>
      </c>
      <c r="C45" s="3" t="inlineStr">
        <is>
          <t>زهور سالفيا مركن 9 / زهور سالفيا مركن9 سم</t>
        </is>
      </c>
      <c r="D45" s="3" t="inlineStr">
        <is>
          <t>0.5 / 0.6 / 0.75</t>
        </is>
      </c>
      <c r="E45" s="7" t="n"/>
      <c r="F45" s="3" t="inlineStr">
        <is>
          <t>يحتاج تسعير</t>
        </is>
      </c>
      <c r="G45" s="3" t="inlineStr">
        <is>
          <t>عقود أبو خالد + مسحوبات تبوك من الرياض</t>
        </is>
      </c>
      <c r="H45" s="4" t="n">
        <v>6337</v>
      </c>
    </row>
    <row r="46">
      <c r="A46" s="4" t="n">
        <v>44</v>
      </c>
      <c r="B46" s="3" t="inlineStr">
        <is>
          <t>سكندابسس مركن 19 علاقي</t>
        </is>
      </c>
      <c r="C46" s="3" t="inlineStr">
        <is>
          <t>سكندابسس مركن 19 علاقي</t>
        </is>
      </c>
      <c r="D46" s="3" t="inlineStr">
        <is>
          <t>10</t>
        </is>
      </c>
      <c r="E46" s="7" t="n"/>
      <c r="F46" s="3" t="inlineStr">
        <is>
          <t>يحتاج تسعير</t>
        </is>
      </c>
      <c r="G46" s="3" t="inlineStr">
        <is>
          <t>مسحوبات تبوك من الرياض</t>
        </is>
      </c>
      <c r="H46" s="4" t="n">
        <v>2300</v>
      </c>
    </row>
    <row r="47">
      <c r="A47" s="4" t="n">
        <v>45</v>
      </c>
      <c r="B47" s="3" t="inlineStr">
        <is>
          <t>سيسبانيا 1 - 2 متر</t>
        </is>
      </c>
      <c r="C47" s="3" t="inlineStr">
        <is>
          <t>سيسلبانيا 1 - 2 متر</t>
        </is>
      </c>
      <c r="D47" s="3" t="inlineStr">
        <is>
          <t>25.5</t>
        </is>
      </c>
      <c r="E47" s="7" t="n"/>
      <c r="F47" s="3" t="inlineStr">
        <is>
          <t>يحتاج تسعير</t>
        </is>
      </c>
      <c r="G47" s="3" t="inlineStr">
        <is>
          <t>مسحوبات تبوك من الرياض</t>
        </is>
      </c>
      <c r="H47" s="4" t="n">
        <v>240</v>
      </c>
    </row>
    <row r="48">
      <c r="A48" s="4" t="n">
        <v>46</v>
      </c>
      <c r="B48" s="3" t="inlineStr">
        <is>
          <t>سينيراريا مركن 12</t>
        </is>
      </c>
      <c r="C48" s="3" t="inlineStr">
        <is>
          <t>زهور سينيراريا 12 / زهور سينيراريا مركن12 سم</t>
        </is>
      </c>
      <c r="D48" s="3" t="inlineStr">
        <is>
          <t>2.5 / 5</t>
        </is>
      </c>
      <c r="E48" s="7" t="n"/>
      <c r="F48" s="3" t="inlineStr">
        <is>
          <t>يحتاج تسعير</t>
        </is>
      </c>
      <c r="G48" s="3" t="inlineStr">
        <is>
          <t>عقود أبو خالد + مسحوبات تبوك من الرياض</t>
        </is>
      </c>
      <c r="H48" s="4" t="n">
        <v>348</v>
      </c>
    </row>
    <row r="49">
      <c r="A49" s="4" t="n">
        <v>47</v>
      </c>
      <c r="B49" s="3" t="inlineStr">
        <is>
          <t>فل بلدي</t>
        </is>
      </c>
      <c r="C49" s="3" t="inlineStr">
        <is>
          <t>فل بلدى / فل بلدي</t>
        </is>
      </c>
      <c r="D49" s="3" t="inlineStr">
        <is>
          <t>2.5</t>
        </is>
      </c>
      <c r="E49" s="7" t="n"/>
      <c r="F49" s="3" t="inlineStr">
        <is>
          <t>يحتاج تسعير</t>
        </is>
      </c>
      <c r="G49" s="3" t="inlineStr">
        <is>
          <t>مسحوبات تبوك من الرياض + ترحيل تبوك للرياض</t>
        </is>
      </c>
      <c r="H49" s="4" t="n">
        <v>500</v>
      </c>
    </row>
    <row r="50">
      <c r="A50" s="4" t="n">
        <v>48</v>
      </c>
      <c r="B50" s="3" t="inlineStr">
        <is>
          <t>فيكس بندا 50</t>
        </is>
      </c>
      <c r="C50" s="3" t="inlineStr">
        <is>
          <t>فيكس بندا 50 سم</t>
        </is>
      </c>
      <c r="D50" s="3" t="inlineStr">
        <is>
          <t>10</t>
        </is>
      </c>
      <c r="E50" s="7" t="n"/>
      <c r="F50" s="3" t="inlineStr">
        <is>
          <t>يحتاج تسعير</t>
        </is>
      </c>
      <c r="G50" s="3" t="inlineStr">
        <is>
          <t>مسحوبات تبوك من الرياض</t>
        </is>
      </c>
      <c r="H50" s="4" t="n">
        <v>10</v>
      </c>
    </row>
    <row r="51">
      <c r="A51" s="4" t="n">
        <v>49</v>
      </c>
      <c r="B51" s="3" t="inlineStr">
        <is>
          <t>قرنفل امريكي 12</t>
        </is>
      </c>
      <c r="C51" s="3" t="inlineStr">
        <is>
          <t>زهور قرنفل امريكي 12</t>
        </is>
      </c>
      <c r="D51" s="3" t="inlineStr">
        <is>
          <t>4</t>
        </is>
      </c>
      <c r="E51" s="7" t="n"/>
      <c r="F51" s="3" t="inlineStr">
        <is>
          <t>يحتاج تسعير</t>
        </is>
      </c>
      <c r="G51" s="3" t="inlineStr">
        <is>
          <t>مسحوبات تبوك من الرياض</t>
        </is>
      </c>
      <c r="H51" s="4" t="n">
        <v>90</v>
      </c>
    </row>
    <row r="52">
      <c r="A52" s="4" t="n">
        <v>50</v>
      </c>
      <c r="B52" s="3" t="inlineStr">
        <is>
          <t>قرنفل صيني</t>
        </is>
      </c>
      <c r="C52" s="3" t="inlineStr">
        <is>
          <t>زهور قرنفل صيني / زهور قرنفل صيني مركن9 سم</t>
        </is>
      </c>
      <c r="D52" s="3" t="inlineStr">
        <is>
          <t>0.5</t>
        </is>
      </c>
      <c r="E52" s="7" t="n"/>
      <c r="F52" s="3" t="inlineStr">
        <is>
          <t>يحتاج تسعير</t>
        </is>
      </c>
      <c r="G52" s="3" t="inlineStr">
        <is>
          <t>عقود أبو خالد + مسحوبات تبوك من الرياض</t>
        </is>
      </c>
      <c r="H52" s="4" t="n">
        <v>3550</v>
      </c>
    </row>
    <row r="53">
      <c r="A53" s="4" t="n">
        <v>51</v>
      </c>
      <c r="B53" s="3" t="inlineStr">
        <is>
          <t>كف مريم 1. 5 : 2 م</t>
        </is>
      </c>
      <c r="C53" s="3" t="inlineStr">
        <is>
          <t>كف مريم 1.5 : 2 م</t>
        </is>
      </c>
      <c r="D53" s="3" t="inlineStr">
        <is>
          <t>5.5</t>
        </is>
      </c>
      <c r="E53" s="7" t="n"/>
      <c r="F53" s="3" t="inlineStr">
        <is>
          <t>يحتاج تسعير</t>
        </is>
      </c>
      <c r="G53" s="3" t="inlineStr">
        <is>
          <t>مسحوبات تبوك من الرياض</t>
        </is>
      </c>
      <c r="H53" s="4" t="n">
        <v>6</v>
      </c>
    </row>
    <row r="54">
      <c r="A54" s="4" t="n">
        <v>52</v>
      </c>
      <c r="B54" s="3" t="inlineStr">
        <is>
          <t>كلانشو هولندي مركن 12</t>
        </is>
      </c>
      <c r="C54" s="3" t="inlineStr">
        <is>
          <t>كالنشو هولندى مركن12 سم / كلانشو هولندي مركن 12</t>
        </is>
      </c>
      <c r="D54" s="3" t="inlineStr">
        <is>
          <t>4 / 5</t>
        </is>
      </c>
      <c r="E54" s="7" t="n"/>
      <c r="F54" s="3" t="inlineStr">
        <is>
          <t>يحتاج تسعير</t>
        </is>
      </c>
      <c r="G54" s="3" t="inlineStr">
        <is>
          <t>عقود أبو خالد + مسحوبات تبوك من الرياض</t>
        </is>
      </c>
      <c r="H54" s="4" t="n">
        <v>2420</v>
      </c>
    </row>
    <row r="55">
      <c r="A55" s="4" t="n">
        <v>53</v>
      </c>
      <c r="B55" s="3" t="inlineStr">
        <is>
          <t>كمبوست 10 ك</t>
        </is>
      </c>
      <c r="C55" s="3" t="inlineStr">
        <is>
          <t>كمبوست 10 ك</t>
        </is>
      </c>
      <c r="D55" s="3" t="inlineStr">
        <is>
          <t>2</t>
        </is>
      </c>
      <c r="E55" s="7" t="n"/>
      <c r="F55" s="3" t="inlineStr">
        <is>
          <t>يحتاج تسعير</t>
        </is>
      </c>
      <c r="G55" s="3" t="inlineStr">
        <is>
          <t>مسحوبات تبوك من الرياض</t>
        </is>
      </c>
      <c r="H55" s="4" t="n">
        <v>19</v>
      </c>
    </row>
    <row r="56">
      <c r="A56" s="4" t="n">
        <v>54</v>
      </c>
      <c r="B56" s="3" t="inlineStr">
        <is>
          <t>كيليوس</t>
        </is>
      </c>
      <c r="C56" s="3" t="inlineStr">
        <is>
          <t>زهور كيليوس</t>
        </is>
      </c>
      <c r="D56" s="3" t="inlineStr">
        <is>
          <t>0.55</t>
        </is>
      </c>
      <c r="E56" s="7" t="n"/>
      <c r="F56" s="3" t="inlineStr">
        <is>
          <t>يحتاج تسعير</t>
        </is>
      </c>
      <c r="G56" s="3" t="inlineStr">
        <is>
          <t>عقود أبو خالد</t>
        </is>
      </c>
      <c r="H56" s="4" t="n">
        <v>2200</v>
      </c>
    </row>
    <row r="57">
      <c r="A57" s="4" t="n">
        <v>55</v>
      </c>
      <c r="B57" s="3" t="inlineStr">
        <is>
          <t>لانتانا لبناني صغير</t>
        </is>
      </c>
      <c r="C57" s="3" t="inlineStr">
        <is>
          <t>لانتانا لبناني صغير</t>
        </is>
      </c>
      <c r="D57" s="3" t="inlineStr">
        <is>
          <t>2.5</t>
        </is>
      </c>
      <c r="E57" s="7" t="n"/>
      <c r="F57" s="3" t="inlineStr">
        <is>
          <t>يحتاج تسعير</t>
        </is>
      </c>
      <c r="G57" s="3" t="inlineStr">
        <is>
          <t>مسحوبات تبوك من الرياض + ترحيل تبوك للرياض</t>
        </is>
      </c>
      <c r="H57" s="4" t="n">
        <v>200</v>
      </c>
    </row>
    <row r="58">
      <c r="A58" s="4" t="n">
        <v>56</v>
      </c>
      <c r="B58" s="3" t="inlineStr">
        <is>
          <t>ماري جولد</t>
        </is>
      </c>
      <c r="C58" s="3" t="inlineStr">
        <is>
          <t>زهور مارى جولد / زهور ماري جولد / مارى جولد</t>
        </is>
      </c>
      <c r="D58" s="3" t="inlineStr">
        <is>
          <t>0.5 / 0.7</t>
        </is>
      </c>
      <c r="E58" s="7" t="n"/>
      <c r="F58" s="3" t="inlineStr">
        <is>
          <t>يحتاج تسعير</t>
        </is>
      </c>
      <c r="G58" s="3" t="inlineStr">
        <is>
          <t>عقود أبو خالد + مسحوبات تبوك من الرياض</t>
        </is>
      </c>
      <c r="H58" s="4" t="n">
        <v>15425</v>
      </c>
    </row>
    <row r="59">
      <c r="A59" s="4" t="n">
        <v>57</v>
      </c>
      <c r="B59" s="3" t="inlineStr">
        <is>
          <t>ماري جولد فرنسي</t>
        </is>
      </c>
      <c r="C59" s="3" t="inlineStr">
        <is>
          <t>زهور ماري جولد فرنسى</t>
        </is>
      </c>
      <c r="D59" s="3" t="inlineStr">
        <is>
          <t>0.5</t>
        </is>
      </c>
      <c r="E59" s="7" t="n"/>
      <c r="F59" s="3" t="inlineStr">
        <is>
          <t>يحتاج تسعير</t>
        </is>
      </c>
      <c r="G59" s="3" t="inlineStr">
        <is>
          <t>مسحوبات تبوك من الرياض</t>
        </is>
      </c>
      <c r="H59" s="4" t="n">
        <v>250</v>
      </c>
    </row>
    <row r="60">
      <c r="A60" s="4" t="n">
        <v>58</v>
      </c>
      <c r="B60" s="3" t="inlineStr">
        <is>
          <t>ملفوف مركن 9</t>
        </is>
      </c>
      <c r="C60" s="3" t="inlineStr">
        <is>
          <t>زهور ملفوف براسيكا مركن9 سم / زهور ملفوف مركن 9</t>
        </is>
      </c>
      <c r="D60" s="3" t="inlineStr">
        <is>
          <t>0.5</t>
        </is>
      </c>
      <c r="E60" s="7" t="n"/>
      <c r="F60" s="3" t="inlineStr">
        <is>
          <t>يحتاج تسعير</t>
        </is>
      </c>
      <c r="G60" s="3" t="inlineStr">
        <is>
          <t>عقود أبو خالد + مسحوبات تبوك من الرياض</t>
        </is>
      </c>
      <c r="H60" s="4" t="n">
        <v>2362</v>
      </c>
    </row>
    <row r="61">
      <c r="A61" s="4" t="n">
        <v>59</v>
      </c>
      <c r="B61" s="3" t="inlineStr">
        <is>
          <t>منثور مركن 9</t>
        </is>
      </c>
      <c r="C61" s="3" t="inlineStr">
        <is>
          <t>زهور منثور مركن 9</t>
        </is>
      </c>
      <c r="D61" s="3" t="inlineStr">
        <is>
          <t>0.5</t>
        </is>
      </c>
      <c r="E61" s="7" t="n"/>
      <c r="F61" s="3" t="inlineStr">
        <is>
          <t>يحتاج تسعير</t>
        </is>
      </c>
      <c r="G61" s="3" t="inlineStr">
        <is>
          <t>مسحوبات تبوك من الرياض</t>
        </is>
      </c>
      <c r="H61" s="4" t="n">
        <v>462</v>
      </c>
    </row>
    <row r="62">
      <c r="A62" s="4" t="n">
        <v>60</v>
      </c>
      <c r="B62" s="3" t="inlineStr">
        <is>
          <t>موسميه</t>
        </is>
      </c>
      <c r="C62" s="3" t="inlineStr">
        <is>
          <t>زهور موسمية (SEASONAL FLOWERS) / زهور موسمية – غير شامل التوصيل</t>
        </is>
      </c>
      <c r="D62" s="3" t="inlineStr">
        <is>
          <t>—</t>
        </is>
      </c>
      <c r="E62" s="7" t="n"/>
      <c r="F62" s="3" t="inlineStr">
        <is>
          <t>يحتاج تسعير</t>
        </is>
      </c>
      <c r="G62" s="3" t="inlineStr">
        <is>
          <t>مسحوبات قبل الفترة</t>
        </is>
      </c>
      <c r="H62" s="4" t="n">
        <v>66000</v>
      </c>
    </row>
    <row r="63">
      <c r="A63" s="4" t="n">
        <v>61</v>
      </c>
      <c r="B63" s="3" t="inlineStr">
        <is>
          <t>نخيل سايكس 30</t>
        </is>
      </c>
      <c r="C63" s="3" t="inlineStr">
        <is>
          <t>نخيل سايكس 30 سم</t>
        </is>
      </c>
      <c r="D63" s="3" t="inlineStr">
        <is>
          <t>262.5</t>
        </is>
      </c>
      <c r="E63" s="7" t="n"/>
      <c r="F63" s="3" t="inlineStr">
        <is>
          <t>يحتاج تسعير</t>
        </is>
      </c>
      <c r="G63" s="3" t="inlineStr">
        <is>
          <t>مسحوبات تبوك من الرياض</t>
        </is>
      </c>
      <c r="H63" s="4" t="n">
        <v>4</v>
      </c>
    </row>
    <row r="64">
      <c r="A64" s="4" t="n">
        <v>62</v>
      </c>
      <c r="B64" s="3" t="inlineStr">
        <is>
          <t>نخيل سايكس 40</t>
        </is>
      </c>
      <c r="C64" s="3" t="inlineStr">
        <is>
          <t>نخيل سايكس 40 سم</t>
        </is>
      </c>
      <c r="D64" s="3" t="inlineStr">
        <is>
          <t>400</t>
        </is>
      </c>
      <c r="E64" s="7" t="n"/>
      <c r="F64" s="3" t="inlineStr">
        <is>
          <t>يحتاج تسعير</t>
        </is>
      </c>
      <c r="G64" s="3" t="inlineStr">
        <is>
          <t>مسحوبات تبوك من الرياض</t>
        </is>
      </c>
      <c r="H64" s="4" t="n">
        <v>3</v>
      </c>
    </row>
    <row r="65">
      <c r="A65" s="4" t="n">
        <v>63</v>
      </c>
      <c r="B65" s="3" t="inlineStr">
        <is>
          <t>هيبوستس</t>
        </is>
      </c>
      <c r="C65" s="3" t="inlineStr">
        <is>
          <t>زهور هيبوستس / زهور هيبوستس مركن9 سم / هيبوستس</t>
        </is>
      </c>
      <c r="D65" s="3" t="inlineStr">
        <is>
          <t>0.55 / 0.7 / 2.5</t>
        </is>
      </c>
      <c r="E65" s="7" t="n"/>
      <c r="F65" s="3" t="inlineStr">
        <is>
          <t>يحتاج تسعير</t>
        </is>
      </c>
      <c r="G65" s="3" t="inlineStr">
        <is>
          <t>عقود أبو خالد + مسحوبات تبوك من الرياض</t>
        </is>
      </c>
      <c r="H65" s="4" t="n">
        <v>4575</v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7" t="n"/>
      <c r="F66" s="3" t="inlineStr">
        <is>
          <t>يحتاج تسعير</t>
        </is>
      </c>
      <c r="G66" s="3" t="inlineStr">
        <is>
          <t>مسحوبات تبوك من الرياض</t>
        </is>
      </c>
      <c r="H66" s="4" t="n">
        <v>288</v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7" t="n"/>
      <c r="F67" s="3" t="inlineStr">
        <is>
          <t>يحتاج تسعير</t>
        </is>
      </c>
      <c r="G67" s="3" t="inlineStr">
        <is>
          <t>ترحيل تبوك للرياض</t>
        </is>
      </c>
      <c r="H67" s="4" t="n">
        <v>400</v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7" t="n"/>
      <c r="F68" s="3" t="inlineStr">
        <is>
          <t>يحتاج تسعير</t>
        </is>
      </c>
      <c r="G68" s="3" t="inlineStr">
        <is>
          <t>مسحوبات تبوك من الرياض + ترحيل تبوك للرياض</t>
        </is>
      </c>
      <c r="H68" s="4" t="n">
        <v>730</v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7" t="n"/>
      <c r="F69" s="3" t="inlineStr">
        <is>
          <t>يحتاج تسعير</t>
        </is>
      </c>
      <c r="G69" s="3" t="inlineStr">
        <is>
          <t>مسحوبات تبوك من الرياض</t>
        </is>
      </c>
      <c r="H69" s="4" t="n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8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8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8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8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8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9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8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8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9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8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8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9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8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9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8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9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8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9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8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9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8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8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8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9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8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8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9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8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8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9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8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8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8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9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8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8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9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8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9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8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9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8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9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8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9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8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9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8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8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9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8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9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8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8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9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8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9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8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9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8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9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8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9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8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9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8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9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8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9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8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8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9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8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9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8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9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8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9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8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8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8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8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9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8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9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8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9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8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8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9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8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8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8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10" t="n"/>
      <c r="B61" s="10" t="n"/>
      <c r="C61" s="10" t="n"/>
      <c r="D61" s="10" t="n"/>
      <c r="E61" s="11" t="inlineStr">
        <is>
          <t>الإجمالي</t>
        </is>
      </c>
      <c r="F61" s="12">
        <f>SUM(F3:F60)</f>
        <v/>
      </c>
      <c r="G61" s="10" t="n"/>
      <c r="H61" s="12">
        <f>SUM(H3:H60)</f>
        <v/>
      </c>
      <c r="I61" s="10" t="n"/>
      <c r="J61" s="12">
        <f>SUM(J3:J60)</f>
        <v/>
      </c>
      <c r="K61" s="12">
        <f>SUM(K3:K60)</f>
        <v/>
      </c>
      <c r="L6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9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8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8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9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8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9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8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9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8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9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8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9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9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9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9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9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9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9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9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9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9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8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9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8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9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8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9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8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9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8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9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8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9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8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9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8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9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8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9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8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8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9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8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9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8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9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8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9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8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8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9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8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9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8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9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8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8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9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8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9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8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8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9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8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9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8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9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8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9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8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9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8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9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8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9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8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9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8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9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8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9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8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9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8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9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8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9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8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9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8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9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8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8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9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8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9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8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9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8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9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8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9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8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9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8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8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8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8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9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8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8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9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8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8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8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8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8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8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8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8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9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8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8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8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8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8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8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8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8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8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8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8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9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8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9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8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9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8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8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9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8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9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8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8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8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8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8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9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8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9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8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8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8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8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9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8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9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8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9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8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8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8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9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8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9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8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9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8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9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8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9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8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9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8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9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8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9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8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9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8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9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8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9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8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9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8" t="n">
        <v>46163</v>
      </c>
      <c r="C121" s="3" t="inlineStr">
        <is>
          <t>طلب 58991 (#299/#301)</t>
        </is>
      </c>
      <c r="D121" s="3" t="inlineStr">
        <is>
          <t>زهور فينكا روزا</t>
        </is>
      </c>
      <c r="E121" s="4" t="n">
        <v>-17900</v>
      </c>
      <c r="F121" s="4" t="n">
        <v>0.5</v>
      </c>
      <c r="G121" s="4">
        <f>IF(F121="","",E121*F121)</f>
        <v/>
      </c>
      <c r="H121" s="4">
        <f>IFERROR(IF(VLOOKUP("فينكا روزا",'قائمة الأسعار الموحدة'!$B$3:$E$69,4,FALSE)="",F121,VLOOKUP("فينكا روزا",'قائمة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خصم كمية مرفوضة/مفقودة مع المناديب (حسب قرارك)</t>
        </is>
      </c>
    </row>
    <row r="122">
      <c r="A122" s="10" t="n"/>
      <c r="B122" s="10" t="n"/>
      <c r="C122" s="10" t="n"/>
      <c r="D122" s="11" t="inlineStr">
        <is>
          <t>الإجمالي</t>
        </is>
      </c>
      <c r="E122" s="12">
        <f>SUM(E3:E121)</f>
        <v/>
      </c>
      <c r="F122" s="10" t="n"/>
      <c r="G122" s="12">
        <f>SUM(G3:G121)</f>
        <v/>
      </c>
      <c r="H122" s="10" t="n"/>
      <c r="I122" s="12">
        <f>SUM(I3:I121)</f>
        <v/>
      </c>
      <c r="J122" s="12">
        <f>SUM(J3:J121)</f>
        <v/>
      </c>
      <c r="K12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9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8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9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8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9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8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9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8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9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8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9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8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9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9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9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9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9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9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9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9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9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9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9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9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9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9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9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9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9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9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8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9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8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10" t="n"/>
      <c r="B30" s="10" t="n"/>
      <c r="C30" s="10" t="n"/>
      <c r="D30" s="11" t="inlineStr">
        <is>
          <t>الإجمالي</t>
        </is>
      </c>
      <c r="E30" s="12">
        <f>SUM(E3:E29)</f>
        <v/>
      </c>
      <c r="F30" s="10" t="n"/>
      <c r="G30" s="12">
        <f>SUM(G3:G29)</f>
        <v/>
      </c>
      <c r="H30" s="10" t="n"/>
      <c r="I30" s="12">
        <f>SUM(I3:I29)</f>
        <v/>
      </c>
      <c r="J30" s="12">
        <f>SUM(J3:J29)</f>
        <v/>
      </c>
      <c r="K3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8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8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8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8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8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8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8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8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9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8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9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8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9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10" t="n"/>
      <c r="B14" s="10" t="n"/>
      <c r="C14" s="10" t="n"/>
      <c r="D14" s="11" t="inlineStr">
        <is>
          <t>الإجمالي</t>
        </is>
      </c>
      <c r="E14" s="12">
        <f>SUM(E3:E13)</f>
        <v/>
      </c>
      <c r="F14" s="10" t="n"/>
      <c r="G14" s="12">
        <f>SUM(G3:G13)</f>
        <v/>
      </c>
      <c r="H14" s="10" t="n"/>
      <c r="I14" s="12">
        <f>SUM(I3:I13)</f>
        <v/>
      </c>
      <c r="J14" s="12">
        <f>SUM(J3:J13)</f>
        <v/>
      </c>
      <c r="K14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المعتمدة (يدوي)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8" t="n">
        <v>45887</v>
      </c>
      <c r="E3" s="3" t="inlineStr">
        <is>
          <t>TRANSACTIONS BETWEEN RIYADH-TABUK</t>
        </is>
      </c>
      <c r="F3" s="4" t="n">
        <v>7475</v>
      </c>
      <c r="G3" s="7" t="n"/>
      <c r="H3" s="3" t="inlineStr">
        <is>
          <t>غير مدرج بشيت المحاسب – أرسل الأصناف أو اعتمد القيمة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8" t="n">
        <v>45909</v>
      </c>
      <c r="E4" s="3" t="inlineStr">
        <is>
          <t>TRANSACTIONS BETWEEN RIYADH-TABUK</t>
        </is>
      </c>
      <c r="F4" s="4" t="n">
        <v>8855</v>
      </c>
      <c r="G4" s="7" t="n"/>
      <c r="H4" s="3" t="inlineStr">
        <is>
          <t>غير مدرج بشيت المحاسب – أرسل الأصناف أو اعتمد القيمة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RNT-3077</t>
        </is>
      </c>
      <c r="D5" s="8" t="n">
        <v>45992</v>
      </c>
      <c r="E5" s="3" t="inlineStr">
        <is>
          <t>TRANSACTIONS BETWEEN RIYADH-TABUK</t>
        </is>
      </c>
      <c r="F5" s="4" t="n">
        <v>4305.03</v>
      </c>
      <c r="G5" s="7" t="n"/>
      <c r="H5" s="3" t="inlineStr">
        <is>
          <t>غير مدرج بشيت المحاسب – أرسل الأصناف أو اعتمد القيمة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RNT-3346</t>
        </is>
      </c>
      <c r="D6" s="8" t="n">
        <v>46016</v>
      </c>
      <c r="E6" s="3" t="inlineStr">
        <is>
          <t>TRANSACTIONS BETWEEN RIYADH-TABUK</t>
        </is>
      </c>
      <c r="F6" s="4" t="n">
        <v>1765.25</v>
      </c>
      <c r="G6" s="7" t="n"/>
      <c r="H6" s="3" t="inlineStr">
        <is>
          <t>غير مدرج بشيت المحاسب – أرسل الأصناف أو اعتمد القيمة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RNP-2297</t>
        </is>
      </c>
      <c r="D7" s="8" t="n">
        <v>45926</v>
      </c>
      <c r="E7" s="3" t="inlineStr">
        <is>
          <t>NESMA ELSHARQ-PROJECTS</t>
        </is>
      </c>
      <c r="F7" s="4" t="n">
        <v>5433.75</v>
      </c>
      <c r="G7" s="7" t="n"/>
      <c r="H7" s="3" t="inlineStr">
        <is>
          <t>غير مدرج بشيت المحاسب – أرسل الأصناف أو اعتمد القيمة</t>
        </is>
      </c>
    </row>
    <row r="8">
      <c r="A8" s="4" t="n">
        <v>6</v>
      </c>
      <c r="B8" s="3" t="inlineStr">
        <is>
          <t>الرياض ← تبوك (على أبو مازن)</t>
        </is>
      </c>
      <c r="C8" s="3" t="inlineStr">
        <is>
          <t>RNP-2427</t>
        </is>
      </c>
      <c r="D8" s="8" t="n">
        <v>45938</v>
      </c>
      <c r="E8" s="3" t="inlineStr">
        <is>
          <t>NESMA ELSHARQ-PROJECTS</t>
        </is>
      </c>
      <c r="F8" s="4" t="n">
        <v>7078.25</v>
      </c>
      <c r="G8" s="7" t="n"/>
      <c r="H8" s="3" t="inlineStr">
        <is>
          <t>غير مدرج بشيت المحاسب – أرسل الأصناف أو اعتمد القيمة</t>
        </is>
      </c>
    </row>
    <row r="9">
      <c r="A9" s="4" t="n">
        <v>7</v>
      </c>
      <c r="B9" s="3" t="inlineStr">
        <is>
          <t>الرياض ← تبوك (على أبو مازن)</t>
        </is>
      </c>
      <c r="C9" s="3" t="inlineStr">
        <is>
          <t>RNP-1787</t>
        </is>
      </c>
      <c r="D9" s="8" t="n">
        <v>45873</v>
      </c>
      <c r="E9" s="3" t="inlineStr">
        <is>
          <t>WHOLESALE DEPARTMENT RIYADH</t>
        </is>
      </c>
      <c r="F9" s="4" t="n">
        <v>20872.5</v>
      </c>
      <c r="G9" s="7" t="n"/>
      <c r="H9" s="3" t="inlineStr">
        <is>
          <t>غير مدرج بشيت المحاسب – أرسل الأصناف أو اعتمد القيمة</t>
        </is>
      </c>
    </row>
    <row r="10">
      <c r="E10" s="13" t="inlineStr">
        <is>
          <t>الإجمالي</t>
        </is>
      </c>
      <c r="F10" s="4">
        <f>SUM(F3:F9)</f>
        <v/>
      </c>
      <c r="G10" s="4">
        <f>SUM(G3:G9)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2026-09-28T16:03:39Z</dcterms:created>
  <dcterms:modified xsi:type="dcterms:W3CDTF">2026-09-28T16:03:39Z</dcterms:modified>
</cp:coreProperties>
</file>