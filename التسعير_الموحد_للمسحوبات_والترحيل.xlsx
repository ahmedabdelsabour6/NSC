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لخص التسعير" sheetId="1" state="visible" r:id="rId1"/>
    <sheet name="قائمة الأسعار الموحدة" sheetId="2" state="visible" r:id="rId2"/>
    <sheet name="فرق أسعار أبو خالد" sheetId="3" state="visible" r:id="rId3"/>
    <sheet name="مسحوبات نسما من الرياض" sheetId="4" state="visible" r:id="rId4"/>
    <sheet name="ترحيل تبوك إلى الرياض" sheetId="5" state="visible" r:id="rId5"/>
    <sheet name="مسحوبات نسما قبل الفترة" sheetId="6" state="visible" r:id="rId6"/>
    <sheet name="سندات بدون تفصيل أصناف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  <xf numFmtId="0" fontId="1" fillId="0" borderId="1" pivotButton="0" quotePrefix="0" xfId="0"/>
    <xf numFmtId="4" fontId="0" fillId="3" borderId="1" pivotButton="0" quotePrefix="0" xfId="0"/>
    <xf numFmtId="0" fontId="0" fillId="4" borderId="0" pivotButton="0" quotePrefix="0" xfId="0"/>
    <xf numFmtId="165" fontId="0" fillId="0" borderId="1" pivotButton="0" quotePrefix="0" xfId="0"/>
    <xf numFmtId="4" fontId="0" fillId="4" borderId="1" pivotButton="0" quotePrefix="0" xfId="0"/>
    <xf numFmtId="0" fontId="0" fillId="5" borderId="0" pivotButton="0" quotePrefix="0" xfId="0"/>
    <xf numFmtId="0" fontId="3" fillId="5" borderId="1" pivotButton="0" quotePrefix="0" xfId="0"/>
    <xf numFmtId="4" fontId="3" fillId="5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rightToLeft="1" workbookViewId="0">
      <selection pane="bottomLeft" activeCell="A1" sqref="A1"/>
    </sheetView>
  </sheetViews>
  <sheetFormatPr baseColWidth="8" defaultRowHeight="15"/>
  <cols>
    <col width="46" customWidth="1" min="1" max="1"/>
    <col width="20" customWidth="1" min="2" max="2"/>
    <col width="22" customWidth="1" min="3" max="3"/>
    <col width="18" customWidth="1" min="4" max="4"/>
    <col width="46" customWidth="1" min="5" max="5"/>
  </cols>
  <sheetData>
    <row r="1">
      <c r="A1" s="1" t="inlineStr">
        <is>
          <t>ملخص التسعير الموحد بين الطرفين (بدون ضريبة)</t>
        </is>
      </c>
    </row>
    <row r="2">
      <c r="A2" s="2" t="inlineStr">
        <is>
          <t>البند</t>
        </is>
      </c>
      <c r="B2" s="2" t="inlineStr">
        <is>
          <t>الإجمالي المسجل</t>
        </is>
      </c>
      <c r="C2" s="2" t="inlineStr">
        <is>
          <t>الإجمالي بالسعر الموحد</t>
        </is>
      </c>
      <c r="D2" s="2" t="inlineStr">
        <is>
          <t>الفرق</t>
        </is>
      </c>
      <c r="E2" s="2" t="inlineStr">
        <is>
          <t>الأثر</t>
        </is>
      </c>
    </row>
    <row r="3">
      <c r="A3" s="3" t="inlineStr">
        <is>
          <t>فرق أسعار أبو خالد (عقود من 11-2025)</t>
        </is>
      </c>
      <c r="B3" s="4">
        <f>'فرق أسعار أبو خالد'!H61</f>
        <v/>
      </c>
      <c r="C3" s="4">
        <f>'فرق أسعار أبو خالد'!J61</f>
        <v/>
      </c>
      <c r="D3" s="4">
        <f>'فرق أسعار أبو خالد'!K61</f>
        <v/>
      </c>
      <c r="E3" s="3" t="inlineStr">
        <is>
          <t>فرق مرتجع لصالح أبو خالد (يُخصم من مسحوباته)</t>
        </is>
      </c>
    </row>
    <row r="4">
      <c r="A4" s="3" t="inlineStr">
        <is>
          <t>مسحوبات نسما من الرياض</t>
        </is>
      </c>
      <c r="B4" s="4">
        <f>'مسحوبات نسما من الرياض'!G122</f>
        <v/>
      </c>
      <c r="C4" s="4">
        <f>'مسحوبات نسما من الرياض'!I122</f>
        <v/>
      </c>
      <c r="D4" s="4">
        <f>'مسحوبات نسما من الرياض'!J122</f>
        <v/>
      </c>
      <c r="E4" s="3" t="inlineStr">
        <is>
          <t>مديونية على أبو مازن</t>
        </is>
      </c>
    </row>
    <row r="5">
      <c r="A5" s="3" t="inlineStr">
        <is>
          <t>مسحوبات نسما قبل الفترة</t>
        </is>
      </c>
      <c r="B5" s="4">
        <f>'مسحوبات نسما قبل الفترة'!G14</f>
        <v/>
      </c>
      <c r="C5" s="4">
        <f>'مسحوبات نسما قبل الفترة'!I14</f>
        <v/>
      </c>
      <c r="D5" s="4">
        <f>'مسحوبات نسما قبل الفترة'!J14</f>
        <v/>
      </c>
      <c r="E5" s="3" t="inlineStr">
        <is>
          <t>مديونية على أبو مازن</t>
        </is>
      </c>
    </row>
    <row r="6">
      <c r="A6" s="3" t="inlineStr">
        <is>
          <t>ترحيل تبوك إلى الرياض</t>
        </is>
      </c>
      <c r="B6" s="4">
        <f>'ترحيل تبوك إلى الرياض'!G30</f>
        <v/>
      </c>
      <c r="C6" s="4">
        <f>'ترحيل تبوك إلى الرياض'!I30</f>
        <v/>
      </c>
      <c r="D6" s="4">
        <f>'ترحيل تبوك إلى الرياض'!J30</f>
        <v/>
      </c>
      <c r="E6" s="3" t="inlineStr">
        <is>
          <t>دعم تشغيلي من أبو مازن</t>
        </is>
      </c>
    </row>
    <row r="7">
      <c r="A7" s="3" t="inlineStr">
        <is>
          <t>سندات بدون تفصيل أصناف (على أبو مازن)</t>
        </is>
      </c>
      <c r="B7" s="4">
        <f>'سندات بدون تفصيل أصناف'!F10</f>
        <v/>
      </c>
      <c r="C7" s="4">
        <f>'سندات بدون تفصيل أصناف'!G10</f>
        <v/>
      </c>
      <c r="E7" s="3" t="inlineStr">
        <is>
          <t>تحتاج أصناف أو اعتماد القيمة</t>
        </is>
      </c>
    </row>
    <row r="8"/>
    <row r="9">
      <c r="A9" s="3" t="inlineStr">
        <is>
          <t>ملاحظات:</t>
        </is>
      </c>
    </row>
    <row r="10">
      <c r="A10" s="3" t="inlineStr">
        <is>
          <t>1) الأصناف (فينكا – زينيا – امرانتس – بيتونيا – سيلوزيا – فضية – ماري جولد – سالفيا – هيبوستس – الزهور الموسمية) موحدة 0.50 للطرفين في كل العقود والمسحوبات.</t>
        </is>
      </c>
    </row>
    <row r="11">
      <c r="A11" s="3" t="inlineStr">
        <is>
          <t>2) باقي الأصناف: السعر الموحد يُدخل في "قائمة الأسعار الموحدة" (الخانة الصفراء) – وإذا تُركت فارغة يُستخدم السعر المسجل بالسند.</t>
        </is>
      </c>
    </row>
    <row r="12">
      <c r="A12" s="3" t="inlineStr">
        <is>
          <t>3) عقود أبو خالد قبل 1-11-2025 مشمولة بتسوية 62,937 فلا يُحتسب لها فرق. عقد عرعر WHK-2364 مسعّر أصلاً 0.50.</t>
        </is>
      </c>
    </row>
    <row r="13">
      <c r="A13" s="3" t="inlineStr">
        <is>
          <t>4) الترحيل من الرياض إلى تبوك = مديونية على أبو مازن، ومن تبوك إلى الرياض = دعم تشغيلي من أبو مازن.</t>
        </is>
      </c>
    </row>
    <row r="14">
      <c r="A14" s="3" t="inlineStr">
        <is>
          <t>5) أُلغي PO-213 (بيتونيا 6,000) وخُصمت 17,900 فينكا مفقودة من الطلب 58991، وسلفة رائد الخير (ISV-0075) مستبعدة.</t>
        </is>
      </c>
    </row>
    <row r="15">
      <c r="A15" s="3" t="inlineStr">
        <is>
          <t>6) تكاليف الشحن الخارجي لأوامر ما قبل الفترة تحمّلتها نسما (11,300) ولا تُحمّل على أي طرف.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9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48" customWidth="1" min="3" max="3"/>
    <col width="20" customWidth="1" min="4" max="4"/>
    <col width="14" customWidth="1" min="5" max="5"/>
    <col width="20" customWidth="1" min="6" max="6"/>
    <col width="40" customWidth="1" min="7" max="7"/>
    <col width="14" customWidth="1" min="8" max="8"/>
    <col width="16" customWidth="1" min="9" max="9"/>
  </cols>
  <sheetData>
    <row r="1">
      <c r="A1" s="5" t="inlineStr">
        <is>
          <t>قائمة الأسعار الموحدة للطرفين (بدون ضريبة) – الأصناف المستهدفة ثابتة 0.50 – الخانات الصفراء للإدخال</t>
        </is>
      </c>
    </row>
    <row r="2">
      <c r="A2" s="2" t="inlineStr">
        <is>
          <t>م</t>
        </is>
      </c>
      <c r="B2" s="2" t="inlineStr">
        <is>
          <t>مفتاح الصنف</t>
        </is>
      </c>
      <c r="C2" s="2" t="inlineStr">
        <is>
          <t>الأسماء كما وردت بالسندات</t>
        </is>
      </c>
      <c r="D2" s="2" t="inlineStr">
        <is>
          <t>الأسعار الحالية بالسندات</t>
        </is>
      </c>
      <c r="E2" s="2" t="inlineStr">
        <is>
          <t>السعر الموحد</t>
        </is>
      </c>
      <c r="F2" s="2" t="inlineStr">
        <is>
          <t>الحالة</t>
        </is>
      </c>
      <c r="G2" s="2" t="inlineStr">
        <is>
          <t>يظهر في</t>
        </is>
      </c>
      <c r="H2" s="2" t="inlineStr">
        <is>
          <t>إجمالي الكمية</t>
        </is>
      </c>
      <c r="I2" s="2" t="inlineStr">
        <is>
          <t>أقل سعر باع به لأبو خالد</t>
        </is>
      </c>
    </row>
    <row r="3">
      <c r="A3" s="4" t="n">
        <v>1</v>
      </c>
      <c r="B3" s="3" t="inlineStr">
        <is>
          <t>امرانتس</t>
        </is>
      </c>
      <c r="C3" s="3" t="inlineStr">
        <is>
          <t>زهور امرانتس</t>
        </is>
      </c>
      <c r="D3" s="3" t="inlineStr">
        <is>
          <t>0.5</t>
        </is>
      </c>
      <c r="E3" s="6" t="n">
        <v>0.5</v>
      </c>
      <c r="F3" s="3" t="inlineStr">
        <is>
          <t>موحد 0.50 (قرارك)</t>
        </is>
      </c>
      <c r="G3" s="3" t="inlineStr">
        <is>
          <t>عقود أبو خالد + مسحوبات تبوك من الرياض</t>
        </is>
      </c>
      <c r="H3" s="4" t="n">
        <v>8700</v>
      </c>
      <c r="I3" s="4" t="n">
        <v>0.5</v>
      </c>
    </row>
    <row r="4">
      <c r="A4" s="4" t="n">
        <v>2</v>
      </c>
      <c r="B4" s="3" t="inlineStr">
        <is>
          <t>بيتونيا</t>
        </is>
      </c>
      <c r="C4" s="3" t="inlineStr">
        <is>
          <t>زهور بيتونيا</t>
        </is>
      </c>
      <c r="D4" s="3" t="inlineStr">
        <is>
          <t>0.5 / 0.7 / 0.75</t>
        </is>
      </c>
      <c r="E4" s="6" t="n">
        <v>0.5</v>
      </c>
      <c r="F4" s="3" t="inlineStr">
        <is>
          <t>موحد 0.50 (قرارك)</t>
        </is>
      </c>
      <c r="G4" s="3" t="inlineStr">
        <is>
          <t>عقود أبو خالد + مسحوبات تبوك من الرياض + ترحيل تبوك للرياض</t>
        </is>
      </c>
      <c r="H4" s="4" t="n">
        <v>259147</v>
      </c>
      <c r="I4" s="4" t="n">
        <v>0.5</v>
      </c>
    </row>
    <row r="5">
      <c r="A5" s="4" t="n">
        <v>3</v>
      </c>
      <c r="B5" s="3" t="inlineStr">
        <is>
          <t>زينيا</t>
        </is>
      </c>
      <c r="C5" s="3" t="inlineStr">
        <is>
          <t>زهور زينيا</t>
        </is>
      </c>
      <c r="D5" s="3" t="inlineStr">
        <is>
          <t>0.5</t>
        </is>
      </c>
      <c r="E5" s="6" t="n">
        <v>0.5</v>
      </c>
      <c r="F5" s="3" t="inlineStr">
        <is>
          <t>موحد 0.50 (قرارك)</t>
        </is>
      </c>
      <c r="G5" s="3" t="inlineStr">
        <is>
          <t>عقود أبو خالد + مسحوبات تبوك من الرياض</t>
        </is>
      </c>
      <c r="H5" s="4" t="n">
        <v>69275</v>
      </c>
      <c r="I5" s="4" t="n">
        <v>0.5</v>
      </c>
    </row>
    <row r="6">
      <c r="A6" s="4" t="n">
        <v>4</v>
      </c>
      <c r="B6" s="3" t="inlineStr">
        <is>
          <t>سالفيا مركن 9</t>
        </is>
      </c>
      <c r="C6" s="3" t="inlineStr">
        <is>
          <t>زهور سالفيا مركن 9 / زهور سالفيا مركن9 سم</t>
        </is>
      </c>
      <c r="D6" s="3" t="inlineStr">
        <is>
          <t>0.5 / 0.6 / 0.75</t>
        </is>
      </c>
      <c r="E6" s="6" t="n">
        <v>0.5</v>
      </c>
      <c r="F6" s="3" t="inlineStr">
        <is>
          <t>موحد 0.50 (قرارك)</t>
        </is>
      </c>
      <c r="G6" s="3" t="inlineStr">
        <is>
          <t>عقود أبو خالد + مسحوبات تبوك من الرياض</t>
        </is>
      </c>
      <c r="H6" s="4" t="n">
        <v>6337</v>
      </c>
      <c r="I6" s="4" t="n">
        <v>0.5</v>
      </c>
    </row>
    <row r="7">
      <c r="A7" s="4" t="n">
        <v>5</v>
      </c>
      <c r="B7" s="3" t="inlineStr">
        <is>
          <t>سيلوزيا</t>
        </is>
      </c>
      <c r="C7" s="3" t="inlineStr">
        <is>
          <t>زهور سيلوزيا</t>
        </is>
      </c>
      <c r="D7" s="3" t="inlineStr">
        <is>
          <t>0.5</t>
        </is>
      </c>
      <c r="E7" s="6" t="n">
        <v>0.5</v>
      </c>
      <c r="F7" s="3" t="inlineStr">
        <is>
          <t>موحد 0.50 (قرارك)</t>
        </is>
      </c>
      <c r="G7" s="3" t="inlineStr">
        <is>
          <t>عقود أبو خالد</t>
        </is>
      </c>
      <c r="H7" s="4" t="n">
        <v>3000</v>
      </c>
      <c r="I7" s="4" t="n">
        <v>0.5</v>
      </c>
    </row>
    <row r="8">
      <c r="A8" s="4" t="n">
        <v>6</v>
      </c>
      <c r="B8" s="3" t="inlineStr">
        <is>
          <t>فضيه</t>
        </is>
      </c>
      <c r="C8" s="3" t="inlineStr">
        <is>
          <t>زهور فضية</t>
        </is>
      </c>
      <c r="D8" s="3" t="inlineStr">
        <is>
          <t>0.5</t>
        </is>
      </c>
      <c r="E8" s="6" t="n">
        <v>0.5</v>
      </c>
      <c r="F8" s="3" t="inlineStr">
        <is>
          <t>موحد 0.50 (قرارك)</t>
        </is>
      </c>
      <c r="G8" s="3" t="inlineStr">
        <is>
          <t>مسحوبات تبوك من الرياض</t>
        </is>
      </c>
      <c r="H8" s="4" t="n">
        <v>300</v>
      </c>
      <c r="I8" s="3" t="inlineStr">
        <is>
          <t>—</t>
        </is>
      </c>
    </row>
    <row r="9">
      <c r="A9" s="4" t="n">
        <v>7</v>
      </c>
      <c r="B9" s="3" t="inlineStr">
        <is>
          <t>فينكا ابيض</t>
        </is>
      </c>
      <c r="C9" s="3" t="inlineStr">
        <is>
          <t>فينكا أبيض</t>
        </is>
      </c>
      <c r="D9" s="3" t="inlineStr">
        <is>
          <t>—</t>
        </is>
      </c>
      <c r="E9" s="6" t="n">
        <v>0.5</v>
      </c>
      <c r="F9" s="3" t="inlineStr">
        <is>
          <t>موحد 0.50 (قرارك)</t>
        </is>
      </c>
      <c r="G9" s="3" t="inlineStr">
        <is>
          <t>مسحوبات قبل الفترة</t>
        </is>
      </c>
      <c r="H9" s="4" t="n">
        <v>9000</v>
      </c>
      <c r="I9" s="3" t="inlineStr">
        <is>
          <t>—</t>
        </is>
      </c>
    </row>
    <row r="10">
      <c r="A10" s="4" t="n">
        <v>8</v>
      </c>
      <c r="B10" s="3" t="inlineStr">
        <is>
          <t>فينكا ابيض نقطه حمراء</t>
        </is>
      </c>
      <c r="C10" s="3" t="inlineStr">
        <is>
          <t>فينكا أبيض نقطة حمراء</t>
        </is>
      </c>
      <c r="D10" s="3" t="inlineStr">
        <is>
          <t>—</t>
        </is>
      </c>
      <c r="E10" s="6" t="n">
        <v>0.5</v>
      </c>
      <c r="F10" s="3" t="inlineStr">
        <is>
          <t>موحد 0.50 (قرارك)</t>
        </is>
      </c>
      <c r="G10" s="3" t="inlineStr">
        <is>
          <t>مسحوبات قبل الفترة</t>
        </is>
      </c>
      <c r="H10" s="4" t="n">
        <v>3875</v>
      </c>
      <c r="I10" s="3" t="inlineStr">
        <is>
          <t>—</t>
        </is>
      </c>
    </row>
    <row r="11">
      <c r="A11" s="4" t="n">
        <v>9</v>
      </c>
      <c r="B11" s="3" t="inlineStr">
        <is>
          <t>فينكا احمر</t>
        </is>
      </c>
      <c r="C11" s="3" t="inlineStr">
        <is>
          <t>فينكا أحمر</t>
        </is>
      </c>
      <c r="D11" s="3" t="inlineStr">
        <is>
          <t>—</t>
        </is>
      </c>
      <c r="E11" s="6" t="n">
        <v>0.5</v>
      </c>
      <c r="F11" s="3" t="inlineStr">
        <is>
          <t>موحد 0.50 (قرارك)</t>
        </is>
      </c>
      <c r="G11" s="3" t="inlineStr">
        <is>
          <t>مسحوبات قبل الفترة</t>
        </is>
      </c>
      <c r="H11" s="4" t="n">
        <v>11000</v>
      </c>
      <c r="I11" s="3" t="inlineStr">
        <is>
          <t>—</t>
        </is>
      </c>
    </row>
    <row r="12">
      <c r="A12" s="4" t="n">
        <v>10</v>
      </c>
      <c r="B12" s="3" t="inlineStr">
        <is>
          <t>فينكا احمر بنقطه</t>
        </is>
      </c>
      <c r="C12" s="3" t="inlineStr">
        <is>
          <t>فينكا أحمر بنقطة</t>
        </is>
      </c>
      <c r="D12" s="3" t="inlineStr">
        <is>
          <t>—</t>
        </is>
      </c>
      <c r="E12" s="6" t="n">
        <v>0.5</v>
      </c>
      <c r="F12" s="3" t="inlineStr">
        <is>
          <t>موحد 0.50 (قرارك)</t>
        </is>
      </c>
      <c r="G12" s="3" t="inlineStr">
        <is>
          <t>مسحوبات قبل الفترة</t>
        </is>
      </c>
      <c r="H12" s="4" t="n">
        <v>3000</v>
      </c>
      <c r="I12" s="3" t="inlineStr">
        <is>
          <t>—</t>
        </is>
      </c>
    </row>
    <row r="13">
      <c r="A13" s="4" t="n">
        <v>11</v>
      </c>
      <c r="B13" s="3" t="inlineStr">
        <is>
          <t>فينكا ازرق</t>
        </is>
      </c>
      <c r="C13" s="3" t="inlineStr">
        <is>
          <t>فينكا أزرق</t>
        </is>
      </c>
      <c r="D13" s="3" t="inlineStr">
        <is>
          <t>—</t>
        </is>
      </c>
      <c r="E13" s="6" t="n">
        <v>0.5</v>
      </c>
      <c r="F13" s="3" t="inlineStr">
        <is>
          <t>موحد 0.50 (قرارك)</t>
        </is>
      </c>
      <c r="G13" s="3" t="inlineStr">
        <is>
          <t>مسحوبات قبل الفترة</t>
        </is>
      </c>
      <c r="H13" s="4" t="n">
        <v>5000</v>
      </c>
      <c r="I13" s="3" t="inlineStr">
        <is>
          <t>—</t>
        </is>
      </c>
    </row>
    <row r="14">
      <c r="A14" s="4" t="n">
        <v>12</v>
      </c>
      <c r="B14" s="3" t="inlineStr">
        <is>
          <t>فينكا روزا</t>
        </is>
      </c>
      <c r="C14" s="3" t="inlineStr">
        <is>
          <t>زهور فينكا روزا</t>
        </is>
      </c>
      <c r="D14" s="3" t="inlineStr">
        <is>
          <t>0.5 / 0.55</t>
        </is>
      </c>
      <c r="E14" s="6" t="n">
        <v>0.5</v>
      </c>
      <c r="F14" s="3" t="inlineStr">
        <is>
          <t>موحد 0.50 (قرارك)</t>
        </is>
      </c>
      <c r="G14" s="3" t="inlineStr">
        <is>
          <t>عقود أبو خالد + مسحوبات تبوك من الرياض</t>
        </is>
      </c>
      <c r="H14" s="4" t="n">
        <v>190390</v>
      </c>
      <c r="I14" s="4" t="n">
        <v>0.55</v>
      </c>
    </row>
    <row r="15">
      <c r="A15" s="4" t="n">
        <v>13</v>
      </c>
      <c r="B15" s="3" t="inlineStr">
        <is>
          <t>فينكا مشمشي</t>
        </is>
      </c>
      <c r="C15" s="3" t="inlineStr">
        <is>
          <t>فينكا مشمشي</t>
        </is>
      </c>
      <c r="D15" s="3" t="inlineStr">
        <is>
          <t>—</t>
        </is>
      </c>
      <c r="E15" s="6" t="n">
        <v>0.5</v>
      </c>
      <c r="F15" s="3" t="inlineStr">
        <is>
          <t>موحد 0.50 (قرارك)</t>
        </is>
      </c>
      <c r="G15" s="3" t="inlineStr">
        <is>
          <t>مسحوبات قبل الفترة</t>
        </is>
      </c>
      <c r="H15" s="4" t="n">
        <v>5000</v>
      </c>
      <c r="I15" s="3" t="inlineStr">
        <is>
          <t>—</t>
        </is>
      </c>
    </row>
    <row r="16">
      <c r="A16" s="4" t="n">
        <v>14</v>
      </c>
      <c r="B16" s="3" t="inlineStr">
        <is>
          <t>ماري جولد</t>
        </is>
      </c>
      <c r="C16" s="3" t="inlineStr">
        <is>
          <t>زهور مارى جولد / زهور ماري جولد / مارى جولد</t>
        </is>
      </c>
      <c r="D16" s="3" t="inlineStr">
        <is>
          <t>0.5 / 0.7</t>
        </is>
      </c>
      <c r="E16" s="6" t="n">
        <v>0.5</v>
      </c>
      <c r="F16" s="3" t="inlineStr">
        <is>
          <t>موحد 0.50 (قرارك)</t>
        </is>
      </c>
      <c r="G16" s="3" t="inlineStr">
        <is>
          <t>عقود أبو خالد + مسحوبات تبوك من الرياض</t>
        </is>
      </c>
      <c r="H16" s="4" t="n">
        <v>15425</v>
      </c>
      <c r="I16" s="4" t="n">
        <v>0.7</v>
      </c>
    </row>
    <row r="17">
      <c r="A17" s="4" t="n">
        <v>15</v>
      </c>
      <c r="B17" s="3" t="inlineStr">
        <is>
          <t>ماري جولد فرنسي</t>
        </is>
      </c>
      <c r="C17" s="3" t="inlineStr">
        <is>
          <t>زهور ماري جولد فرنسى</t>
        </is>
      </c>
      <c r="D17" s="3" t="inlineStr">
        <is>
          <t>0.5</t>
        </is>
      </c>
      <c r="E17" s="6" t="n">
        <v>0.5</v>
      </c>
      <c r="F17" s="3" t="inlineStr">
        <is>
          <t>موحد 0.50 (قرارك)</t>
        </is>
      </c>
      <c r="G17" s="3" t="inlineStr">
        <is>
          <t>مسحوبات تبوك من الرياض</t>
        </is>
      </c>
      <c r="H17" s="4" t="n">
        <v>250</v>
      </c>
      <c r="I17" s="3" t="inlineStr">
        <is>
          <t>—</t>
        </is>
      </c>
    </row>
    <row r="18">
      <c r="A18" s="4" t="n">
        <v>16</v>
      </c>
      <c r="B18" s="3" t="inlineStr">
        <is>
          <t>موسميه</t>
        </is>
      </c>
      <c r="C18" s="3" t="inlineStr">
        <is>
          <t>زهور موسمية (SEASONAL FLOWERS) / زهور موسمية – غير شامل التوصيل</t>
        </is>
      </c>
      <c r="D18" s="3" t="inlineStr">
        <is>
          <t>—</t>
        </is>
      </c>
      <c r="E18" s="6" t="n">
        <v>0.5</v>
      </c>
      <c r="F18" s="3" t="inlineStr">
        <is>
          <t>موحد 0.50 (قرارك)</t>
        </is>
      </c>
      <c r="G18" s="3" t="inlineStr">
        <is>
          <t>مسحوبات قبل الفترة</t>
        </is>
      </c>
      <c r="H18" s="4" t="n">
        <v>66000</v>
      </c>
      <c r="I18" s="3" t="inlineStr">
        <is>
          <t>—</t>
        </is>
      </c>
    </row>
    <row r="19">
      <c r="A19" s="4" t="n">
        <v>17</v>
      </c>
      <c r="B19" s="3" t="inlineStr">
        <is>
          <t>هيبوستس</t>
        </is>
      </c>
      <c r="C19" s="3" t="inlineStr">
        <is>
          <t>زهور هيبوستس / زهور هيبوستس مركن9 سم / هيبوستس</t>
        </is>
      </c>
      <c r="D19" s="3" t="inlineStr">
        <is>
          <t>0.55 / 0.7 / 2.5</t>
        </is>
      </c>
      <c r="E19" s="6" t="n">
        <v>0.5</v>
      </c>
      <c r="F19" s="3" t="inlineStr">
        <is>
          <t>موحد 0.50 (قرارك)</t>
        </is>
      </c>
      <c r="G19" s="3" t="inlineStr">
        <is>
          <t>عقود أبو خالد + مسحوبات تبوك من الرياض</t>
        </is>
      </c>
      <c r="H19" s="4" t="n">
        <v>4575</v>
      </c>
      <c r="I19" s="4" t="n">
        <v>0.7</v>
      </c>
    </row>
    <row r="20">
      <c r="A20" s="4" t="n">
        <v>18</v>
      </c>
      <c r="B20" s="3" t="inlineStr">
        <is>
          <t>اشجار تيسبيسيا 2- 3 متر</t>
        </is>
      </c>
      <c r="C20" s="3" t="inlineStr">
        <is>
          <t>أشجار تيسبيسيا 2-3 متر</t>
        </is>
      </c>
      <c r="D20" s="3" t="inlineStr">
        <is>
          <t>60</t>
        </is>
      </c>
      <c r="E20" s="6" t="n">
        <v>60</v>
      </c>
      <c r="F20" s="3" t="inlineStr">
        <is>
          <t>معتمد (قرارك)</t>
        </is>
      </c>
      <c r="G20" s="3" t="inlineStr">
        <is>
          <t>عقود أبو خالد</t>
        </is>
      </c>
      <c r="H20" s="4" t="n">
        <v>4</v>
      </c>
      <c r="I20" s="4" t="n">
        <v>60</v>
      </c>
    </row>
    <row r="21">
      <c r="A21" s="4" t="n">
        <v>19</v>
      </c>
      <c r="B21" s="3" t="inlineStr">
        <is>
          <t>اقحوان افريقي مركن 12</t>
        </is>
      </c>
      <c r="C21" s="3" t="inlineStr">
        <is>
          <t>اقحوان افريقى مركن 12 / زهور اقحوان افريقى مركن12 سم / زهور اقحوان افريقي مركن 12</t>
        </is>
      </c>
      <c r="D21" s="3" t="inlineStr">
        <is>
          <t>3.25</t>
        </is>
      </c>
      <c r="E21" s="6" t="n">
        <v>3.25</v>
      </c>
      <c r="F21" s="3" t="inlineStr">
        <is>
          <t>معتمد (قرارك)</t>
        </is>
      </c>
      <c r="G21" s="3" t="inlineStr">
        <is>
          <t>عقود أبو خالد + مسحوبات تبوك من الرياض</t>
        </is>
      </c>
      <c r="H21" s="4" t="n">
        <v>7010</v>
      </c>
      <c r="I21" s="4" t="n">
        <v>3.25</v>
      </c>
    </row>
    <row r="22">
      <c r="A22" s="4" t="n">
        <v>20</v>
      </c>
      <c r="B22" s="3" t="inlineStr">
        <is>
          <t>اقحوان افريقي مركن 9</t>
        </is>
      </c>
      <c r="C22" s="3" t="inlineStr">
        <is>
          <t>زهور اقحوان افريقي مركن 9 / زهور اقحوان افريقي مركن9 سم</t>
        </is>
      </c>
      <c r="D22" s="3" t="inlineStr">
        <is>
          <t>1.5 / 2</t>
        </is>
      </c>
      <c r="E22" s="6" t="n">
        <v>1.5</v>
      </c>
      <c r="F22" s="3" t="inlineStr">
        <is>
          <t>معتمد (قرارك)</t>
        </is>
      </c>
      <c r="G22" s="3" t="inlineStr">
        <is>
          <t>عقود أبو خالد + مسحوبات تبوك من الرياض</t>
        </is>
      </c>
      <c r="H22" s="4" t="n">
        <v>5975</v>
      </c>
      <c r="I22" s="4" t="n">
        <v>1.5</v>
      </c>
    </row>
    <row r="23">
      <c r="A23" s="4" t="n">
        <v>21</v>
      </c>
      <c r="B23" s="3" t="inlineStr">
        <is>
          <t>اقحوان افريقي هولندي مركن 12</t>
        </is>
      </c>
      <c r="C23" s="3" t="inlineStr">
        <is>
          <t>زهور اقحوان افريقي هولندي مركن 12</t>
        </is>
      </c>
      <c r="D23" s="3" t="inlineStr">
        <is>
          <t>3.25</t>
        </is>
      </c>
      <c r="E23" s="6" t="n">
        <v>3</v>
      </c>
      <c r="F23" s="3" t="inlineStr">
        <is>
          <t>معتمد (قرارك)</t>
        </is>
      </c>
      <c r="G23" s="3" t="inlineStr">
        <is>
          <t>مسحوبات تبوك من الرياض</t>
        </is>
      </c>
      <c r="H23" s="4" t="n">
        <v>1875</v>
      </c>
      <c r="I23" s="3" t="inlineStr">
        <is>
          <t>—</t>
        </is>
      </c>
    </row>
    <row r="24">
      <c r="A24" s="4" t="n">
        <v>22</v>
      </c>
      <c r="B24" s="3" t="inlineStr">
        <is>
          <t>اكاسيا جلوكا من 1 - 2 متر</t>
        </is>
      </c>
      <c r="C24" s="3" t="inlineStr">
        <is>
          <t>اكاسيا جلوكا من 1 - 2 متر</t>
        </is>
      </c>
      <c r="D24" s="3" t="inlineStr">
        <is>
          <t>25</t>
        </is>
      </c>
      <c r="E24" s="6" t="n">
        <v>12</v>
      </c>
      <c r="F24" s="3" t="inlineStr">
        <is>
          <t>معتمد (قرارك)</t>
        </is>
      </c>
      <c r="G24" s="3" t="inlineStr">
        <is>
          <t>مسحوبات تبوك من الرياض</t>
        </is>
      </c>
      <c r="H24" s="4" t="n">
        <v>172</v>
      </c>
      <c r="I24" s="3" t="inlineStr">
        <is>
          <t>—</t>
        </is>
      </c>
    </row>
    <row r="25">
      <c r="A25" s="4" t="n">
        <v>23</v>
      </c>
      <c r="B25" s="3" t="inlineStr">
        <is>
          <t>اكاليفا</t>
        </is>
      </c>
      <c r="C25" s="3" t="inlineStr">
        <is>
          <t>اكاليفا / اكاليفيا</t>
        </is>
      </c>
      <c r="D25" s="3" t="inlineStr">
        <is>
          <t>2.5</t>
        </is>
      </c>
      <c r="E25" s="6" t="n">
        <v>3</v>
      </c>
      <c r="F25" s="3" t="inlineStr">
        <is>
          <t>معتمد (قرارك)</t>
        </is>
      </c>
      <c r="G25" s="3" t="inlineStr">
        <is>
          <t>مسحوبات تبوك من الرياض + ترحيل تبوك للرياض</t>
        </is>
      </c>
      <c r="H25" s="4" t="n">
        <v>120</v>
      </c>
      <c r="I25" s="3" t="inlineStr">
        <is>
          <t>—</t>
        </is>
      </c>
    </row>
    <row r="26">
      <c r="A26" s="4" t="n">
        <v>24</v>
      </c>
      <c r="B26" s="3" t="inlineStr">
        <is>
          <t>اليسوم</t>
        </is>
      </c>
      <c r="C26" s="3" t="inlineStr">
        <is>
          <t>زهور اليسوم / زهور اليسوم مركن9 سم</t>
        </is>
      </c>
      <c r="D26" s="3" t="inlineStr">
        <is>
          <t>0.5</t>
        </is>
      </c>
      <c r="E26" s="6" t="n">
        <v>0.5</v>
      </c>
      <c r="F26" s="3" t="inlineStr">
        <is>
          <t>معتمد (قرارك)</t>
        </is>
      </c>
      <c r="G26" s="3" t="inlineStr">
        <is>
          <t>عقود أبو خالد + مسحوبات تبوك من الرياض + ترحيل تبوك للرياض</t>
        </is>
      </c>
      <c r="H26" s="4" t="n">
        <v>5275</v>
      </c>
      <c r="I26" s="4" t="n">
        <v>0.5</v>
      </c>
    </row>
    <row r="27">
      <c r="A27" s="4" t="n">
        <v>25</v>
      </c>
      <c r="B27" s="3" t="inlineStr">
        <is>
          <t>بانستيم اخضر</t>
        </is>
      </c>
      <c r="C27" s="3" t="inlineStr">
        <is>
          <t>بانستيم اخضر</t>
        </is>
      </c>
      <c r="D27" s="3" t="inlineStr">
        <is>
          <t>2.5</t>
        </is>
      </c>
      <c r="E27" s="6" t="n">
        <v>3</v>
      </c>
      <c r="F27" s="3" t="inlineStr">
        <is>
          <t>معتمد (قرارك)</t>
        </is>
      </c>
      <c r="G27" s="3" t="inlineStr">
        <is>
          <t>مسحوبات تبوك من الرياض</t>
        </is>
      </c>
      <c r="H27" s="4" t="n">
        <v>150</v>
      </c>
      <c r="I27" s="3" t="inlineStr">
        <is>
          <t>—</t>
        </is>
      </c>
    </row>
    <row r="28">
      <c r="A28" s="4" t="n">
        <v>26</v>
      </c>
      <c r="B28" s="3" t="inlineStr">
        <is>
          <t>بوتنج سويل 70 لتر</t>
        </is>
      </c>
      <c r="C28" s="3" t="inlineStr">
        <is>
          <t>بوتنج سويل 70 لتر</t>
        </is>
      </c>
      <c r="D28" s="3" t="inlineStr">
        <is>
          <t>46</t>
        </is>
      </c>
      <c r="E28" s="6" t="n">
        <v>64</v>
      </c>
      <c r="F28" s="3" t="inlineStr">
        <is>
          <t>معتمد (قرارك)</t>
        </is>
      </c>
      <c r="G28" s="3" t="inlineStr">
        <is>
          <t>مسحوبات تبوك من الرياض</t>
        </is>
      </c>
      <c r="H28" s="4" t="n">
        <v>10</v>
      </c>
      <c r="I28" s="3" t="inlineStr">
        <is>
          <t>—</t>
        </is>
      </c>
    </row>
    <row r="29">
      <c r="A29" s="4" t="n">
        <v>27</v>
      </c>
      <c r="B29" s="3" t="inlineStr">
        <is>
          <t>بيرلايت 100 لتر</t>
        </is>
      </c>
      <c r="C29" s="3" t="inlineStr">
        <is>
          <t>بيرلايت 100 لتر</t>
        </is>
      </c>
      <c r="D29" s="3" t="inlineStr">
        <is>
          <t>32.5</t>
        </is>
      </c>
      <c r="E29" s="6" t="n">
        <v>25</v>
      </c>
      <c r="F29" s="3" t="inlineStr">
        <is>
          <t>معتمد (قرارك)</t>
        </is>
      </c>
      <c r="G29" s="3" t="inlineStr">
        <is>
          <t>مسحوبات تبوك من الرياض + ترحيل تبوك للرياض</t>
        </is>
      </c>
      <c r="H29" s="4" t="n">
        <v>125</v>
      </c>
      <c r="I29" s="3" t="inlineStr">
        <is>
          <t>—</t>
        </is>
      </c>
    </row>
    <row r="30">
      <c r="A30" s="4" t="n">
        <v>28</v>
      </c>
      <c r="B30" s="3" t="inlineStr">
        <is>
          <t>تجيل كروي مركن 9</t>
        </is>
      </c>
      <c r="C30" s="3" t="inlineStr">
        <is>
          <t>تجيل كروي مركن 9 سم</t>
        </is>
      </c>
      <c r="D30" s="3" t="inlineStr">
        <is>
          <t>1.1</t>
        </is>
      </c>
      <c r="E30" s="6" t="n">
        <v>0.9</v>
      </c>
      <c r="F30" s="3" t="inlineStr">
        <is>
          <t>معتمد (قرارك)</t>
        </is>
      </c>
      <c r="G30" s="3" t="inlineStr">
        <is>
          <t>مسحوبات تبوك من الرياض</t>
        </is>
      </c>
      <c r="H30" s="4" t="n">
        <v>2400</v>
      </c>
      <c r="I30" s="3" t="inlineStr">
        <is>
          <t>—</t>
        </is>
      </c>
    </row>
    <row r="31">
      <c r="A31" s="4" t="n">
        <v>29</v>
      </c>
      <c r="B31" s="3" t="inlineStr">
        <is>
          <t>تراديسكانتيا مركن 19 علاقي</t>
        </is>
      </c>
      <c r="C31" s="3" t="inlineStr">
        <is>
          <t>تراديسكانتيا مركن 19 علاقي</t>
        </is>
      </c>
      <c r="D31" s="3" t="inlineStr">
        <is>
          <t>10</t>
        </is>
      </c>
      <c r="E31" s="7" t="n"/>
      <c r="F31" s="3" t="inlineStr">
        <is>
          <t>يحتاج تسعير</t>
        </is>
      </c>
      <c r="G31" s="3" t="inlineStr">
        <is>
          <t>مسحوبات تبوك من الرياض</t>
        </is>
      </c>
      <c r="H31" s="4" t="n">
        <v>515</v>
      </c>
      <c r="I31" s="3" t="inlineStr">
        <is>
          <t>—</t>
        </is>
      </c>
    </row>
    <row r="32">
      <c r="A32" s="4" t="n">
        <v>30</v>
      </c>
      <c r="B32" s="3" t="inlineStr">
        <is>
          <t>تيكوماريا 50</t>
        </is>
      </c>
      <c r="C32" s="3" t="inlineStr">
        <is>
          <t>تيكوماريا / تيكوماريا 50 سم / تيكوماريا50 سم</t>
        </is>
      </c>
      <c r="D32" s="3" t="inlineStr">
        <is>
          <t>2.5 / 4</t>
        </is>
      </c>
      <c r="E32" s="6" t="n">
        <v>3</v>
      </c>
      <c r="F32" s="3" t="inlineStr">
        <is>
          <t>معتمد (قرارك)</t>
        </is>
      </c>
      <c r="G32" s="3" t="inlineStr">
        <is>
          <t>عقود أبو خالد + مسحوبات تبوك من الرياض + ترحيل تبوك للرياض</t>
        </is>
      </c>
      <c r="H32" s="4" t="n">
        <v>3530</v>
      </c>
      <c r="I32" s="4" t="n">
        <v>4</v>
      </c>
    </row>
    <row r="33">
      <c r="A33" s="4" t="n">
        <v>31</v>
      </c>
      <c r="B33" s="3" t="inlineStr">
        <is>
          <t>جازانيا</t>
        </is>
      </c>
      <c r="C33" s="3" t="inlineStr">
        <is>
          <t>زهور جازانيا</t>
        </is>
      </c>
      <c r="D33" s="3" t="inlineStr">
        <is>
          <t>0.5</t>
        </is>
      </c>
      <c r="E33" s="6" t="n">
        <v>0.5</v>
      </c>
      <c r="F33" s="3" t="inlineStr">
        <is>
          <t>معتمد (قرارك)</t>
        </is>
      </c>
      <c r="G33" s="3" t="inlineStr">
        <is>
          <t>عقود أبو خالد + مسحوبات تبوك من الرياض</t>
        </is>
      </c>
      <c r="H33" s="4" t="n">
        <v>5525</v>
      </c>
      <c r="I33" s="4" t="n">
        <v>0.5</v>
      </c>
    </row>
    <row r="34">
      <c r="A34" s="4" t="n">
        <v>32</v>
      </c>
      <c r="B34" s="3" t="inlineStr">
        <is>
          <t>جهنميه بلدي 1 متر</t>
        </is>
      </c>
      <c r="C34" s="3" t="inlineStr">
        <is>
          <t>جهنمية بلدي1 متر</t>
        </is>
      </c>
      <c r="D34" s="3" t="inlineStr">
        <is>
          <t>6</t>
        </is>
      </c>
      <c r="E34" s="6" t="n">
        <v>4</v>
      </c>
      <c r="F34" s="3" t="inlineStr">
        <is>
          <t>معتمد (قرارك)</t>
        </is>
      </c>
      <c r="G34" s="3" t="inlineStr">
        <is>
          <t>مسحوبات تبوك من الرياض</t>
        </is>
      </c>
      <c r="H34" s="4" t="n">
        <v>10</v>
      </c>
      <c r="I34" s="3" t="inlineStr">
        <is>
          <t>—</t>
        </is>
      </c>
    </row>
    <row r="35">
      <c r="A35" s="4" t="n">
        <v>33</v>
      </c>
      <c r="B35" s="3" t="inlineStr">
        <is>
          <t>جهنميه بلدي 50</t>
        </is>
      </c>
      <c r="C35" s="3" t="inlineStr">
        <is>
          <t>جهنمية بلدى واحد عود 50سم / جهنمية بلدي 50 سم</t>
        </is>
      </c>
      <c r="D35" s="3" t="inlineStr">
        <is>
          <t>2.5 / 5</t>
        </is>
      </c>
      <c r="E35" s="6" t="n">
        <v>3</v>
      </c>
      <c r="F35" s="3" t="inlineStr">
        <is>
          <t>معتمد (قرارك)</t>
        </is>
      </c>
      <c r="G35" s="3" t="inlineStr">
        <is>
          <t>مسحوبات تبوك من الرياض + ترحيل تبوك للرياض</t>
        </is>
      </c>
      <c r="H35" s="4" t="n">
        <v>600</v>
      </c>
      <c r="I35" s="3" t="inlineStr">
        <is>
          <t>—</t>
        </is>
      </c>
    </row>
    <row r="36">
      <c r="A36" s="4" t="n">
        <v>34</v>
      </c>
      <c r="B36" s="3" t="inlineStr">
        <is>
          <t>جهنميه تايلاندي مركن 25</t>
        </is>
      </c>
      <c r="C36" s="3" t="inlineStr">
        <is>
          <t>جهنميه تايلاندى مركن 25</t>
        </is>
      </c>
      <c r="D36" s="3" t="inlineStr">
        <is>
          <t>250</t>
        </is>
      </c>
      <c r="E36" s="6" t="n">
        <v>200</v>
      </c>
      <c r="F36" s="3" t="inlineStr">
        <is>
          <t>معتمد (قرارك)</t>
        </is>
      </c>
      <c r="G36" s="3" t="inlineStr">
        <is>
          <t>مسحوبات تبوك من الرياض</t>
        </is>
      </c>
      <c r="H36" s="4" t="n">
        <v>10</v>
      </c>
      <c r="I36" s="3" t="inlineStr">
        <is>
          <t>—</t>
        </is>
      </c>
    </row>
    <row r="37">
      <c r="A37" s="4" t="n">
        <v>35</v>
      </c>
      <c r="B37" s="3" t="inlineStr">
        <is>
          <t>جهنميه كرويه تايلندي صغير</t>
        </is>
      </c>
      <c r="C37" s="3" t="inlineStr">
        <is>
          <t>جهنمية كروية تايلندي صغير</t>
        </is>
      </c>
      <c r="D37" s="3" t="inlineStr">
        <is>
          <t>250</t>
        </is>
      </c>
      <c r="E37" s="6" t="n">
        <v>200</v>
      </c>
      <c r="F37" s="3" t="inlineStr">
        <is>
          <t>معتمد (قرارك)</t>
        </is>
      </c>
      <c r="G37" s="3" t="inlineStr">
        <is>
          <t>مسحوبات تبوك من الرياض</t>
        </is>
      </c>
      <c r="H37" s="4" t="n">
        <v>2</v>
      </c>
      <c r="I37" s="3" t="inlineStr">
        <is>
          <t>—</t>
        </is>
      </c>
    </row>
    <row r="38">
      <c r="A38" s="4" t="n">
        <v>36</v>
      </c>
      <c r="B38" s="3" t="inlineStr">
        <is>
          <t>جهنميه كرويه تايلندي كبير</t>
        </is>
      </c>
      <c r="C38" s="3" t="inlineStr">
        <is>
          <t>جهنمية كروية تايلندي كبير</t>
        </is>
      </c>
      <c r="D38" s="3" t="inlineStr">
        <is>
          <t>300</t>
        </is>
      </c>
      <c r="E38" s="6" t="n">
        <v>230</v>
      </c>
      <c r="F38" s="3" t="inlineStr">
        <is>
          <t>معتمد (قرارك)</t>
        </is>
      </c>
      <c r="G38" s="3" t="inlineStr">
        <is>
          <t>مسحوبات تبوك من الرياض</t>
        </is>
      </c>
      <c r="H38" s="4" t="n">
        <v>5</v>
      </c>
      <c r="I38" s="3" t="inlineStr">
        <is>
          <t>—</t>
        </is>
      </c>
    </row>
    <row r="39">
      <c r="A39" s="4" t="n">
        <v>37</v>
      </c>
      <c r="B39" s="3" t="inlineStr">
        <is>
          <t>جيرانيوم مركن 12</t>
        </is>
      </c>
      <c r="C39" s="3" t="inlineStr">
        <is>
          <t>جيرانيوم مركن 12 / زهور جيرانيوم مركن 12 / زهور جيرانيوم مركن12 سم</t>
        </is>
      </c>
      <c r="D39" s="3" t="inlineStr">
        <is>
          <t>3 / 3.75</t>
        </is>
      </c>
      <c r="E39" s="6" t="n">
        <v>3</v>
      </c>
      <c r="F39" s="3" t="inlineStr">
        <is>
          <t>معتمد (قرارك)</t>
        </is>
      </c>
      <c r="G39" s="3" t="inlineStr">
        <is>
          <t>عقود أبو خالد + مسحوبات تبوك من الرياض</t>
        </is>
      </c>
      <c r="H39" s="4" t="n">
        <v>20355</v>
      </c>
      <c r="I39" s="4" t="n">
        <v>3</v>
      </c>
    </row>
    <row r="40">
      <c r="A40" s="4" t="n">
        <v>38</v>
      </c>
      <c r="B40" s="3" t="inlineStr">
        <is>
          <t>جيرانيوم مركن 9</t>
        </is>
      </c>
      <c r="C40" s="3" t="inlineStr">
        <is>
          <t>زهور جرانيوم مركن9 سم / زهور جيرانيوم مركن 9</t>
        </is>
      </c>
      <c r="D40" s="3" t="inlineStr">
        <is>
          <t>1.25 / 1.4 / 1.5</t>
        </is>
      </c>
      <c r="E40" s="6" t="n">
        <v>1.25</v>
      </c>
      <c r="F40" s="3" t="inlineStr">
        <is>
          <t>معتمد (قرارك)</t>
        </is>
      </c>
      <c r="G40" s="3" t="inlineStr">
        <is>
          <t>عقود أبو خالد + مسحوبات تبوك من الرياض</t>
        </is>
      </c>
      <c r="H40" s="4" t="n">
        <v>41825</v>
      </c>
      <c r="I40" s="4" t="n">
        <v>1.25</v>
      </c>
    </row>
    <row r="41">
      <c r="A41" s="4" t="n">
        <v>39</v>
      </c>
      <c r="B41" s="3" t="inlineStr">
        <is>
          <t>جيرانيوم هولندي مركن 12</t>
        </is>
      </c>
      <c r="C41" s="3" t="inlineStr">
        <is>
          <t>زهور جيرانيوم  هولندي مركن12 / زهور جيرانيوم هولندى مركن12 سم</t>
        </is>
      </c>
      <c r="D41" s="3" t="inlineStr">
        <is>
          <t>3.45 / 3.75</t>
        </is>
      </c>
      <c r="E41" s="6" t="n">
        <v>3.45</v>
      </c>
      <c r="F41" s="3" t="inlineStr">
        <is>
          <t>معتمد (قرارك)</t>
        </is>
      </c>
      <c r="G41" s="3" t="inlineStr">
        <is>
          <t>عقود أبو خالد + مسحوبات تبوك من الرياض</t>
        </is>
      </c>
      <c r="H41" s="4" t="n">
        <v>1190</v>
      </c>
      <c r="I41" s="4" t="n">
        <v>3.45</v>
      </c>
    </row>
    <row r="42">
      <c r="A42" s="4" t="n">
        <v>40</v>
      </c>
      <c r="B42" s="3" t="inlineStr">
        <is>
          <t>حجر ديكوري ابيض لامع 1: 3</t>
        </is>
      </c>
      <c r="C42" s="3" t="inlineStr">
        <is>
          <t>ابيض لامع / حجر ديكوري أبيض لامع 1:3 سم (10 كجم)</t>
        </is>
      </c>
      <c r="D42" s="3" t="inlineStr">
        <is>
          <t>18 / 25</t>
        </is>
      </c>
      <c r="E42" s="6" t="n">
        <v>18</v>
      </c>
      <c r="F42" s="3" t="inlineStr">
        <is>
          <t>معتمد (قرارك)</t>
        </is>
      </c>
      <c r="G42" s="3" t="inlineStr">
        <is>
          <t>عقود أبو خالد + ترحيل تبوك للرياض</t>
        </is>
      </c>
      <c r="H42" s="4" t="n">
        <v>16</v>
      </c>
      <c r="I42" s="4" t="n">
        <v>25</v>
      </c>
    </row>
    <row r="43">
      <c r="A43" s="4" t="n">
        <v>41</v>
      </c>
      <c r="B43" s="3" t="inlineStr">
        <is>
          <t>حجر ديكوري ابيض مطفي 3: 5</t>
        </is>
      </c>
      <c r="C43" s="3" t="inlineStr">
        <is>
          <t>حجر ديكورى ابيض مطفى 3:5سم-10كجم / حجر ديكوري أبيض مطفي 3:5 سم (10 كجم)</t>
        </is>
      </c>
      <c r="D43" s="3" t="inlineStr">
        <is>
          <t>10 / 13</t>
        </is>
      </c>
      <c r="E43" s="6" t="n">
        <v>11</v>
      </c>
      <c r="F43" s="3" t="inlineStr">
        <is>
          <t>معتمد (قرارك)</t>
        </is>
      </c>
      <c r="G43" s="3" t="inlineStr">
        <is>
          <t>عقود أبو خالد + ترحيل تبوك للرياض</t>
        </is>
      </c>
      <c r="H43" s="4" t="n">
        <v>1123</v>
      </c>
      <c r="I43" s="4" t="n">
        <v>13</v>
      </c>
    </row>
    <row r="44">
      <c r="A44" s="4" t="n">
        <v>42</v>
      </c>
      <c r="B44" s="3" t="inlineStr">
        <is>
          <t>حجر ديكوري احمر لامع 1: 3</t>
        </is>
      </c>
      <c r="C44" s="3" t="inlineStr">
        <is>
          <t>احمر لامع / حجر ديكوري أحمر لامع 1:3 سم (10 كجم)</t>
        </is>
      </c>
      <c r="D44" s="3" t="inlineStr">
        <is>
          <t>18 / 25</t>
        </is>
      </c>
      <c r="E44" s="6" t="n">
        <v>18</v>
      </c>
      <c r="F44" s="3" t="inlineStr">
        <is>
          <t>معتمد (قرارك)</t>
        </is>
      </c>
      <c r="G44" s="3" t="inlineStr">
        <is>
          <t>عقود أبو خالد + ترحيل تبوك للرياض</t>
        </is>
      </c>
      <c r="H44" s="4" t="n">
        <v>15</v>
      </c>
      <c r="I44" s="4" t="n">
        <v>25</v>
      </c>
    </row>
    <row r="45">
      <c r="A45" s="4" t="n">
        <v>43</v>
      </c>
      <c r="B45" s="3" t="inlineStr">
        <is>
          <t>حجر ديكوري احمر مطفي</t>
        </is>
      </c>
      <c r="C45" s="3" t="inlineStr">
        <is>
          <t>احمر مطفى</t>
        </is>
      </c>
      <c r="D45" s="3" t="inlineStr">
        <is>
          <t>10</t>
        </is>
      </c>
      <c r="E45" s="6" t="n">
        <v>11</v>
      </c>
      <c r="F45" s="3" t="inlineStr">
        <is>
          <t>معتمد (قرارك)</t>
        </is>
      </c>
      <c r="G45" s="3" t="inlineStr">
        <is>
          <t>ترحيل تبوك للرياض</t>
        </is>
      </c>
      <c r="H45" s="4" t="n">
        <v>70</v>
      </c>
      <c r="I45" s="3" t="inlineStr">
        <is>
          <t>—</t>
        </is>
      </c>
    </row>
    <row r="46">
      <c r="A46" s="4" t="n">
        <v>44</v>
      </c>
      <c r="B46" s="3" t="inlineStr">
        <is>
          <t>حجر ديكوري اسود لامع 1: 3</t>
        </is>
      </c>
      <c r="C46" s="3" t="inlineStr">
        <is>
          <t>اسود لامع / حجر ديكوري أسود لامع 1:3 سم (10 كجم)</t>
        </is>
      </c>
      <c r="D46" s="3" t="inlineStr">
        <is>
          <t>18 / 25</t>
        </is>
      </c>
      <c r="E46" s="6" t="n">
        <v>18</v>
      </c>
      <c r="F46" s="3" t="inlineStr">
        <is>
          <t>معتمد (قرارك)</t>
        </is>
      </c>
      <c r="G46" s="3" t="inlineStr">
        <is>
          <t>عقود أبو خالد + ترحيل تبوك للرياض</t>
        </is>
      </c>
      <c r="H46" s="4" t="n">
        <v>14</v>
      </c>
      <c r="I46" s="4" t="n">
        <v>25</v>
      </c>
    </row>
    <row r="47">
      <c r="A47" s="4" t="n">
        <v>45</v>
      </c>
      <c r="B47" s="3" t="inlineStr">
        <is>
          <t>حجر ديكوري اصفر مطفي 1: 3</t>
        </is>
      </c>
      <c r="C47" s="3" t="inlineStr">
        <is>
          <t>اصفر مطفى / حجر اصفر مطفى / حجر ديكوري أصفر مطفي 1:3 سم (10 كجم)</t>
        </is>
      </c>
      <c r="D47" s="3" t="inlineStr">
        <is>
          <t>10 / 10.5 / 13</t>
        </is>
      </c>
      <c r="E47" s="6" t="n">
        <v>11</v>
      </c>
      <c r="F47" s="3" t="inlineStr">
        <is>
          <t>معتمد (قرارك)</t>
        </is>
      </c>
      <c r="G47" s="3" t="inlineStr">
        <is>
          <t>عقود أبو خالد + مسحوبات تبوك من الرياض + ترحيل تبوك للرياض</t>
        </is>
      </c>
      <c r="H47" s="4" t="n">
        <v>202</v>
      </c>
      <c r="I47" s="4" t="n">
        <v>13</v>
      </c>
    </row>
    <row r="48">
      <c r="A48" s="4" t="n">
        <v>46</v>
      </c>
      <c r="B48" s="3" t="inlineStr">
        <is>
          <t>دورانتا اخضر</t>
        </is>
      </c>
      <c r="C48" s="3" t="inlineStr">
        <is>
          <t>دورانتا أخضر / دورانتا اخضر</t>
        </is>
      </c>
      <c r="D48" s="3" t="inlineStr">
        <is>
          <t>2.5</t>
        </is>
      </c>
      <c r="E48" s="6" t="n">
        <v>3</v>
      </c>
      <c r="F48" s="3" t="inlineStr">
        <is>
          <t>معتمد (قرارك)</t>
        </is>
      </c>
      <c r="G48" s="3" t="inlineStr">
        <is>
          <t>مسحوبات تبوك من الرياض + ترحيل تبوك للرياض</t>
        </is>
      </c>
      <c r="H48" s="4" t="n">
        <v>4000</v>
      </c>
      <c r="I48" s="3" t="inlineStr">
        <is>
          <t>—</t>
        </is>
      </c>
    </row>
    <row r="49">
      <c r="A49" s="4" t="n">
        <v>47</v>
      </c>
      <c r="B49" s="3" t="inlineStr">
        <is>
          <t>رويليا</t>
        </is>
      </c>
      <c r="C49" s="3" t="inlineStr">
        <is>
          <t>رويليا</t>
        </is>
      </c>
      <c r="D49" s="3" t="inlineStr">
        <is>
          <t>2.5</t>
        </is>
      </c>
      <c r="E49" s="6" t="n">
        <v>3</v>
      </c>
      <c r="F49" s="3" t="inlineStr">
        <is>
          <t>معتمد (قرارك)</t>
        </is>
      </c>
      <c r="G49" s="3" t="inlineStr">
        <is>
          <t>مسحوبات تبوك من الرياض + ترحيل تبوك للرياض</t>
        </is>
      </c>
      <c r="H49" s="4" t="n">
        <v>600</v>
      </c>
      <c r="I49" s="3" t="inlineStr">
        <is>
          <t>—</t>
        </is>
      </c>
    </row>
    <row r="50">
      <c r="A50" s="4" t="n">
        <v>48</v>
      </c>
      <c r="B50" s="3" t="inlineStr">
        <is>
          <t>سكندابسس مركن 19 علاقي</t>
        </is>
      </c>
      <c r="C50" s="3" t="inlineStr">
        <is>
          <t>سكندابسس مركن 19 علاقي</t>
        </is>
      </c>
      <c r="D50" s="3" t="inlineStr">
        <is>
          <t>10</t>
        </is>
      </c>
      <c r="E50" s="7" t="n"/>
      <c r="F50" s="3" t="inlineStr">
        <is>
          <t>يحتاج تسعير</t>
        </is>
      </c>
      <c r="G50" s="3" t="inlineStr">
        <is>
          <t>مسحوبات تبوك من الرياض</t>
        </is>
      </c>
      <c r="H50" s="4" t="n">
        <v>2300</v>
      </c>
      <c r="I50" s="3" t="inlineStr">
        <is>
          <t>—</t>
        </is>
      </c>
    </row>
    <row r="51">
      <c r="A51" s="4" t="n">
        <v>49</v>
      </c>
      <c r="B51" s="3" t="inlineStr">
        <is>
          <t>سيسبانيا 1 - 2 متر</t>
        </is>
      </c>
      <c r="C51" s="3" t="inlineStr">
        <is>
          <t>سيسلبانيا 1 - 2 متر</t>
        </is>
      </c>
      <c r="D51" s="3" t="inlineStr">
        <is>
          <t>25.5</t>
        </is>
      </c>
      <c r="E51" s="6" t="n">
        <v>4.5</v>
      </c>
      <c r="F51" s="3" t="inlineStr">
        <is>
          <t>معتمد (قرارك)</t>
        </is>
      </c>
      <c r="G51" s="3" t="inlineStr">
        <is>
          <t>مسحوبات تبوك من الرياض</t>
        </is>
      </c>
      <c r="H51" s="4" t="n">
        <v>240</v>
      </c>
      <c r="I51" s="3" t="inlineStr">
        <is>
          <t>—</t>
        </is>
      </c>
    </row>
    <row r="52">
      <c r="A52" s="4" t="n">
        <v>50</v>
      </c>
      <c r="B52" s="3" t="inlineStr">
        <is>
          <t>سينيراريا مركن 12</t>
        </is>
      </c>
      <c r="C52" s="3" t="inlineStr">
        <is>
          <t>زهور سينيراريا 12 / زهور سينيراريا مركن12 سم</t>
        </is>
      </c>
      <c r="D52" s="3" t="inlineStr">
        <is>
          <t>2.5 / 5</t>
        </is>
      </c>
      <c r="E52" s="6" t="n">
        <v>2.5</v>
      </c>
      <c r="F52" s="3" t="inlineStr">
        <is>
          <t>معتمد (قرارك)</t>
        </is>
      </c>
      <c r="G52" s="3" t="inlineStr">
        <is>
          <t>عقود أبو خالد + مسحوبات تبوك من الرياض</t>
        </is>
      </c>
      <c r="H52" s="4" t="n">
        <v>348</v>
      </c>
      <c r="I52" s="4" t="n">
        <v>5</v>
      </c>
    </row>
    <row r="53">
      <c r="A53" s="4" t="n">
        <v>51</v>
      </c>
      <c r="B53" s="3" t="inlineStr">
        <is>
          <t>فل بلدي</t>
        </is>
      </c>
      <c r="C53" s="3" t="inlineStr">
        <is>
          <t>فل بلدى / فل بلدي</t>
        </is>
      </c>
      <c r="D53" s="3" t="inlineStr">
        <is>
          <t>2.5</t>
        </is>
      </c>
      <c r="E53" s="6" t="n">
        <v>3</v>
      </c>
      <c r="F53" s="3" t="inlineStr">
        <is>
          <t>معتمد (قرارك)</t>
        </is>
      </c>
      <c r="G53" s="3" t="inlineStr">
        <is>
          <t>مسحوبات تبوك من الرياض + ترحيل تبوك للرياض</t>
        </is>
      </c>
      <c r="H53" s="4" t="n">
        <v>500</v>
      </c>
      <c r="I53" s="3" t="inlineStr">
        <is>
          <t>—</t>
        </is>
      </c>
    </row>
    <row r="54">
      <c r="A54" s="4" t="n">
        <v>52</v>
      </c>
      <c r="B54" s="3" t="inlineStr">
        <is>
          <t>فيكس بندا 50</t>
        </is>
      </c>
      <c r="C54" s="3" t="inlineStr">
        <is>
          <t>فيكس بندا 50 سم</t>
        </is>
      </c>
      <c r="D54" s="3" t="inlineStr">
        <is>
          <t>10</t>
        </is>
      </c>
      <c r="E54" s="6" t="n">
        <v>4</v>
      </c>
      <c r="F54" s="3" t="inlineStr">
        <is>
          <t>معتمد (قرارك)</t>
        </is>
      </c>
      <c r="G54" s="3" t="inlineStr">
        <is>
          <t>مسحوبات تبوك من الرياض</t>
        </is>
      </c>
      <c r="H54" s="4" t="n">
        <v>10</v>
      </c>
      <c r="I54" s="3" t="inlineStr">
        <is>
          <t>—</t>
        </is>
      </c>
    </row>
    <row r="55">
      <c r="A55" s="4" t="n">
        <v>53</v>
      </c>
      <c r="B55" s="3" t="inlineStr">
        <is>
          <t>قرنفل امريكي 12</t>
        </is>
      </c>
      <c r="C55" s="3" t="inlineStr">
        <is>
          <t>زهور قرنفل امريكي 12</t>
        </is>
      </c>
      <c r="D55" s="3" t="inlineStr">
        <is>
          <t>4</t>
        </is>
      </c>
      <c r="E55" s="6" t="n">
        <v>2.5</v>
      </c>
      <c r="F55" s="3" t="inlineStr">
        <is>
          <t>معتمد (قرارك)</t>
        </is>
      </c>
      <c r="G55" s="3" t="inlineStr">
        <is>
          <t>مسحوبات تبوك من الرياض</t>
        </is>
      </c>
      <c r="H55" s="4" t="n">
        <v>90</v>
      </c>
      <c r="I55" s="3" t="inlineStr">
        <is>
          <t>—</t>
        </is>
      </c>
    </row>
    <row r="56">
      <c r="A56" s="4" t="n">
        <v>54</v>
      </c>
      <c r="B56" s="3" t="inlineStr">
        <is>
          <t>قرنفل صيني</t>
        </is>
      </c>
      <c r="C56" s="3" t="inlineStr">
        <is>
          <t>زهور قرنفل صيني / زهور قرنفل صيني مركن9 سم</t>
        </is>
      </c>
      <c r="D56" s="3" t="inlineStr">
        <is>
          <t>0.5</t>
        </is>
      </c>
      <c r="E56" s="6" t="n">
        <v>0.5</v>
      </c>
      <c r="F56" s="3" t="inlineStr">
        <is>
          <t>معتمد (قرارك)</t>
        </is>
      </c>
      <c r="G56" s="3" t="inlineStr">
        <is>
          <t>عقود أبو خالد + مسحوبات تبوك من الرياض</t>
        </is>
      </c>
      <c r="H56" s="4" t="n">
        <v>3550</v>
      </c>
      <c r="I56" s="4" t="n">
        <v>0.5</v>
      </c>
    </row>
    <row r="57">
      <c r="A57" s="4" t="n">
        <v>55</v>
      </c>
      <c r="B57" s="3" t="inlineStr">
        <is>
          <t>كف مريم 1. 5 : 2 م</t>
        </is>
      </c>
      <c r="C57" s="3" t="inlineStr">
        <is>
          <t>كف مريم 1.5 : 2 م</t>
        </is>
      </c>
      <c r="D57" s="3" t="inlineStr">
        <is>
          <t>5.5</t>
        </is>
      </c>
      <c r="E57" s="6" t="n">
        <v>5.5</v>
      </c>
      <c r="F57" s="3" t="inlineStr">
        <is>
          <t>معتمد (قرارك)</t>
        </is>
      </c>
      <c r="G57" s="3" t="inlineStr">
        <is>
          <t>مسحوبات تبوك من الرياض</t>
        </is>
      </c>
      <c r="H57" s="4" t="n">
        <v>6</v>
      </c>
      <c r="I57" s="3" t="inlineStr">
        <is>
          <t>—</t>
        </is>
      </c>
    </row>
    <row r="58">
      <c r="A58" s="4" t="n">
        <v>56</v>
      </c>
      <c r="B58" s="3" t="inlineStr">
        <is>
          <t>كلانشو هولندي مركن 12</t>
        </is>
      </c>
      <c r="C58" s="3" t="inlineStr">
        <is>
          <t>كالنشو هولندى مركن12 سم / كلانشو هولندي مركن 12</t>
        </is>
      </c>
      <c r="D58" s="3" t="inlineStr">
        <is>
          <t>4 / 5</t>
        </is>
      </c>
      <c r="E58" s="6" t="n">
        <v>3</v>
      </c>
      <c r="F58" s="3" t="inlineStr">
        <is>
          <t>معتمد (قرارك)</t>
        </is>
      </c>
      <c r="G58" s="3" t="inlineStr">
        <is>
          <t>عقود أبو خالد + مسحوبات تبوك من الرياض</t>
        </is>
      </c>
      <c r="H58" s="4" t="n">
        <v>2420</v>
      </c>
      <c r="I58" s="4" t="n">
        <v>4</v>
      </c>
    </row>
    <row r="59">
      <c r="A59" s="4" t="n">
        <v>57</v>
      </c>
      <c r="B59" s="3" t="inlineStr">
        <is>
          <t>كمبوست 10 ك</t>
        </is>
      </c>
      <c r="C59" s="3" t="inlineStr">
        <is>
          <t>كمبوست 10 ك</t>
        </is>
      </c>
      <c r="D59" s="3" t="inlineStr">
        <is>
          <t>2</t>
        </is>
      </c>
      <c r="E59" s="6" t="n">
        <v>2</v>
      </c>
      <c r="F59" s="3" t="inlineStr">
        <is>
          <t>معتمد (قرارك)</t>
        </is>
      </c>
      <c r="G59" s="3" t="inlineStr">
        <is>
          <t>مسحوبات تبوك من الرياض</t>
        </is>
      </c>
      <c r="H59" s="4" t="n">
        <v>19</v>
      </c>
      <c r="I59" s="3" t="inlineStr">
        <is>
          <t>—</t>
        </is>
      </c>
    </row>
    <row r="60">
      <c r="A60" s="4" t="n">
        <v>58</v>
      </c>
      <c r="B60" s="3" t="inlineStr">
        <is>
          <t>كيليوس</t>
        </is>
      </c>
      <c r="C60" s="3" t="inlineStr">
        <is>
          <t>زهور كيليوس</t>
        </is>
      </c>
      <c r="D60" s="3" t="inlineStr">
        <is>
          <t>0.55</t>
        </is>
      </c>
      <c r="E60" s="6" t="n">
        <v>0.5</v>
      </c>
      <c r="F60" s="3" t="inlineStr">
        <is>
          <t>معتمد (قرارك)</t>
        </is>
      </c>
      <c r="G60" s="3" t="inlineStr">
        <is>
          <t>عقود أبو خالد</t>
        </is>
      </c>
      <c r="H60" s="4" t="n">
        <v>2200</v>
      </c>
      <c r="I60" s="4" t="n">
        <v>0.55</v>
      </c>
    </row>
    <row r="61">
      <c r="A61" s="4" t="n">
        <v>59</v>
      </c>
      <c r="B61" s="3" t="inlineStr">
        <is>
          <t>لانتانا لبناني صغير</t>
        </is>
      </c>
      <c r="C61" s="3" t="inlineStr">
        <is>
          <t>لانتانا لبناني صغير</t>
        </is>
      </c>
      <c r="D61" s="3" t="inlineStr">
        <is>
          <t>2.5</t>
        </is>
      </c>
      <c r="E61" s="6" t="n">
        <v>3</v>
      </c>
      <c r="F61" s="3" t="inlineStr">
        <is>
          <t>معتمد (قرارك)</t>
        </is>
      </c>
      <c r="G61" s="3" t="inlineStr">
        <is>
          <t>مسحوبات تبوك من الرياض + ترحيل تبوك للرياض</t>
        </is>
      </c>
      <c r="H61" s="4" t="n">
        <v>200</v>
      </c>
      <c r="I61" s="3" t="inlineStr">
        <is>
          <t>—</t>
        </is>
      </c>
    </row>
    <row r="62">
      <c r="A62" s="4" t="n">
        <v>60</v>
      </c>
      <c r="B62" s="3" t="inlineStr">
        <is>
          <t>ملفوف مركن 9</t>
        </is>
      </c>
      <c r="C62" s="3" t="inlineStr">
        <is>
          <t>زهور ملفوف براسيكا مركن9 سم / زهور ملفوف مركن 9</t>
        </is>
      </c>
      <c r="D62" s="3" t="inlineStr">
        <is>
          <t>0.5</t>
        </is>
      </c>
      <c r="E62" s="6" t="n">
        <v>0.5</v>
      </c>
      <c r="F62" s="3" t="inlineStr">
        <is>
          <t>معتمد (قرارك)</t>
        </is>
      </c>
      <c r="G62" s="3" t="inlineStr">
        <is>
          <t>عقود أبو خالد + مسحوبات تبوك من الرياض</t>
        </is>
      </c>
      <c r="H62" s="4" t="n">
        <v>2362</v>
      </c>
      <c r="I62" s="4" t="n">
        <v>0.5</v>
      </c>
    </row>
    <row r="63">
      <c r="A63" s="4" t="n">
        <v>61</v>
      </c>
      <c r="B63" s="3" t="inlineStr">
        <is>
          <t>منثور مركن 9</t>
        </is>
      </c>
      <c r="C63" s="3" t="inlineStr">
        <is>
          <t>زهور منثور مركن 9</t>
        </is>
      </c>
      <c r="D63" s="3" t="inlineStr">
        <is>
          <t>0.5</t>
        </is>
      </c>
      <c r="E63" s="6" t="n">
        <v>0.5</v>
      </c>
      <c r="F63" s="3" t="inlineStr">
        <is>
          <t>معتمد (قرارك)</t>
        </is>
      </c>
      <c r="G63" s="3" t="inlineStr">
        <is>
          <t>مسحوبات تبوك من الرياض</t>
        </is>
      </c>
      <c r="H63" s="4" t="n">
        <v>462</v>
      </c>
      <c r="I63" s="3" t="inlineStr">
        <is>
          <t>—</t>
        </is>
      </c>
    </row>
    <row r="64">
      <c r="A64" s="4" t="n">
        <v>62</v>
      </c>
      <c r="B64" s="3" t="inlineStr">
        <is>
          <t>نخيل سايكس 30</t>
        </is>
      </c>
      <c r="C64" s="3" t="inlineStr">
        <is>
          <t>نخيل سايكس 30 سم</t>
        </is>
      </c>
      <c r="D64" s="3" t="inlineStr">
        <is>
          <t>262.5</t>
        </is>
      </c>
      <c r="E64" s="6" t="n">
        <v>300</v>
      </c>
      <c r="F64" s="3" t="inlineStr">
        <is>
          <t>معتمد (قرارك)</t>
        </is>
      </c>
      <c r="G64" s="3" t="inlineStr">
        <is>
          <t>مسحوبات تبوك من الرياض</t>
        </is>
      </c>
      <c r="H64" s="4" t="n">
        <v>4</v>
      </c>
      <c r="I64" s="3" t="inlineStr">
        <is>
          <t>—</t>
        </is>
      </c>
    </row>
    <row r="65">
      <c r="A65" s="4" t="n">
        <v>63</v>
      </c>
      <c r="B65" s="3" t="inlineStr">
        <is>
          <t>نخيل سايكس 40</t>
        </is>
      </c>
      <c r="C65" s="3" t="inlineStr">
        <is>
          <t>نخيل سايكس 40 سم</t>
        </is>
      </c>
      <c r="D65" s="3" t="inlineStr">
        <is>
          <t>400</t>
        </is>
      </c>
      <c r="E65" s="6" t="n">
        <v>350</v>
      </c>
      <c r="F65" s="3" t="inlineStr">
        <is>
          <t>معتمد (قرارك)</t>
        </is>
      </c>
      <c r="G65" s="3" t="inlineStr">
        <is>
          <t>مسحوبات تبوك من الرياض</t>
        </is>
      </c>
      <c r="H65" s="4" t="n">
        <v>3</v>
      </c>
      <c r="I65" s="3" t="inlineStr">
        <is>
          <t>—</t>
        </is>
      </c>
    </row>
    <row r="66">
      <c r="A66" s="4" t="n">
        <v>64</v>
      </c>
      <c r="B66" s="3" t="inlineStr">
        <is>
          <t>هيدرا علاقي مركن 19</t>
        </is>
      </c>
      <c r="C66" s="3" t="inlineStr">
        <is>
          <t>هيدرا علاقي مركن 19</t>
        </is>
      </c>
      <c r="D66" s="3" t="inlineStr">
        <is>
          <t>10</t>
        </is>
      </c>
      <c r="E66" s="7" t="n"/>
      <c r="F66" s="3" t="inlineStr">
        <is>
          <t>يحتاج تسعير</t>
        </is>
      </c>
      <c r="G66" s="3" t="inlineStr">
        <is>
          <t>مسحوبات تبوك من الرياض</t>
        </is>
      </c>
      <c r="H66" s="4" t="n">
        <v>288</v>
      </c>
      <c r="I66" s="3" t="inlineStr">
        <is>
          <t>—</t>
        </is>
      </c>
    </row>
    <row r="67">
      <c r="A67" s="4" t="n">
        <v>65</v>
      </c>
      <c r="B67" s="3" t="inlineStr">
        <is>
          <t>وايتكس 50</t>
        </is>
      </c>
      <c r="C67" s="3" t="inlineStr">
        <is>
          <t>وايتكس 50 سم</t>
        </is>
      </c>
      <c r="D67" s="3" t="inlineStr">
        <is>
          <t>2.5</t>
        </is>
      </c>
      <c r="E67" s="6" t="n">
        <v>3</v>
      </c>
      <c r="F67" s="3" t="inlineStr">
        <is>
          <t>معتمد (قرارك)</t>
        </is>
      </c>
      <c r="G67" s="3" t="inlineStr">
        <is>
          <t>ترحيل تبوك للرياض</t>
        </is>
      </c>
      <c r="H67" s="4" t="n">
        <v>400</v>
      </c>
      <c r="I67" s="3" t="inlineStr">
        <is>
          <t>—</t>
        </is>
      </c>
    </row>
    <row r="68">
      <c r="A68" s="4" t="n">
        <v>66</v>
      </c>
      <c r="B68" s="3" t="inlineStr">
        <is>
          <t>ياسمين ازرق</t>
        </is>
      </c>
      <c r="C68" s="3" t="inlineStr">
        <is>
          <t>ياسمين أزرق / ياسمين ازرق  50 سم</t>
        </is>
      </c>
      <c r="D68" s="3" t="inlineStr">
        <is>
          <t>2.5</t>
        </is>
      </c>
      <c r="E68" s="6" t="n">
        <v>3</v>
      </c>
      <c r="F68" s="3" t="inlineStr">
        <is>
          <t>معتمد (قرارك)</t>
        </is>
      </c>
      <c r="G68" s="3" t="inlineStr">
        <is>
          <t>مسحوبات تبوك من الرياض + ترحيل تبوك للرياض</t>
        </is>
      </c>
      <c r="H68" s="4" t="n">
        <v>730</v>
      </c>
      <c r="I68" s="3" t="inlineStr">
        <is>
          <t>—</t>
        </is>
      </c>
    </row>
    <row r="69">
      <c r="A69" s="4" t="n">
        <v>67</v>
      </c>
      <c r="B69" s="3" t="inlineStr">
        <is>
          <t>ياسمين هندي كبير</t>
        </is>
      </c>
      <c r="C69" s="3" t="inlineStr">
        <is>
          <t>ياسمين هندي كبير</t>
        </is>
      </c>
      <c r="D69" s="3" t="inlineStr">
        <is>
          <t>32.5</t>
        </is>
      </c>
      <c r="E69" s="6" t="n">
        <v>30</v>
      </c>
      <c r="F69" s="3" t="inlineStr">
        <is>
          <t>معتمد (قرارك)</t>
        </is>
      </c>
      <c r="G69" s="3" t="inlineStr">
        <is>
          <t>مسحوبات تبوك من الرياض</t>
        </is>
      </c>
      <c r="H69" s="4" t="n">
        <v>20</v>
      </c>
      <c r="I69" s="3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12" customWidth="1" min="4" max="4"/>
    <col width="34" customWidth="1" min="5" max="5"/>
    <col width="11" customWidth="1" min="6" max="6"/>
    <col width="11" customWidth="1" min="7" max="7"/>
    <col width="14" customWidth="1" min="8" max="8"/>
    <col width="11" customWidth="1" min="9" max="9"/>
    <col width="14" customWidth="1" min="10" max="10"/>
    <col width="16" customWidth="1" min="11" max="11"/>
    <col width="48" customWidth="1" min="12" max="12"/>
  </cols>
  <sheetData>
    <row r="1">
      <c r="A1" s="5" t="inlineStr">
        <is>
          <t>عقود أبو خالد – إعادة التسعير بالسعر الموحد والفرق المرتجع لصالح أبو خالد (عقود نوفمبر 2025 وما بعدها)</t>
        </is>
      </c>
    </row>
    <row r="2">
      <c r="A2" s="2" t="inlineStr">
        <is>
          <t>م</t>
        </is>
      </c>
      <c r="B2" s="2" t="inlineStr">
        <is>
          <t>التاريخ</t>
        </is>
      </c>
      <c r="C2" s="2" t="inlineStr">
        <is>
          <t>السند</t>
        </is>
      </c>
      <c r="D2" s="2" t="inlineStr">
        <is>
          <t>الفاتورة</t>
        </is>
      </c>
      <c r="E2" s="2" t="inlineStr">
        <is>
          <t>الصنف</t>
        </is>
      </c>
      <c r="F2" s="2" t="inlineStr">
        <is>
          <t>الكمية</t>
        </is>
      </c>
      <c r="G2" s="2" t="inlineStr">
        <is>
          <t>السعر المسجل</t>
        </is>
      </c>
      <c r="H2" s="2" t="inlineStr">
        <is>
          <t>الإجمالي المسجل</t>
        </is>
      </c>
      <c r="I2" s="2" t="inlineStr">
        <is>
          <t>السعر الموحد</t>
        </is>
      </c>
      <c r="J2" s="2" t="inlineStr">
        <is>
          <t>الإجمالي الموحد</t>
        </is>
      </c>
      <c r="K2" s="2" t="inlineStr">
        <is>
          <t>الفرق (المسجل − الموحد)</t>
        </is>
      </c>
      <c r="L2" s="2" t="inlineStr">
        <is>
          <t>ملاحظة</t>
        </is>
      </c>
    </row>
    <row r="3">
      <c r="A3" s="4" t="n">
        <v>1</v>
      </c>
      <c r="B3" s="8" t="n">
        <v>45957</v>
      </c>
      <c r="C3" s="3" t="inlineStr">
        <is>
          <t>WHK-2656</t>
        </is>
      </c>
      <c r="D3" s="3" t="inlineStr">
        <is>
          <t>RN-INV#26</t>
        </is>
      </c>
      <c r="E3" s="3" t="inlineStr">
        <is>
          <t>زهور بيتونيا</t>
        </is>
      </c>
      <c r="F3" s="4" t="n">
        <v>1200</v>
      </c>
      <c r="G3" s="4" t="n">
        <v>0.75</v>
      </c>
      <c r="H3" s="4">
        <f>IF(G3="","",F3*G3)</f>
        <v/>
      </c>
      <c r="I3" s="4">
        <f>IFERROR(IF(VLOOKUP("بيتونيا",'قائمة الأسعار الموحدة'!$B$3:$E$69,4,FALSE)="",G3,VLOOKUP("بيتونيا",'قائمة الأسعار الموحدة'!$B$3:$E$69,4,FALSE)),G3)</f>
        <v/>
      </c>
      <c r="J3" s="4">
        <f>IF(I3="","",F3*I3)</f>
        <v/>
      </c>
      <c r="K3" s="4" t="n">
        <v>0</v>
      </c>
      <c r="L3" s="3" t="inlineStr">
        <is>
          <t>قبل 1-11-2025 – مشمول بتسوية 62,937 (لا يُحتسب فرق)</t>
        </is>
      </c>
    </row>
    <row r="4">
      <c r="A4" s="4" t="n">
        <v>2</v>
      </c>
      <c r="B4" s="8" t="n">
        <v>45963</v>
      </c>
      <c r="C4" s="3" t="inlineStr">
        <is>
          <t>WHK-2712</t>
        </is>
      </c>
      <c r="D4" s="3" t="inlineStr">
        <is>
          <t>RN-INV#31</t>
        </is>
      </c>
      <c r="E4" s="3" t="inlineStr">
        <is>
          <t>زهور بيتونيا</t>
        </is>
      </c>
      <c r="F4" s="4" t="n">
        <v>1500</v>
      </c>
      <c r="G4" s="4" t="n">
        <v>0.75</v>
      </c>
      <c r="H4" s="4">
        <f>IF(G4="","",F4*G4)</f>
        <v/>
      </c>
      <c r="I4" s="4">
        <f>IFERROR(IF(VLOOKUP("بيتونيا",'قائمة الأسعار الموحدة'!$B$3:$E$69,4,FALSE)="",G4,VLOOKUP("بيتونيا",'قائمة الأسعار الموحدة'!$B$3:$E$69,4,FALSE)),G4)</f>
        <v/>
      </c>
      <c r="J4" s="4">
        <f>IF(I4="","",F4*I4)</f>
        <v/>
      </c>
      <c r="K4" s="4">
        <f>IF(OR(H4="",J4=""),"",H4-J4)</f>
        <v/>
      </c>
      <c r="L4" s="3" t="inlineStr"/>
    </row>
    <row r="5">
      <c r="A5" s="4" t="n">
        <v>3</v>
      </c>
      <c r="B5" s="8" t="n">
        <v>45966</v>
      </c>
      <c r="C5" s="3" t="inlineStr">
        <is>
          <t>WHK-2776</t>
        </is>
      </c>
      <c r="D5" s="3" t="inlineStr">
        <is>
          <t>RN-INV#35</t>
        </is>
      </c>
      <c r="E5" s="3" t="inlineStr">
        <is>
          <t>زهور بيتونيا</t>
        </is>
      </c>
      <c r="F5" s="4" t="n">
        <v>1075</v>
      </c>
      <c r="G5" s="4" t="n">
        <v>0.7</v>
      </c>
      <c r="H5" s="4">
        <f>IF(G5="","",F5*G5)</f>
        <v/>
      </c>
      <c r="I5" s="4">
        <f>IFERROR(IF(VLOOKUP("بيتونيا",'قائمة الأسعار الموحدة'!$B$3:$E$69,4,FALSE)="",G5,VLOOKUP("بيتونيا",'قائمة الأسعار الموحدة'!$B$3:$E$69,4,FALSE)),G5)</f>
        <v/>
      </c>
      <c r="J5" s="4">
        <f>IF(I5="","",F5*I5)</f>
        <v/>
      </c>
      <c r="K5" s="4">
        <f>IF(OR(H5="",J5=""),"",H5-J5)</f>
        <v/>
      </c>
      <c r="L5" s="3" t="inlineStr"/>
    </row>
    <row r="6">
      <c r="A6" s="4" t="n">
        <v>4</v>
      </c>
      <c r="B6" s="8" t="n">
        <v>45967</v>
      </c>
      <c r="C6" s="3" t="inlineStr">
        <is>
          <t>WHK-2787</t>
        </is>
      </c>
      <c r="D6" s="3" t="inlineStr">
        <is>
          <t>RN-INV#37</t>
        </is>
      </c>
      <c r="E6" s="3" t="inlineStr">
        <is>
          <t>زهور بيتونيا</t>
        </is>
      </c>
      <c r="F6" s="4" t="n">
        <v>450</v>
      </c>
      <c r="G6" s="4" t="n">
        <v>0.75</v>
      </c>
      <c r="H6" s="4">
        <f>IF(G6="","",F6*G6)</f>
        <v/>
      </c>
      <c r="I6" s="4">
        <f>IFERROR(IF(VLOOKUP("بيتونيا",'قائمة الأسعار الموحدة'!$B$3:$E$69,4,FALSE)="",G6,VLOOKUP("بيتونيا",'قائمة الأسعار الموحدة'!$B$3:$E$69,4,FALSE)),G6)</f>
        <v/>
      </c>
      <c r="J6" s="4">
        <f>IF(I6="","",F6*I6)</f>
        <v/>
      </c>
      <c r="K6" s="4">
        <f>IF(OR(H6="",J6=""),"",H6-J6)</f>
        <v/>
      </c>
      <c r="L6" s="3" t="inlineStr"/>
    </row>
    <row r="7">
      <c r="A7" s="4" t="n">
        <v>5</v>
      </c>
      <c r="B7" s="8" t="n">
        <v>45969</v>
      </c>
      <c r="C7" s="3" t="inlineStr">
        <is>
          <t>WHK-2804</t>
        </is>
      </c>
      <c r="D7" s="3" t="inlineStr">
        <is>
          <t>RN-INV#39</t>
        </is>
      </c>
      <c r="E7" s="3" t="inlineStr">
        <is>
          <t>زهور سالفيا مركن9 سم</t>
        </is>
      </c>
      <c r="F7" s="4" t="n">
        <v>2725</v>
      </c>
      <c r="G7" s="4" t="n">
        <v>0.75</v>
      </c>
      <c r="H7" s="4">
        <f>IF(G7="","",F7*G7)</f>
        <v/>
      </c>
      <c r="I7" s="4">
        <f>IFERROR(IF(VLOOKUP("سالفيا مركن 9",'قائمة الأسعار الموحدة'!$B$3:$E$69,4,FALSE)="",G7,VLOOKUP("سالفيا مركن 9",'قائمة الأسعار الموحدة'!$B$3:$E$69,4,FALSE)),G7)</f>
        <v/>
      </c>
      <c r="J7" s="4">
        <f>IF(I7="","",F7*I7)</f>
        <v/>
      </c>
      <c r="K7" s="4">
        <f>IF(OR(H7="",J7=""),"",H7-J7)</f>
        <v/>
      </c>
      <c r="L7" s="3" t="inlineStr"/>
    </row>
    <row r="8">
      <c r="A8" s="4" t="n">
        <v>6</v>
      </c>
      <c r="B8" s="8" t="n">
        <v>45969</v>
      </c>
      <c r="C8" s="3" t="inlineStr">
        <is>
          <t>WHK-2804</t>
        </is>
      </c>
      <c r="D8" s="3" t="inlineStr">
        <is>
          <t>RN-INV#39</t>
        </is>
      </c>
      <c r="E8" s="3" t="inlineStr">
        <is>
          <t>زهور بيتونيا</t>
        </is>
      </c>
      <c r="F8" s="4" t="n">
        <v>825</v>
      </c>
      <c r="G8" s="4" t="n">
        <v>0.75</v>
      </c>
      <c r="H8" s="4">
        <f>IF(G8="","",F8*G8)</f>
        <v/>
      </c>
      <c r="I8" s="4">
        <f>IFERROR(IF(VLOOKUP("بيتونيا",'قائمة الأسعار الموحدة'!$B$3:$E$69,4,FALSE)="",G8,VLOOKUP("بيتونيا",'قائمة الأسعار الموحدة'!$B$3:$E$69,4,FALSE)),G8)</f>
        <v/>
      </c>
      <c r="J8" s="4">
        <f>IF(I8="","",F8*I8)</f>
        <v/>
      </c>
      <c r="K8" s="4">
        <f>IF(OR(H8="",J8=""),"",H8-J8)</f>
        <v/>
      </c>
      <c r="L8" s="3" t="inlineStr"/>
    </row>
    <row r="9">
      <c r="A9" s="4" t="n">
        <v>7</v>
      </c>
      <c r="B9" s="8" t="n">
        <v>45969</v>
      </c>
      <c r="C9" s="3" t="inlineStr">
        <is>
          <t>WHK-2804</t>
        </is>
      </c>
      <c r="D9" s="3" t="inlineStr">
        <is>
          <t>RN-INV#39</t>
        </is>
      </c>
      <c r="E9" s="3" t="inlineStr">
        <is>
          <t>زهور اقحوان افريقى مركن12 سم</t>
        </is>
      </c>
      <c r="F9" s="4" t="n">
        <v>3750</v>
      </c>
      <c r="G9" s="4" t="n">
        <v>3.25</v>
      </c>
      <c r="H9" s="4">
        <f>IF(G9="","",F9*G9)</f>
        <v/>
      </c>
      <c r="I9" s="9">
        <f>IFERROR(IF(VLOOKUP("اقحوان افريقي مركن 12",'قائمة الأسعار الموحدة'!$B$3:$E$69,4,FALSE)="",G9,VLOOKUP("اقحوان افريقي مركن 12",'قائمة الأسعار الموحدة'!$B$3:$E$69,4,FALSE)),G9)</f>
        <v/>
      </c>
      <c r="J9" s="4">
        <f>IF(I9="","",F9*I9)</f>
        <v/>
      </c>
      <c r="K9" s="4">
        <f>IF(OR(H9="",J9=""),"",H9-J9)</f>
        <v/>
      </c>
      <c r="L9" s="3" t="inlineStr"/>
    </row>
    <row r="10">
      <c r="A10" s="4" t="n">
        <v>8</v>
      </c>
      <c r="B10" s="8" t="n">
        <v>45971</v>
      </c>
      <c r="C10" s="3" t="inlineStr">
        <is>
          <t>WHK-2835</t>
        </is>
      </c>
      <c r="D10" s="3" t="inlineStr">
        <is>
          <t>RN-INV#43</t>
        </is>
      </c>
      <c r="E10" s="3" t="inlineStr">
        <is>
          <t>زهور بيتونيا</t>
        </is>
      </c>
      <c r="F10" s="4" t="n">
        <v>3250</v>
      </c>
      <c r="G10" s="4" t="n">
        <v>0.75</v>
      </c>
      <c r="H10" s="4">
        <f>IF(G10="","",F10*G10)</f>
        <v/>
      </c>
      <c r="I10" s="4">
        <f>IFERROR(IF(VLOOKUP("بيتونيا",'قائمة الأسعار الموحدة'!$B$3:$E$69,4,FALSE)="",G10,VLOOKUP("بيتونيا",'قائمة الأسعار الموحدة'!$B$3:$E$69,4,FALSE)),G10)</f>
        <v/>
      </c>
      <c r="J10" s="4">
        <f>IF(I10="","",F10*I10)</f>
        <v/>
      </c>
      <c r="K10" s="4">
        <f>IF(OR(H10="",J10=""),"",H10-J10)</f>
        <v/>
      </c>
      <c r="L10" s="3" t="inlineStr"/>
    </row>
    <row r="11">
      <c r="A11" s="4" t="n">
        <v>9</v>
      </c>
      <c r="B11" s="8" t="n">
        <v>45971</v>
      </c>
      <c r="C11" s="3" t="inlineStr">
        <is>
          <t>WHK-2835</t>
        </is>
      </c>
      <c r="D11" s="3" t="inlineStr">
        <is>
          <t>RN-INV#43</t>
        </is>
      </c>
      <c r="E11" s="3" t="inlineStr">
        <is>
          <t>زهور جرانيوم مركن9 سم</t>
        </is>
      </c>
      <c r="F11" s="4" t="n">
        <v>900</v>
      </c>
      <c r="G11" s="4" t="n">
        <v>1.4</v>
      </c>
      <c r="H11" s="4">
        <f>IF(G11="","",F11*G11)</f>
        <v/>
      </c>
      <c r="I11" s="9">
        <f>IFERROR(IF(VLOOKUP("جيرانيوم مركن 9",'قائمة الأسعار الموحدة'!$B$3:$E$69,4,FALSE)="",G11,VLOOKUP("جيرانيوم مركن 9",'قائمة الأسعار الموحدة'!$B$3:$E$69,4,FALSE)),G11)</f>
        <v/>
      </c>
      <c r="J11" s="4">
        <f>IF(I11="","",F11*I11)</f>
        <v/>
      </c>
      <c r="K11" s="4">
        <f>IF(OR(H11="",J11=""),"",H11-J11)</f>
        <v/>
      </c>
      <c r="L11" s="3" t="inlineStr"/>
    </row>
    <row r="12">
      <c r="A12" s="4" t="n">
        <v>10</v>
      </c>
      <c r="B12" s="8" t="n">
        <v>45971</v>
      </c>
      <c r="C12" s="3" t="inlineStr">
        <is>
          <t>WHK-2835</t>
        </is>
      </c>
      <c r="D12" s="3" t="inlineStr">
        <is>
          <t>RN-INV#43</t>
        </is>
      </c>
      <c r="E12" s="3" t="inlineStr">
        <is>
          <t>زهور جيرانيوم مركن12 سم</t>
        </is>
      </c>
      <c r="F12" s="4" t="n">
        <v>500</v>
      </c>
      <c r="G12" s="4" t="n">
        <v>3</v>
      </c>
      <c r="H12" s="4">
        <f>IF(G12="","",F12*G12)</f>
        <v/>
      </c>
      <c r="I12" s="9">
        <f>IFERROR(IF(VLOOKUP("جيرانيوم مركن 12",'قائمة الأسعار الموحدة'!$B$3:$E$69,4,FALSE)="",G12,VLOOKUP("جيرانيوم مركن 12",'قائمة الأسعار الموحدة'!$B$3:$E$69,4,FALSE)),G12)</f>
        <v/>
      </c>
      <c r="J12" s="4">
        <f>IF(I12="","",F12*I12)</f>
        <v/>
      </c>
      <c r="K12" s="4">
        <f>IF(OR(H12="",J12=""),"",H12-J12)</f>
        <v/>
      </c>
      <c r="L12" s="3" t="inlineStr"/>
    </row>
    <row r="13">
      <c r="A13" s="4" t="n">
        <v>11</v>
      </c>
      <c r="B13" s="8" t="n">
        <v>45971</v>
      </c>
      <c r="C13" s="3" t="inlineStr">
        <is>
          <t>WHK-2835</t>
        </is>
      </c>
      <c r="D13" s="3" t="inlineStr">
        <is>
          <t>RN-INV#43</t>
        </is>
      </c>
      <c r="E13" s="3" t="inlineStr">
        <is>
          <t>زهور جيرانيوم هولندى مركن12 سم</t>
        </is>
      </c>
      <c r="F13" s="4" t="n">
        <v>500</v>
      </c>
      <c r="G13" s="4" t="n">
        <v>3.75</v>
      </c>
      <c r="H13" s="4">
        <f>IF(G13="","",F13*G13)</f>
        <v/>
      </c>
      <c r="I13" s="9">
        <f>IFERROR(IF(VLOOKUP("جيرانيوم هولندي مركن 12",'قائمة الأسعار الموحدة'!$B$3:$E$69,4,FALSE)="",G13,VLOOKUP("جيرانيوم هولندي مركن 12",'قائمة الأسعار الموحدة'!$B$3:$E$69,4,FALSE)),G13)</f>
        <v/>
      </c>
      <c r="J13" s="4">
        <f>IF(I13="","",F13*I13)</f>
        <v/>
      </c>
      <c r="K13" s="4">
        <f>IF(OR(H13="",J13=""),"",H13-J13)</f>
        <v/>
      </c>
      <c r="L13" s="3" t="inlineStr"/>
    </row>
    <row r="14">
      <c r="A14" s="4" t="n">
        <v>12</v>
      </c>
      <c r="B14" s="8" t="n">
        <v>45971</v>
      </c>
      <c r="C14" s="3" t="inlineStr">
        <is>
          <t>WHK-2835</t>
        </is>
      </c>
      <c r="D14" s="3" t="inlineStr">
        <is>
          <t>RN-INV#43</t>
        </is>
      </c>
      <c r="E14" s="3" t="inlineStr">
        <is>
          <t>زهور هيبوستس مركن9 سم</t>
        </is>
      </c>
      <c r="F14" s="4" t="n">
        <v>500</v>
      </c>
      <c r="G14" s="4" t="n">
        <v>0.7</v>
      </c>
      <c r="H14" s="4">
        <f>IF(G14="","",F14*G14)</f>
        <v/>
      </c>
      <c r="I14" s="4">
        <f>IFERROR(IF(VLOOKUP("هيبوستس",'قائمة الأسعار الموحدة'!$B$3:$E$69,4,FALSE)="",G14,VLOOKUP("هيبوستس",'قائمة الأسعار الموحدة'!$B$3:$E$69,4,FALSE)),G14)</f>
        <v/>
      </c>
      <c r="J14" s="4">
        <f>IF(I14="","",F14*I14)</f>
        <v/>
      </c>
      <c r="K14" s="4">
        <f>IF(OR(H14="",J14=""),"",H14-J14)</f>
        <v/>
      </c>
      <c r="L14" s="3" t="inlineStr"/>
    </row>
    <row r="15">
      <c r="A15" s="4" t="n">
        <v>13</v>
      </c>
      <c r="B15" s="8" t="n">
        <v>45971</v>
      </c>
      <c r="C15" s="3" t="inlineStr">
        <is>
          <t>WHK-2835</t>
        </is>
      </c>
      <c r="D15" s="3" t="inlineStr">
        <is>
          <t>RN-INV#43</t>
        </is>
      </c>
      <c r="E15" s="3" t="inlineStr">
        <is>
          <t>زهور اقحوان افريقى مركن12 سم</t>
        </is>
      </c>
      <c r="F15" s="4" t="n">
        <v>500</v>
      </c>
      <c r="G15" s="4" t="n">
        <v>3.25</v>
      </c>
      <c r="H15" s="4">
        <f>IF(G15="","",F15*G15)</f>
        <v/>
      </c>
      <c r="I15" s="9">
        <f>IFERROR(IF(VLOOKUP("اقحوان افريقي مركن 12",'قائمة الأسعار الموحدة'!$B$3:$E$69,4,FALSE)="",G15,VLOOKUP("اقحوان افريقي مركن 12",'قائمة الأسعار الموحدة'!$B$3:$E$69,4,FALSE)),G15)</f>
        <v/>
      </c>
      <c r="J15" s="4">
        <f>IF(I15="","",F15*I15)</f>
        <v/>
      </c>
      <c r="K15" s="4">
        <f>IF(OR(H15="",J15=""),"",H15-J15)</f>
        <v/>
      </c>
      <c r="L15" s="3" t="inlineStr"/>
    </row>
    <row r="16">
      <c r="A16" s="4" t="n">
        <v>14</v>
      </c>
      <c r="B16" s="8" t="n">
        <v>45972</v>
      </c>
      <c r="C16" s="3" t="inlineStr">
        <is>
          <t>WHK-2853</t>
        </is>
      </c>
      <c r="D16" s="3" t="inlineStr">
        <is>
          <t>RN-INV#46</t>
        </is>
      </c>
      <c r="E16" s="3" t="inlineStr">
        <is>
          <t>زهور بيتونيا</t>
        </is>
      </c>
      <c r="F16" s="4" t="n">
        <v>10000</v>
      </c>
      <c r="G16" s="4" t="n">
        <v>0.75</v>
      </c>
      <c r="H16" s="4">
        <f>IF(G16="","",F16*G16)</f>
        <v/>
      </c>
      <c r="I16" s="4">
        <f>IFERROR(IF(VLOOKUP("بيتونيا",'قائمة الأسعار الموحدة'!$B$3:$E$69,4,FALSE)="",G16,VLOOKUP("بيتونيا",'قائمة الأسعار الموحدة'!$B$3:$E$69,4,FALSE)),G16)</f>
        <v/>
      </c>
      <c r="J16" s="4">
        <f>IF(I16="","",F16*I16)</f>
        <v/>
      </c>
      <c r="K16" s="4">
        <f>IF(OR(H16="",J16=""),"",H16-J16)</f>
        <v/>
      </c>
      <c r="L16" s="3" t="inlineStr"/>
    </row>
    <row r="17">
      <c r="A17" s="4" t="n">
        <v>15</v>
      </c>
      <c r="B17" s="8" t="n">
        <v>45973</v>
      </c>
      <c r="C17" s="3" t="inlineStr">
        <is>
          <t>WHK-2868</t>
        </is>
      </c>
      <c r="D17" s="3" t="inlineStr">
        <is>
          <t>RN-INV#47</t>
        </is>
      </c>
      <c r="E17" s="3" t="inlineStr">
        <is>
          <t>زهور بيتونيا</t>
        </is>
      </c>
      <c r="F17" s="4" t="n">
        <v>2000</v>
      </c>
      <c r="G17" s="4" t="n">
        <v>0.75</v>
      </c>
      <c r="H17" s="4">
        <f>IF(G17="","",F17*G17)</f>
        <v/>
      </c>
      <c r="I17" s="4">
        <f>IFERROR(IF(VLOOKUP("بيتونيا",'قائمة الأسعار الموحدة'!$B$3:$E$69,4,FALSE)="",G17,VLOOKUP("بيتونيا",'قائمة الأسعار الموحدة'!$B$3:$E$69,4,FALSE)),G17)</f>
        <v/>
      </c>
      <c r="J17" s="4">
        <f>IF(I17="","",F17*I17)</f>
        <v/>
      </c>
      <c r="K17" s="4">
        <f>IF(OR(H17="",J17=""),"",H17-J17)</f>
        <v/>
      </c>
      <c r="L17" s="3" t="inlineStr"/>
    </row>
    <row r="18">
      <c r="A18" s="4" t="n">
        <v>16</v>
      </c>
      <c r="B18" s="8" t="n">
        <v>45974</v>
      </c>
      <c r="C18" s="3" t="inlineStr">
        <is>
          <t>WHK-2881</t>
        </is>
      </c>
      <c r="D18" s="3" t="inlineStr">
        <is>
          <t>RN-INV#49</t>
        </is>
      </c>
      <c r="E18" s="3" t="inlineStr">
        <is>
          <t>زهور جيرانيوم هولندى مركن12 سم</t>
        </is>
      </c>
      <c r="F18" s="4" t="n">
        <v>510</v>
      </c>
      <c r="G18" s="4" t="n">
        <v>3.45</v>
      </c>
      <c r="H18" s="4">
        <f>IF(G18="","",F18*G18)</f>
        <v/>
      </c>
      <c r="I18" s="9">
        <f>IFERROR(IF(VLOOKUP("جيرانيوم هولندي مركن 12",'قائمة الأسعار الموحدة'!$B$3:$E$69,4,FALSE)="",G18,VLOOKUP("جيرانيوم هولندي مركن 12",'قائمة الأسعار الموحدة'!$B$3:$E$69,4,FALSE)),G18)</f>
        <v/>
      </c>
      <c r="J18" s="4">
        <f>IF(I18="","",F18*I18)</f>
        <v/>
      </c>
      <c r="K18" s="4">
        <f>IF(OR(H18="",J18=""),"",H18-J18)</f>
        <v/>
      </c>
      <c r="L18" s="3" t="inlineStr"/>
    </row>
    <row r="19">
      <c r="A19" s="4" t="n">
        <v>17</v>
      </c>
      <c r="B19" s="8" t="n">
        <v>45978</v>
      </c>
      <c r="C19" s="3" t="inlineStr">
        <is>
          <t>WHK-2912</t>
        </is>
      </c>
      <c r="D19" s="3" t="inlineStr">
        <is>
          <t>RN-INV#52</t>
        </is>
      </c>
      <c r="E19" s="3" t="inlineStr">
        <is>
          <t>زهور بيتونيا</t>
        </is>
      </c>
      <c r="F19" s="4" t="n">
        <v>2600</v>
      </c>
      <c r="G19" s="4" t="n">
        <v>0.75</v>
      </c>
      <c r="H19" s="4">
        <f>IF(G19="","",F19*G19)</f>
        <v/>
      </c>
      <c r="I19" s="4">
        <f>IFERROR(IF(VLOOKUP("بيتونيا",'قائمة الأسعار الموحدة'!$B$3:$E$69,4,FALSE)="",G19,VLOOKUP("بيتونيا",'قائمة الأسعار الموحدة'!$B$3:$E$69,4,FALSE)),G19)</f>
        <v/>
      </c>
      <c r="J19" s="4">
        <f>IF(I19="","",F19*I19)</f>
        <v/>
      </c>
      <c r="K19" s="4">
        <f>IF(OR(H19="",J19=""),"",H19-J19)</f>
        <v/>
      </c>
      <c r="L19" s="3" t="inlineStr"/>
    </row>
    <row r="20">
      <c r="A20" s="4" t="n">
        <v>18</v>
      </c>
      <c r="B20" s="8" t="n">
        <v>45978</v>
      </c>
      <c r="C20" s="3" t="inlineStr">
        <is>
          <t>WHK-2912</t>
        </is>
      </c>
      <c r="D20" s="3" t="inlineStr">
        <is>
          <t>RN-INV#52</t>
        </is>
      </c>
      <c r="E20" s="3" t="inlineStr">
        <is>
          <t>زهور جرانيوم مركن9 سم</t>
        </is>
      </c>
      <c r="F20" s="4" t="n">
        <v>500</v>
      </c>
      <c r="G20" s="4" t="n">
        <v>1.4</v>
      </c>
      <c r="H20" s="4">
        <f>IF(G20="","",F20*G20)</f>
        <v/>
      </c>
      <c r="I20" s="9">
        <f>IFERROR(IF(VLOOKUP("جيرانيوم مركن 9",'قائمة الأسعار الموحدة'!$B$3:$E$69,4,FALSE)="",G20,VLOOKUP("جيرانيوم مركن 9",'قائمة الأسعار الموحدة'!$B$3:$E$69,4,FALSE)),G20)</f>
        <v/>
      </c>
      <c r="J20" s="4">
        <f>IF(I20="","",F20*I20)</f>
        <v/>
      </c>
      <c r="K20" s="4">
        <f>IF(OR(H20="",J20=""),"",H20-J20)</f>
        <v/>
      </c>
      <c r="L20" s="3" t="inlineStr"/>
    </row>
    <row r="21">
      <c r="A21" s="4" t="n">
        <v>19</v>
      </c>
      <c r="B21" s="8" t="n">
        <v>45981</v>
      </c>
      <c r="C21" s="3" t="inlineStr">
        <is>
          <t>WHK-2948</t>
        </is>
      </c>
      <c r="D21" s="3" t="inlineStr">
        <is>
          <t>RN-INV#55</t>
        </is>
      </c>
      <c r="E21" s="3" t="inlineStr">
        <is>
          <t>زهور بيتونيا</t>
        </is>
      </c>
      <c r="F21" s="4" t="n">
        <v>1300</v>
      </c>
      <c r="G21" s="4" t="n">
        <v>0.75</v>
      </c>
      <c r="H21" s="4">
        <f>IF(G21="","",F21*G21)</f>
        <v/>
      </c>
      <c r="I21" s="4">
        <f>IFERROR(IF(VLOOKUP("بيتونيا",'قائمة الأسعار الموحدة'!$B$3:$E$69,4,FALSE)="",G21,VLOOKUP("بيتونيا",'قائمة الأسعار الموحدة'!$B$3:$E$69,4,FALSE)),G21)</f>
        <v/>
      </c>
      <c r="J21" s="4">
        <f>IF(I21="","",F21*I21)</f>
        <v/>
      </c>
      <c r="K21" s="4">
        <f>IF(OR(H21="",J21=""),"",H21-J21)</f>
        <v/>
      </c>
      <c r="L21" s="3" t="inlineStr"/>
    </row>
    <row r="22">
      <c r="A22" s="4" t="n">
        <v>20</v>
      </c>
      <c r="B22" s="8" t="n">
        <v>45981</v>
      </c>
      <c r="C22" s="3" t="inlineStr">
        <is>
          <t>WHK-2948</t>
        </is>
      </c>
      <c r="D22" s="3" t="inlineStr">
        <is>
          <t>RN-INV#55</t>
        </is>
      </c>
      <c r="E22" s="3" t="inlineStr">
        <is>
          <t>زهور جرانيوم مركن9 سم</t>
        </is>
      </c>
      <c r="F22" s="4" t="n">
        <v>400</v>
      </c>
      <c r="G22" s="4" t="n">
        <v>1.4</v>
      </c>
      <c r="H22" s="4">
        <f>IF(G22="","",F22*G22)</f>
        <v/>
      </c>
      <c r="I22" s="9">
        <f>IFERROR(IF(VLOOKUP("جيرانيوم مركن 9",'قائمة الأسعار الموحدة'!$B$3:$E$69,4,FALSE)="",G22,VLOOKUP("جيرانيوم مركن 9",'قائمة الأسعار الموحدة'!$B$3:$E$69,4,FALSE)),G22)</f>
        <v/>
      </c>
      <c r="J22" s="4">
        <f>IF(I22="","",F22*I22)</f>
        <v/>
      </c>
      <c r="K22" s="4">
        <f>IF(OR(H22="",J22=""),"",H22-J22)</f>
        <v/>
      </c>
      <c r="L22" s="3" t="inlineStr"/>
    </row>
    <row r="23">
      <c r="A23" s="4" t="n">
        <v>21</v>
      </c>
      <c r="B23" s="8" t="n">
        <v>45984</v>
      </c>
      <c r="C23" s="3" t="inlineStr">
        <is>
          <t>WHK-2971</t>
        </is>
      </c>
      <c r="D23" s="3" t="inlineStr">
        <is>
          <t>RN-INV#61</t>
        </is>
      </c>
      <c r="E23" s="3" t="inlineStr">
        <is>
          <t>زهور بيتونيا</t>
        </is>
      </c>
      <c r="F23" s="4" t="n">
        <v>8700</v>
      </c>
      <c r="G23" s="4" t="n">
        <v>0.7</v>
      </c>
      <c r="H23" s="4">
        <f>IF(G23="","",F23*G23)</f>
        <v/>
      </c>
      <c r="I23" s="4">
        <f>IFERROR(IF(VLOOKUP("بيتونيا",'قائمة الأسعار الموحدة'!$B$3:$E$69,4,FALSE)="",G23,VLOOKUP("بيتونيا",'قائمة الأسعار الموحدة'!$B$3:$E$69,4,FALSE)),G23)</f>
        <v/>
      </c>
      <c r="J23" s="4">
        <f>IF(I23="","",F23*I23)</f>
        <v/>
      </c>
      <c r="K23" s="4">
        <f>IF(OR(H23="",J23=""),"",H23-J23)</f>
        <v/>
      </c>
      <c r="L23" s="3" t="inlineStr"/>
    </row>
    <row r="24">
      <c r="A24" s="4" t="n">
        <v>22</v>
      </c>
      <c r="B24" s="8" t="n">
        <v>45985</v>
      </c>
      <c r="C24" s="3" t="inlineStr">
        <is>
          <t>WHK-2995</t>
        </is>
      </c>
      <c r="D24" s="3" t="inlineStr">
        <is>
          <t>RN-INV#64</t>
        </is>
      </c>
      <c r="E24" s="3" t="inlineStr">
        <is>
          <t>زهور بيتونيا</t>
        </is>
      </c>
      <c r="F24" s="4" t="n">
        <v>6000</v>
      </c>
      <c r="G24" s="4" t="n">
        <v>0.7</v>
      </c>
      <c r="H24" s="4">
        <f>IF(G24="","",F24*G24)</f>
        <v/>
      </c>
      <c r="I24" s="4">
        <f>IFERROR(IF(VLOOKUP("بيتونيا",'قائمة الأسعار الموحدة'!$B$3:$E$69,4,FALSE)="",G24,VLOOKUP("بيتونيا",'قائمة الأسعار الموحدة'!$B$3:$E$69,4,FALSE)),G24)</f>
        <v/>
      </c>
      <c r="J24" s="4">
        <f>IF(I24="","",F24*I24)</f>
        <v/>
      </c>
      <c r="K24" s="4">
        <f>IF(OR(H24="",J24=""),"",H24-J24)</f>
        <v/>
      </c>
      <c r="L24" s="3" t="inlineStr"/>
    </row>
    <row r="25">
      <c r="A25" s="4" t="n">
        <v>23</v>
      </c>
      <c r="B25" s="8" t="n">
        <v>45988</v>
      </c>
      <c r="C25" s="3" t="inlineStr">
        <is>
          <t>WHK-3029</t>
        </is>
      </c>
      <c r="D25" s="3" t="inlineStr">
        <is>
          <t>RN-INV#68</t>
        </is>
      </c>
      <c r="E25" s="3" t="inlineStr">
        <is>
          <t>زهور مارى جولد</t>
        </is>
      </c>
      <c r="F25" s="4" t="n">
        <v>225</v>
      </c>
      <c r="G25" s="4" t="n">
        <v>0.7</v>
      </c>
      <c r="H25" s="4">
        <f>IF(G25="","",F25*G25)</f>
        <v/>
      </c>
      <c r="I25" s="4">
        <f>IFERROR(IF(VLOOKUP("ماري جولد",'قائمة الأسعار الموحدة'!$B$3:$E$69,4,FALSE)="",G25,VLOOKUP("ماري جولد",'قائمة الأسعار الموحدة'!$B$3:$E$69,4,FALSE)),G25)</f>
        <v/>
      </c>
      <c r="J25" s="4">
        <f>IF(I25="","",F25*I25)</f>
        <v/>
      </c>
      <c r="K25" s="4">
        <f>IF(OR(H25="",J25=""),"",H25-J25)</f>
        <v/>
      </c>
      <c r="L25" s="3" t="inlineStr"/>
    </row>
    <row r="26">
      <c r="A26" s="4" t="n">
        <v>24</v>
      </c>
      <c r="B26" s="8" t="n">
        <v>45996</v>
      </c>
      <c r="C26" s="3" t="inlineStr">
        <is>
          <t>WHK-3135</t>
        </is>
      </c>
      <c r="D26" s="3" t="inlineStr">
        <is>
          <t>RN-INV#78</t>
        </is>
      </c>
      <c r="E26" s="3" t="inlineStr">
        <is>
          <t>زهور بيتونيا</t>
        </is>
      </c>
      <c r="F26" s="4" t="n">
        <v>2400</v>
      </c>
      <c r="G26" s="4" t="n">
        <v>0.7</v>
      </c>
      <c r="H26" s="4">
        <f>IF(G26="","",F26*G26)</f>
        <v/>
      </c>
      <c r="I26" s="4">
        <f>IFERROR(IF(VLOOKUP("بيتونيا",'قائمة الأسعار الموحدة'!$B$3:$E$69,4,FALSE)="",G26,VLOOKUP("بيتونيا",'قائمة الأسعار الموحدة'!$B$3:$E$69,4,FALSE)),G26)</f>
        <v/>
      </c>
      <c r="J26" s="4">
        <f>IF(I26="","",F26*I26)</f>
        <v/>
      </c>
      <c r="K26" s="4">
        <f>IF(OR(H26="",J26=""),"",H26-J26)</f>
        <v/>
      </c>
      <c r="L26" s="3" t="inlineStr"/>
    </row>
    <row r="27">
      <c r="A27" s="4" t="n">
        <v>25</v>
      </c>
      <c r="B27" s="8" t="n">
        <v>46006</v>
      </c>
      <c r="C27" s="3" t="inlineStr">
        <is>
          <t>WHK-3243</t>
        </is>
      </c>
      <c r="D27" s="3" t="inlineStr">
        <is>
          <t>RN-INV#89</t>
        </is>
      </c>
      <c r="E27" s="3" t="inlineStr">
        <is>
          <t>زهور جرانيوم مركن9 سم</t>
        </is>
      </c>
      <c r="F27" s="4" t="n">
        <v>1500</v>
      </c>
      <c r="G27" s="4" t="n">
        <v>1.25</v>
      </c>
      <c r="H27" s="4">
        <f>IF(G27="","",F27*G27)</f>
        <v/>
      </c>
      <c r="I27" s="9">
        <f>IFERROR(IF(VLOOKUP("جيرانيوم مركن 9",'قائمة الأسعار الموحدة'!$B$3:$E$69,4,FALSE)="",G27,VLOOKUP("جيرانيوم مركن 9",'قائمة الأسعار الموحدة'!$B$3:$E$69,4,FALSE)),G27)</f>
        <v/>
      </c>
      <c r="J27" s="4">
        <f>IF(I27="","",F27*I27)</f>
        <v/>
      </c>
      <c r="K27" s="4">
        <f>IF(OR(H27="",J27=""),"",H27-J27)</f>
        <v/>
      </c>
      <c r="L27" s="3" t="inlineStr"/>
    </row>
    <row r="28">
      <c r="A28" s="4" t="n">
        <v>26</v>
      </c>
      <c r="B28" s="8" t="n">
        <v>46021</v>
      </c>
      <c r="C28" s="3" t="inlineStr">
        <is>
          <t>WHK-3400</t>
        </is>
      </c>
      <c r="D28" s="3" t="inlineStr">
        <is>
          <t>RN-INV#103</t>
        </is>
      </c>
      <c r="E28" s="3" t="inlineStr">
        <is>
          <t>حجر ديكوري أبيض لامع 1:3 سم (10 كجم)</t>
        </is>
      </c>
      <c r="F28" s="4" t="n">
        <v>5</v>
      </c>
      <c r="G28" s="4" t="n">
        <v>25</v>
      </c>
      <c r="H28" s="4">
        <f>IF(G28="","",F28*G28)</f>
        <v/>
      </c>
      <c r="I28" s="9">
        <f>IFERROR(IF(VLOOKUP("حجر ديكوري ابيض لامع 1: 3",'قائمة الأسعار الموحدة'!$B$3:$E$69,4,FALSE)="",G28,VLOOKUP("حجر ديكوري ابيض لامع 1: 3",'قائمة الأسعار الموحدة'!$B$3:$E$69,4,FALSE)),G28)</f>
        <v/>
      </c>
      <c r="J28" s="4">
        <f>IF(I28="","",F28*I28)</f>
        <v/>
      </c>
      <c r="K28" s="4">
        <f>IF(OR(H28="",J28=""),"",H28-J28)</f>
        <v/>
      </c>
      <c r="L28" s="3" t="inlineStr"/>
    </row>
    <row r="29">
      <c r="A29" s="4" t="n">
        <v>27</v>
      </c>
      <c r="B29" s="8" t="n">
        <v>46021</v>
      </c>
      <c r="C29" s="3" t="inlineStr">
        <is>
          <t>WHK-3400</t>
        </is>
      </c>
      <c r="D29" s="3" t="inlineStr">
        <is>
          <t>RN-INV#103</t>
        </is>
      </c>
      <c r="E29" s="3" t="inlineStr">
        <is>
          <t>حجر ديكوري أحمر لامع 1:3 سم (10 كجم)</t>
        </is>
      </c>
      <c r="F29" s="4" t="n">
        <v>5</v>
      </c>
      <c r="G29" s="4" t="n">
        <v>25</v>
      </c>
      <c r="H29" s="4">
        <f>IF(G29="","",F29*G29)</f>
        <v/>
      </c>
      <c r="I29" s="9">
        <f>IFERROR(IF(VLOOKUP("حجر ديكوري احمر لامع 1: 3",'قائمة الأسعار الموحدة'!$B$3:$E$69,4,FALSE)="",G29,VLOOKUP("حجر ديكوري احمر لامع 1: 3",'قائمة الأسعار الموحدة'!$B$3:$E$69,4,FALSE)),G29)</f>
        <v/>
      </c>
      <c r="J29" s="4">
        <f>IF(I29="","",F29*I29)</f>
        <v/>
      </c>
      <c r="K29" s="4">
        <f>IF(OR(H29="",J29=""),"",H29-J29)</f>
        <v/>
      </c>
      <c r="L29" s="3" t="inlineStr"/>
    </row>
    <row r="30">
      <c r="A30" s="4" t="n">
        <v>28</v>
      </c>
      <c r="B30" s="8" t="n">
        <v>46021</v>
      </c>
      <c r="C30" s="3" t="inlineStr">
        <is>
          <t>WHK-3400</t>
        </is>
      </c>
      <c r="D30" s="3" t="inlineStr">
        <is>
          <t>RN-INV#103</t>
        </is>
      </c>
      <c r="E30" s="3" t="inlineStr">
        <is>
          <t>حجر ديكوري أبيض مطفي 3:5 سم (10 كجم)</t>
        </is>
      </c>
      <c r="F30" s="4" t="n">
        <v>5</v>
      </c>
      <c r="G30" s="4" t="n">
        <v>13</v>
      </c>
      <c r="H30" s="4">
        <f>IF(G30="","",F30*G30)</f>
        <v/>
      </c>
      <c r="I30" s="9">
        <f>IFERROR(IF(VLOOKUP("حجر ديكوري ابيض مطفي 3: 5",'قائمة الأسعار الموحدة'!$B$3:$E$69,4,FALSE)="",G30,VLOOKUP("حجر ديكوري ابيض مطفي 3: 5",'قائمة الأسعار الموحدة'!$B$3:$E$69,4,FALSE)),G30)</f>
        <v/>
      </c>
      <c r="J30" s="4">
        <f>IF(I30="","",F30*I30)</f>
        <v/>
      </c>
      <c r="K30" s="4">
        <f>IF(OR(H30="",J30=""),"",H30-J30)</f>
        <v/>
      </c>
      <c r="L30" s="3" t="inlineStr"/>
    </row>
    <row r="31">
      <c r="A31" s="4" t="n">
        <v>29</v>
      </c>
      <c r="B31" s="8" t="n">
        <v>46021</v>
      </c>
      <c r="C31" s="3" t="inlineStr">
        <is>
          <t>WHK-3400</t>
        </is>
      </c>
      <c r="D31" s="3" t="inlineStr">
        <is>
          <t>RN-INV#103</t>
        </is>
      </c>
      <c r="E31" s="3" t="inlineStr">
        <is>
          <t>حجر ديكوري أسود لامع 1:3 سم (10 كجم)</t>
        </is>
      </c>
      <c r="F31" s="4" t="n">
        <v>5</v>
      </c>
      <c r="G31" s="4" t="n">
        <v>25</v>
      </c>
      <c r="H31" s="4">
        <f>IF(G31="","",F31*G31)</f>
        <v/>
      </c>
      <c r="I31" s="9">
        <f>IFERROR(IF(VLOOKUP("حجر ديكوري اسود لامع 1: 3",'قائمة الأسعار الموحدة'!$B$3:$E$69,4,FALSE)="",G31,VLOOKUP("حجر ديكوري اسود لامع 1: 3",'قائمة الأسعار الموحدة'!$B$3:$E$69,4,FALSE)),G31)</f>
        <v/>
      </c>
      <c r="J31" s="4">
        <f>IF(I31="","",F31*I31)</f>
        <v/>
      </c>
      <c r="K31" s="4">
        <f>IF(OR(H31="",J31=""),"",H31-J31)</f>
        <v/>
      </c>
      <c r="L31" s="3" t="inlineStr"/>
    </row>
    <row r="32">
      <c r="A32" s="4" t="n">
        <v>30</v>
      </c>
      <c r="B32" s="8" t="n">
        <v>46021</v>
      </c>
      <c r="C32" s="3" t="inlineStr">
        <is>
          <t>WHK-3400</t>
        </is>
      </c>
      <c r="D32" s="3" t="inlineStr">
        <is>
          <t>RN-INV#103</t>
        </is>
      </c>
      <c r="E32" s="3" t="inlineStr">
        <is>
          <t>حجر ديكوري أصفر مطفي 1:3 سم (10 كجم)</t>
        </is>
      </c>
      <c r="F32" s="4" t="n">
        <v>5</v>
      </c>
      <c r="G32" s="4" t="n">
        <v>13</v>
      </c>
      <c r="H32" s="4">
        <f>IF(G32="","",F32*G32)</f>
        <v/>
      </c>
      <c r="I32" s="9">
        <f>IFERROR(IF(VLOOKUP("حجر ديكوري اصفر مطفي 1: 3",'قائمة الأسعار الموحدة'!$B$3:$E$69,4,FALSE)="",G32,VLOOKUP("حجر ديكوري اصفر مطفي 1: 3",'قائمة الأسعار الموحدة'!$B$3:$E$69,4,FALSE)),G32)</f>
        <v/>
      </c>
      <c r="J32" s="4">
        <f>IF(I32="","",F32*I32)</f>
        <v/>
      </c>
      <c r="K32" s="4">
        <f>IF(OR(H32="",J32=""),"",H32-J32)</f>
        <v/>
      </c>
      <c r="L32" s="3" t="inlineStr"/>
    </row>
    <row r="33">
      <c r="A33" s="4" t="n">
        <v>31</v>
      </c>
      <c r="B33" s="8" t="n">
        <v>46058</v>
      </c>
      <c r="C33" s="3" t="inlineStr">
        <is>
          <t>WHK-3758</t>
        </is>
      </c>
      <c r="D33" s="3" t="inlineStr">
        <is>
          <t>RN-INV#140</t>
        </is>
      </c>
      <c r="E33" s="3" t="inlineStr">
        <is>
          <t>زهور بيتونيا</t>
        </is>
      </c>
      <c r="F33" s="4" t="n">
        <v>35600</v>
      </c>
      <c r="G33" s="4" t="n">
        <v>0.5</v>
      </c>
      <c r="H33" s="4">
        <f>IF(G33="","",F33*G33)</f>
        <v/>
      </c>
      <c r="I33" s="4">
        <f>IFERROR(IF(VLOOKUP("بيتونيا",'قائمة الأسعار الموحدة'!$B$3:$E$69,4,FALSE)="",G33,VLOOKUP("بيتونيا",'قائمة الأسعار الموحدة'!$B$3:$E$69,4,FALSE)),G33)</f>
        <v/>
      </c>
      <c r="J33" s="4">
        <f>IF(I33="","",F33*I33)</f>
        <v/>
      </c>
      <c r="K33" s="4">
        <f>IF(OR(H33="",J33=""),"",H33-J33)</f>
        <v/>
      </c>
      <c r="L33" s="3" t="inlineStr"/>
    </row>
    <row r="34">
      <c r="A34" s="4" t="n">
        <v>32</v>
      </c>
      <c r="B34" s="8" t="n">
        <v>46058</v>
      </c>
      <c r="C34" s="3" t="inlineStr">
        <is>
          <t>WHK-3758</t>
        </is>
      </c>
      <c r="D34" s="3" t="inlineStr">
        <is>
          <t>RN-INV#140</t>
        </is>
      </c>
      <c r="E34" s="3" t="inlineStr">
        <is>
          <t>زهور سالفيا مركن9 سم</t>
        </is>
      </c>
      <c r="F34" s="4" t="n">
        <v>3000</v>
      </c>
      <c r="G34" s="4" t="n">
        <v>0.5</v>
      </c>
      <c r="H34" s="4">
        <f>IF(G34="","",F34*G34)</f>
        <v/>
      </c>
      <c r="I34" s="4">
        <f>IFERROR(IF(VLOOKUP("سالفيا مركن 9",'قائمة الأسعار الموحدة'!$B$3:$E$69,4,FALSE)="",G34,VLOOKUP("سالفيا مركن 9",'قائمة الأسعار الموحدة'!$B$3:$E$69,4,FALSE)),G34)</f>
        <v/>
      </c>
      <c r="J34" s="4">
        <f>IF(I34="","",F34*I34)</f>
        <v/>
      </c>
      <c r="K34" s="4">
        <f>IF(OR(H34="",J34=""),"",H34-J34)</f>
        <v/>
      </c>
      <c r="L34" s="3" t="inlineStr"/>
    </row>
    <row r="35">
      <c r="A35" s="4" t="n">
        <v>33</v>
      </c>
      <c r="B35" s="8" t="n">
        <v>46058</v>
      </c>
      <c r="C35" s="3" t="inlineStr">
        <is>
          <t>WHK-3758</t>
        </is>
      </c>
      <c r="D35" s="3" t="inlineStr">
        <is>
          <t>RN-INV#140</t>
        </is>
      </c>
      <c r="E35" s="3" t="inlineStr">
        <is>
          <t>زهور قرنفل صيني مركن9 سم</t>
        </is>
      </c>
      <c r="F35" s="4" t="n">
        <v>2000</v>
      </c>
      <c r="G35" s="4" t="n">
        <v>0.5</v>
      </c>
      <c r="H35" s="4">
        <f>IF(G35="","",F35*G35)</f>
        <v/>
      </c>
      <c r="I35" s="9">
        <f>IFERROR(IF(VLOOKUP("قرنفل صيني",'قائمة الأسعار الموحدة'!$B$3:$E$69,4,FALSE)="",G35,VLOOKUP("قرنفل صيني",'قائمة الأسعار الموحدة'!$B$3:$E$69,4,FALSE)),G35)</f>
        <v/>
      </c>
      <c r="J35" s="4">
        <f>IF(I35="","",F35*I35)</f>
        <v/>
      </c>
      <c r="K35" s="4">
        <f>IF(OR(H35="",J35=""),"",H35-J35)</f>
        <v/>
      </c>
      <c r="L35" s="3" t="inlineStr"/>
    </row>
    <row r="36">
      <c r="A36" s="4" t="n">
        <v>34</v>
      </c>
      <c r="B36" s="8" t="n">
        <v>46058</v>
      </c>
      <c r="C36" s="3" t="inlineStr">
        <is>
          <t>WHK-3760</t>
        </is>
      </c>
      <c r="D36" s="3" t="inlineStr">
        <is>
          <t>RN-INV#141</t>
        </is>
      </c>
      <c r="E36" s="3" t="inlineStr">
        <is>
          <t>زهور بيتونيا</t>
        </is>
      </c>
      <c r="F36" s="4" t="n">
        <v>55450</v>
      </c>
      <c r="G36" s="4" t="n">
        <v>0.5</v>
      </c>
      <c r="H36" s="4">
        <f>IF(G36="","",F36*G36)</f>
        <v/>
      </c>
      <c r="I36" s="4">
        <f>IFERROR(IF(VLOOKUP("بيتونيا",'قائمة الأسعار الموحدة'!$B$3:$E$69,4,FALSE)="",G36,VLOOKUP("بيتونيا",'قائمة الأسعار الموحدة'!$B$3:$E$69,4,FALSE)),G36)</f>
        <v/>
      </c>
      <c r="J36" s="4">
        <f>IF(I36="","",F36*I36)</f>
        <v/>
      </c>
      <c r="K36" s="4">
        <f>IF(OR(H36="",J36=""),"",H36-J36)</f>
        <v/>
      </c>
      <c r="L36" s="3" t="inlineStr"/>
    </row>
    <row r="37">
      <c r="A37" s="4" t="n">
        <v>35</v>
      </c>
      <c r="B37" s="8" t="n">
        <v>46058</v>
      </c>
      <c r="C37" s="3" t="inlineStr">
        <is>
          <t>WHK-3760</t>
        </is>
      </c>
      <c r="D37" s="3" t="inlineStr">
        <is>
          <t>RN-INV#141</t>
        </is>
      </c>
      <c r="E37" s="3" t="inlineStr">
        <is>
          <t>زهور سالفيا مركن9 سم</t>
        </is>
      </c>
      <c r="F37" s="4" t="n">
        <v>300</v>
      </c>
      <c r="G37" s="4" t="n">
        <v>0.5</v>
      </c>
      <c r="H37" s="4">
        <f>IF(G37="","",F37*G37)</f>
        <v/>
      </c>
      <c r="I37" s="4">
        <f>IFERROR(IF(VLOOKUP("سالفيا مركن 9",'قائمة الأسعار الموحدة'!$B$3:$E$69,4,FALSE)="",G37,VLOOKUP("سالفيا مركن 9",'قائمة الأسعار الموحدة'!$B$3:$E$69,4,FALSE)),G37)</f>
        <v/>
      </c>
      <c r="J37" s="4">
        <f>IF(I37="","",F37*I37)</f>
        <v/>
      </c>
      <c r="K37" s="4">
        <f>IF(OR(H37="",J37=""),"",H37-J37)</f>
        <v/>
      </c>
      <c r="L37" s="3" t="inlineStr"/>
    </row>
    <row r="38">
      <c r="A38" s="4" t="n">
        <v>36</v>
      </c>
      <c r="B38" s="8" t="n">
        <v>46058</v>
      </c>
      <c r="C38" s="3" t="inlineStr">
        <is>
          <t>WHK-3760</t>
        </is>
      </c>
      <c r="D38" s="3" t="inlineStr">
        <is>
          <t>RN-INV#141</t>
        </is>
      </c>
      <c r="E38" s="3" t="inlineStr">
        <is>
          <t>زهور اليسوم مركن9 سم</t>
        </is>
      </c>
      <c r="F38" s="4" t="n">
        <v>200</v>
      </c>
      <c r="G38" s="4" t="n">
        <v>0.5</v>
      </c>
      <c r="H38" s="4">
        <f>IF(G38="","",F38*G38)</f>
        <v/>
      </c>
      <c r="I38" s="9">
        <f>IFERROR(IF(VLOOKUP("اليسوم",'قائمة الأسعار الموحدة'!$B$3:$E$69,4,FALSE)="",G38,VLOOKUP("اليسوم",'قائمة الأسعار الموحدة'!$B$3:$E$69,4,FALSE)),G38)</f>
        <v/>
      </c>
      <c r="J38" s="4">
        <f>IF(I38="","",F38*I38)</f>
        <v/>
      </c>
      <c r="K38" s="4">
        <f>IF(OR(H38="",J38=""),"",H38-J38)</f>
        <v/>
      </c>
      <c r="L38" s="3" t="inlineStr"/>
    </row>
    <row r="39">
      <c r="A39" s="4" t="n">
        <v>37</v>
      </c>
      <c r="B39" s="8" t="n">
        <v>46058</v>
      </c>
      <c r="C39" s="3" t="inlineStr">
        <is>
          <t>WHK-3760</t>
        </is>
      </c>
      <c r="D39" s="3" t="inlineStr">
        <is>
          <t>RN-INV#141</t>
        </is>
      </c>
      <c r="E39" s="3" t="inlineStr">
        <is>
          <t>زهور قرنفل صيني مركن9 سم</t>
        </is>
      </c>
      <c r="F39" s="4" t="n">
        <v>300</v>
      </c>
      <c r="G39" s="4" t="n">
        <v>0.5</v>
      </c>
      <c r="H39" s="4">
        <f>IF(G39="","",F39*G39)</f>
        <v/>
      </c>
      <c r="I39" s="9">
        <f>IFERROR(IF(VLOOKUP("قرنفل صيني",'قائمة الأسعار الموحدة'!$B$3:$E$69,4,FALSE)="",G39,VLOOKUP("قرنفل صيني",'قائمة الأسعار الموحدة'!$B$3:$E$69,4,FALSE)),G39)</f>
        <v/>
      </c>
      <c r="J39" s="4">
        <f>IF(I39="","",F39*I39)</f>
        <v/>
      </c>
      <c r="K39" s="4">
        <f>IF(OR(H39="",J39=""),"",H39-J39)</f>
        <v/>
      </c>
      <c r="L39" s="3" t="inlineStr"/>
    </row>
    <row r="40">
      <c r="A40" s="4" t="n">
        <v>38</v>
      </c>
      <c r="B40" s="8" t="n">
        <v>46058</v>
      </c>
      <c r="C40" s="3" t="inlineStr">
        <is>
          <t>WHK-3760</t>
        </is>
      </c>
      <c r="D40" s="3" t="inlineStr">
        <is>
          <t>RN-INV#141</t>
        </is>
      </c>
      <c r="E40" s="3" t="inlineStr">
        <is>
          <t>زهور ملفوف براسيكا مركن9 سم</t>
        </is>
      </c>
      <c r="F40" s="4" t="n">
        <v>50</v>
      </c>
      <c r="G40" s="4" t="n">
        <v>0.5</v>
      </c>
      <c r="H40" s="4">
        <f>IF(G40="","",F40*G40)</f>
        <v/>
      </c>
      <c r="I40" s="9">
        <f>IFERROR(IF(VLOOKUP("ملفوف مركن 9",'قائمة الأسعار الموحدة'!$B$3:$E$69,4,FALSE)="",G40,VLOOKUP("ملفوف مركن 9",'قائمة الأسعار الموحدة'!$B$3:$E$69,4,FALSE)),G40)</f>
        <v/>
      </c>
      <c r="J40" s="4">
        <f>IF(I40="","",F40*I40)</f>
        <v/>
      </c>
      <c r="K40" s="4">
        <f>IF(OR(H40="",J40=""),"",H40-J40)</f>
        <v/>
      </c>
      <c r="L40" s="3" t="inlineStr"/>
    </row>
    <row r="41">
      <c r="A41" s="4" t="n">
        <v>39</v>
      </c>
      <c r="B41" s="8" t="n">
        <v>46058</v>
      </c>
      <c r="C41" s="3" t="inlineStr">
        <is>
          <t>WHK-3760</t>
        </is>
      </c>
      <c r="D41" s="3" t="inlineStr">
        <is>
          <t>RN-INV#141</t>
        </is>
      </c>
      <c r="E41" s="3" t="inlineStr">
        <is>
          <t>زهور سينيراريا مركن12 سم</t>
        </is>
      </c>
      <c r="F41" s="4" t="n">
        <v>300</v>
      </c>
      <c r="G41" s="4" t="n">
        <v>5</v>
      </c>
      <c r="H41" s="4">
        <f>IF(G41="","",F41*G41)</f>
        <v/>
      </c>
      <c r="I41" s="9">
        <f>IFERROR(IF(VLOOKUP("سينيراريا مركن 12",'قائمة الأسعار الموحدة'!$B$3:$E$69,4,FALSE)="",G41,VLOOKUP("سينيراريا مركن 12",'قائمة الأسعار الموحدة'!$B$3:$E$69,4,FALSE)),G41)</f>
        <v/>
      </c>
      <c r="J41" s="4">
        <f>IF(I41="","",F41*I41)</f>
        <v/>
      </c>
      <c r="K41" s="4">
        <f>IF(OR(H41="",J41=""),"",H41-J41)</f>
        <v/>
      </c>
      <c r="L41" s="3" t="inlineStr"/>
    </row>
    <row r="42">
      <c r="A42" s="4" t="n">
        <v>40</v>
      </c>
      <c r="B42" s="8" t="n">
        <v>46058</v>
      </c>
      <c r="C42" s="3" t="inlineStr">
        <is>
          <t>WHK-3760</t>
        </is>
      </c>
      <c r="D42" s="3" t="inlineStr">
        <is>
          <t>RN-INV#141</t>
        </is>
      </c>
      <c r="E42" s="3" t="inlineStr">
        <is>
          <t>زهور اقحوان افريقي مركن9 سم</t>
        </is>
      </c>
      <c r="F42" s="4" t="n">
        <v>100</v>
      </c>
      <c r="G42" s="4" t="n">
        <v>2</v>
      </c>
      <c r="H42" s="4">
        <f>IF(G42="","",F42*G42)</f>
        <v/>
      </c>
      <c r="I42" s="9">
        <f>IFERROR(IF(VLOOKUP("اقحوان افريقي مركن 9",'قائمة الأسعار الموحدة'!$B$3:$E$69,4,FALSE)="",G42,VLOOKUP("اقحوان افريقي مركن 9",'قائمة الأسعار الموحدة'!$B$3:$E$69,4,FALSE)),G42)</f>
        <v/>
      </c>
      <c r="J42" s="4">
        <f>IF(I42="","",F42*I42)</f>
        <v/>
      </c>
      <c r="K42" s="4">
        <f>IF(OR(H42="",J42=""),"",H42-J42)</f>
        <v/>
      </c>
      <c r="L42" s="3" t="inlineStr"/>
    </row>
    <row r="43">
      <c r="A43" s="4" t="n">
        <v>41</v>
      </c>
      <c r="B43" s="8" t="n">
        <v>46058</v>
      </c>
      <c r="C43" s="3" t="inlineStr">
        <is>
          <t>WHK-3760</t>
        </is>
      </c>
      <c r="D43" s="3" t="inlineStr">
        <is>
          <t>RN-INV#141</t>
        </is>
      </c>
      <c r="E43" s="3" t="inlineStr">
        <is>
          <t>كالنشو هولندى مركن12 سم</t>
        </is>
      </c>
      <c r="F43" s="4" t="n">
        <v>200</v>
      </c>
      <c r="G43" s="4" t="n">
        <v>5</v>
      </c>
      <c r="H43" s="4">
        <f>IF(G43="","",F43*G43)</f>
        <v/>
      </c>
      <c r="I43" s="9">
        <f>IFERROR(IF(VLOOKUP("كلانشو هولندي مركن 12",'قائمة الأسعار الموحدة'!$B$3:$E$69,4,FALSE)="",G43,VLOOKUP("كلانشو هولندي مركن 12",'قائمة الأسعار الموحدة'!$B$3:$E$69,4,FALSE)),G43)</f>
        <v/>
      </c>
      <c r="J43" s="4">
        <f>IF(I43="","",F43*I43)</f>
        <v/>
      </c>
      <c r="K43" s="4">
        <f>IF(OR(H43="",J43=""),"",H43-J43)</f>
        <v/>
      </c>
      <c r="L43" s="3" t="inlineStr"/>
    </row>
    <row r="44">
      <c r="A44" s="4" t="n">
        <v>42</v>
      </c>
      <c r="B44" s="8" t="n">
        <v>46064</v>
      </c>
      <c r="C44" s="3" t="inlineStr">
        <is>
          <t>WHK-3809</t>
        </is>
      </c>
      <c r="D44" s="3" t="inlineStr">
        <is>
          <t>RN-INV#149</t>
        </is>
      </c>
      <c r="E44" s="3" t="inlineStr">
        <is>
          <t>زهور جرانيوم مركن9 سم</t>
        </is>
      </c>
      <c r="F44" s="4" t="n">
        <v>2500</v>
      </c>
      <c r="G44" s="4" t="n">
        <v>1.25</v>
      </c>
      <c r="H44" s="4">
        <f>IF(G44="","",F44*G44)</f>
        <v/>
      </c>
      <c r="I44" s="9">
        <f>IFERROR(IF(VLOOKUP("جيرانيوم مركن 9",'قائمة الأسعار الموحدة'!$B$3:$E$69,4,FALSE)="",G44,VLOOKUP("جيرانيوم مركن 9",'قائمة الأسعار الموحدة'!$B$3:$E$69,4,FALSE)),G44)</f>
        <v/>
      </c>
      <c r="J44" s="4">
        <f>IF(I44="","",F44*I44)</f>
        <v/>
      </c>
      <c r="K44" s="4">
        <f>IF(OR(H44="",J44=""),"",H44-J44)</f>
        <v/>
      </c>
      <c r="L44" s="3" t="inlineStr"/>
    </row>
    <row r="45">
      <c r="A45" s="4" t="n">
        <v>43</v>
      </c>
      <c r="B45" s="8" t="n">
        <v>46072</v>
      </c>
      <c r="C45" s="3" t="inlineStr">
        <is>
          <t>WHK-3878</t>
        </is>
      </c>
      <c r="D45" s="3" t="inlineStr">
        <is>
          <t>RN-INV#160</t>
        </is>
      </c>
      <c r="E45" s="3" t="inlineStr">
        <is>
          <t>زهور بيتونيا</t>
        </is>
      </c>
      <c r="F45" s="4" t="n">
        <v>4025</v>
      </c>
      <c r="G45" s="4" t="n">
        <v>0.5</v>
      </c>
      <c r="H45" s="4">
        <f>IF(G45="","",F45*G45)</f>
        <v/>
      </c>
      <c r="I45" s="4">
        <f>IFERROR(IF(VLOOKUP("بيتونيا",'قائمة الأسعار الموحدة'!$B$3:$E$69,4,FALSE)="",G45,VLOOKUP("بيتونيا",'قائمة الأسعار الموحدة'!$B$3:$E$69,4,FALSE)),G45)</f>
        <v/>
      </c>
      <c r="J45" s="4">
        <f>IF(I45="","",F45*I45)</f>
        <v/>
      </c>
      <c r="K45" s="4">
        <f>IF(OR(H45="",J45=""),"",H45-J45)</f>
        <v/>
      </c>
      <c r="L45" s="3" t="inlineStr"/>
    </row>
    <row r="46">
      <c r="A46" s="4" t="n">
        <v>44</v>
      </c>
      <c r="B46" s="8" t="n">
        <v>46084</v>
      </c>
      <c r="C46" s="3" t="inlineStr">
        <is>
          <t>WHK-3923</t>
        </is>
      </c>
      <c r="D46" s="3" t="inlineStr">
        <is>
          <t>RN-INV#166</t>
        </is>
      </c>
      <c r="E46" s="3" t="inlineStr">
        <is>
          <t>زهور اقحوان افريقي مركن9 سم</t>
        </is>
      </c>
      <c r="F46" s="4" t="n">
        <v>2075</v>
      </c>
      <c r="G46" s="4" t="n">
        <v>1.5</v>
      </c>
      <c r="H46" s="4">
        <f>IF(G46="","",F46*G46)</f>
        <v/>
      </c>
      <c r="I46" s="9">
        <f>IFERROR(IF(VLOOKUP("اقحوان افريقي مركن 9",'قائمة الأسعار الموحدة'!$B$3:$E$69,4,FALSE)="",G46,VLOOKUP("اقحوان افريقي مركن 9",'قائمة الأسعار الموحدة'!$B$3:$E$69,4,FALSE)),G46)</f>
        <v/>
      </c>
      <c r="J46" s="4">
        <f>IF(I46="","",F46*I46)</f>
        <v/>
      </c>
      <c r="K46" s="4">
        <f>IF(OR(H46="",J46=""),"",H46-J46)</f>
        <v/>
      </c>
      <c r="L46" s="3" t="inlineStr"/>
    </row>
    <row r="47">
      <c r="A47" s="4" t="n">
        <v>45</v>
      </c>
      <c r="B47" s="8" t="n">
        <v>46084</v>
      </c>
      <c r="C47" s="3" t="inlineStr">
        <is>
          <t>WHK-3923</t>
        </is>
      </c>
      <c r="D47" s="3" t="inlineStr">
        <is>
          <t>RN-INV#166</t>
        </is>
      </c>
      <c r="E47" s="3" t="inlineStr">
        <is>
          <t>زهور جرانيوم مركن9 سم</t>
        </is>
      </c>
      <c r="F47" s="4" t="n">
        <v>3000</v>
      </c>
      <c r="G47" s="4" t="n">
        <v>1.25</v>
      </c>
      <c r="H47" s="4">
        <f>IF(G47="","",F47*G47)</f>
        <v/>
      </c>
      <c r="I47" s="9">
        <f>IFERROR(IF(VLOOKUP("جيرانيوم مركن 9",'قائمة الأسعار الموحدة'!$B$3:$E$69,4,FALSE)="",G47,VLOOKUP("جيرانيوم مركن 9",'قائمة الأسعار الموحدة'!$B$3:$E$69,4,FALSE)),G47)</f>
        <v/>
      </c>
      <c r="J47" s="4">
        <f>IF(I47="","",F47*I47)</f>
        <v/>
      </c>
      <c r="K47" s="4">
        <f>IF(OR(H47="",J47=""),"",H47-J47)</f>
        <v/>
      </c>
      <c r="L47" s="3" t="inlineStr"/>
    </row>
    <row r="48">
      <c r="A48" s="4" t="n">
        <v>46</v>
      </c>
      <c r="B48" s="8" t="n">
        <v>46085</v>
      </c>
      <c r="C48" s="3" t="inlineStr">
        <is>
          <t>WHK-3963</t>
        </is>
      </c>
      <c r="D48" s="3" t="inlineStr">
        <is>
          <t>RN-INV#174</t>
        </is>
      </c>
      <c r="E48" s="3" t="inlineStr">
        <is>
          <t>زهور اقحوان افريقي مركن9 سم</t>
        </is>
      </c>
      <c r="F48" s="4" t="n">
        <v>1000</v>
      </c>
      <c r="G48" s="4" t="n">
        <v>1.5</v>
      </c>
      <c r="H48" s="4">
        <f>IF(G48="","",F48*G48)</f>
        <v/>
      </c>
      <c r="I48" s="9">
        <f>IFERROR(IF(VLOOKUP("اقحوان افريقي مركن 9",'قائمة الأسعار الموحدة'!$B$3:$E$69,4,FALSE)="",G48,VLOOKUP("اقحوان افريقي مركن 9",'قائمة الأسعار الموحدة'!$B$3:$E$69,4,FALSE)),G48)</f>
        <v/>
      </c>
      <c r="J48" s="4">
        <f>IF(I48="","",F48*I48)</f>
        <v/>
      </c>
      <c r="K48" s="4">
        <f>IF(OR(H48="",J48=""),"",H48-J48)</f>
        <v/>
      </c>
      <c r="L48" s="3" t="inlineStr"/>
    </row>
    <row r="49">
      <c r="A49" s="4" t="n">
        <v>47</v>
      </c>
      <c r="B49" s="8" t="n">
        <v>46085</v>
      </c>
      <c r="C49" s="3" t="inlineStr">
        <is>
          <t>WHK-3963</t>
        </is>
      </c>
      <c r="D49" s="3" t="inlineStr">
        <is>
          <t>RN-INV#174</t>
        </is>
      </c>
      <c r="E49" s="3" t="inlineStr">
        <is>
          <t>كالنشو هولندى مركن12 سم</t>
        </is>
      </c>
      <c r="F49" s="4" t="n">
        <v>300</v>
      </c>
      <c r="G49" s="4" t="n">
        <v>4</v>
      </c>
      <c r="H49" s="4">
        <f>IF(G49="","",F49*G49)</f>
        <v/>
      </c>
      <c r="I49" s="9">
        <f>IFERROR(IF(VLOOKUP("كلانشو هولندي مركن 12",'قائمة الأسعار الموحدة'!$B$3:$E$69,4,FALSE)="",G49,VLOOKUP("كلانشو هولندي مركن 12",'قائمة الأسعار الموحدة'!$B$3:$E$69,4,FALSE)),G49)</f>
        <v/>
      </c>
      <c r="J49" s="4">
        <f>IF(I49="","",F49*I49)</f>
        <v/>
      </c>
      <c r="K49" s="4">
        <f>IF(OR(H49="",J49=""),"",H49-J49)</f>
        <v/>
      </c>
      <c r="L49" s="3" t="inlineStr"/>
    </row>
    <row r="50">
      <c r="A50" s="4" t="n">
        <v>48</v>
      </c>
      <c r="B50" s="8" t="n">
        <v>46145</v>
      </c>
      <c r="C50" s="3" t="inlineStr">
        <is>
          <t>WHK-4256</t>
        </is>
      </c>
      <c r="D50" s="3" t="inlineStr">
        <is>
          <t>RN-INV#227</t>
        </is>
      </c>
      <c r="E50" s="3" t="inlineStr">
        <is>
          <t>زهور زينيا</t>
        </is>
      </c>
      <c r="F50" s="4" t="n">
        <v>25625</v>
      </c>
      <c r="G50" s="4" t="n">
        <v>0.5</v>
      </c>
      <c r="H50" s="4">
        <f>IF(G50="","",F50*G50)</f>
        <v/>
      </c>
      <c r="I50" s="4">
        <f>IFERROR(IF(VLOOKUP("زينيا",'قائمة الأسعار الموحدة'!$B$3:$E$69,4,FALSE)="",G50,VLOOKUP("زينيا",'قائمة الأسعار الموحدة'!$B$3:$E$69,4,FALSE)),G50)</f>
        <v/>
      </c>
      <c r="J50" s="4">
        <f>IF(I50="","",F50*I50)</f>
        <v/>
      </c>
      <c r="K50" s="4">
        <f>IF(OR(H50="",J50=""),"",H50-J50)</f>
        <v/>
      </c>
      <c r="L50" s="3" t="inlineStr"/>
    </row>
    <row r="51">
      <c r="A51" s="4" t="n">
        <v>49</v>
      </c>
      <c r="B51" s="8" t="n">
        <v>46145</v>
      </c>
      <c r="C51" s="3" t="inlineStr">
        <is>
          <t>WHK-4256</t>
        </is>
      </c>
      <c r="D51" s="3" t="inlineStr">
        <is>
          <t>RN-INV#227</t>
        </is>
      </c>
      <c r="E51" s="3" t="inlineStr">
        <is>
          <t>زهور سيلوزيا</t>
        </is>
      </c>
      <c r="F51" s="4" t="n">
        <v>3000</v>
      </c>
      <c r="G51" s="4" t="n">
        <v>0.5</v>
      </c>
      <c r="H51" s="4">
        <f>IF(G51="","",F51*G51)</f>
        <v/>
      </c>
      <c r="I51" s="4">
        <f>IFERROR(IF(VLOOKUP("سيلوزيا",'قائمة الأسعار الموحدة'!$B$3:$E$69,4,FALSE)="",G51,VLOOKUP("سيلوزيا",'قائمة الأسعار الموحدة'!$B$3:$E$69,4,FALSE)),G51)</f>
        <v/>
      </c>
      <c r="J51" s="4">
        <f>IF(I51="","",F51*I51)</f>
        <v/>
      </c>
      <c r="K51" s="4">
        <f>IF(OR(H51="",J51=""),"",H51-J51)</f>
        <v/>
      </c>
      <c r="L51" s="3" t="inlineStr"/>
    </row>
    <row r="52">
      <c r="A52" s="4" t="n">
        <v>50</v>
      </c>
      <c r="B52" s="8" t="n">
        <v>46145</v>
      </c>
      <c r="C52" s="3" t="inlineStr">
        <is>
          <t>WHK-4256</t>
        </is>
      </c>
      <c r="D52" s="3" t="inlineStr">
        <is>
          <t>RN-INV#227</t>
        </is>
      </c>
      <c r="E52" s="3" t="inlineStr">
        <is>
          <t>زهور امرانتس</t>
        </is>
      </c>
      <c r="F52" s="4" t="n">
        <v>5000</v>
      </c>
      <c r="G52" s="4" t="n">
        <v>0.5</v>
      </c>
      <c r="H52" s="4">
        <f>IF(G52="","",F52*G52)</f>
        <v/>
      </c>
      <c r="I52" s="4">
        <f>IFERROR(IF(VLOOKUP("امرانتس",'قائمة الأسعار الموحدة'!$B$3:$E$69,4,FALSE)="",G52,VLOOKUP("امرانتس",'قائمة الأسعار الموحدة'!$B$3:$E$69,4,FALSE)),G52)</f>
        <v/>
      </c>
      <c r="J52" s="4">
        <f>IF(I52="","",F52*I52)</f>
        <v/>
      </c>
      <c r="K52" s="4">
        <f>IF(OR(H52="",J52=""),"",H52-J52)</f>
        <v/>
      </c>
      <c r="L52" s="3" t="inlineStr"/>
    </row>
    <row r="53">
      <c r="A53" s="4" t="n">
        <v>51</v>
      </c>
      <c r="B53" s="8" t="n">
        <v>46145</v>
      </c>
      <c r="C53" s="3" t="inlineStr">
        <is>
          <t>WHK-4256</t>
        </is>
      </c>
      <c r="D53" s="3" t="inlineStr">
        <is>
          <t>RN-INV#227</t>
        </is>
      </c>
      <c r="E53" s="3" t="inlineStr">
        <is>
          <t>زهور جازانيا</t>
        </is>
      </c>
      <c r="F53" s="4" t="n">
        <v>4475</v>
      </c>
      <c r="G53" s="4" t="n">
        <v>0.5</v>
      </c>
      <c r="H53" s="4">
        <f>IF(G53="","",F53*G53)</f>
        <v/>
      </c>
      <c r="I53" s="9">
        <f>IFERROR(IF(VLOOKUP("جازانيا",'قائمة الأسعار الموحدة'!$B$3:$E$69,4,FALSE)="",G53,VLOOKUP("جازانيا",'قائمة الأسعار الموحدة'!$B$3:$E$69,4,FALSE)),G53)</f>
        <v/>
      </c>
      <c r="J53" s="4">
        <f>IF(I53="","",F53*I53)</f>
        <v/>
      </c>
      <c r="K53" s="4">
        <f>IF(OR(H53="",J53=""),"",H53-J53)</f>
        <v/>
      </c>
      <c r="L53" s="3" t="inlineStr"/>
    </row>
    <row r="54">
      <c r="A54" s="4" t="n">
        <v>52</v>
      </c>
      <c r="B54" s="8" t="n">
        <v>46145</v>
      </c>
      <c r="C54" s="3" t="inlineStr">
        <is>
          <t>WHK-4256</t>
        </is>
      </c>
      <c r="D54" s="3" t="inlineStr">
        <is>
          <t>RN-INV#227</t>
        </is>
      </c>
      <c r="E54" s="3" t="inlineStr">
        <is>
          <t>تيكوماريا50 سم</t>
        </is>
      </c>
      <c r="F54" s="4" t="n">
        <v>50</v>
      </c>
      <c r="G54" s="4" t="n">
        <v>4</v>
      </c>
      <c r="H54" s="4">
        <f>IF(G54="","",F54*G54)</f>
        <v/>
      </c>
      <c r="I54" s="9">
        <f>IFERROR(IF(VLOOKUP("تيكوماريا 50",'قائمة الأسعار الموحدة'!$B$3:$E$69,4,FALSE)="",G54,VLOOKUP("تيكوماريا 50",'قائمة الأسعار الموحدة'!$B$3:$E$69,4,FALSE)),G54)</f>
        <v/>
      </c>
      <c r="J54" s="4">
        <f>IF(I54="","",F54*I54)</f>
        <v/>
      </c>
      <c r="K54" s="4">
        <f>IF(OR(H54="",J54=""),"",H54-J54)</f>
        <v/>
      </c>
      <c r="L54" s="3" t="inlineStr"/>
    </row>
    <row r="55">
      <c r="A55" s="4" t="n">
        <v>53</v>
      </c>
      <c r="B55" s="8" t="n">
        <v>46145</v>
      </c>
      <c r="C55" s="3" t="inlineStr">
        <is>
          <t>WHK-4256</t>
        </is>
      </c>
      <c r="D55" s="3" t="inlineStr">
        <is>
          <t>RN-INV#227</t>
        </is>
      </c>
      <c r="E55" s="3" t="inlineStr">
        <is>
          <t>أشجار تيسبيسيا 2-3 متر</t>
        </is>
      </c>
      <c r="F55" s="4" t="n">
        <v>4</v>
      </c>
      <c r="G55" s="4" t="n">
        <v>60</v>
      </c>
      <c r="H55" s="4">
        <f>IF(G55="","",F55*G55)</f>
        <v/>
      </c>
      <c r="I55" s="9">
        <f>IFERROR(IF(VLOOKUP("اشجار تيسبيسيا 2- 3 متر",'قائمة الأسعار الموحدة'!$B$3:$E$69,4,FALSE)="",G55,VLOOKUP("اشجار تيسبيسيا 2- 3 متر",'قائمة الأسعار الموحدة'!$B$3:$E$69,4,FALSE)),G55)</f>
        <v/>
      </c>
      <c r="J55" s="4">
        <f>IF(I55="","",F55*I55)</f>
        <v/>
      </c>
      <c r="K55" s="4">
        <f>IF(OR(H55="",J55=""),"",H55-J55)</f>
        <v/>
      </c>
      <c r="L55" s="3" t="inlineStr"/>
    </row>
    <row r="56">
      <c r="A56" s="4" t="n">
        <v>54</v>
      </c>
      <c r="B56" s="8" t="n">
        <v>46147</v>
      </c>
      <c r="C56" s="3" t="inlineStr">
        <is>
          <t>WHK-4275</t>
        </is>
      </c>
      <c r="D56" s="3" t="inlineStr">
        <is>
          <t>RN-INV#231</t>
        </is>
      </c>
      <c r="E56" s="3" t="inlineStr">
        <is>
          <t>زهور فينكا روزا</t>
        </is>
      </c>
      <c r="F56" s="4" t="n">
        <v>37400</v>
      </c>
      <c r="G56" s="4" t="n">
        <v>0.55</v>
      </c>
      <c r="H56" s="4">
        <f>IF(G56="","",F56*G56)</f>
        <v/>
      </c>
      <c r="I56" s="4">
        <f>IFERROR(IF(VLOOKUP("فينكا روزا",'قائمة الأسعار الموحدة'!$B$3:$E$69,4,FALSE)="",G56,VLOOKUP("فينكا روزا",'قائمة الأسعار الموحدة'!$B$3:$E$69,4,FALSE)),G56)</f>
        <v/>
      </c>
      <c r="J56" s="4">
        <f>IF(I56="","",F56*I56)</f>
        <v/>
      </c>
      <c r="K56" s="4">
        <f>IF(OR(H56="",J56=""),"",H56-J56)</f>
        <v/>
      </c>
      <c r="L56" s="3" t="inlineStr"/>
    </row>
    <row r="57">
      <c r="A57" s="4" t="n">
        <v>55</v>
      </c>
      <c r="B57" s="8" t="n">
        <v>46147</v>
      </c>
      <c r="C57" s="3" t="inlineStr">
        <is>
          <t>WHK-4275</t>
        </is>
      </c>
      <c r="D57" s="3" t="inlineStr">
        <is>
          <t>RN-INV#231</t>
        </is>
      </c>
      <c r="E57" s="3" t="inlineStr">
        <is>
          <t>زهور كيليوس</t>
        </is>
      </c>
      <c r="F57" s="4" t="n">
        <v>2200</v>
      </c>
      <c r="G57" s="4" t="n">
        <v>0.55</v>
      </c>
      <c r="H57" s="4">
        <f>IF(G57="","",F57*G57)</f>
        <v/>
      </c>
      <c r="I57" s="9">
        <f>IFERROR(IF(VLOOKUP("كيليوس",'قائمة الأسعار الموحدة'!$B$3:$E$69,4,FALSE)="",G57,VLOOKUP("كيليوس",'قائمة الأسعار الموحدة'!$B$3:$E$69,4,FALSE)),G57)</f>
        <v/>
      </c>
      <c r="J57" s="4">
        <f>IF(I57="","",F57*I57)</f>
        <v/>
      </c>
      <c r="K57" s="4">
        <f>IF(OR(H57="",J57=""),"",H57-J57)</f>
        <v/>
      </c>
      <c r="L57" s="3" t="inlineStr"/>
    </row>
    <row r="58">
      <c r="A58" s="4" t="n">
        <v>56</v>
      </c>
      <c r="B58" s="8" t="n">
        <v>46152</v>
      </c>
      <c r="C58" s="3" t="inlineStr">
        <is>
          <t>WHK-4291</t>
        </is>
      </c>
      <c r="D58" s="3" t="inlineStr">
        <is>
          <t>RN-INV#239</t>
        </is>
      </c>
      <c r="E58" s="3" t="inlineStr">
        <is>
          <t>زهور فينكا روزا</t>
        </is>
      </c>
      <c r="F58" s="4" t="n">
        <v>5700</v>
      </c>
      <c r="G58" s="4" t="n">
        <v>0.55</v>
      </c>
      <c r="H58" s="4">
        <f>IF(G58="","",F58*G58)</f>
        <v/>
      </c>
      <c r="I58" s="4">
        <f>IFERROR(IF(VLOOKUP("فينكا روزا",'قائمة الأسعار الموحدة'!$B$3:$E$69,4,FALSE)="",G58,VLOOKUP("فينكا روزا",'قائمة الأسعار الموحدة'!$B$3:$E$69,4,FALSE)),G58)</f>
        <v/>
      </c>
      <c r="J58" s="4">
        <f>IF(I58="","",F58*I58)</f>
        <v/>
      </c>
      <c r="K58" s="4">
        <f>IF(OR(H58="",J58=""),"",H58-J58)</f>
        <v/>
      </c>
      <c r="L58" s="3" t="inlineStr"/>
    </row>
    <row r="59">
      <c r="A59" s="4" t="n">
        <v>57</v>
      </c>
      <c r="B59" s="8" t="n">
        <v>46154</v>
      </c>
      <c r="C59" s="3" t="inlineStr">
        <is>
          <t>WHK-4305</t>
        </is>
      </c>
      <c r="D59" s="3" t="inlineStr">
        <is>
          <t>RN-INV#243</t>
        </is>
      </c>
      <c r="E59" s="3" t="inlineStr">
        <is>
          <t>زهور فينكا روزا</t>
        </is>
      </c>
      <c r="F59" s="4" t="n">
        <v>5500</v>
      </c>
      <c r="G59" s="4" t="n">
        <v>0.55</v>
      </c>
      <c r="H59" s="4">
        <f>IF(G59="","",F59*G59)</f>
        <v/>
      </c>
      <c r="I59" s="4">
        <f>IFERROR(IF(VLOOKUP("فينكا روزا",'قائمة الأسعار الموحدة'!$B$3:$E$69,4,FALSE)="",G59,VLOOKUP("فينكا روزا",'قائمة الأسعار الموحدة'!$B$3:$E$69,4,FALSE)),G59)</f>
        <v/>
      </c>
      <c r="J59" s="4">
        <f>IF(I59="","",F59*I59)</f>
        <v/>
      </c>
      <c r="K59" s="4">
        <f>IF(OR(H59="",J59=""),"",H59-J59)</f>
        <v/>
      </c>
      <c r="L59" s="3" t="inlineStr"/>
    </row>
    <row r="60">
      <c r="A60" s="4" t="n">
        <v>58</v>
      </c>
      <c r="B60" s="8" t="n">
        <v>46160</v>
      </c>
      <c r="C60" s="3" t="inlineStr">
        <is>
          <t>WHK-4323</t>
        </is>
      </c>
      <c r="D60" s="3" t="inlineStr">
        <is>
          <t>RN-INV#250</t>
        </is>
      </c>
      <c r="E60" s="3" t="inlineStr">
        <is>
          <t>زهور امرانتس</t>
        </is>
      </c>
      <c r="F60" s="4" t="n">
        <v>1500</v>
      </c>
      <c r="G60" s="4" t="n">
        <v>0.5</v>
      </c>
      <c r="H60" s="4">
        <f>IF(G60="","",F60*G60)</f>
        <v/>
      </c>
      <c r="I60" s="4">
        <f>IFERROR(IF(VLOOKUP("امرانتس",'قائمة الأسعار الموحدة'!$B$3:$E$69,4,FALSE)="",G60,VLOOKUP("امرانتس",'قائمة الأسعار الموحدة'!$B$3:$E$69,4,FALSE)),G60)</f>
        <v/>
      </c>
      <c r="J60" s="4">
        <f>IF(I60="","",F60*I60)</f>
        <v/>
      </c>
      <c r="K60" s="4">
        <f>IF(OR(H60="",J60=""),"",H60-J60)</f>
        <v/>
      </c>
      <c r="L60" s="3" t="inlineStr"/>
    </row>
    <row r="61">
      <c r="A61" s="10" t="n"/>
      <c r="B61" s="10" t="n"/>
      <c r="C61" s="10" t="n"/>
      <c r="D61" s="10" t="n"/>
      <c r="E61" s="11" t="inlineStr">
        <is>
          <t>الإجمالي</t>
        </is>
      </c>
      <c r="F61" s="12">
        <f>SUM(F3:F60)</f>
        <v/>
      </c>
      <c r="G61" s="10" t="n"/>
      <c r="H61" s="12">
        <f>SUM(H3:H60)</f>
        <v/>
      </c>
      <c r="I61" s="10" t="n"/>
      <c r="J61" s="12">
        <f>SUM(J3:J60)</f>
        <v/>
      </c>
      <c r="K61" s="12">
        <f>SUM(K3:K60)</f>
        <v/>
      </c>
      <c r="L61" s="1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34" customWidth="1" min="4" max="4"/>
    <col width="11" customWidth="1" min="5" max="5"/>
    <col width="11" customWidth="1" min="6" max="6"/>
    <col width="14" customWidth="1" min="7" max="7"/>
    <col width="11" customWidth="1" min="8" max="8"/>
    <col width="14" customWidth="1" min="9" max="9"/>
    <col width="16" customWidth="1" min="10" max="10"/>
    <col width="48" customWidth="1" min="11" max="11"/>
  </cols>
  <sheetData>
    <row r="1">
      <c r="A1" s="5" t="inlineStr">
        <is>
          <t>مسحوبات تبوك (نسما) من مزرعة الرياض بالسعر الموحد = مديونية على أبو مازن</t>
        </is>
      </c>
    </row>
    <row r="2">
      <c r="A2" s="2" t="inlineStr">
        <is>
          <t>م</t>
        </is>
      </c>
      <c r="B2" s="2" t="inlineStr">
        <is>
          <t>التاريخ</t>
        </is>
      </c>
      <c r="C2" s="2" t="inlineStr">
        <is>
          <t>السند</t>
        </is>
      </c>
      <c r="D2" s="2" t="inlineStr">
        <is>
          <t>الصنف</t>
        </is>
      </c>
      <c r="E2" s="2" t="inlineStr">
        <is>
          <t>الكمية</t>
        </is>
      </c>
      <c r="F2" s="2" t="inlineStr">
        <is>
          <t>السعر المسجل</t>
        </is>
      </c>
      <c r="G2" s="2" t="inlineStr">
        <is>
          <t>الإجمالي المسجل</t>
        </is>
      </c>
      <c r="H2" s="2" t="inlineStr">
        <is>
          <t>السعر الموحد</t>
        </is>
      </c>
      <c r="I2" s="2" t="inlineStr">
        <is>
          <t>الإجمالي الموحد</t>
        </is>
      </c>
      <c r="J2" s="2" t="inlineStr">
        <is>
          <t>الفرق (المسجل − الموحد)</t>
        </is>
      </c>
      <c r="K2" s="2" t="inlineStr">
        <is>
          <t>ملاحظة</t>
        </is>
      </c>
    </row>
    <row r="3">
      <c r="A3" s="4" t="n">
        <v>1</v>
      </c>
      <c r="B3" s="8" t="n">
        <v>45906</v>
      </c>
      <c r="C3" s="3" t="inlineStr">
        <is>
          <t>RNP-2113</t>
        </is>
      </c>
      <c r="D3" s="3" t="inlineStr">
        <is>
          <t>مارى جولد</t>
        </is>
      </c>
      <c r="E3" s="4" t="n">
        <v>10000</v>
      </c>
      <c r="F3" s="4" t="n">
        <v>0.5</v>
      </c>
      <c r="G3" s="4">
        <f>IF(F3="","",E3*F3)</f>
        <v/>
      </c>
      <c r="H3" s="4">
        <f>IFERROR(IF(VLOOKUP("ماري جولد",'قائمة الأسعار الموحدة'!$B$3:$E$69,4,FALSE)="",F3,VLOOKUP("ماري جولد",'قائمة الأسعار الموحدة'!$B$3:$E$69,4,FALSE)),F3)</f>
        <v/>
      </c>
      <c r="I3" s="4">
        <f>IF(H3="","",E3*H3)</f>
        <v/>
      </c>
      <c r="J3" s="4">
        <f>IF(OR(G3="",I3=""),"",G3-I3)</f>
        <v/>
      </c>
      <c r="K3" s="3" t="inlineStr"/>
    </row>
    <row r="4">
      <c r="A4" s="4" t="n">
        <v>2</v>
      </c>
      <c r="B4" s="8" t="n">
        <v>45926</v>
      </c>
      <c r="C4" s="3" t="inlineStr">
        <is>
          <t>RNP-2293</t>
        </is>
      </c>
      <c r="D4" s="3" t="inlineStr">
        <is>
          <t>زهور بيتونيا</t>
        </is>
      </c>
      <c r="E4" s="4" t="n">
        <v>6500</v>
      </c>
      <c r="F4" s="4" t="n">
        <v>0.5</v>
      </c>
      <c r="G4" s="4">
        <f>IF(F4="","",E4*F4)</f>
        <v/>
      </c>
      <c r="H4" s="4">
        <f>IFERROR(IF(VLOOKUP("بيتونيا",'قائمة الأسعار الموحدة'!$B$3:$E$69,4,FALSE)="",F4,VLOOKUP("بيتونيا",'قائمة الأسعار الموحدة'!$B$3:$E$69,4,FALSE)),F4)</f>
        <v/>
      </c>
      <c r="I4" s="4">
        <f>IF(H4="","",E4*H4)</f>
        <v/>
      </c>
      <c r="J4" s="4">
        <f>IF(OR(G4="",I4=""),"",G4-I4)</f>
        <v/>
      </c>
      <c r="K4" s="3" t="inlineStr"/>
    </row>
    <row r="5">
      <c r="A5" s="4" t="n">
        <v>3</v>
      </c>
      <c r="B5" s="8" t="n">
        <v>45926</v>
      </c>
      <c r="C5" s="3" t="inlineStr">
        <is>
          <t>RNP-2293</t>
        </is>
      </c>
      <c r="D5" s="3" t="inlineStr">
        <is>
          <t>زهور جيرانيوم مركن 12</t>
        </is>
      </c>
      <c r="E5" s="4" t="n">
        <v>500</v>
      </c>
      <c r="F5" s="4" t="n">
        <v>3.75</v>
      </c>
      <c r="G5" s="4">
        <f>IF(F5="","",E5*F5)</f>
        <v/>
      </c>
      <c r="H5" s="9">
        <f>IFERROR(IF(VLOOKUP("جيرانيوم مركن 12",'قائمة الأسعار الموحدة'!$B$3:$E$69,4,FALSE)="",F5,VLOOKUP("جيرانيوم مركن 12",'قائمة الأسعار الموحدة'!$B$3:$E$69,4,FALSE)),F5)</f>
        <v/>
      </c>
      <c r="I5" s="4">
        <f>IF(H5="","",E5*H5)</f>
        <v/>
      </c>
      <c r="J5" s="4">
        <f>IF(OR(G5="",I5=""),"",G5-I5)</f>
        <v/>
      </c>
      <c r="K5" s="3" t="inlineStr"/>
    </row>
    <row r="6">
      <c r="A6" s="4" t="n">
        <v>4</v>
      </c>
      <c r="B6" s="8" t="n">
        <v>45926</v>
      </c>
      <c r="C6" s="3" t="inlineStr">
        <is>
          <t>RNP-2293</t>
        </is>
      </c>
      <c r="D6" s="3" t="inlineStr">
        <is>
          <t>زهور ماري جولد فرنسى</t>
        </is>
      </c>
      <c r="E6" s="4" t="n">
        <v>250</v>
      </c>
      <c r="F6" s="4" t="n">
        <v>0.5</v>
      </c>
      <c r="G6" s="4">
        <f>IF(F6="","",E6*F6)</f>
        <v/>
      </c>
      <c r="H6" s="4">
        <f>IFERROR(IF(VLOOKUP("ماري جولد فرنسي",'قائمة الأسعار الموحدة'!$B$3:$E$69,4,FALSE)="",F6,VLOOKUP("ماري جولد فرنسي",'قائمة الأسعار الموحدة'!$B$3:$E$69,4,FALSE)),F6)</f>
        <v/>
      </c>
      <c r="I6" s="4">
        <f>IF(H6="","",E6*H6)</f>
        <v/>
      </c>
      <c r="J6" s="4">
        <f>IF(OR(G6="",I6=""),"",G6-I6)</f>
        <v/>
      </c>
      <c r="K6" s="3" t="inlineStr"/>
    </row>
    <row r="7">
      <c r="A7" s="4" t="n">
        <v>5</v>
      </c>
      <c r="B7" s="8" t="n">
        <v>45926</v>
      </c>
      <c r="C7" s="3" t="inlineStr">
        <is>
          <t>RNP-2367</t>
        </is>
      </c>
      <c r="D7" s="3" t="inlineStr">
        <is>
          <t>حجر اصفر مطفى</t>
        </is>
      </c>
      <c r="E7" s="4" t="n">
        <v>1</v>
      </c>
      <c r="F7" s="4" t="n">
        <v>10.5</v>
      </c>
      <c r="G7" s="4">
        <f>IF(F7="","",E7*F7)</f>
        <v/>
      </c>
      <c r="H7" s="9">
        <f>IFERROR(IF(VLOOKUP("حجر ديكوري اصفر مطفي 1: 3",'قائمة الأسعار الموحدة'!$B$3:$E$69,4,FALSE)="",F7,VLOOKUP("حجر ديكوري اصفر مطفي 1: 3",'قائمة الأسعار الموحدة'!$B$3:$E$69,4,FALSE)),F7)</f>
        <v/>
      </c>
      <c r="I7" s="4">
        <f>IF(H7="","",E7*H7)</f>
        <v/>
      </c>
      <c r="J7" s="4">
        <f>IF(OR(G7="",I7=""),"",G7-I7)</f>
        <v/>
      </c>
      <c r="K7" s="3" t="inlineStr"/>
    </row>
    <row r="8">
      <c r="A8" s="4" t="n">
        <v>6</v>
      </c>
      <c r="B8" s="8" t="n">
        <v>45937</v>
      </c>
      <c r="C8" s="3" t="inlineStr">
        <is>
          <t>RNP-2395</t>
        </is>
      </c>
      <c r="D8" s="3" t="inlineStr">
        <is>
          <t>سكندابسس مركن 19 علاقي</t>
        </is>
      </c>
      <c r="E8" s="4" t="n">
        <v>2000</v>
      </c>
      <c r="F8" s="4" t="n">
        <v>10</v>
      </c>
      <c r="G8" s="4">
        <f>IF(F8="","",E8*F8)</f>
        <v/>
      </c>
      <c r="H8" s="9">
        <f>IFERROR(IF(VLOOKUP("سكندابسس مركن 19 علاقي",'قائمة الأسعار الموحدة'!$B$3:$E$69,4,FALSE)="",F8,VLOOKUP("سكندابسس مركن 19 علاقي",'قائمة الأسعار الموحدة'!$B$3:$E$69,4,FALSE)),F8)</f>
        <v/>
      </c>
      <c r="I8" s="4">
        <f>IF(H8="","",E8*H8)</f>
        <v/>
      </c>
      <c r="J8" s="4">
        <f>IF(OR(G8="",I8=""),"",G8-I8)</f>
        <v/>
      </c>
      <c r="K8" s="3" t="inlineStr"/>
    </row>
    <row r="9">
      <c r="A9" s="4" t="n">
        <v>7</v>
      </c>
      <c r="B9" s="8" t="n">
        <v>45937</v>
      </c>
      <c r="C9" s="3" t="inlineStr">
        <is>
          <t>RNP-2395</t>
        </is>
      </c>
      <c r="D9" s="3" t="inlineStr">
        <is>
          <t>هيدرا علاقي مركن 19</t>
        </is>
      </c>
      <c r="E9" s="4" t="n">
        <v>188</v>
      </c>
      <c r="F9" s="4" t="n">
        <v>10</v>
      </c>
      <c r="G9" s="4">
        <f>IF(F9="","",E9*F9)</f>
        <v/>
      </c>
      <c r="H9" s="9">
        <f>IFERROR(IF(VLOOKUP("هيدرا علاقي مركن 19",'قائمة الأسعار الموحدة'!$B$3:$E$69,4,FALSE)="",F9,VLOOKUP("هيدرا علاقي مركن 19",'قائمة الأسعار الموحدة'!$B$3:$E$69,4,FALSE)),F9)</f>
        <v/>
      </c>
      <c r="I9" s="4">
        <f>IF(H9="","",E9*H9)</f>
        <v/>
      </c>
      <c r="J9" s="4">
        <f>IF(OR(G9="",I9=""),"",G9-I9)</f>
        <v/>
      </c>
      <c r="K9" s="3" t="inlineStr"/>
    </row>
    <row r="10">
      <c r="A10" s="4" t="n">
        <v>8</v>
      </c>
      <c r="B10" s="8" t="n">
        <v>45937</v>
      </c>
      <c r="C10" s="3" t="inlineStr">
        <is>
          <t>RNP-2395</t>
        </is>
      </c>
      <c r="D10" s="3" t="inlineStr">
        <is>
          <t>اقحوان افريقى مركن 12</t>
        </is>
      </c>
      <c r="E10" s="4" t="n">
        <v>2010</v>
      </c>
      <c r="F10" s="4" t="n">
        <v>3.25</v>
      </c>
      <c r="G10" s="4">
        <f>IF(F10="","",E10*F10)</f>
        <v/>
      </c>
      <c r="H10" s="9">
        <f>IFERROR(IF(VLOOKUP("اقحوان افريقي مركن 12",'قائمة الأسعار الموحدة'!$B$3:$E$69,4,FALSE)="",F10,VLOOKUP("اقحوان افريقي مركن 12",'قائمة الأسعار الموحدة'!$B$3:$E$69,4,FALSE)),F10)</f>
        <v/>
      </c>
      <c r="I10" s="4">
        <f>IF(H10="","",E10*H10)</f>
        <v/>
      </c>
      <c r="J10" s="4">
        <f>IF(OR(G10="",I10=""),"",G10-I10)</f>
        <v/>
      </c>
      <c r="K10" s="3" t="inlineStr"/>
    </row>
    <row r="11">
      <c r="A11" s="4" t="n">
        <v>9</v>
      </c>
      <c r="B11" s="8" t="n">
        <v>45937</v>
      </c>
      <c r="C11" s="3" t="inlineStr">
        <is>
          <t>RNP-2395</t>
        </is>
      </c>
      <c r="D11" s="3" t="inlineStr">
        <is>
          <t xml:space="preserve">هيبوستس </t>
        </is>
      </c>
      <c r="E11" s="4" t="n">
        <v>1500</v>
      </c>
      <c r="F11" s="4" t="n">
        <v>2.5</v>
      </c>
      <c r="G11" s="4">
        <f>IF(F11="","",E11*F11)</f>
        <v/>
      </c>
      <c r="H11" s="4">
        <f>IFERROR(IF(VLOOKUP("هيبوستس",'قائمة الأسعار الموحدة'!$B$3:$E$69,4,FALSE)="",F11,VLOOKUP("هيبوستس",'قائمة الأسعار الموحدة'!$B$3:$E$69,4,FALSE)),F11)</f>
        <v/>
      </c>
      <c r="I11" s="4">
        <f>IF(H11="","",E11*H11)</f>
        <v/>
      </c>
      <c r="J11" s="4">
        <f>IF(OR(G11="",I11=""),"",G11-I11)</f>
        <v/>
      </c>
      <c r="K11" s="3" t="inlineStr"/>
    </row>
    <row r="12">
      <c r="A12" s="4" t="n">
        <v>10</v>
      </c>
      <c r="B12" s="8" t="n">
        <v>45937</v>
      </c>
      <c r="C12" s="3" t="inlineStr">
        <is>
          <t>RNP-2395</t>
        </is>
      </c>
      <c r="D12" s="3" t="inlineStr">
        <is>
          <t>زهور جيرانيوم مركن 12</t>
        </is>
      </c>
      <c r="E12" s="4" t="n">
        <v>1005</v>
      </c>
      <c r="F12" s="4" t="n">
        <v>3.75</v>
      </c>
      <c r="G12" s="4">
        <f>IF(F12="","",E12*F12)</f>
        <v/>
      </c>
      <c r="H12" s="9">
        <f>IFERROR(IF(VLOOKUP("جيرانيوم مركن 12",'قائمة الأسعار الموحدة'!$B$3:$E$69,4,FALSE)="",F12,VLOOKUP("جيرانيوم مركن 12",'قائمة الأسعار الموحدة'!$B$3:$E$69,4,FALSE)),F12)</f>
        <v/>
      </c>
      <c r="I12" s="4">
        <f>IF(H12="","",E12*H12)</f>
        <v/>
      </c>
      <c r="J12" s="4">
        <f>IF(OR(G12="",I12=""),"",G12-I12)</f>
        <v/>
      </c>
      <c r="K12" s="3" t="inlineStr"/>
    </row>
    <row r="13">
      <c r="A13" s="4" t="n">
        <v>11</v>
      </c>
      <c r="B13" s="8" t="n">
        <v>45937</v>
      </c>
      <c r="C13" s="3" t="inlineStr">
        <is>
          <t>RNP-2395</t>
        </is>
      </c>
      <c r="D13" s="3" t="inlineStr">
        <is>
          <t>زهور جيرانيوم مركن 9</t>
        </is>
      </c>
      <c r="E13" s="4" t="n">
        <v>1000</v>
      </c>
      <c r="F13" s="4" t="n">
        <v>1.5</v>
      </c>
      <c r="G13" s="4">
        <f>IF(F13="","",E13*F13)</f>
        <v/>
      </c>
      <c r="H13" s="9">
        <f>IFERROR(IF(VLOOKUP("جيرانيوم مركن 9",'قائمة الأسعار الموحدة'!$B$3:$E$69,4,FALSE)="",F13,VLOOKUP("جيرانيوم مركن 9",'قائمة الأسعار الموحدة'!$B$3:$E$69,4,FALSE)),F13)</f>
        <v/>
      </c>
      <c r="I13" s="4">
        <f>IF(H13="","",E13*H13)</f>
        <v/>
      </c>
      <c r="J13" s="4">
        <f>IF(OR(G13="",I13=""),"",G13-I13)</f>
        <v/>
      </c>
      <c r="K13" s="3" t="inlineStr"/>
    </row>
    <row r="14">
      <c r="A14" s="4" t="n">
        <v>12</v>
      </c>
      <c r="B14" s="8" t="n">
        <v>45937</v>
      </c>
      <c r="C14" s="3" t="inlineStr">
        <is>
          <t>RNP-2395</t>
        </is>
      </c>
      <c r="D14" s="3" t="inlineStr">
        <is>
          <t>جهنميه تايلاندى مركن 25</t>
        </is>
      </c>
      <c r="E14" s="4" t="n">
        <v>10</v>
      </c>
      <c r="F14" s="4" t="n">
        <v>250</v>
      </c>
      <c r="G14" s="4">
        <f>IF(F14="","",E14*F14)</f>
        <v/>
      </c>
      <c r="H14" s="9">
        <f>IFERROR(IF(VLOOKUP("جهنميه تايلاندي مركن 25",'قائمة الأسعار الموحدة'!$B$3:$E$69,4,FALSE)="",F14,VLOOKUP("جهنميه تايلاندي مركن 25",'قائمة الأسعار الموحدة'!$B$3:$E$69,4,FALSE)),F14)</f>
        <v/>
      </c>
      <c r="I14" s="4">
        <f>IF(H14="","",E14*H14)</f>
        <v/>
      </c>
      <c r="J14" s="4">
        <f>IF(OR(G14="",I14=""),"",G14-I14)</f>
        <v/>
      </c>
      <c r="K14" s="3" t="inlineStr"/>
    </row>
    <row r="15">
      <c r="A15" s="4" t="n">
        <v>13</v>
      </c>
      <c r="B15" s="8" t="n">
        <v>45937</v>
      </c>
      <c r="C15" s="3" t="inlineStr">
        <is>
          <t>RNP-2395</t>
        </is>
      </c>
      <c r="D15" s="3" t="inlineStr">
        <is>
          <t>تراديسكانتيا مركن 19 علاقي</t>
        </is>
      </c>
      <c r="E15" s="4" t="n">
        <v>220</v>
      </c>
      <c r="F15" s="4" t="n">
        <v>10</v>
      </c>
      <c r="G15" s="4">
        <f>IF(F15="","",E15*F15)</f>
        <v/>
      </c>
      <c r="H15" s="9">
        <f>IFERROR(IF(VLOOKUP("تراديسكانتيا مركن 19 علاقي",'قائمة الأسعار الموحدة'!$B$3:$E$69,4,FALSE)="",F15,VLOOKUP("تراديسكانتيا مركن 19 علاقي",'قائمة الأسعار الموحدة'!$B$3:$E$69,4,FALSE)),F15)</f>
        <v/>
      </c>
      <c r="I15" s="4">
        <f>IF(H15="","",E15*H15)</f>
        <v/>
      </c>
      <c r="J15" s="4">
        <f>IF(OR(G15="",I15=""),"",G15-I15)</f>
        <v/>
      </c>
      <c r="K15" s="3" t="inlineStr"/>
    </row>
    <row r="16">
      <c r="A16" s="4" t="n">
        <v>14</v>
      </c>
      <c r="B16" s="8" t="n">
        <v>45947</v>
      </c>
      <c r="C16" s="3" t="inlineStr">
        <is>
          <t>RNP-2512</t>
        </is>
      </c>
      <c r="D16" s="3" t="inlineStr">
        <is>
          <t>زهور ماري جولد</t>
        </is>
      </c>
      <c r="E16" s="4" t="n">
        <v>1100</v>
      </c>
      <c r="F16" s="4" t="n">
        <v>0.5</v>
      </c>
      <c r="G16" s="4">
        <f>IF(F16="","",E16*F16)</f>
        <v/>
      </c>
      <c r="H16" s="4">
        <f>IFERROR(IF(VLOOKUP("ماري جولد",'قائمة الأسعار الموحدة'!$B$3:$E$69,4,FALSE)="",F16,VLOOKUP("ماري جولد",'قائمة الأسعار الموحدة'!$B$3:$E$69,4,FALSE)),F16)</f>
        <v/>
      </c>
      <c r="I16" s="4">
        <f>IF(H16="","",E16*H16)</f>
        <v/>
      </c>
      <c r="J16" s="4">
        <f>IF(OR(G16="",I16=""),"",G16-I16)</f>
        <v/>
      </c>
      <c r="K16" s="3" t="inlineStr"/>
    </row>
    <row r="17">
      <c r="A17" s="4" t="n">
        <v>15</v>
      </c>
      <c r="B17" s="8" t="n">
        <v>45947</v>
      </c>
      <c r="C17" s="3" t="inlineStr">
        <is>
          <t>RNP-2512</t>
        </is>
      </c>
      <c r="D17" s="3" t="inlineStr">
        <is>
          <t>زهور بيتونيا</t>
        </is>
      </c>
      <c r="E17" s="4" t="n">
        <v>3600</v>
      </c>
      <c r="F17" s="4" t="n">
        <v>0.5</v>
      </c>
      <c r="G17" s="4">
        <f>IF(F17="","",E17*F17)</f>
        <v/>
      </c>
      <c r="H17" s="4">
        <f>IFERROR(IF(VLOOKUP("بيتونيا",'قائمة الأسعار الموحدة'!$B$3:$E$69,4,FALSE)="",F17,VLOOKUP("بيتونيا",'قائمة الأسعار الموحدة'!$B$3:$E$69,4,FALSE)),F17)</f>
        <v/>
      </c>
      <c r="I17" s="4">
        <f>IF(H17="","",E17*H17)</f>
        <v/>
      </c>
      <c r="J17" s="4">
        <f>IF(OR(G17="",I17=""),"",G17-I17)</f>
        <v/>
      </c>
      <c r="K17" s="3" t="inlineStr"/>
    </row>
    <row r="18">
      <c r="A18" s="4" t="n">
        <v>16</v>
      </c>
      <c r="B18" s="8" t="n">
        <v>45947</v>
      </c>
      <c r="C18" s="3" t="inlineStr">
        <is>
          <t>RNP-2512</t>
        </is>
      </c>
      <c r="D18" s="3" t="inlineStr">
        <is>
          <t>بوتنج سويل 70 لتر</t>
        </is>
      </c>
      <c r="E18" s="4" t="n">
        <v>10</v>
      </c>
      <c r="F18" s="4" t="n">
        <v>46</v>
      </c>
      <c r="G18" s="4">
        <f>IF(F18="","",E18*F18)</f>
        <v/>
      </c>
      <c r="H18" s="9">
        <f>IFERROR(IF(VLOOKUP("بوتنج سويل 70 لتر",'قائمة الأسعار الموحدة'!$B$3:$E$69,4,FALSE)="",F18,VLOOKUP("بوتنج سويل 70 لتر",'قائمة الأسعار الموحدة'!$B$3:$E$69,4,FALSE)),F18)</f>
        <v/>
      </c>
      <c r="I18" s="4">
        <f>IF(H18="","",E18*H18)</f>
        <v/>
      </c>
      <c r="J18" s="4">
        <f>IF(OR(G18="",I18=""),"",G18-I18)</f>
        <v/>
      </c>
      <c r="K18" s="3" t="inlineStr"/>
    </row>
    <row r="19">
      <c r="A19" s="4" t="n">
        <v>17</v>
      </c>
      <c r="B19" s="8" t="n">
        <v>45954</v>
      </c>
      <c r="C19" s="3" t="inlineStr">
        <is>
          <t>RNP-2608</t>
        </is>
      </c>
      <c r="D19" s="3" t="inlineStr">
        <is>
          <t>زهور بيتونيا</t>
        </is>
      </c>
      <c r="E19" s="4" t="n">
        <v>20000</v>
      </c>
      <c r="F19" s="4" t="n">
        <v>0.5</v>
      </c>
      <c r="G19" s="4">
        <f>IF(F19="","",E19*F19)</f>
        <v/>
      </c>
      <c r="H19" s="4">
        <f>IFERROR(IF(VLOOKUP("بيتونيا",'قائمة الأسعار الموحدة'!$B$3:$E$69,4,FALSE)="",F19,VLOOKUP("بيتونيا",'قائمة الأسعار الموحدة'!$B$3:$E$69,4,FALSE)),F19)</f>
        <v/>
      </c>
      <c r="I19" s="4">
        <f>IF(H19="","",E19*H19)</f>
        <v/>
      </c>
      <c r="J19" s="4">
        <f>IF(OR(G19="",I19=""),"",G19-I19)</f>
        <v/>
      </c>
      <c r="K19" s="3" t="inlineStr"/>
    </row>
    <row r="20">
      <c r="A20" s="4" t="n">
        <v>18</v>
      </c>
      <c r="B20" s="8" t="n">
        <v>45962</v>
      </c>
      <c r="C20" s="3" t="inlineStr">
        <is>
          <t>RNP-2704</t>
        </is>
      </c>
      <c r="D20" s="3" t="inlineStr">
        <is>
          <t>زهور اقحوان افريقي مركن 12</t>
        </is>
      </c>
      <c r="E20" s="4" t="n">
        <v>750</v>
      </c>
      <c r="F20" s="4" t="n">
        <v>3.25</v>
      </c>
      <c r="G20" s="4">
        <f>IF(F20="","",E20*F20)</f>
        <v/>
      </c>
      <c r="H20" s="9">
        <f>IFERROR(IF(VLOOKUP("اقحوان افريقي مركن 12",'قائمة الأسعار الموحدة'!$B$3:$E$69,4,FALSE)="",F20,VLOOKUP("اقحوان افريقي مركن 12",'قائمة الأسعار الموحدة'!$B$3:$E$69,4,FALSE)),F20)</f>
        <v/>
      </c>
      <c r="I20" s="4">
        <f>IF(H20="","",E20*H20)</f>
        <v/>
      </c>
      <c r="J20" s="4">
        <f>IF(OR(G20="",I20=""),"",G20-I20)</f>
        <v/>
      </c>
      <c r="K20" s="3" t="inlineStr"/>
    </row>
    <row r="21">
      <c r="A21" s="4" t="n">
        <v>19</v>
      </c>
      <c r="B21" s="8" t="n">
        <v>45962</v>
      </c>
      <c r="C21" s="3" t="inlineStr">
        <is>
          <t>RNP-2704</t>
        </is>
      </c>
      <c r="D21" s="3" t="inlineStr">
        <is>
          <t>زهور قرنفل صيني</t>
        </is>
      </c>
      <c r="E21" s="4" t="n">
        <v>250</v>
      </c>
      <c r="F21" s="4" t="n">
        <v>0.5</v>
      </c>
      <c r="G21" s="4">
        <f>IF(F21="","",E21*F21)</f>
        <v/>
      </c>
      <c r="H21" s="9">
        <f>IFERROR(IF(VLOOKUP("قرنفل صيني",'قائمة الأسعار الموحدة'!$B$3:$E$69,4,FALSE)="",F21,VLOOKUP("قرنفل صيني",'قائمة الأسعار الموحدة'!$B$3:$E$69,4,FALSE)),F21)</f>
        <v/>
      </c>
      <c r="I21" s="4">
        <f>IF(H21="","",E21*H21)</f>
        <v/>
      </c>
      <c r="J21" s="4">
        <f>IF(OR(G21="",I21=""),"",G21-I21)</f>
        <v/>
      </c>
      <c r="K21" s="3" t="inlineStr"/>
    </row>
    <row r="22">
      <c r="A22" s="4" t="n">
        <v>20</v>
      </c>
      <c r="B22" s="8" t="n">
        <v>45962</v>
      </c>
      <c r="C22" s="3" t="inlineStr">
        <is>
          <t>RNP-2704</t>
        </is>
      </c>
      <c r="D22" s="3" t="inlineStr">
        <is>
          <t>لانتانا لبناني صغير</t>
        </is>
      </c>
      <c r="E22" s="4" t="n">
        <v>40</v>
      </c>
      <c r="F22" s="4" t="n">
        <v>2.5</v>
      </c>
      <c r="G22" s="4">
        <f>IF(F22="","",E22*F22)</f>
        <v/>
      </c>
      <c r="H22" s="9">
        <f>IFERROR(IF(VLOOKUP("لانتانا لبناني صغير",'قائمة الأسعار الموحدة'!$B$3:$E$69,4,FALSE)="",F22,VLOOKUP("لانتانا لبناني صغير",'قائمة الأسعار الموحدة'!$B$3:$E$69,4,FALSE)),F22)</f>
        <v/>
      </c>
      <c r="I22" s="4">
        <f>IF(H22="","",E22*H22)</f>
        <v/>
      </c>
      <c r="J22" s="4">
        <f>IF(OR(G22="",I22=""),"",G22-I22)</f>
        <v/>
      </c>
      <c r="K22" s="3" t="inlineStr"/>
    </row>
    <row r="23">
      <c r="A23" s="4" t="n">
        <v>21</v>
      </c>
      <c r="B23" s="8" t="n">
        <v>45962</v>
      </c>
      <c r="C23" s="3" t="inlineStr">
        <is>
          <t>RNP-2704</t>
        </is>
      </c>
      <c r="D23" s="3" t="inlineStr">
        <is>
          <t>بانستيم اخضر</t>
        </is>
      </c>
      <c r="E23" s="4" t="n">
        <v>150</v>
      </c>
      <c r="F23" s="4" t="n">
        <v>2.5</v>
      </c>
      <c r="G23" s="4">
        <f>IF(F23="","",E23*F23)</f>
        <v/>
      </c>
      <c r="H23" s="9">
        <f>IFERROR(IF(VLOOKUP("بانستيم اخضر",'قائمة الأسعار الموحدة'!$B$3:$E$69,4,FALSE)="",F23,VLOOKUP("بانستيم اخضر",'قائمة الأسعار الموحدة'!$B$3:$E$69,4,FALSE)),F23)</f>
        <v/>
      </c>
      <c r="I23" s="4">
        <f>IF(H23="","",E23*H23)</f>
        <v/>
      </c>
      <c r="J23" s="4">
        <f>IF(OR(G23="",I23=""),"",G23-I23)</f>
        <v/>
      </c>
      <c r="K23" s="3" t="inlineStr"/>
    </row>
    <row r="24">
      <c r="A24" s="4" t="n">
        <v>22</v>
      </c>
      <c r="B24" s="8" t="n">
        <v>45964</v>
      </c>
      <c r="C24" s="3" t="inlineStr">
        <is>
          <t>RNP-2748</t>
        </is>
      </c>
      <c r="D24" s="3" t="inlineStr">
        <is>
          <t>زهور جيرانيوم مركن 9</t>
        </is>
      </c>
      <c r="E24" s="4" t="n">
        <v>625</v>
      </c>
      <c r="F24" s="4" t="n">
        <v>1.5</v>
      </c>
      <c r="G24" s="4">
        <f>IF(F24="","",E24*F24)</f>
        <v/>
      </c>
      <c r="H24" s="9">
        <f>IFERROR(IF(VLOOKUP("جيرانيوم مركن 9",'قائمة الأسعار الموحدة'!$B$3:$E$69,4,FALSE)="",F24,VLOOKUP("جيرانيوم مركن 9",'قائمة الأسعار الموحدة'!$B$3:$E$69,4,FALSE)),F24)</f>
        <v/>
      </c>
      <c r="I24" s="4">
        <f>IF(H24="","",E24*H24)</f>
        <v/>
      </c>
      <c r="J24" s="4">
        <f>IF(OR(G24="",I24=""),"",G24-I24)</f>
        <v/>
      </c>
      <c r="K24" s="3" t="inlineStr"/>
    </row>
    <row r="25">
      <c r="A25" s="4" t="n">
        <v>23</v>
      </c>
      <c r="B25" s="8" t="n">
        <v>45969</v>
      </c>
      <c r="C25" s="3" t="inlineStr">
        <is>
          <t>RNP-2805</t>
        </is>
      </c>
      <c r="D25" s="3" t="inlineStr">
        <is>
          <t>زهور جيرانيوم مركن 9</t>
        </is>
      </c>
      <c r="E25" s="4" t="n">
        <v>30000</v>
      </c>
      <c r="F25" s="4" t="n">
        <v>1.5</v>
      </c>
      <c r="G25" s="4">
        <f>IF(F25="","",E25*F25)</f>
        <v/>
      </c>
      <c r="H25" s="9">
        <f>IFERROR(IF(VLOOKUP("جيرانيوم مركن 9",'قائمة الأسعار الموحدة'!$B$3:$E$69,4,FALSE)="",F25,VLOOKUP("جيرانيوم مركن 9",'قائمة الأسعار الموحدة'!$B$3:$E$69,4,FALSE)),F25)</f>
        <v/>
      </c>
      <c r="I25" s="4">
        <f>IF(H25="","",E25*H25)</f>
        <v/>
      </c>
      <c r="J25" s="4">
        <f>IF(OR(G25="",I25=""),"",G25-I25)</f>
        <v/>
      </c>
      <c r="K25" s="3" t="inlineStr"/>
    </row>
    <row r="26">
      <c r="A26" s="4" t="n">
        <v>24</v>
      </c>
      <c r="B26" s="8" t="n">
        <v>45969</v>
      </c>
      <c r="C26" s="3" t="inlineStr">
        <is>
          <t>RNP-2805</t>
        </is>
      </c>
      <c r="D26" s="3" t="inlineStr">
        <is>
          <t xml:space="preserve">زهور هيبوستس </t>
        </is>
      </c>
      <c r="E26" s="4" t="n">
        <v>1000</v>
      </c>
      <c r="F26" s="4" t="n">
        <v>0.55</v>
      </c>
      <c r="G26" s="4">
        <f>IF(F26="","",E26*F26)</f>
        <v/>
      </c>
      <c r="H26" s="4">
        <f>IFERROR(IF(VLOOKUP("هيبوستس",'قائمة الأسعار الموحدة'!$B$3:$E$69,4,FALSE)="",F26,VLOOKUP("هيبوستس",'قائمة الأسعار الموحدة'!$B$3:$E$69,4,FALSE)),F26)</f>
        <v/>
      </c>
      <c r="I26" s="4">
        <f>IF(H26="","",E26*H26)</f>
        <v/>
      </c>
      <c r="J26" s="4">
        <f>IF(OR(G26="",I26=""),"",G26-I26)</f>
        <v/>
      </c>
      <c r="K26" s="3" t="inlineStr"/>
    </row>
    <row r="27">
      <c r="A27" s="4" t="n">
        <v>25</v>
      </c>
      <c r="B27" s="8" t="n">
        <v>45999</v>
      </c>
      <c r="C27" s="3" t="inlineStr">
        <is>
          <t>RNP-3160</t>
        </is>
      </c>
      <c r="D27" s="3" t="inlineStr">
        <is>
          <t>كمبوست 10 ك</t>
        </is>
      </c>
      <c r="E27" s="4" t="n">
        <v>19</v>
      </c>
      <c r="F27" s="4" t="n">
        <v>2</v>
      </c>
      <c r="G27" s="4">
        <f>IF(F27="","",E27*F27)</f>
        <v/>
      </c>
      <c r="H27" s="9">
        <f>IFERROR(IF(VLOOKUP("كمبوست 10 ك",'قائمة الأسعار الموحدة'!$B$3:$E$69,4,FALSE)="",F27,VLOOKUP("كمبوست 10 ك",'قائمة الأسعار الموحدة'!$B$3:$E$69,4,FALSE)),F27)</f>
        <v/>
      </c>
      <c r="I27" s="4">
        <f>IF(H27="","",E27*H27)</f>
        <v/>
      </c>
      <c r="J27" s="4">
        <f>IF(OR(G27="",I27=""),"",G27-I27)</f>
        <v/>
      </c>
      <c r="K27" s="3" t="inlineStr"/>
    </row>
    <row r="28">
      <c r="A28" s="4" t="n">
        <v>26</v>
      </c>
      <c r="B28" s="8" t="n">
        <v>45999</v>
      </c>
      <c r="C28" s="3" t="inlineStr">
        <is>
          <t>RNP-3165</t>
        </is>
      </c>
      <c r="D28" s="3" t="inlineStr">
        <is>
          <t>زهور اليسوم</t>
        </is>
      </c>
      <c r="E28" s="4" t="n">
        <v>175</v>
      </c>
      <c r="F28" s="4" t="n">
        <v>0.5</v>
      </c>
      <c r="G28" s="4">
        <f>IF(F28="","",E28*F28)</f>
        <v/>
      </c>
      <c r="H28" s="9">
        <f>IFERROR(IF(VLOOKUP("اليسوم",'قائمة الأسعار الموحدة'!$B$3:$E$69,4,FALSE)="",F28,VLOOKUP("اليسوم",'قائمة الأسعار الموحدة'!$B$3:$E$69,4,FALSE)),F28)</f>
        <v/>
      </c>
      <c r="I28" s="4">
        <f>IF(H28="","",E28*H28)</f>
        <v/>
      </c>
      <c r="J28" s="4">
        <f>IF(OR(G28="",I28=""),"",G28-I28)</f>
        <v/>
      </c>
      <c r="K28" s="3" t="inlineStr"/>
    </row>
    <row r="29">
      <c r="A29" s="4" t="n">
        <v>27</v>
      </c>
      <c r="B29" s="8" t="n">
        <v>46011</v>
      </c>
      <c r="C29" s="3" t="inlineStr">
        <is>
          <t>RNP-3276</t>
        </is>
      </c>
      <c r="D29" s="3" t="inlineStr">
        <is>
          <t>زهور ماري جولد</t>
        </is>
      </c>
      <c r="E29" s="4" t="n">
        <v>1500</v>
      </c>
      <c r="F29" s="4" t="n">
        <v>0.5</v>
      </c>
      <c r="G29" s="4">
        <f>IF(F29="","",E29*F29)</f>
        <v/>
      </c>
      <c r="H29" s="4">
        <f>IFERROR(IF(VLOOKUP("ماري جولد",'قائمة الأسعار الموحدة'!$B$3:$E$69,4,FALSE)="",F29,VLOOKUP("ماري جولد",'قائمة الأسعار الموحدة'!$B$3:$E$69,4,FALSE)),F29)</f>
        <v/>
      </c>
      <c r="I29" s="4">
        <f>IF(H29="","",E29*H29)</f>
        <v/>
      </c>
      <c r="J29" s="4">
        <f>IF(OR(G29="",I29=""),"",G29-I29)</f>
        <v/>
      </c>
      <c r="K29" s="3" t="inlineStr"/>
    </row>
    <row r="30">
      <c r="A30" s="4" t="n">
        <v>28</v>
      </c>
      <c r="B30" s="8" t="n">
        <v>46011</v>
      </c>
      <c r="C30" s="3" t="inlineStr">
        <is>
          <t>RNP-3276</t>
        </is>
      </c>
      <c r="D30" s="3" t="inlineStr">
        <is>
          <t>زهور بيتونيا</t>
        </is>
      </c>
      <c r="E30" s="4" t="n">
        <v>5885</v>
      </c>
      <c r="F30" s="4" t="n">
        <v>0.5</v>
      </c>
      <c r="G30" s="4">
        <f>IF(F30="","",E30*F30)</f>
        <v/>
      </c>
      <c r="H30" s="4">
        <f>IFERROR(IF(VLOOKUP("بيتونيا",'قائمة الأسعار الموحدة'!$B$3:$E$69,4,FALSE)="",F30,VLOOKUP("بيتونيا",'قائمة الأسعار الموحدة'!$B$3:$E$69,4,FALSE)),F30)</f>
        <v/>
      </c>
      <c r="I30" s="4">
        <f>IF(H30="","",E30*H30)</f>
        <v/>
      </c>
      <c r="J30" s="4">
        <f>IF(OR(G30="",I30=""),"",G30-I30)</f>
        <v/>
      </c>
      <c r="K30" s="3" t="inlineStr"/>
    </row>
    <row r="31">
      <c r="A31" s="4" t="n">
        <v>29</v>
      </c>
      <c r="B31" s="8" t="n">
        <v>46011</v>
      </c>
      <c r="C31" s="3" t="inlineStr">
        <is>
          <t>RNP-3276</t>
        </is>
      </c>
      <c r="D31" s="3" t="inlineStr">
        <is>
          <t>اكاسيا جلوكا من 1 - 2 متر</t>
        </is>
      </c>
      <c r="E31" s="4" t="n">
        <v>16</v>
      </c>
      <c r="F31" s="4" t="n">
        <v>25</v>
      </c>
      <c r="G31" s="4">
        <f>IF(F31="","",E31*F31)</f>
        <v/>
      </c>
      <c r="H31" s="9">
        <f>IFERROR(IF(VLOOKUP("اكاسيا جلوكا من 1 - 2 متر",'قائمة الأسعار الموحدة'!$B$3:$E$69,4,FALSE)="",F31,VLOOKUP("اكاسيا جلوكا من 1 - 2 متر",'قائمة الأسعار الموحدة'!$B$3:$E$69,4,FALSE)),F31)</f>
        <v/>
      </c>
      <c r="I31" s="4">
        <f>IF(H31="","",E31*H31)</f>
        <v/>
      </c>
      <c r="J31" s="4">
        <f>IF(OR(G31="",I31=""),"",G31-I31)</f>
        <v/>
      </c>
      <c r="K31" s="3" t="inlineStr"/>
    </row>
    <row r="32">
      <c r="A32" s="4" t="n">
        <v>30</v>
      </c>
      <c r="B32" s="8" t="n">
        <v>46026</v>
      </c>
      <c r="C32" s="3" t="inlineStr">
        <is>
          <t>RNP-3432</t>
        </is>
      </c>
      <c r="D32" s="3" t="inlineStr">
        <is>
          <t>جيرانيوم مركن 12</t>
        </is>
      </c>
      <c r="E32" s="4" t="n">
        <v>17900</v>
      </c>
      <c r="F32" s="4" t="n">
        <v>3</v>
      </c>
      <c r="G32" s="4">
        <f>IF(F32="","",E32*F32)</f>
        <v/>
      </c>
      <c r="H32" s="9">
        <f>IFERROR(IF(VLOOKUP("جيرانيوم مركن 12",'قائمة الأسعار الموحدة'!$B$3:$E$69,4,FALSE)="",F32,VLOOKUP("جيرانيوم مركن 12",'قائمة الأسعار الموحدة'!$B$3:$E$69,4,FALSE)),F32)</f>
        <v/>
      </c>
      <c r="I32" s="4">
        <f>IF(H32="","",E32*H32)</f>
        <v/>
      </c>
      <c r="J32" s="4">
        <f>IF(OR(G32="",I32=""),"",G32-I32)</f>
        <v/>
      </c>
      <c r="K32" s="3" t="inlineStr"/>
    </row>
    <row r="33">
      <c r="A33" s="4" t="n">
        <v>31</v>
      </c>
      <c r="B33" s="8" t="n">
        <v>46026</v>
      </c>
      <c r="C33" s="3" t="inlineStr">
        <is>
          <t>RNP-3432</t>
        </is>
      </c>
      <c r="D33" s="3" t="inlineStr">
        <is>
          <t>زهور اليسوم</t>
        </is>
      </c>
      <c r="E33" s="4" t="n">
        <v>2000</v>
      </c>
      <c r="F33" s="4" t="n">
        <v>0.5</v>
      </c>
      <c r="G33" s="4">
        <f>IF(F33="","",E33*F33)</f>
        <v/>
      </c>
      <c r="H33" s="9">
        <f>IFERROR(IF(VLOOKUP("اليسوم",'قائمة الأسعار الموحدة'!$B$3:$E$69,4,FALSE)="",F33,VLOOKUP("اليسوم",'قائمة الأسعار الموحدة'!$B$3:$E$69,4,FALSE)),F33)</f>
        <v/>
      </c>
      <c r="I33" s="4">
        <f>IF(H33="","",E33*H33)</f>
        <v/>
      </c>
      <c r="J33" s="4">
        <f>IF(OR(G33="",I33=""),"",G33-I33)</f>
        <v/>
      </c>
      <c r="K33" s="3" t="inlineStr"/>
    </row>
    <row r="34">
      <c r="A34" s="4" t="n">
        <v>32</v>
      </c>
      <c r="B34" s="8" t="n">
        <v>46026</v>
      </c>
      <c r="C34" s="3" t="inlineStr">
        <is>
          <t>RNP-3433</t>
        </is>
      </c>
      <c r="D34" s="3" t="inlineStr">
        <is>
          <t>زهور جيرانيوم مركن 9</t>
        </is>
      </c>
      <c r="E34" s="4" t="n">
        <v>1400</v>
      </c>
      <c r="F34" s="4" t="n">
        <v>1.5</v>
      </c>
      <c r="G34" s="4">
        <f>IF(F34="","",E34*F34)</f>
        <v/>
      </c>
      <c r="H34" s="9">
        <f>IFERROR(IF(VLOOKUP("جيرانيوم مركن 9",'قائمة الأسعار الموحدة'!$B$3:$E$69,4,FALSE)="",F34,VLOOKUP("جيرانيوم مركن 9",'قائمة الأسعار الموحدة'!$B$3:$E$69,4,FALSE)),F34)</f>
        <v/>
      </c>
      <c r="I34" s="4">
        <f>IF(H34="","",E34*H34)</f>
        <v/>
      </c>
      <c r="J34" s="4">
        <f>IF(OR(G34="",I34=""),"",G34-I34)</f>
        <v/>
      </c>
      <c r="K34" s="3" t="inlineStr"/>
    </row>
    <row r="35">
      <c r="A35" s="4" t="n">
        <v>33</v>
      </c>
      <c r="B35" s="8" t="n">
        <v>46026</v>
      </c>
      <c r="C35" s="3" t="inlineStr">
        <is>
          <t>RNP-3433</t>
        </is>
      </c>
      <c r="D35" s="3" t="inlineStr">
        <is>
          <t>زهور بيتونيا</t>
        </is>
      </c>
      <c r="E35" s="4" t="n">
        <v>1000</v>
      </c>
      <c r="F35" s="4" t="n">
        <v>0.5</v>
      </c>
      <c r="G35" s="4">
        <f>IF(F35="","",E35*F35)</f>
        <v/>
      </c>
      <c r="H35" s="4">
        <f>IFERROR(IF(VLOOKUP("بيتونيا",'قائمة الأسعار الموحدة'!$B$3:$E$69,4,FALSE)="",F35,VLOOKUP("بيتونيا",'قائمة الأسعار الموحدة'!$B$3:$E$69,4,FALSE)),F35)</f>
        <v/>
      </c>
      <c r="I35" s="4">
        <f>IF(H35="","",E35*H35)</f>
        <v/>
      </c>
      <c r="J35" s="4">
        <f>IF(OR(G35="",I35=""),"",G35-I35)</f>
        <v/>
      </c>
      <c r="K35" s="3" t="inlineStr"/>
    </row>
    <row r="36">
      <c r="A36" s="4" t="n">
        <v>34</v>
      </c>
      <c r="B36" s="8" t="n">
        <v>46026</v>
      </c>
      <c r="C36" s="3" t="inlineStr">
        <is>
          <t>RNP-3433</t>
        </is>
      </c>
      <c r="D36" s="3" t="inlineStr">
        <is>
          <t>زهور ماري جولد</t>
        </is>
      </c>
      <c r="E36" s="4" t="n">
        <v>600</v>
      </c>
      <c r="F36" s="4" t="n">
        <v>0.5</v>
      </c>
      <c r="G36" s="4">
        <f>IF(F36="","",E36*F36)</f>
        <v/>
      </c>
      <c r="H36" s="4">
        <f>IFERROR(IF(VLOOKUP("ماري جولد",'قائمة الأسعار الموحدة'!$B$3:$E$69,4,FALSE)="",F36,VLOOKUP("ماري جولد",'قائمة الأسعار الموحدة'!$B$3:$E$69,4,FALSE)),F36)</f>
        <v/>
      </c>
      <c r="I36" s="4">
        <f>IF(H36="","",E36*H36)</f>
        <v/>
      </c>
      <c r="J36" s="4">
        <f>IF(OR(G36="",I36=""),"",G36-I36)</f>
        <v/>
      </c>
      <c r="K36" s="3" t="inlineStr"/>
    </row>
    <row r="37">
      <c r="A37" s="4" t="n">
        <v>35</v>
      </c>
      <c r="B37" s="8" t="n">
        <v>46026</v>
      </c>
      <c r="C37" s="3" t="inlineStr">
        <is>
          <t>RNP-3433</t>
        </is>
      </c>
      <c r="D37" s="3" t="inlineStr">
        <is>
          <t>زهور اليسوم</t>
        </is>
      </c>
      <c r="E37" s="4" t="n">
        <v>2000</v>
      </c>
      <c r="F37" s="4" t="n">
        <v>0.5</v>
      </c>
      <c r="G37" s="4">
        <f>IF(F37="","",E37*F37)</f>
        <v/>
      </c>
      <c r="H37" s="9">
        <f>IFERROR(IF(VLOOKUP("اليسوم",'قائمة الأسعار الموحدة'!$B$3:$E$69,4,FALSE)="",F37,VLOOKUP("اليسوم",'قائمة الأسعار الموحدة'!$B$3:$E$69,4,FALSE)),F37)</f>
        <v/>
      </c>
      <c r="I37" s="4">
        <f>IF(H37="","",E37*H37)</f>
        <v/>
      </c>
      <c r="J37" s="4">
        <f>IF(OR(G37="",I37=""),"",G37-I37)</f>
        <v/>
      </c>
      <c r="K37" s="3" t="inlineStr"/>
    </row>
    <row r="38">
      <c r="A38" s="4" t="n">
        <v>36</v>
      </c>
      <c r="B38" s="8" t="n">
        <v>46026</v>
      </c>
      <c r="C38" s="3" t="inlineStr">
        <is>
          <t>RNT-3434</t>
        </is>
      </c>
      <c r="D38" s="3" t="inlineStr">
        <is>
          <t>زهور ماري جولد</t>
        </is>
      </c>
      <c r="E38" s="4" t="n">
        <v>2000</v>
      </c>
      <c r="F38" s="4" t="n">
        <v>0.5</v>
      </c>
      <c r="G38" s="4">
        <f>IF(F38="","",E38*F38)</f>
        <v/>
      </c>
      <c r="H38" s="4">
        <f>IFERROR(IF(VLOOKUP("ماري جولد",'قائمة الأسعار الموحدة'!$B$3:$E$69,4,FALSE)="",F38,VLOOKUP("ماري جولد",'قائمة الأسعار الموحدة'!$B$3:$E$69,4,FALSE)),F38)</f>
        <v/>
      </c>
      <c r="I38" s="4">
        <f>IF(H38="","",E38*H38)</f>
        <v/>
      </c>
      <c r="J38" s="4">
        <f>IF(OR(G38="",I38=""),"",G38-I38)</f>
        <v/>
      </c>
      <c r="K38" s="3" t="inlineStr"/>
    </row>
    <row r="39">
      <c r="A39" s="4" t="n">
        <v>37</v>
      </c>
      <c r="B39" s="8" t="n">
        <v>46029</v>
      </c>
      <c r="C39" s="3" t="inlineStr">
        <is>
          <t>RNP-3491</t>
        </is>
      </c>
      <c r="D39" s="3" t="inlineStr">
        <is>
          <t>زهور بيتونيا</t>
        </is>
      </c>
      <c r="E39" s="4" t="n">
        <v>2200</v>
      </c>
      <c r="F39" s="4" t="n">
        <v>0.5</v>
      </c>
      <c r="G39" s="4">
        <f>IF(F39="","",E39*F39)</f>
        <v/>
      </c>
      <c r="H39" s="4">
        <f>IFERROR(IF(VLOOKUP("بيتونيا",'قائمة الأسعار الموحدة'!$B$3:$E$69,4,FALSE)="",F39,VLOOKUP("بيتونيا",'قائمة الأسعار الموحدة'!$B$3:$E$69,4,FALSE)),F39)</f>
        <v/>
      </c>
      <c r="I39" s="4">
        <f>IF(H39="","",E39*H39)</f>
        <v/>
      </c>
      <c r="J39" s="4">
        <f>IF(OR(G39="",I39=""),"",G39-I39)</f>
        <v/>
      </c>
      <c r="K39" s="3" t="inlineStr"/>
    </row>
    <row r="40">
      <c r="A40" s="4" t="n">
        <v>38</v>
      </c>
      <c r="B40" s="8" t="n">
        <v>46029</v>
      </c>
      <c r="C40" s="3" t="inlineStr">
        <is>
          <t>RNP-3491</t>
        </is>
      </c>
      <c r="D40" s="3" t="inlineStr">
        <is>
          <t>زهور اليسوم</t>
        </is>
      </c>
      <c r="E40" s="4" t="n">
        <v>700</v>
      </c>
      <c r="F40" s="4" t="n">
        <v>0.5</v>
      </c>
      <c r="G40" s="4">
        <f>IF(F40="","",E40*F40)</f>
        <v/>
      </c>
      <c r="H40" s="9">
        <f>IFERROR(IF(VLOOKUP("اليسوم",'قائمة الأسعار الموحدة'!$B$3:$E$69,4,FALSE)="",F40,VLOOKUP("اليسوم",'قائمة الأسعار الموحدة'!$B$3:$E$69,4,FALSE)),F40)</f>
        <v/>
      </c>
      <c r="I40" s="4">
        <f>IF(H40="","",E40*H40)</f>
        <v/>
      </c>
      <c r="J40" s="4">
        <f>IF(OR(G40="",I40=""),"",G40-I40)</f>
        <v/>
      </c>
      <c r="K40" s="3" t="inlineStr"/>
    </row>
    <row r="41">
      <c r="A41" s="4" t="n">
        <v>39</v>
      </c>
      <c r="B41" s="8" t="n">
        <v>46029</v>
      </c>
      <c r="C41" s="3" t="inlineStr">
        <is>
          <t>RNP-3491</t>
        </is>
      </c>
      <c r="D41" s="3" t="inlineStr">
        <is>
          <t>دورانتا اخضر</t>
        </is>
      </c>
      <c r="E41" s="4" t="n">
        <v>1200</v>
      </c>
      <c r="F41" s="4" t="n">
        <v>2.5</v>
      </c>
      <c r="G41" s="4">
        <f>IF(F41="","",E41*F41)</f>
        <v/>
      </c>
      <c r="H41" s="9">
        <f>IFERROR(IF(VLOOKUP("دورانتا اخضر",'قائمة الأسعار الموحدة'!$B$3:$E$69,4,FALSE)="",F41,VLOOKUP("دورانتا اخضر",'قائمة الأسعار الموحدة'!$B$3:$E$69,4,FALSE)),F41)</f>
        <v/>
      </c>
      <c r="I41" s="4">
        <f>IF(H41="","",E41*H41)</f>
        <v/>
      </c>
      <c r="J41" s="4">
        <f>IF(OR(G41="",I41=""),"",G41-I41)</f>
        <v/>
      </c>
      <c r="K41" s="3" t="inlineStr"/>
    </row>
    <row r="42">
      <c r="A42" s="4" t="n">
        <v>40</v>
      </c>
      <c r="B42" s="8" t="n">
        <v>46033</v>
      </c>
      <c r="C42" s="3" t="inlineStr">
        <is>
          <t>RNP-3520</t>
        </is>
      </c>
      <c r="D42" s="3" t="inlineStr">
        <is>
          <t>زهور بيتونيا</t>
        </is>
      </c>
      <c r="E42" s="4" t="n">
        <v>6000</v>
      </c>
      <c r="F42" s="4" t="n">
        <v>0.5</v>
      </c>
      <c r="G42" s="4">
        <f>IF(F42="","",E42*F42)</f>
        <v/>
      </c>
      <c r="H42" s="4">
        <f>IFERROR(IF(VLOOKUP("بيتونيا",'قائمة الأسعار الموحدة'!$B$3:$E$69,4,FALSE)="",F42,VLOOKUP("بيتونيا",'قائمة الأسعار الموحدة'!$B$3:$E$69,4,FALSE)),F42)</f>
        <v/>
      </c>
      <c r="I42" s="4">
        <f>IF(H42="","",E42*H42)</f>
        <v/>
      </c>
      <c r="J42" s="4">
        <f>IF(OR(G42="",I42=""),"",G42-I42)</f>
        <v/>
      </c>
      <c r="K42" s="3" t="inlineStr"/>
    </row>
    <row r="43">
      <c r="A43" s="4" t="n">
        <v>41</v>
      </c>
      <c r="B43" s="8" t="n">
        <v>46040</v>
      </c>
      <c r="C43" s="3" t="inlineStr">
        <is>
          <t>RNP-3586</t>
        </is>
      </c>
      <c r="D43" s="3" t="inlineStr">
        <is>
          <t>تيكوماريا</t>
        </is>
      </c>
      <c r="E43" s="4" t="n">
        <v>34</v>
      </c>
      <c r="F43" s="4" t="n">
        <v>2.5</v>
      </c>
      <c r="G43" s="4">
        <f>IF(F43="","",E43*F43)</f>
        <v/>
      </c>
      <c r="H43" s="9">
        <f>IFERROR(IF(VLOOKUP("تيكوماريا 50",'قائمة الأسعار الموحدة'!$B$3:$E$69,4,FALSE)="",F43,VLOOKUP("تيكوماريا 50",'قائمة الأسعار الموحدة'!$B$3:$E$69,4,FALSE)),F43)</f>
        <v/>
      </c>
      <c r="I43" s="4">
        <f>IF(H43="","",E43*H43)</f>
        <v/>
      </c>
      <c r="J43" s="4">
        <f>IF(OR(G43="",I43=""),"",G43-I43)</f>
        <v/>
      </c>
      <c r="K43" s="3" t="inlineStr"/>
    </row>
    <row r="44">
      <c r="A44" s="4" t="n">
        <v>42</v>
      </c>
      <c r="B44" s="8" t="n">
        <v>46042</v>
      </c>
      <c r="C44" s="3" t="inlineStr">
        <is>
          <t>RNT-3604</t>
        </is>
      </c>
      <c r="D44" s="3" t="inlineStr">
        <is>
          <t>تراديسكانتيا مركن 19 علاقي</t>
        </is>
      </c>
      <c r="E44" s="4" t="n">
        <v>270</v>
      </c>
      <c r="F44" s="4" t="n">
        <v>10</v>
      </c>
      <c r="G44" s="4">
        <f>IF(F44="","",E44*F44)</f>
        <v/>
      </c>
      <c r="H44" s="9">
        <f>IFERROR(IF(VLOOKUP("تراديسكانتيا مركن 19 علاقي",'قائمة الأسعار الموحدة'!$B$3:$E$69,4,FALSE)="",F44,VLOOKUP("تراديسكانتيا مركن 19 علاقي",'قائمة الأسعار الموحدة'!$B$3:$E$69,4,FALSE)),F44)</f>
        <v/>
      </c>
      <c r="I44" s="4">
        <f>IF(H44="","",E44*H44)</f>
        <v/>
      </c>
      <c r="J44" s="4">
        <f>IF(OR(G44="",I44=""),"",G44-I44)</f>
        <v/>
      </c>
      <c r="K44" s="3" t="inlineStr"/>
    </row>
    <row r="45">
      <c r="A45" s="4" t="n">
        <v>43</v>
      </c>
      <c r="B45" s="8" t="n">
        <v>46042</v>
      </c>
      <c r="C45" s="3" t="inlineStr">
        <is>
          <t>RNT-3604</t>
        </is>
      </c>
      <c r="D45" s="3" t="inlineStr">
        <is>
          <t>كلانشو هولندي مركن 12</t>
        </is>
      </c>
      <c r="E45" s="4" t="n">
        <v>1500</v>
      </c>
      <c r="F45" s="4" t="n">
        <v>4</v>
      </c>
      <c r="G45" s="4">
        <f>IF(F45="","",E45*F45)</f>
        <v/>
      </c>
      <c r="H45" s="9">
        <f>IFERROR(IF(VLOOKUP("كلانشو هولندي مركن 12",'قائمة الأسعار الموحدة'!$B$3:$E$69,4,FALSE)="",F45,VLOOKUP("كلانشو هولندي مركن 12",'قائمة الأسعار الموحدة'!$B$3:$E$69,4,FALSE)),F45)</f>
        <v/>
      </c>
      <c r="I45" s="4">
        <f>IF(H45="","",E45*H45)</f>
        <v/>
      </c>
      <c r="J45" s="4">
        <f>IF(OR(G45="",I45=""),"",G45-I45)</f>
        <v/>
      </c>
      <c r="K45" s="3" t="inlineStr"/>
    </row>
    <row r="46">
      <c r="A46" s="4" t="n">
        <v>44</v>
      </c>
      <c r="B46" s="8" t="n">
        <v>46042</v>
      </c>
      <c r="C46" s="3" t="inlineStr">
        <is>
          <t>RNT-3604</t>
        </is>
      </c>
      <c r="D46" s="3" t="inlineStr">
        <is>
          <t>زهور قرنفل صيني</t>
        </is>
      </c>
      <c r="E46" s="4" t="n">
        <v>1000</v>
      </c>
      <c r="F46" s="4" t="n">
        <v>0.5</v>
      </c>
      <c r="G46" s="4">
        <f>IF(F46="","",E46*F46)</f>
        <v/>
      </c>
      <c r="H46" s="9">
        <f>IFERROR(IF(VLOOKUP("قرنفل صيني",'قائمة الأسعار الموحدة'!$B$3:$E$69,4,FALSE)="",F46,VLOOKUP("قرنفل صيني",'قائمة الأسعار الموحدة'!$B$3:$E$69,4,FALSE)),F46)</f>
        <v/>
      </c>
      <c r="I46" s="4">
        <f>IF(H46="","",E46*H46)</f>
        <v/>
      </c>
      <c r="J46" s="4">
        <f>IF(OR(G46="",I46=""),"",G46-I46)</f>
        <v/>
      </c>
      <c r="K46" s="3" t="inlineStr"/>
    </row>
    <row r="47">
      <c r="A47" s="4" t="n">
        <v>45</v>
      </c>
      <c r="B47" s="8" t="n">
        <v>46042</v>
      </c>
      <c r="C47" s="3" t="inlineStr">
        <is>
          <t>RNP-3613</t>
        </is>
      </c>
      <c r="D47" s="3" t="inlineStr">
        <is>
          <t>جيرانيوم مركن 12</t>
        </is>
      </c>
      <c r="E47" s="4" t="n">
        <v>450</v>
      </c>
      <c r="F47" s="4" t="n">
        <v>3</v>
      </c>
      <c r="G47" s="4">
        <f>IF(F47="","",E47*F47)</f>
        <v/>
      </c>
      <c r="H47" s="9">
        <f>IFERROR(IF(VLOOKUP("جيرانيوم مركن 12",'قائمة الأسعار الموحدة'!$B$3:$E$69,4,FALSE)="",F47,VLOOKUP("جيرانيوم مركن 12",'قائمة الأسعار الموحدة'!$B$3:$E$69,4,FALSE)),F47)</f>
        <v/>
      </c>
      <c r="I47" s="4">
        <f>IF(H47="","",E47*H47)</f>
        <v/>
      </c>
      <c r="J47" s="4">
        <f>IF(OR(G47="",I47=""),"",G47-I47)</f>
        <v/>
      </c>
      <c r="K47" s="3" t="inlineStr"/>
    </row>
    <row r="48">
      <c r="A48" s="4" t="n">
        <v>46</v>
      </c>
      <c r="B48" s="8" t="n">
        <v>46042</v>
      </c>
      <c r="C48" s="3" t="inlineStr">
        <is>
          <t>RNP-3613</t>
        </is>
      </c>
      <c r="D48" s="3" t="inlineStr">
        <is>
          <t>نخيل سايكس 30 سم</t>
        </is>
      </c>
      <c r="E48" s="4" t="n">
        <v>4</v>
      </c>
      <c r="F48" s="4" t="n">
        <v>262.5</v>
      </c>
      <c r="G48" s="4">
        <f>IF(F48="","",E48*F48)</f>
        <v/>
      </c>
      <c r="H48" s="9">
        <f>IFERROR(IF(VLOOKUP("نخيل سايكس 30",'قائمة الأسعار الموحدة'!$B$3:$E$69,4,FALSE)="",F48,VLOOKUP("نخيل سايكس 30",'قائمة الأسعار الموحدة'!$B$3:$E$69,4,FALSE)),F48)</f>
        <v/>
      </c>
      <c r="I48" s="4">
        <f>IF(H48="","",E48*H48)</f>
        <v/>
      </c>
      <c r="J48" s="4">
        <f>IF(OR(G48="",I48=""),"",G48-I48)</f>
        <v/>
      </c>
      <c r="K48" s="3" t="inlineStr"/>
    </row>
    <row r="49">
      <c r="A49" s="4" t="n">
        <v>47</v>
      </c>
      <c r="B49" s="8" t="n">
        <v>46042</v>
      </c>
      <c r="C49" s="3" t="inlineStr">
        <is>
          <t>RNP-3613</t>
        </is>
      </c>
      <c r="D49" s="3" t="inlineStr">
        <is>
          <t>جهنمية بلدي 50 سم</t>
        </is>
      </c>
      <c r="E49" s="4" t="n">
        <v>30</v>
      </c>
      <c r="F49" s="4" t="n">
        <v>5</v>
      </c>
      <c r="G49" s="4">
        <f>IF(F49="","",E49*F49)</f>
        <v/>
      </c>
      <c r="H49" s="9">
        <f>IFERROR(IF(VLOOKUP("جهنميه بلدي 50",'قائمة الأسعار الموحدة'!$B$3:$E$69,4,FALSE)="",F49,VLOOKUP("جهنميه بلدي 50",'قائمة الأسعار الموحدة'!$B$3:$E$69,4,FALSE)),F49)</f>
        <v/>
      </c>
      <c r="I49" s="4">
        <f>IF(H49="","",E49*H49)</f>
        <v/>
      </c>
      <c r="J49" s="4">
        <f>IF(OR(G49="",I49=""),"",G49-I49)</f>
        <v/>
      </c>
      <c r="K49" s="3" t="inlineStr"/>
    </row>
    <row r="50">
      <c r="A50" s="4" t="n">
        <v>48</v>
      </c>
      <c r="B50" s="8" t="n">
        <v>46060</v>
      </c>
      <c r="C50" s="3" t="inlineStr">
        <is>
          <t>RNP-3767</t>
        </is>
      </c>
      <c r="D50" s="3" t="inlineStr">
        <is>
          <t>زهور اقحوان افريقي هولندي مركن 12</t>
        </is>
      </c>
      <c r="E50" s="4" t="n">
        <v>1785</v>
      </c>
      <c r="F50" s="4" t="n">
        <v>3.25</v>
      </c>
      <c r="G50" s="4">
        <f>IF(F50="","",E50*F50)</f>
        <v/>
      </c>
      <c r="H50" s="9">
        <f>IFERROR(IF(VLOOKUP("اقحوان افريقي هولندي مركن 12",'قائمة الأسعار الموحدة'!$B$3:$E$69,4,FALSE)="",F50,VLOOKUP("اقحوان افريقي هولندي مركن 12",'قائمة الأسعار الموحدة'!$B$3:$E$69,4,FALSE)),F50)</f>
        <v/>
      </c>
      <c r="I50" s="4">
        <f>IF(H50="","",E50*H50)</f>
        <v/>
      </c>
      <c r="J50" s="4">
        <f>IF(OR(G50="",I50=""),"",G50-I50)</f>
        <v/>
      </c>
      <c r="K50" s="3" t="inlineStr"/>
    </row>
    <row r="51">
      <c r="A51" s="4" t="n">
        <v>49</v>
      </c>
      <c r="B51" s="8" t="n">
        <v>46060</v>
      </c>
      <c r="C51" s="3" t="inlineStr">
        <is>
          <t>RNP-3767</t>
        </is>
      </c>
      <c r="D51" s="3" t="inlineStr">
        <is>
          <t>زهور ملفوف مركن 9</t>
        </is>
      </c>
      <c r="E51" s="4" t="n">
        <v>2000</v>
      </c>
      <c r="F51" s="4" t="n">
        <v>0.5</v>
      </c>
      <c r="G51" s="4">
        <f>IF(F51="","",E51*F51)</f>
        <v/>
      </c>
      <c r="H51" s="9">
        <f>IFERROR(IF(VLOOKUP("ملفوف مركن 9",'قائمة الأسعار الموحدة'!$B$3:$E$69,4,FALSE)="",F51,VLOOKUP("ملفوف مركن 9",'قائمة الأسعار الموحدة'!$B$3:$E$69,4,FALSE)),F51)</f>
        <v/>
      </c>
      <c r="I51" s="4">
        <f>IF(H51="","",E51*H51)</f>
        <v/>
      </c>
      <c r="J51" s="4">
        <f>IF(OR(G51="",I51=""),"",G51-I51)</f>
        <v/>
      </c>
      <c r="K51" s="3" t="inlineStr"/>
    </row>
    <row r="52">
      <c r="A52" s="4" t="n">
        <v>50</v>
      </c>
      <c r="B52" s="8" t="n">
        <v>46064</v>
      </c>
      <c r="C52" s="3" t="inlineStr">
        <is>
          <t>RNT-3805</t>
        </is>
      </c>
      <c r="D52" s="3" t="inlineStr">
        <is>
          <t>زهور اقحوان افريقي هولندي مركن 12</t>
        </is>
      </c>
      <c r="E52" s="4" t="n">
        <v>90</v>
      </c>
      <c r="F52" s="4" t="n">
        <v>3.25</v>
      </c>
      <c r="G52" s="4">
        <f>IF(F52="","",E52*F52)</f>
        <v/>
      </c>
      <c r="H52" s="9">
        <f>IFERROR(IF(VLOOKUP("اقحوان افريقي هولندي مركن 12",'قائمة الأسعار الموحدة'!$B$3:$E$69,4,FALSE)="",F52,VLOOKUP("اقحوان افريقي هولندي مركن 12",'قائمة الأسعار الموحدة'!$B$3:$E$69,4,FALSE)),F52)</f>
        <v/>
      </c>
      <c r="I52" s="4">
        <f>IF(H52="","",E52*H52)</f>
        <v/>
      </c>
      <c r="J52" s="4">
        <f>IF(OR(G52="",I52=""),"",G52-I52)</f>
        <v/>
      </c>
      <c r="K52" s="3" t="inlineStr"/>
    </row>
    <row r="53">
      <c r="A53" s="4" t="n">
        <v>51</v>
      </c>
      <c r="B53" s="8" t="n">
        <v>46064</v>
      </c>
      <c r="C53" s="3" t="inlineStr">
        <is>
          <t>RNT-3805</t>
        </is>
      </c>
      <c r="D53" s="3" t="inlineStr">
        <is>
          <t>زهور اقحوان افريقي مركن 9</t>
        </is>
      </c>
      <c r="E53" s="4" t="n">
        <v>150</v>
      </c>
      <c r="F53" s="4" t="n">
        <v>1.5</v>
      </c>
      <c r="G53" s="4">
        <f>IF(F53="","",E53*F53)</f>
        <v/>
      </c>
      <c r="H53" s="9">
        <f>IFERROR(IF(VLOOKUP("اقحوان افريقي مركن 9",'قائمة الأسعار الموحدة'!$B$3:$E$69,4,FALSE)="",F53,VLOOKUP("اقحوان افريقي مركن 9",'قائمة الأسعار الموحدة'!$B$3:$E$69,4,FALSE)),F53)</f>
        <v/>
      </c>
      <c r="I53" s="4">
        <f>IF(H53="","",E53*H53)</f>
        <v/>
      </c>
      <c r="J53" s="4">
        <f>IF(OR(G53="",I53=""),"",G53-I53)</f>
        <v/>
      </c>
      <c r="K53" s="3" t="inlineStr"/>
    </row>
    <row r="54">
      <c r="A54" s="4" t="n">
        <v>52</v>
      </c>
      <c r="B54" s="8" t="n">
        <v>46064</v>
      </c>
      <c r="C54" s="3" t="inlineStr">
        <is>
          <t>RNT-3805</t>
        </is>
      </c>
      <c r="D54" s="3" t="inlineStr">
        <is>
          <t>زهور منثور مركن 9</t>
        </is>
      </c>
      <c r="E54" s="4" t="n">
        <v>150</v>
      </c>
      <c r="F54" s="4" t="n">
        <v>0.5</v>
      </c>
      <c r="G54" s="4">
        <f>IF(F54="","",E54*F54)</f>
        <v/>
      </c>
      <c r="H54" s="9">
        <f>IFERROR(IF(VLOOKUP("منثور مركن 9",'قائمة الأسعار الموحدة'!$B$3:$E$69,4,FALSE)="",F54,VLOOKUP("منثور مركن 9",'قائمة الأسعار الموحدة'!$B$3:$E$69,4,FALSE)),F54)</f>
        <v/>
      </c>
      <c r="I54" s="4">
        <f>IF(H54="","",E54*H54)</f>
        <v/>
      </c>
      <c r="J54" s="4">
        <f>IF(OR(G54="",I54=""),"",G54-I54)</f>
        <v/>
      </c>
      <c r="K54" s="3" t="inlineStr"/>
    </row>
    <row r="55">
      <c r="A55" s="4" t="n">
        <v>53</v>
      </c>
      <c r="B55" s="8" t="n">
        <v>46064</v>
      </c>
      <c r="C55" s="3" t="inlineStr">
        <is>
          <t>RNT-3805</t>
        </is>
      </c>
      <c r="D55" s="3" t="inlineStr">
        <is>
          <t>زهور جيرانيوم  هولندي مركن12</t>
        </is>
      </c>
      <c r="E55" s="4" t="n">
        <v>180</v>
      </c>
      <c r="F55" s="4" t="n">
        <v>3.75</v>
      </c>
      <c r="G55" s="4">
        <f>IF(F55="","",E55*F55)</f>
        <v/>
      </c>
      <c r="H55" s="9">
        <f>IFERROR(IF(VLOOKUP("جيرانيوم هولندي مركن 12",'قائمة الأسعار الموحدة'!$B$3:$E$69,4,FALSE)="",F55,VLOOKUP("جيرانيوم هولندي مركن 12",'قائمة الأسعار الموحدة'!$B$3:$E$69,4,FALSE)),F55)</f>
        <v/>
      </c>
      <c r="I55" s="4">
        <f>IF(H55="","",E55*H55)</f>
        <v/>
      </c>
      <c r="J55" s="4">
        <f>IF(OR(G55="",I55=""),"",G55-I55)</f>
        <v/>
      </c>
      <c r="K55" s="3" t="inlineStr"/>
    </row>
    <row r="56">
      <c r="A56" s="4" t="n">
        <v>54</v>
      </c>
      <c r="B56" s="8" t="n">
        <v>46064</v>
      </c>
      <c r="C56" s="3" t="inlineStr">
        <is>
          <t>RNT-3805</t>
        </is>
      </c>
      <c r="D56" s="3" t="inlineStr">
        <is>
          <t>زهور قرنفل امريكي 12</t>
        </is>
      </c>
      <c r="E56" s="4" t="n">
        <v>90</v>
      </c>
      <c r="F56" s="4" t="n">
        <v>4</v>
      </c>
      <c r="G56" s="4">
        <f>IF(F56="","",E56*F56)</f>
        <v/>
      </c>
      <c r="H56" s="9">
        <f>IFERROR(IF(VLOOKUP("قرنفل امريكي 12",'قائمة الأسعار الموحدة'!$B$3:$E$69,4,FALSE)="",F56,VLOOKUP("قرنفل امريكي 12",'قائمة الأسعار الموحدة'!$B$3:$E$69,4,FALSE)),F56)</f>
        <v/>
      </c>
      <c r="I56" s="4">
        <f>IF(H56="","",E56*H56)</f>
        <v/>
      </c>
      <c r="J56" s="4">
        <f>IF(OR(G56="",I56=""),"",G56-I56)</f>
        <v/>
      </c>
      <c r="K56" s="3" t="inlineStr"/>
    </row>
    <row r="57">
      <c r="A57" s="4" t="n">
        <v>55</v>
      </c>
      <c r="B57" s="8" t="n">
        <v>46064</v>
      </c>
      <c r="C57" s="3" t="inlineStr">
        <is>
          <t>RNT-3805</t>
        </is>
      </c>
      <c r="D57" s="3" t="inlineStr">
        <is>
          <t>زهور سينيراريا 12</t>
        </is>
      </c>
      <c r="E57" s="4" t="n">
        <v>48</v>
      </c>
      <c r="F57" s="4" t="n">
        <v>2.5</v>
      </c>
      <c r="G57" s="4">
        <f>IF(F57="","",E57*F57)</f>
        <v/>
      </c>
      <c r="H57" s="9">
        <f>IFERROR(IF(VLOOKUP("سينيراريا مركن 12",'قائمة الأسعار الموحدة'!$B$3:$E$69,4,FALSE)="",F57,VLOOKUP("سينيراريا مركن 12",'قائمة الأسعار الموحدة'!$B$3:$E$69,4,FALSE)),F57)</f>
        <v/>
      </c>
      <c r="I57" s="4">
        <f>IF(H57="","",E57*H57)</f>
        <v/>
      </c>
      <c r="J57" s="4">
        <f>IF(OR(G57="",I57=""),"",G57-I57)</f>
        <v/>
      </c>
      <c r="K57" s="3" t="inlineStr"/>
    </row>
    <row r="58">
      <c r="A58" s="4" t="n">
        <v>56</v>
      </c>
      <c r="B58" s="8" t="n">
        <v>46068</v>
      </c>
      <c r="C58" s="3" t="inlineStr">
        <is>
          <t>RNP-3839</t>
        </is>
      </c>
      <c r="D58" s="3" t="inlineStr">
        <is>
          <t>زهور بيتونيا</t>
        </is>
      </c>
      <c r="E58" s="4" t="n">
        <v>312</v>
      </c>
      <c r="F58" s="4" t="n">
        <v>0.5</v>
      </c>
      <c r="G58" s="4">
        <f>IF(F58="","",E58*F58)</f>
        <v/>
      </c>
      <c r="H58" s="4">
        <f>IFERROR(IF(VLOOKUP("بيتونيا",'قائمة الأسعار الموحدة'!$B$3:$E$69,4,FALSE)="",F58,VLOOKUP("بيتونيا",'قائمة الأسعار الموحدة'!$B$3:$E$69,4,FALSE)),F58)</f>
        <v/>
      </c>
      <c r="I58" s="4">
        <f>IF(H58="","",E58*H58)</f>
        <v/>
      </c>
      <c r="J58" s="4">
        <f>IF(OR(G58="",I58=""),"",G58-I58)</f>
        <v/>
      </c>
      <c r="K58" s="3" t="inlineStr"/>
    </row>
    <row r="59">
      <c r="A59" s="4" t="n">
        <v>57</v>
      </c>
      <c r="B59" s="8" t="n">
        <v>46068</v>
      </c>
      <c r="C59" s="3" t="inlineStr">
        <is>
          <t>RNP-3839</t>
        </is>
      </c>
      <c r="D59" s="3" t="inlineStr">
        <is>
          <t>زهور منثور مركن 9</t>
        </is>
      </c>
      <c r="E59" s="4" t="n">
        <v>312</v>
      </c>
      <c r="F59" s="4" t="n">
        <v>0.5</v>
      </c>
      <c r="G59" s="4">
        <f>IF(F59="","",E59*F59)</f>
        <v/>
      </c>
      <c r="H59" s="9">
        <f>IFERROR(IF(VLOOKUP("منثور مركن 9",'قائمة الأسعار الموحدة'!$B$3:$E$69,4,FALSE)="",F59,VLOOKUP("منثور مركن 9",'قائمة الأسعار الموحدة'!$B$3:$E$69,4,FALSE)),F59)</f>
        <v/>
      </c>
      <c r="I59" s="4">
        <f>IF(H59="","",E59*H59)</f>
        <v/>
      </c>
      <c r="J59" s="4">
        <f>IF(OR(G59="",I59=""),"",G59-I59)</f>
        <v/>
      </c>
      <c r="K59" s="3" t="inlineStr"/>
    </row>
    <row r="60">
      <c r="A60" s="4" t="n">
        <v>58</v>
      </c>
      <c r="B60" s="8" t="n">
        <v>46068</v>
      </c>
      <c r="C60" s="3" t="inlineStr">
        <is>
          <t>RNP-3839</t>
        </is>
      </c>
      <c r="D60" s="3" t="inlineStr">
        <is>
          <t>زهور سالفيا مركن 9</t>
        </is>
      </c>
      <c r="E60" s="4" t="n">
        <v>312</v>
      </c>
      <c r="F60" s="4" t="n">
        <v>0.6</v>
      </c>
      <c r="G60" s="4">
        <f>IF(F60="","",E60*F60)</f>
        <v/>
      </c>
      <c r="H60" s="4">
        <f>IFERROR(IF(VLOOKUP("سالفيا مركن 9",'قائمة الأسعار الموحدة'!$B$3:$E$69,4,FALSE)="",F60,VLOOKUP("سالفيا مركن 9",'قائمة الأسعار الموحدة'!$B$3:$E$69,4,FALSE)),F60)</f>
        <v/>
      </c>
      <c r="I60" s="4">
        <f>IF(H60="","",E60*H60)</f>
        <v/>
      </c>
      <c r="J60" s="4">
        <f>IF(OR(G60="",I60=""),"",G60-I60)</f>
        <v/>
      </c>
      <c r="K60" s="3" t="inlineStr"/>
    </row>
    <row r="61">
      <c r="A61" s="4" t="n">
        <v>59</v>
      </c>
      <c r="B61" s="8" t="n">
        <v>46068</v>
      </c>
      <c r="C61" s="3" t="inlineStr">
        <is>
          <t>RNP-3839</t>
        </is>
      </c>
      <c r="D61" s="3" t="inlineStr">
        <is>
          <t>زهور ملفوف مركن 9</t>
        </is>
      </c>
      <c r="E61" s="4" t="n">
        <v>312</v>
      </c>
      <c r="F61" s="4" t="n">
        <v>0.5</v>
      </c>
      <c r="G61" s="4">
        <f>IF(F61="","",E61*F61)</f>
        <v/>
      </c>
      <c r="H61" s="9">
        <f>IFERROR(IF(VLOOKUP("ملفوف مركن 9",'قائمة الأسعار الموحدة'!$B$3:$E$69,4,FALSE)="",F61,VLOOKUP("ملفوف مركن 9",'قائمة الأسعار الموحدة'!$B$3:$E$69,4,FALSE)),F61)</f>
        <v/>
      </c>
      <c r="I61" s="4">
        <f>IF(H61="","",E61*H61)</f>
        <v/>
      </c>
      <c r="J61" s="4">
        <f>IF(OR(G61="",I61=""),"",G61-I61)</f>
        <v/>
      </c>
      <c r="K61" s="3" t="inlineStr"/>
    </row>
    <row r="62">
      <c r="A62" s="4" t="n">
        <v>60</v>
      </c>
      <c r="B62" s="8" t="n">
        <v>46104</v>
      </c>
      <c r="C62" s="3" t="inlineStr">
        <is>
          <t>RNT-180</t>
        </is>
      </c>
      <c r="D62" s="3" t="inlineStr">
        <is>
          <t>كلانشو هولندي مركن 12</t>
        </is>
      </c>
      <c r="E62" s="4" t="n">
        <v>420</v>
      </c>
      <c r="F62" s="4" t="n">
        <v>4</v>
      </c>
      <c r="G62" s="4">
        <f>IF(F62="","",E62*F62)</f>
        <v/>
      </c>
      <c r="H62" s="9">
        <f>IFERROR(IF(VLOOKUP("كلانشو هولندي مركن 12",'قائمة الأسعار الموحدة'!$B$3:$E$69,4,FALSE)="",F62,VLOOKUP("كلانشو هولندي مركن 12",'قائمة الأسعار الموحدة'!$B$3:$E$69,4,FALSE)),F62)</f>
        <v/>
      </c>
      <c r="I62" s="4">
        <f>IF(H62="","",E62*H62)</f>
        <v/>
      </c>
      <c r="J62" s="4">
        <f>IF(OR(G62="",I62=""),"",G62-I62)</f>
        <v/>
      </c>
      <c r="K62" s="3" t="inlineStr"/>
    </row>
    <row r="63">
      <c r="A63" s="4" t="n">
        <v>61</v>
      </c>
      <c r="B63" s="8" t="n">
        <v>46104</v>
      </c>
      <c r="C63" s="3" t="inlineStr">
        <is>
          <t>RNT-180</t>
        </is>
      </c>
      <c r="D63" s="3" t="inlineStr">
        <is>
          <t xml:space="preserve">زهور هيبوستس </t>
        </is>
      </c>
      <c r="E63" s="4" t="n">
        <v>1575</v>
      </c>
      <c r="F63" s="4" t="n">
        <v>0.55</v>
      </c>
      <c r="G63" s="4">
        <f>IF(F63="","",E63*F63)</f>
        <v/>
      </c>
      <c r="H63" s="4">
        <f>IFERROR(IF(VLOOKUP("هيبوستس",'قائمة الأسعار الموحدة'!$B$3:$E$69,4,FALSE)="",F63,VLOOKUP("هيبوستس",'قائمة الأسعار الموحدة'!$B$3:$E$69,4,FALSE)),F63)</f>
        <v/>
      </c>
      <c r="I63" s="4">
        <f>IF(H63="","",E63*H63)</f>
        <v/>
      </c>
      <c r="J63" s="4">
        <f>IF(OR(G63="",I63=""),"",G63-I63)</f>
        <v/>
      </c>
      <c r="K63" s="3" t="inlineStr"/>
    </row>
    <row r="64">
      <c r="A64" s="4" t="n">
        <v>62</v>
      </c>
      <c r="B64" s="8" t="n">
        <v>46104</v>
      </c>
      <c r="C64" s="3" t="inlineStr">
        <is>
          <t>RNT-180</t>
        </is>
      </c>
      <c r="D64" s="3" t="inlineStr">
        <is>
          <t>زهور اقحوان افريقي مركن 9</t>
        </is>
      </c>
      <c r="E64" s="4" t="n">
        <v>1000</v>
      </c>
      <c r="F64" s="4" t="n">
        <v>1.5</v>
      </c>
      <c r="G64" s="4">
        <f>IF(F64="","",E64*F64)</f>
        <v/>
      </c>
      <c r="H64" s="9">
        <f>IFERROR(IF(VLOOKUP("اقحوان افريقي مركن 9",'قائمة الأسعار الموحدة'!$B$3:$E$69,4,FALSE)="",F64,VLOOKUP("اقحوان افريقي مركن 9",'قائمة الأسعار الموحدة'!$B$3:$E$69,4,FALSE)),F64)</f>
        <v/>
      </c>
      <c r="I64" s="4">
        <f>IF(H64="","",E64*H64)</f>
        <v/>
      </c>
      <c r="J64" s="4">
        <f>IF(OR(G64="",I64=""),"",G64-I64)</f>
        <v/>
      </c>
      <c r="K64" s="3" t="inlineStr"/>
    </row>
    <row r="65">
      <c r="A65" s="4" t="n">
        <v>63</v>
      </c>
      <c r="B65" s="8" t="n">
        <v>46120</v>
      </c>
      <c r="C65" s="3" t="inlineStr">
        <is>
          <t>RNP-208</t>
        </is>
      </c>
      <c r="D65" s="3" t="inlineStr">
        <is>
          <t>زهور زينيا</t>
        </is>
      </c>
      <c r="E65" s="4" t="n">
        <v>4000</v>
      </c>
      <c r="F65" s="4" t="n">
        <v>0.5</v>
      </c>
      <c r="G65" s="4">
        <f>IF(F65="","",E65*F65)</f>
        <v/>
      </c>
      <c r="H65" s="4">
        <f>IFERROR(IF(VLOOKUP("زينيا",'قائمة الأسعار الموحدة'!$B$3:$E$69,4,FALSE)="",F65,VLOOKUP("زينيا",'قائمة الأسعار الموحدة'!$B$3:$E$69,4,FALSE)),F65)</f>
        <v/>
      </c>
      <c r="I65" s="4">
        <f>IF(H65="","",E65*H65)</f>
        <v/>
      </c>
      <c r="J65" s="4">
        <f>IF(OR(G65="",I65=""),"",G65-I65)</f>
        <v/>
      </c>
      <c r="K65" s="3" t="inlineStr"/>
    </row>
    <row r="66">
      <c r="A66" s="4" t="n">
        <v>64</v>
      </c>
      <c r="B66" s="8" t="n">
        <v>46121</v>
      </c>
      <c r="C66" s="3" t="inlineStr">
        <is>
          <t>RNP-213</t>
        </is>
      </c>
      <c r="D66" s="3" t="inlineStr">
        <is>
          <t>زهور امرانتس</t>
        </is>
      </c>
      <c r="E66" s="4" t="n">
        <v>700</v>
      </c>
      <c r="F66" s="4" t="n">
        <v>0.5</v>
      </c>
      <c r="G66" s="4">
        <f>IF(F66="","",E66*F66)</f>
        <v/>
      </c>
      <c r="H66" s="4">
        <f>IFERROR(IF(VLOOKUP("امرانتس",'قائمة الأسعار الموحدة'!$B$3:$E$69,4,FALSE)="",F66,VLOOKUP("امرانتس",'قائمة الأسعار الموحدة'!$B$3:$E$69,4,FALSE)),F66)</f>
        <v/>
      </c>
      <c r="I66" s="4">
        <f>IF(H66="","",E66*H66)</f>
        <v/>
      </c>
      <c r="J66" s="4">
        <f>IF(OR(G66="",I66=""),"",G66-I66)</f>
        <v/>
      </c>
      <c r="K66" s="3" t="inlineStr"/>
    </row>
    <row r="67">
      <c r="A67" s="4" t="n">
        <v>65</v>
      </c>
      <c r="B67" s="8" t="n">
        <v>46121</v>
      </c>
      <c r="C67" s="3" t="inlineStr">
        <is>
          <t>RNP-213</t>
        </is>
      </c>
      <c r="D67" s="3" t="inlineStr">
        <is>
          <t>زهور فينكا روزا</t>
        </is>
      </c>
      <c r="E67" s="4" t="n">
        <v>700</v>
      </c>
      <c r="F67" s="4" t="n">
        <v>0.5</v>
      </c>
      <c r="G67" s="4">
        <f>IF(F67="","",E67*F67)</f>
        <v/>
      </c>
      <c r="H67" s="4">
        <f>IFERROR(IF(VLOOKUP("فينكا روزا",'قائمة الأسعار الموحدة'!$B$3:$E$69,4,FALSE)="",F67,VLOOKUP("فينكا روزا",'قائمة الأسعار الموحدة'!$B$3:$E$69,4,FALSE)),F67)</f>
        <v/>
      </c>
      <c r="I67" s="4">
        <f>IF(H67="","",E67*H67)</f>
        <v/>
      </c>
      <c r="J67" s="4">
        <f>IF(OR(G67="",I67=""),"",G67-I67)</f>
        <v/>
      </c>
      <c r="K67" s="3" t="inlineStr"/>
    </row>
    <row r="68">
      <c r="A68" s="4" t="n">
        <v>66</v>
      </c>
      <c r="B68" s="8" t="n">
        <v>46121</v>
      </c>
      <c r="C68" s="3" t="inlineStr">
        <is>
          <t>RNT-211</t>
        </is>
      </c>
      <c r="D68" s="3" t="inlineStr">
        <is>
          <t>زهور اقحوان افريقي مركن 9</t>
        </is>
      </c>
      <c r="E68" s="4" t="n">
        <v>1650</v>
      </c>
      <c r="F68" s="4" t="n">
        <v>1.5</v>
      </c>
      <c r="G68" s="4">
        <f>IF(F68="","",E68*F68)</f>
        <v/>
      </c>
      <c r="H68" s="9">
        <f>IFERROR(IF(VLOOKUP("اقحوان افريقي مركن 9",'قائمة الأسعار الموحدة'!$B$3:$E$69,4,FALSE)="",F68,VLOOKUP("اقحوان افريقي مركن 9",'قائمة الأسعار الموحدة'!$B$3:$E$69,4,FALSE)),F68)</f>
        <v/>
      </c>
      <c r="I68" s="4">
        <f>IF(H68="","",E68*H68)</f>
        <v/>
      </c>
      <c r="J68" s="4">
        <f>IF(OR(G68="",I68=""),"",G68-I68)</f>
        <v/>
      </c>
      <c r="K68" s="3" t="inlineStr"/>
    </row>
    <row r="69">
      <c r="A69" s="4" t="n">
        <v>67</v>
      </c>
      <c r="B69" s="8" t="n">
        <v>46121</v>
      </c>
      <c r="C69" s="3" t="inlineStr">
        <is>
          <t>RNT-211</t>
        </is>
      </c>
      <c r="D69" s="3" t="inlineStr">
        <is>
          <t>زهور فينكا روزا</t>
        </is>
      </c>
      <c r="E69" s="4" t="n">
        <v>750</v>
      </c>
      <c r="F69" s="4" t="n">
        <v>0.5</v>
      </c>
      <c r="G69" s="4">
        <f>IF(F69="","",E69*F69)</f>
        <v/>
      </c>
      <c r="H69" s="4">
        <f>IFERROR(IF(VLOOKUP("فينكا روزا",'قائمة الأسعار الموحدة'!$B$3:$E$69,4,FALSE)="",F69,VLOOKUP("فينكا روزا",'قائمة الأسعار الموحدة'!$B$3:$E$69,4,FALSE)),F69)</f>
        <v/>
      </c>
      <c r="I69" s="4">
        <f>IF(H69="","",E69*H69)</f>
        <v/>
      </c>
      <c r="J69" s="4">
        <f>IF(OR(G69="",I69=""),"",G69-I69)</f>
        <v/>
      </c>
      <c r="K69" s="3" t="inlineStr"/>
    </row>
    <row r="70">
      <c r="A70" s="4" t="n">
        <v>68</v>
      </c>
      <c r="B70" s="8" t="n">
        <v>46123</v>
      </c>
      <c r="C70" s="3" t="inlineStr">
        <is>
          <t>RNP-216</t>
        </is>
      </c>
      <c r="D70" s="3" t="inlineStr">
        <is>
          <t>زهور جازانيا</t>
        </is>
      </c>
      <c r="E70" s="4" t="n">
        <v>50</v>
      </c>
      <c r="F70" s="4" t="n">
        <v>0.5</v>
      </c>
      <c r="G70" s="4">
        <f>IF(F70="","",E70*F70)</f>
        <v/>
      </c>
      <c r="H70" s="9">
        <f>IFERROR(IF(VLOOKUP("جازانيا",'قائمة الأسعار الموحدة'!$B$3:$E$69,4,FALSE)="",F70,VLOOKUP("جازانيا",'قائمة الأسعار الموحدة'!$B$3:$E$69,4,FALSE)),F70)</f>
        <v/>
      </c>
      <c r="I70" s="4">
        <f>IF(H70="","",E70*H70)</f>
        <v/>
      </c>
      <c r="J70" s="4">
        <f>IF(OR(G70="",I70=""),"",G70-I70)</f>
        <v/>
      </c>
      <c r="K70" s="3" t="inlineStr"/>
    </row>
    <row r="71">
      <c r="A71" s="4" t="n">
        <v>69</v>
      </c>
      <c r="B71" s="8" t="n">
        <v>46123</v>
      </c>
      <c r="C71" s="3" t="inlineStr">
        <is>
          <t>RNP-216</t>
        </is>
      </c>
      <c r="D71" s="3" t="inlineStr">
        <is>
          <t>زهور زينيا</t>
        </is>
      </c>
      <c r="E71" s="4" t="n">
        <v>50</v>
      </c>
      <c r="F71" s="4" t="n">
        <v>0.5</v>
      </c>
      <c r="G71" s="4">
        <f>IF(F71="","",E71*F71)</f>
        <v/>
      </c>
      <c r="H71" s="4">
        <f>IFERROR(IF(VLOOKUP("زينيا",'قائمة الأسعار الموحدة'!$B$3:$E$69,4,FALSE)="",F71,VLOOKUP("زينيا",'قائمة الأسعار الموحدة'!$B$3:$E$69,4,FALSE)),F71)</f>
        <v/>
      </c>
      <c r="I71" s="4">
        <f>IF(H71="","",E71*H71)</f>
        <v/>
      </c>
      <c r="J71" s="4">
        <f>IF(OR(G71="",I71=""),"",G71-I71)</f>
        <v/>
      </c>
      <c r="K71" s="3" t="inlineStr"/>
    </row>
    <row r="72">
      <c r="A72" s="4" t="n">
        <v>70</v>
      </c>
      <c r="B72" s="8" t="n">
        <v>46127</v>
      </c>
      <c r="C72" s="3" t="inlineStr">
        <is>
          <t>RNP-224</t>
        </is>
      </c>
      <c r="D72" s="3" t="inlineStr">
        <is>
          <t>زهور فينكا روزا</t>
        </is>
      </c>
      <c r="E72" s="4" t="n">
        <v>1000</v>
      </c>
      <c r="F72" s="4" t="n">
        <v>0.5</v>
      </c>
      <c r="G72" s="4">
        <f>IF(F72="","",E72*F72)</f>
        <v/>
      </c>
      <c r="H72" s="4">
        <f>IFERROR(IF(VLOOKUP("فينكا روزا",'قائمة الأسعار الموحدة'!$B$3:$E$69,4,FALSE)="",F72,VLOOKUP("فينكا روزا",'قائمة الأسعار الموحدة'!$B$3:$E$69,4,FALSE)),F72)</f>
        <v/>
      </c>
      <c r="I72" s="4">
        <f>IF(H72="","",E72*H72)</f>
        <v/>
      </c>
      <c r="J72" s="4">
        <f>IF(OR(G72="",I72=""),"",G72-I72)</f>
        <v/>
      </c>
      <c r="K72" s="3" t="inlineStr"/>
    </row>
    <row r="73">
      <c r="A73" s="4" t="n">
        <v>71</v>
      </c>
      <c r="B73" s="8" t="n">
        <v>46138</v>
      </c>
      <c r="C73" s="3" t="inlineStr">
        <is>
          <t>RNP-243</t>
        </is>
      </c>
      <c r="D73" s="3" t="inlineStr">
        <is>
          <t>زهور زينيا</t>
        </is>
      </c>
      <c r="E73" s="4" t="n">
        <v>7000</v>
      </c>
      <c r="F73" s="4" t="n">
        <v>0.5</v>
      </c>
      <c r="G73" s="4">
        <f>IF(F73="","",E73*F73)</f>
        <v/>
      </c>
      <c r="H73" s="4">
        <f>IFERROR(IF(VLOOKUP("زينيا",'قائمة الأسعار الموحدة'!$B$3:$E$69,4,FALSE)="",F73,VLOOKUP("زينيا",'قائمة الأسعار الموحدة'!$B$3:$E$69,4,FALSE)),F73)</f>
        <v/>
      </c>
      <c r="I73" s="4">
        <f>IF(H73="","",E73*H73)</f>
        <v/>
      </c>
      <c r="J73" s="4">
        <f>IF(OR(G73="",I73=""),"",G73-I73)</f>
        <v/>
      </c>
      <c r="K73" s="3" t="inlineStr"/>
    </row>
    <row r="74">
      <c r="A74" s="4" t="n">
        <v>72</v>
      </c>
      <c r="B74" s="8" t="n">
        <v>46138</v>
      </c>
      <c r="C74" s="3" t="inlineStr">
        <is>
          <t>RNP-243</t>
        </is>
      </c>
      <c r="D74" s="3" t="inlineStr">
        <is>
          <t>زهور امرانتس</t>
        </is>
      </c>
      <c r="E74" s="4" t="n">
        <v>1000</v>
      </c>
      <c r="F74" s="4" t="n">
        <v>0.5</v>
      </c>
      <c r="G74" s="4">
        <f>IF(F74="","",E74*F74)</f>
        <v/>
      </c>
      <c r="H74" s="4">
        <f>IFERROR(IF(VLOOKUP("امرانتس",'قائمة الأسعار الموحدة'!$B$3:$E$69,4,FALSE)="",F74,VLOOKUP("امرانتس",'قائمة الأسعار الموحدة'!$B$3:$E$69,4,FALSE)),F74)</f>
        <v/>
      </c>
      <c r="I74" s="4">
        <f>IF(H74="","",E74*H74)</f>
        <v/>
      </c>
      <c r="J74" s="4">
        <f>IF(OR(G74="",I74=""),"",G74-I74)</f>
        <v/>
      </c>
      <c r="K74" s="3" t="inlineStr"/>
    </row>
    <row r="75">
      <c r="A75" s="4" t="n">
        <v>73</v>
      </c>
      <c r="B75" s="8" t="n">
        <v>46144</v>
      </c>
      <c r="C75" s="3" t="inlineStr">
        <is>
          <t>RNP-260</t>
        </is>
      </c>
      <c r="D75" s="3" t="inlineStr">
        <is>
          <t>زهور فينكا روزا</t>
        </is>
      </c>
      <c r="E75" s="4" t="n">
        <v>400</v>
      </c>
      <c r="F75" s="4" t="n">
        <v>0.5</v>
      </c>
      <c r="G75" s="4">
        <f>IF(F75="","",E75*F75)</f>
        <v/>
      </c>
      <c r="H75" s="4">
        <f>IFERROR(IF(VLOOKUP("فينكا روزا",'قائمة الأسعار الموحدة'!$B$3:$E$69,4,FALSE)="",F75,VLOOKUP("فينكا روزا",'قائمة الأسعار الموحدة'!$B$3:$E$69,4,FALSE)),F75)</f>
        <v/>
      </c>
      <c r="I75" s="4">
        <f>IF(H75="","",E75*H75)</f>
        <v/>
      </c>
      <c r="J75" s="4">
        <f>IF(OR(G75="",I75=""),"",G75-I75)</f>
        <v/>
      </c>
      <c r="K75" s="3" t="inlineStr"/>
    </row>
    <row r="76">
      <c r="A76" s="4" t="n">
        <v>74</v>
      </c>
      <c r="B76" s="8" t="n">
        <v>46144</v>
      </c>
      <c r="C76" s="3" t="inlineStr">
        <is>
          <t>RNP-260</t>
        </is>
      </c>
      <c r="D76" s="3" t="inlineStr">
        <is>
          <t>زهور زينيا</t>
        </is>
      </c>
      <c r="E76" s="4" t="n">
        <v>400</v>
      </c>
      <c r="F76" s="4" t="n">
        <v>0.5</v>
      </c>
      <c r="G76" s="4">
        <f>IF(F76="","",E76*F76)</f>
        <v/>
      </c>
      <c r="H76" s="4">
        <f>IFERROR(IF(VLOOKUP("زينيا",'قائمة الأسعار الموحدة'!$B$3:$E$69,4,FALSE)="",F76,VLOOKUP("زينيا",'قائمة الأسعار الموحدة'!$B$3:$E$69,4,FALSE)),F76)</f>
        <v/>
      </c>
      <c r="I76" s="4">
        <f>IF(H76="","",E76*H76)</f>
        <v/>
      </c>
      <c r="J76" s="4">
        <f>IF(OR(G76="",I76=""),"",G76-I76)</f>
        <v/>
      </c>
      <c r="K76" s="3" t="inlineStr"/>
    </row>
    <row r="77">
      <c r="A77" s="4" t="n">
        <v>75</v>
      </c>
      <c r="B77" s="8" t="n">
        <v>46147</v>
      </c>
      <c r="C77" s="3" t="inlineStr">
        <is>
          <t>RNP-266</t>
        </is>
      </c>
      <c r="D77" s="3" t="inlineStr">
        <is>
          <t>زهور فينكا روزا</t>
        </is>
      </c>
      <c r="E77" s="4" t="n">
        <v>1720</v>
      </c>
      <c r="F77" s="4" t="n">
        <v>0.5</v>
      </c>
      <c r="G77" s="4">
        <f>IF(F77="","",E77*F77)</f>
        <v/>
      </c>
      <c r="H77" s="4">
        <f>IFERROR(IF(VLOOKUP("فينكا روزا",'قائمة الأسعار الموحدة'!$B$3:$E$69,4,FALSE)="",F77,VLOOKUP("فينكا روزا",'قائمة الأسعار الموحدة'!$B$3:$E$69,4,FALSE)),F77)</f>
        <v/>
      </c>
      <c r="I77" s="4">
        <f>IF(H77="","",E77*H77)</f>
        <v/>
      </c>
      <c r="J77" s="4">
        <f>IF(OR(G77="",I77=""),"",G77-I77)</f>
        <v/>
      </c>
      <c r="K77" s="3" t="inlineStr"/>
    </row>
    <row r="78">
      <c r="A78" s="4" t="n">
        <v>76</v>
      </c>
      <c r="B78" s="8" t="n">
        <v>46147</v>
      </c>
      <c r="C78" s="3" t="inlineStr">
        <is>
          <t>RNP-266</t>
        </is>
      </c>
      <c r="D78" s="3" t="inlineStr">
        <is>
          <t>زهور جازانيا</t>
        </is>
      </c>
      <c r="E78" s="4" t="n">
        <v>1000</v>
      </c>
      <c r="F78" s="4" t="n">
        <v>0.5</v>
      </c>
      <c r="G78" s="4">
        <f>IF(F78="","",E78*F78)</f>
        <v/>
      </c>
      <c r="H78" s="9">
        <f>IFERROR(IF(VLOOKUP("جازانيا",'قائمة الأسعار الموحدة'!$B$3:$E$69,4,FALSE)="",F78,VLOOKUP("جازانيا",'قائمة الأسعار الموحدة'!$B$3:$E$69,4,FALSE)),F78)</f>
        <v/>
      </c>
      <c r="I78" s="4">
        <f>IF(H78="","",E78*H78)</f>
        <v/>
      </c>
      <c r="J78" s="4">
        <f>IF(OR(G78="",I78=""),"",G78-I78)</f>
        <v/>
      </c>
      <c r="K78" s="3" t="inlineStr"/>
    </row>
    <row r="79">
      <c r="A79" s="4" t="n">
        <v>77</v>
      </c>
      <c r="B79" s="8" t="n">
        <v>46160</v>
      </c>
      <c r="C79" s="3" t="inlineStr">
        <is>
          <t>RNP-299</t>
        </is>
      </c>
      <c r="D79" s="3" t="inlineStr">
        <is>
          <t>زهور فينكا روزا</t>
        </is>
      </c>
      <c r="E79" s="4" t="n">
        <v>26000</v>
      </c>
      <c r="F79" s="4" t="n">
        <v>0.5</v>
      </c>
      <c r="G79" s="4">
        <f>IF(F79="","",E79*F79)</f>
        <v/>
      </c>
      <c r="H79" s="4">
        <f>IFERROR(IF(VLOOKUP("فينكا روزا",'قائمة الأسعار الموحدة'!$B$3:$E$69,4,FALSE)="",F79,VLOOKUP("فينكا روزا",'قائمة الأسعار الموحدة'!$B$3:$E$69,4,FALSE)),F79)</f>
        <v/>
      </c>
      <c r="I79" s="4">
        <f>IF(H79="","",E79*H79)</f>
        <v/>
      </c>
      <c r="J79" s="4">
        <f>IF(OR(G79="",I79=""),"",G79-I79)</f>
        <v/>
      </c>
      <c r="K79" s="3" t="inlineStr"/>
    </row>
    <row r="80">
      <c r="A80" s="4" t="n">
        <v>78</v>
      </c>
      <c r="B80" s="8" t="n">
        <v>46163</v>
      </c>
      <c r="C80" s="3" t="inlineStr">
        <is>
          <t>RNP-301</t>
        </is>
      </c>
      <c r="D80" s="3" t="inlineStr">
        <is>
          <t>زهور زينيا</t>
        </is>
      </c>
      <c r="E80" s="4" t="n">
        <v>24000</v>
      </c>
      <c r="F80" s="4" t="n">
        <v>0.5</v>
      </c>
      <c r="G80" s="4">
        <f>IF(F80="","",E80*F80)</f>
        <v/>
      </c>
      <c r="H80" s="4">
        <f>IFERROR(IF(VLOOKUP("زينيا",'قائمة الأسعار الموحدة'!$B$3:$E$69,4,FALSE)="",F80,VLOOKUP("زينيا",'قائمة الأسعار الموحدة'!$B$3:$E$69,4,FALSE)),F80)</f>
        <v/>
      </c>
      <c r="I80" s="4">
        <f>IF(H80="","",E80*H80)</f>
        <v/>
      </c>
      <c r="J80" s="4">
        <f>IF(OR(G80="",I80=""),"",G80-I80)</f>
        <v/>
      </c>
      <c r="K80" s="3" t="inlineStr"/>
    </row>
    <row r="81">
      <c r="A81" s="4" t="n">
        <v>79</v>
      </c>
      <c r="B81" s="8" t="n">
        <v>46163</v>
      </c>
      <c r="C81" s="3" t="inlineStr">
        <is>
          <t>RNP-301</t>
        </is>
      </c>
      <c r="D81" s="3" t="inlineStr">
        <is>
          <t>زهور فينكا روزا</t>
        </is>
      </c>
      <c r="E81" s="4" t="n">
        <v>15500</v>
      </c>
      <c r="F81" s="4" t="n">
        <v>0.5</v>
      </c>
      <c r="G81" s="4">
        <f>IF(F81="","",E81*F81)</f>
        <v/>
      </c>
      <c r="H81" s="4">
        <f>IFERROR(IF(VLOOKUP("فينكا روزا",'قائمة الأسعار الموحدة'!$B$3:$E$69,4,FALSE)="",F81,VLOOKUP("فينكا روزا",'قائمة الأسعار الموحدة'!$B$3:$E$69,4,FALSE)),F81)</f>
        <v/>
      </c>
      <c r="I81" s="4">
        <f>IF(H81="","",E81*H81)</f>
        <v/>
      </c>
      <c r="J81" s="4">
        <f>IF(OR(G81="",I81=""),"",G81-I81)</f>
        <v/>
      </c>
      <c r="K81" s="3" t="inlineStr"/>
    </row>
    <row r="82">
      <c r="A82" s="4" t="n">
        <v>80</v>
      </c>
      <c r="B82" s="8" t="n">
        <v>46184</v>
      </c>
      <c r="C82" s="3" t="inlineStr">
        <is>
          <t>NS-0759</t>
        </is>
      </c>
      <c r="D82" s="3" t="inlineStr">
        <is>
          <t>زهور فينكا روزا</t>
        </is>
      </c>
      <c r="E82" s="4" t="n">
        <v>4000</v>
      </c>
      <c r="F82" s="4" t="n">
        <v>0.5</v>
      </c>
      <c r="G82" s="4">
        <f>IF(F82="","",E82*F82)</f>
        <v/>
      </c>
      <c r="H82" s="4">
        <f>IFERROR(IF(VLOOKUP("فينكا روزا",'قائمة الأسعار الموحدة'!$B$3:$E$69,4,FALSE)="",F82,VLOOKUP("فينكا روزا",'قائمة الأسعار الموحدة'!$B$3:$E$69,4,FALSE)),F82)</f>
        <v/>
      </c>
      <c r="I82" s="4">
        <f>IF(H82="","",E82*H82)</f>
        <v/>
      </c>
      <c r="J82" s="4">
        <f>IF(OR(G82="",I82=""),"",G82-I82)</f>
        <v/>
      </c>
      <c r="K82" s="3" t="inlineStr"/>
    </row>
    <row r="83">
      <c r="A83" s="4" t="n">
        <v>81</v>
      </c>
      <c r="B83" s="8" t="n">
        <v>46184</v>
      </c>
      <c r="C83" s="3" t="inlineStr">
        <is>
          <t>NS-575</t>
        </is>
      </c>
      <c r="D83" s="3" t="inlineStr">
        <is>
          <t>زهور زينيا</t>
        </is>
      </c>
      <c r="E83" s="4" t="n">
        <v>1200</v>
      </c>
      <c r="F83" s="4" t="n">
        <v>0.5</v>
      </c>
      <c r="G83" s="4">
        <f>IF(F83="","",E83*F83)</f>
        <v/>
      </c>
      <c r="H83" s="4">
        <f>IFERROR(IF(VLOOKUP("زينيا",'قائمة الأسعار الموحدة'!$B$3:$E$69,4,FALSE)="",F83,VLOOKUP("زينيا",'قائمة الأسعار الموحدة'!$B$3:$E$69,4,FALSE)),F83)</f>
        <v/>
      </c>
      <c r="I83" s="4">
        <f>IF(H83="","",E83*H83)</f>
        <v/>
      </c>
      <c r="J83" s="4">
        <f>IF(OR(G83="",I83=""),"",G83-I83)</f>
        <v/>
      </c>
      <c r="K83" s="3" t="inlineStr"/>
    </row>
    <row r="84">
      <c r="A84" s="4" t="n">
        <v>82</v>
      </c>
      <c r="B84" s="8" t="n">
        <v>46184</v>
      </c>
      <c r="C84" s="3" t="inlineStr">
        <is>
          <t>NS-575</t>
        </is>
      </c>
      <c r="D84" s="3" t="inlineStr">
        <is>
          <t>زهور امرانتس</t>
        </is>
      </c>
      <c r="E84" s="4" t="n">
        <v>500</v>
      </c>
      <c r="F84" s="4" t="n">
        <v>0.5</v>
      </c>
      <c r="G84" s="4">
        <f>IF(F84="","",E84*F84)</f>
        <v/>
      </c>
      <c r="H84" s="4">
        <f>IFERROR(IF(VLOOKUP("امرانتس",'قائمة الأسعار الموحدة'!$B$3:$E$69,4,FALSE)="",F84,VLOOKUP("امرانتس",'قائمة الأسعار الموحدة'!$B$3:$E$69,4,FALSE)),F84)</f>
        <v/>
      </c>
      <c r="I84" s="4">
        <f>IF(H84="","",E84*H84)</f>
        <v/>
      </c>
      <c r="J84" s="4">
        <f>IF(OR(G84="",I84=""),"",G84-I84)</f>
        <v/>
      </c>
      <c r="K84" s="3" t="inlineStr"/>
    </row>
    <row r="85">
      <c r="A85" s="4" t="n">
        <v>83</v>
      </c>
      <c r="B85" s="8" t="n">
        <v>46184</v>
      </c>
      <c r="C85" s="3" t="inlineStr">
        <is>
          <t>NS-575</t>
        </is>
      </c>
      <c r="D85" s="3" t="inlineStr">
        <is>
          <t>زهور فضية</t>
        </is>
      </c>
      <c r="E85" s="4" t="n">
        <v>300</v>
      </c>
      <c r="F85" s="4" t="n">
        <v>0.5</v>
      </c>
      <c r="G85" s="4">
        <f>IF(F85="","",E85*F85)</f>
        <v/>
      </c>
      <c r="H85" s="4">
        <f>IFERROR(IF(VLOOKUP("فضيه",'قائمة الأسعار الموحدة'!$B$3:$E$69,4,FALSE)="",F85,VLOOKUP("فضيه",'قائمة الأسعار الموحدة'!$B$3:$E$69,4,FALSE)),F85)</f>
        <v/>
      </c>
      <c r="I85" s="4">
        <f>IF(H85="","",E85*H85)</f>
        <v/>
      </c>
      <c r="J85" s="4">
        <f>IF(OR(G85="",I85=""),"",G85-I85)</f>
        <v/>
      </c>
      <c r="K85" s="3" t="inlineStr"/>
    </row>
    <row r="86">
      <c r="A86" s="4" t="n">
        <v>84</v>
      </c>
      <c r="B86" s="8" t="n">
        <v>46184</v>
      </c>
      <c r="C86" s="3" t="inlineStr">
        <is>
          <t>ISV-0066</t>
        </is>
      </c>
      <c r="D86" s="3" t="inlineStr">
        <is>
          <t>زهور فينكا روزا</t>
        </is>
      </c>
      <c r="E86" s="4" t="n">
        <v>40000</v>
      </c>
      <c r="F86" s="4" t="n">
        <v>0.5</v>
      </c>
      <c r="G86" s="4">
        <f>IF(F86="","",E86*F86)</f>
        <v/>
      </c>
      <c r="H86" s="4">
        <f>IFERROR(IF(VLOOKUP("فينكا روزا",'قائمة الأسعار الموحدة'!$B$3:$E$69,4,FALSE)="",F86,VLOOKUP("فينكا روزا",'قائمة الأسعار الموحدة'!$B$3:$E$69,4,FALSE)),F86)</f>
        <v/>
      </c>
      <c r="I86" s="4">
        <f>IF(H86="","",E86*H86)</f>
        <v/>
      </c>
      <c r="J86" s="4">
        <f>IF(OR(G86="",I86=""),"",G86-I86)</f>
        <v/>
      </c>
      <c r="K86" s="3" t="inlineStr"/>
    </row>
    <row r="87">
      <c r="A87" s="4" t="n">
        <v>85</v>
      </c>
      <c r="B87" s="8" t="n">
        <v>46187</v>
      </c>
      <c r="C87" s="3" t="inlineStr">
        <is>
          <t>NS-0755</t>
        </is>
      </c>
      <c r="D87" s="3" t="inlineStr">
        <is>
          <t>زهور فينكا روزا</t>
        </is>
      </c>
      <c r="E87" s="4" t="n">
        <v>3500</v>
      </c>
      <c r="F87" s="4" t="n">
        <v>0.5</v>
      </c>
      <c r="G87" s="4">
        <f>IF(F87="","",E87*F87)</f>
        <v/>
      </c>
      <c r="H87" s="4">
        <f>IFERROR(IF(VLOOKUP("فينكا روزا",'قائمة الأسعار الموحدة'!$B$3:$E$69,4,FALSE)="",F87,VLOOKUP("فينكا روزا",'قائمة الأسعار الموحدة'!$B$3:$E$69,4,FALSE)),F87)</f>
        <v/>
      </c>
      <c r="I87" s="4">
        <f>IF(H87="","",E87*H87)</f>
        <v/>
      </c>
      <c r="J87" s="4">
        <f>IF(OR(G87="",I87=""),"",G87-I87)</f>
        <v/>
      </c>
      <c r="K87" s="3" t="inlineStr"/>
    </row>
    <row r="88">
      <c r="A88" s="4" t="n">
        <v>86</v>
      </c>
      <c r="B88" s="8" t="n">
        <v>46187</v>
      </c>
      <c r="C88" s="3" t="inlineStr">
        <is>
          <t>NS-0755</t>
        </is>
      </c>
      <c r="D88" s="3" t="inlineStr">
        <is>
          <t>زهور زينيا</t>
        </is>
      </c>
      <c r="E88" s="4" t="n">
        <v>3500</v>
      </c>
      <c r="F88" s="4" t="n">
        <v>0.5</v>
      </c>
      <c r="G88" s="4">
        <f>IF(F88="","",E88*F88)</f>
        <v/>
      </c>
      <c r="H88" s="4">
        <f>IFERROR(IF(VLOOKUP("زينيا",'قائمة الأسعار الموحدة'!$B$3:$E$69,4,FALSE)="",F88,VLOOKUP("زينيا",'قائمة الأسعار الموحدة'!$B$3:$E$69,4,FALSE)),F88)</f>
        <v/>
      </c>
      <c r="I88" s="4">
        <f>IF(H88="","",E88*H88)</f>
        <v/>
      </c>
      <c r="J88" s="4">
        <f>IF(OR(G88="",I88=""),"",G88-I88)</f>
        <v/>
      </c>
      <c r="K88" s="3" t="inlineStr"/>
    </row>
    <row r="89">
      <c r="A89" s="4" t="n">
        <v>87</v>
      </c>
      <c r="B89" s="8" t="n">
        <v>46187</v>
      </c>
      <c r="C89" s="3" t="inlineStr">
        <is>
          <t>NS-0755</t>
        </is>
      </c>
      <c r="D89" s="3" t="inlineStr">
        <is>
          <t>اكاسيا جلوكا من 1 - 2 متر</t>
        </is>
      </c>
      <c r="E89" s="4" t="n">
        <v>6</v>
      </c>
      <c r="F89" s="4" t="n">
        <v>25</v>
      </c>
      <c r="G89" s="4">
        <f>IF(F89="","",E89*F89)</f>
        <v/>
      </c>
      <c r="H89" s="9">
        <f>IFERROR(IF(VLOOKUP("اكاسيا جلوكا من 1 - 2 متر",'قائمة الأسعار الموحدة'!$B$3:$E$69,4,FALSE)="",F89,VLOOKUP("اكاسيا جلوكا من 1 - 2 متر",'قائمة الأسعار الموحدة'!$B$3:$E$69,4,FALSE)),F89)</f>
        <v/>
      </c>
      <c r="I89" s="4">
        <f>IF(H89="","",E89*H89)</f>
        <v/>
      </c>
      <c r="J89" s="4">
        <f>IF(OR(G89="",I89=""),"",G89-I89)</f>
        <v/>
      </c>
      <c r="K89" s="3" t="inlineStr"/>
    </row>
    <row r="90">
      <c r="A90" s="4" t="n">
        <v>88</v>
      </c>
      <c r="B90" s="8" t="n">
        <v>46187</v>
      </c>
      <c r="C90" s="3" t="inlineStr">
        <is>
          <t>NS-0755</t>
        </is>
      </c>
      <c r="D90" s="3" t="inlineStr">
        <is>
          <t>كف مريم 1.5 : 2 م</t>
        </is>
      </c>
      <c r="E90" s="4" t="n">
        <v>6</v>
      </c>
      <c r="F90" s="4" t="n">
        <v>5.5</v>
      </c>
      <c r="G90" s="4">
        <f>IF(F90="","",E90*F90)</f>
        <v/>
      </c>
      <c r="H90" s="9">
        <f>IFERROR(IF(VLOOKUP("كف مريم 1. 5 : 2 م",'قائمة الأسعار الموحدة'!$B$3:$E$69,4,FALSE)="",F90,VLOOKUP("كف مريم 1. 5 : 2 م",'قائمة الأسعار الموحدة'!$B$3:$E$69,4,FALSE)),F90)</f>
        <v/>
      </c>
      <c r="I90" s="4">
        <f>IF(H90="","",E90*H90)</f>
        <v/>
      </c>
      <c r="J90" s="4">
        <f>IF(OR(G90="",I90=""),"",G90-I90)</f>
        <v/>
      </c>
      <c r="K90" s="3" t="inlineStr"/>
    </row>
    <row r="91">
      <c r="A91" s="4" t="n">
        <v>89</v>
      </c>
      <c r="B91" s="8" t="n">
        <v>46197</v>
      </c>
      <c r="C91" s="3" t="inlineStr">
        <is>
          <t>NS-0755</t>
        </is>
      </c>
      <c r="D91" s="3" t="inlineStr">
        <is>
          <t>جهنمية كروية تايلندي كبير</t>
        </is>
      </c>
      <c r="E91" s="4" t="n">
        <v>5</v>
      </c>
      <c r="F91" s="4" t="n">
        <v>300</v>
      </c>
      <c r="G91" s="4">
        <f>IF(F91="","",E91*F91)</f>
        <v/>
      </c>
      <c r="H91" s="9">
        <f>IFERROR(IF(VLOOKUP("جهنميه كرويه تايلندي كبير",'قائمة الأسعار الموحدة'!$B$3:$E$69,4,FALSE)="",F91,VLOOKUP("جهنميه كرويه تايلندي كبير",'قائمة الأسعار الموحدة'!$B$3:$E$69,4,FALSE)),F91)</f>
        <v/>
      </c>
      <c r="I91" s="4">
        <f>IF(H91="","",E91*H91)</f>
        <v/>
      </c>
      <c r="J91" s="4">
        <f>IF(OR(G91="",I91=""),"",G91-I91)</f>
        <v/>
      </c>
      <c r="K91" s="3" t="inlineStr"/>
    </row>
    <row r="92">
      <c r="A92" s="4" t="n">
        <v>90</v>
      </c>
      <c r="B92" s="8" t="n">
        <v>46187</v>
      </c>
      <c r="C92" s="3" t="inlineStr">
        <is>
          <t>NS-588</t>
        </is>
      </c>
      <c r="D92" s="3" t="inlineStr">
        <is>
          <t>زهور زينيا</t>
        </is>
      </c>
      <c r="E92" s="4" t="n">
        <v>3500</v>
      </c>
      <c r="F92" s="4" t="n">
        <v>0.5</v>
      </c>
      <c r="G92" s="4">
        <f>IF(F92="","",E92*F92)</f>
        <v/>
      </c>
      <c r="H92" s="4">
        <f>IFERROR(IF(VLOOKUP("زينيا",'قائمة الأسعار الموحدة'!$B$3:$E$69,4,FALSE)="",F92,VLOOKUP("زينيا",'قائمة الأسعار الموحدة'!$B$3:$E$69,4,FALSE)),F92)</f>
        <v/>
      </c>
      <c r="I92" s="4">
        <f>IF(H92="","",E92*H92)</f>
        <v/>
      </c>
      <c r="J92" s="4">
        <f>IF(OR(G92="",I92=""),"",G92-I92)</f>
        <v/>
      </c>
      <c r="K92" s="3" t="inlineStr"/>
    </row>
    <row r="93">
      <c r="A93" s="4" t="n">
        <v>91</v>
      </c>
      <c r="B93" s="8" t="n">
        <v>46190</v>
      </c>
      <c r="C93" s="3" t="inlineStr">
        <is>
          <t>ISV-0017</t>
        </is>
      </c>
      <c r="D93" s="3" t="inlineStr">
        <is>
          <t>جهنمية كروية تايلندي صغير</t>
        </is>
      </c>
      <c r="E93" s="4" t="n">
        <v>2</v>
      </c>
      <c r="F93" s="4" t="n">
        <v>250</v>
      </c>
      <c r="G93" s="4">
        <f>IF(F93="","",E93*F93)</f>
        <v/>
      </c>
      <c r="H93" s="9">
        <f>IFERROR(IF(VLOOKUP("جهنميه كرويه تايلندي صغير",'قائمة الأسعار الموحدة'!$B$3:$E$69,4,FALSE)="",F93,VLOOKUP("جهنميه كرويه تايلندي صغير",'قائمة الأسعار الموحدة'!$B$3:$E$69,4,FALSE)),F93)</f>
        <v/>
      </c>
      <c r="I93" s="4">
        <f>IF(H93="","",E93*H93)</f>
        <v/>
      </c>
      <c r="J93" s="4">
        <f>IF(OR(G93="",I93=""),"",G93-I93)</f>
        <v/>
      </c>
      <c r="K93" s="3" t="inlineStr"/>
    </row>
    <row r="94">
      <c r="A94" s="4" t="n">
        <v>92</v>
      </c>
      <c r="B94" s="8" t="n">
        <v>46195</v>
      </c>
      <c r="C94" s="3" t="inlineStr">
        <is>
          <t>NS-0786</t>
        </is>
      </c>
      <c r="D94" s="3" t="inlineStr">
        <is>
          <t>اكاسيا جلوكا من 1 - 2 متر</t>
        </is>
      </c>
      <c r="E94" s="4" t="n">
        <v>150</v>
      </c>
      <c r="F94" s="4" t="n">
        <v>25</v>
      </c>
      <c r="G94" s="4">
        <f>IF(F94="","",E94*F94)</f>
        <v/>
      </c>
      <c r="H94" s="9">
        <f>IFERROR(IF(VLOOKUP("اكاسيا جلوكا من 1 - 2 متر",'قائمة الأسعار الموحدة'!$B$3:$E$69,4,FALSE)="",F94,VLOOKUP("اكاسيا جلوكا من 1 - 2 متر",'قائمة الأسعار الموحدة'!$B$3:$E$69,4,FALSE)),F94)</f>
        <v/>
      </c>
      <c r="I94" s="4">
        <f>IF(H94="","",E94*H94)</f>
        <v/>
      </c>
      <c r="J94" s="4">
        <f>IF(OR(G94="",I94=""),"",G94-I94)</f>
        <v/>
      </c>
      <c r="K94" s="3" t="inlineStr"/>
    </row>
    <row r="95">
      <c r="A95" s="4" t="n">
        <v>93</v>
      </c>
      <c r="B95" s="8" t="n">
        <v>46200</v>
      </c>
      <c r="C95" s="3" t="inlineStr">
        <is>
          <t>NS-471</t>
        </is>
      </c>
      <c r="D95" s="3" t="inlineStr">
        <is>
          <t>زهور فينكا روزا</t>
        </is>
      </c>
      <c r="E95" s="4" t="n">
        <v>8000</v>
      </c>
      <c r="F95" s="4" t="n">
        <v>0.5</v>
      </c>
      <c r="G95" s="4">
        <f>IF(F95="","",E95*F95)</f>
        <v/>
      </c>
      <c r="H95" s="4">
        <f>IFERROR(IF(VLOOKUP("فينكا روزا",'قائمة الأسعار الموحدة'!$B$3:$E$69,4,FALSE)="",F95,VLOOKUP("فينكا روزا",'قائمة الأسعار الموحدة'!$B$3:$E$69,4,FALSE)),F95)</f>
        <v/>
      </c>
      <c r="I95" s="4">
        <f>IF(H95="","",E95*H95)</f>
        <v/>
      </c>
      <c r="J95" s="4">
        <f>IF(OR(G95="",I95=""),"",G95-I95)</f>
        <v/>
      </c>
      <c r="K95" s="3" t="inlineStr"/>
    </row>
    <row r="96">
      <c r="A96" s="4" t="n">
        <v>94</v>
      </c>
      <c r="B96" s="8" t="n">
        <v>46201</v>
      </c>
      <c r="C96" s="3" t="inlineStr">
        <is>
          <t>NS-470</t>
        </is>
      </c>
      <c r="D96" s="3" t="inlineStr">
        <is>
          <t>زهور فينكا روزا</t>
        </is>
      </c>
      <c r="E96" s="4" t="n">
        <v>35500</v>
      </c>
      <c r="F96" s="4" t="n">
        <v>0.5</v>
      </c>
      <c r="G96" s="4">
        <f>IF(F96="","",E96*F96)</f>
        <v/>
      </c>
      <c r="H96" s="4">
        <f>IFERROR(IF(VLOOKUP("فينكا روزا",'قائمة الأسعار الموحدة'!$B$3:$E$69,4,FALSE)="",F96,VLOOKUP("فينكا روزا",'قائمة الأسعار الموحدة'!$B$3:$E$69,4,FALSE)),F96)</f>
        <v/>
      </c>
      <c r="I96" s="4">
        <f>IF(H96="","",E96*H96)</f>
        <v/>
      </c>
      <c r="J96" s="4">
        <f>IF(OR(G96="",I96=""),"",G96-I96)</f>
        <v/>
      </c>
      <c r="K96" s="3" t="inlineStr"/>
    </row>
    <row r="97">
      <c r="A97" s="4" t="n">
        <v>95</v>
      </c>
      <c r="B97" s="8" t="n">
        <v>46205</v>
      </c>
      <c r="C97" s="3" t="inlineStr">
        <is>
          <t>ISV-0073</t>
        </is>
      </c>
      <c r="D97" s="3" t="inlineStr">
        <is>
          <t>زهور فينكا روزا</t>
        </is>
      </c>
      <c r="E97" s="4" t="n">
        <v>10000</v>
      </c>
      <c r="F97" s="4" t="n">
        <v>0.5</v>
      </c>
      <c r="G97" s="4">
        <f>IF(F97="","",E97*F97)</f>
        <v/>
      </c>
      <c r="H97" s="4">
        <f>IFERROR(IF(VLOOKUP("فينكا روزا",'قائمة الأسعار الموحدة'!$B$3:$E$69,4,FALSE)="",F97,VLOOKUP("فينكا روزا",'قائمة الأسعار الموحدة'!$B$3:$E$69,4,FALSE)),F97)</f>
        <v/>
      </c>
      <c r="I97" s="4">
        <f>IF(H97="","",E97*H97)</f>
        <v/>
      </c>
      <c r="J97" s="4">
        <f>IF(OR(G97="",I97=""),"",G97-I97)</f>
        <v/>
      </c>
      <c r="K97" s="3" t="inlineStr"/>
    </row>
    <row r="98">
      <c r="A98" s="4" t="n">
        <v>96</v>
      </c>
      <c r="B98" s="8" t="n">
        <v>46209</v>
      </c>
      <c r="C98" s="3" t="inlineStr">
        <is>
          <t>NS-0807</t>
        </is>
      </c>
      <c r="D98" s="3" t="inlineStr">
        <is>
          <t>زهور فينكا روزا</t>
        </is>
      </c>
      <c r="E98" s="4" t="n">
        <v>1300</v>
      </c>
      <c r="F98" s="4" t="n">
        <v>0.5</v>
      </c>
      <c r="G98" s="4">
        <f>IF(F98="","",E98*F98)</f>
        <v/>
      </c>
      <c r="H98" s="4">
        <f>IFERROR(IF(VLOOKUP("فينكا روزا",'قائمة الأسعار الموحدة'!$B$3:$E$69,4,FALSE)="",F98,VLOOKUP("فينكا روزا",'قائمة الأسعار الموحدة'!$B$3:$E$69,4,FALSE)),F98)</f>
        <v/>
      </c>
      <c r="I98" s="4">
        <f>IF(H98="","",E98*H98)</f>
        <v/>
      </c>
      <c r="J98" s="4">
        <f>IF(OR(G98="",I98=""),"",G98-I98)</f>
        <v/>
      </c>
      <c r="K98" s="3" t="inlineStr"/>
    </row>
    <row r="99">
      <c r="A99" s="4" t="n">
        <v>97</v>
      </c>
      <c r="B99" s="8" t="n">
        <v>46209</v>
      </c>
      <c r="C99" s="3" t="inlineStr">
        <is>
          <t>NS-0807</t>
        </is>
      </c>
      <c r="D99" s="3" t="inlineStr">
        <is>
          <t>تراديسكانتيا مركن 19 علاقي</t>
        </is>
      </c>
      <c r="E99" s="4" t="n">
        <v>25</v>
      </c>
      <c r="F99" s="4" t="n">
        <v>10</v>
      </c>
      <c r="G99" s="4">
        <f>IF(F99="","",E99*F99)</f>
        <v/>
      </c>
      <c r="H99" s="9">
        <f>IFERROR(IF(VLOOKUP("تراديسكانتيا مركن 19 علاقي",'قائمة الأسعار الموحدة'!$B$3:$E$69,4,FALSE)="",F99,VLOOKUP("تراديسكانتيا مركن 19 علاقي",'قائمة الأسعار الموحدة'!$B$3:$E$69,4,FALSE)),F99)</f>
        <v/>
      </c>
      <c r="I99" s="4">
        <f>IF(H99="","",E99*H99)</f>
        <v/>
      </c>
      <c r="J99" s="4">
        <f>IF(OR(G99="",I99=""),"",G99-I99)</f>
        <v/>
      </c>
      <c r="K99" s="3" t="inlineStr"/>
    </row>
    <row r="100">
      <c r="A100" s="4" t="n">
        <v>98</v>
      </c>
      <c r="B100" s="8" t="n">
        <v>46209</v>
      </c>
      <c r="C100" s="3" t="inlineStr">
        <is>
          <t>NS-0807</t>
        </is>
      </c>
      <c r="D100" s="3" t="inlineStr">
        <is>
          <t>نخيل سايكس 40 سم</t>
        </is>
      </c>
      <c r="E100" s="4" t="n">
        <v>3</v>
      </c>
      <c r="F100" s="4" t="n">
        <v>400</v>
      </c>
      <c r="G100" s="4">
        <f>IF(F100="","",E100*F100)</f>
        <v/>
      </c>
      <c r="H100" s="9">
        <f>IFERROR(IF(VLOOKUP("نخيل سايكس 40",'قائمة الأسعار الموحدة'!$B$3:$E$69,4,FALSE)="",F100,VLOOKUP("نخيل سايكس 40",'قائمة الأسعار الموحدة'!$B$3:$E$69,4,FALSE)),F100)</f>
        <v/>
      </c>
      <c r="I100" s="4">
        <f>IF(H100="","",E100*H100)</f>
        <v/>
      </c>
      <c r="J100" s="4">
        <f>IF(OR(G100="",I100=""),"",G100-I100)</f>
        <v/>
      </c>
      <c r="K100" s="3" t="inlineStr"/>
    </row>
    <row r="101">
      <c r="A101" s="4" t="n">
        <v>99</v>
      </c>
      <c r="B101" s="8" t="n">
        <v>46214</v>
      </c>
      <c r="C101" s="3" t="inlineStr">
        <is>
          <t>ISV-0090</t>
        </is>
      </c>
      <c r="D101" s="3" t="inlineStr">
        <is>
          <t>زهور فينكا روزا</t>
        </is>
      </c>
      <c r="E101" s="4" t="n">
        <v>1800</v>
      </c>
      <c r="F101" s="4" t="n">
        <v>0.5</v>
      </c>
      <c r="G101" s="4">
        <f>IF(F101="","",E101*F101)</f>
        <v/>
      </c>
      <c r="H101" s="4">
        <f>IFERROR(IF(VLOOKUP("فينكا روزا",'قائمة الأسعار الموحدة'!$B$3:$E$69,4,FALSE)="",F101,VLOOKUP("فينكا روزا",'قائمة الأسعار الموحدة'!$B$3:$E$69,4,FALSE)),F101)</f>
        <v/>
      </c>
      <c r="I101" s="4">
        <f>IF(H101="","",E101*H101)</f>
        <v/>
      </c>
      <c r="J101" s="4">
        <f>IF(OR(G101="",I101=""),"",G101-I101)</f>
        <v/>
      </c>
      <c r="K101" s="3" t="inlineStr"/>
    </row>
    <row r="102">
      <c r="A102" s="4" t="n">
        <v>100</v>
      </c>
      <c r="B102" s="8" t="n">
        <v>46214</v>
      </c>
      <c r="C102" s="3" t="inlineStr">
        <is>
          <t>ISV-0091</t>
        </is>
      </c>
      <c r="D102" s="3" t="inlineStr">
        <is>
          <t>زهور فينكا روزا</t>
        </is>
      </c>
      <c r="E102" s="4" t="n">
        <v>600</v>
      </c>
      <c r="F102" s="4" t="n">
        <v>0.5</v>
      </c>
      <c r="G102" s="4">
        <f>IF(F102="","",E102*F102)</f>
        <v/>
      </c>
      <c r="H102" s="4">
        <f>IFERROR(IF(VLOOKUP("فينكا روزا",'قائمة الأسعار الموحدة'!$B$3:$E$69,4,FALSE)="",F102,VLOOKUP("فينكا روزا",'قائمة الأسعار الموحدة'!$B$3:$E$69,4,FALSE)),F102)</f>
        <v/>
      </c>
      <c r="I102" s="4">
        <f>IF(H102="","",E102*H102)</f>
        <v/>
      </c>
      <c r="J102" s="4">
        <f>IF(OR(G102="",I102=""),"",G102-I102)</f>
        <v/>
      </c>
      <c r="K102" s="3" t="inlineStr"/>
    </row>
    <row r="103">
      <c r="A103" s="4" t="n">
        <v>101</v>
      </c>
      <c r="B103" s="8" t="n">
        <v>46214</v>
      </c>
      <c r="C103" s="3" t="inlineStr">
        <is>
          <t>ISV-0092</t>
        </is>
      </c>
      <c r="D103" s="3" t="inlineStr">
        <is>
          <t>زهور فينكا روزا</t>
        </is>
      </c>
      <c r="E103" s="4" t="n">
        <v>1500</v>
      </c>
      <c r="F103" s="4" t="n">
        <v>0.5</v>
      </c>
      <c r="G103" s="4">
        <f>IF(F103="","",E103*F103)</f>
        <v/>
      </c>
      <c r="H103" s="4">
        <f>IFERROR(IF(VLOOKUP("فينكا روزا",'قائمة الأسعار الموحدة'!$B$3:$E$69,4,FALSE)="",F103,VLOOKUP("فينكا روزا",'قائمة الأسعار الموحدة'!$B$3:$E$69,4,FALSE)),F103)</f>
        <v/>
      </c>
      <c r="I103" s="4">
        <f>IF(H103="","",E103*H103)</f>
        <v/>
      </c>
      <c r="J103" s="4">
        <f>IF(OR(G103="",I103=""),"",G103-I103)</f>
        <v/>
      </c>
      <c r="K103" s="3" t="inlineStr"/>
    </row>
    <row r="104">
      <c r="A104" s="4" t="n">
        <v>102</v>
      </c>
      <c r="B104" s="8" t="n">
        <v>46214</v>
      </c>
      <c r="C104" s="3" t="inlineStr">
        <is>
          <t>RNT - 205</t>
        </is>
      </c>
      <c r="D104" s="3" t="inlineStr">
        <is>
          <t>سكندابسس مركن 19 علاقي</t>
        </is>
      </c>
      <c r="E104" s="4" t="n">
        <v>300</v>
      </c>
      <c r="F104" s="4" t="n">
        <v>10</v>
      </c>
      <c r="G104" s="4">
        <f>IF(F104="","",E104*F104)</f>
        <v/>
      </c>
      <c r="H104" s="9">
        <f>IFERROR(IF(VLOOKUP("سكندابسس مركن 19 علاقي",'قائمة الأسعار الموحدة'!$B$3:$E$69,4,FALSE)="",F104,VLOOKUP("سكندابسس مركن 19 علاقي",'قائمة الأسعار الموحدة'!$B$3:$E$69,4,FALSE)),F104)</f>
        <v/>
      </c>
      <c r="I104" s="4">
        <f>IF(H104="","",E104*H104)</f>
        <v/>
      </c>
      <c r="J104" s="4">
        <f>IF(OR(G104="",I104=""),"",G104-I104)</f>
        <v/>
      </c>
      <c r="K104" s="3" t="inlineStr"/>
    </row>
    <row r="105">
      <c r="A105" s="4" t="n">
        <v>103</v>
      </c>
      <c r="B105" s="8" t="n">
        <v>46214</v>
      </c>
      <c r="C105" s="3" t="inlineStr">
        <is>
          <t>RNT - 205</t>
        </is>
      </c>
      <c r="D105" s="3" t="inlineStr">
        <is>
          <t>هيدرا علاقي مركن 19</t>
        </is>
      </c>
      <c r="E105" s="4" t="n">
        <v>100</v>
      </c>
      <c r="F105" s="4" t="n">
        <v>10</v>
      </c>
      <c r="G105" s="4">
        <f>IF(F105="","",E105*F105)</f>
        <v/>
      </c>
      <c r="H105" s="9">
        <f>IFERROR(IF(VLOOKUP("هيدرا علاقي مركن 19",'قائمة الأسعار الموحدة'!$B$3:$E$69,4,FALSE)="",F105,VLOOKUP("هيدرا علاقي مركن 19",'قائمة الأسعار الموحدة'!$B$3:$E$69,4,FALSE)),F105)</f>
        <v/>
      </c>
      <c r="I105" s="4">
        <f>IF(H105="","",E105*H105)</f>
        <v/>
      </c>
      <c r="J105" s="4">
        <f>IF(OR(G105="",I105=""),"",G105-I105)</f>
        <v/>
      </c>
      <c r="K105" s="3" t="inlineStr"/>
    </row>
    <row r="106">
      <c r="A106" s="4" t="n">
        <v>104</v>
      </c>
      <c r="B106" s="8" t="n">
        <v>46214</v>
      </c>
      <c r="C106" s="3" t="inlineStr">
        <is>
          <t>RNT - 205</t>
        </is>
      </c>
      <c r="D106" s="3" t="inlineStr">
        <is>
          <t xml:space="preserve">سيسلبانيا 1 - 2 متر </t>
        </is>
      </c>
      <c r="E106" s="4" t="n">
        <v>240</v>
      </c>
      <c r="F106" s="4" t="n">
        <v>25.5</v>
      </c>
      <c r="G106" s="4">
        <f>IF(F106="","",E106*F106)</f>
        <v/>
      </c>
      <c r="H106" s="9">
        <f>IFERROR(IF(VLOOKUP("سيسبانيا 1 - 2 متر",'قائمة الأسعار الموحدة'!$B$3:$E$69,4,FALSE)="",F106,VLOOKUP("سيسبانيا 1 - 2 متر",'قائمة الأسعار الموحدة'!$B$3:$E$69,4,FALSE)),F106)</f>
        <v/>
      </c>
      <c r="I106" s="4">
        <f>IF(H106="","",E106*H106)</f>
        <v/>
      </c>
      <c r="J106" s="4">
        <f>IF(OR(G106="",I106=""),"",G106-I106)</f>
        <v/>
      </c>
      <c r="K106" s="3" t="inlineStr"/>
    </row>
    <row r="107">
      <c r="A107" s="4" t="n">
        <v>105</v>
      </c>
      <c r="B107" s="8" t="n">
        <v>46229</v>
      </c>
      <c r="C107" s="3" t="inlineStr">
        <is>
          <t>ISV-0127</t>
        </is>
      </c>
      <c r="D107" s="3" t="inlineStr">
        <is>
          <t>زهور فينكا روزا</t>
        </is>
      </c>
      <c r="E107" s="4" t="n">
        <v>2720</v>
      </c>
      <c r="F107" s="4" t="n">
        <v>0.5</v>
      </c>
      <c r="G107" s="4">
        <f>IF(F107="","",E107*F107)</f>
        <v/>
      </c>
      <c r="H107" s="4">
        <f>IFERROR(IF(VLOOKUP("فينكا روزا",'قائمة الأسعار الموحدة'!$B$3:$E$69,4,FALSE)="",F107,VLOOKUP("فينكا روزا",'قائمة الأسعار الموحدة'!$B$3:$E$69,4,FALSE)),F107)</f>
        <v/>
      </c>
      <c r="I107" s="4">
        <f>IF(H107="","",E107*H107)</f>
        <v/>
      </c>
      <c r="J107" s="4">
        <f>IF(OR(G107="",I107=""),"",G107-I107)</f>
        <v/>
      </c>
      <c r="K107" s="3" t="inlineStr"/>
    </row>
    <row r="108">
      <c r="A108" s="4" t="n">
        <v>106</v>
      </c>
      <c r="B108" s="8" t="n">
        <v>46229</v>
      </c>
      <c r="C108" s="3" t="inlineStr">
        <is>
          <t>ISV-0128</t>
        </is>
      </c>
      <c r="D108" s="3" t="inlineStr">
        <is>
          <t>زهور فينكا روزا</t>
        </is>
      </c>
      <c r="E108" s="4" t="n">
        <v>4700</v>
      </c>
      <c r="F108" s="4" t="n">
        <v>0.5</v>
      </c>
      <c r="G108" s="4">
        <f>IF(F108="","",E108*F108)</f>
        <v/>
      </c>
      <c r="H108" s="4">
        <f>IFERROR(IF(VLOOKUP("فينكا روزا",'قائمة الأسعار الموحدة'!$B$3:$E$69,4,FALSE)="",F108,VLOOKUP("فينكا روزا",'قائمة الأسعار الموحدة'!$B$3:$E$69,4,FALSE)),F108)</f>
        <v/>
      </c>
      <c r="I108" s="4">
        <f>IF(H108="","",E108*H108)</f>
        <v/>
      </c>
      <c r="J108" s="4">
        <f>IF(OR(G108="",I108=""),"",G108-I108)</f>
        <v/>
      </c>
      <c r="K108" s="3" t="inlineStr"/>
    </row>
    <row r="109">
      <c r="A109" s="4" t="n">
        <v>107</v>
      </c>
      <c r="B109" s="8" t="n">
        <v>46229</v>
      </c>
      <c r="C109" s="3" t="inlineStr">
        <is>
          <t>ISV-0128</t>
        </is>
      </c>
      <c r="D109" s="3" t="inlineStr">
        <is>
          <t>جهنمية بلدي1 متر</t>
        </is>
      </c>
      <c r="E109" s="4" t="n">
        <v>10</v>
      </c>
      <c r="F109" s="4" t="n">
        <v>6</v>
      </c>
      <c r="G109" s="4">
        <f>IF(F109="","",E109*F109)</f>
        <v/>
      </c>
      <c r="H109" s="9">
        <f>IFERROR(IF(VLOOKUP("جهنميه بلدي 1 متر",'قائمة الأسعار الموحدة'!$B$3:$E$69,4,FALSE)="",F109,VLOOKUP("جهنميه بلدي 1 متر",'قائمة الأسعار الموحدة'!$B$3:$E$69,4,FALSE)),F109)</f>
        <v/>
      </c>
      <c r="I109" s="4">
        <f>IF(H109="","",E109*H109)</f>
        <v/>
      </c>
      <c r="J109" s="4">
        <f>IF(OR(G109="",I109=""),"",G109-I109)</f>
        <v/>
      </c>
      <c r="K109" s="3" t="inlineStr"/>
    </row>
    <row r="110">
      <c r="A110" s="4" t="n">
        <v>108</v>
      </c>
      <c r="B110" s="8" t="n">
        <v>46229</v>
      </c>
      <c r="C110" s="3" t="inlineStr">
        <is>
          <t>ISV-0128</t>
        </is>
      </c>
      <c r="D110" s="3" t="inlineStr">
        <is>
          <t>فيكس بندا 50 سم</t>
        </is>
      </c>
      <c r="E110" s="4" t="n">
        <v>10</v>
      </c>
      <c r="F110" s="4" t="n">
        <v>10</v>
      </c>
      <c r="G110" s="4">
        <f>IF(F110="","",E110*F110)</f>
        <v/>
      </c>
      <c r="H110" s="9">
        <f>IFERROR(IF(VLOOKUP("فيكس بندا 50",'قائمة الأسعار الموحدة'!$B$3:$E$69,4,FALSE)="",F110,VLOOKUP("فيكس بندا 50",'قائمة الأسعار الموحدة'!$B$3:$E$69,4,FALSE)),F110)</f>
        <v/>
      </c>
      <c r="I110" s="4">
        <f>IF(H110="","",E110*H110)</f>
        <v/>
      </c>
      <c r="J110" s="4">
        <f>IF(OR(G110="",I110=""),"",G110-I110)</f>
        <v/>
      </c>
      <c r="K110" s="3" t="inlineStr"/>
    </row>
    <row r="111">
      <c r="A111" s="4" t="n">
        <v>109</v>
      </c>
      <c r="B111" s="8" t="n">
        <v>46214</v>
      </c>
      <c r="C111" s="3" t="inlineStr">
        <is>
          <t>TRF-0107</t>
        </is>
      </c>
      <c r="D111" s="3" t="inlineStr">
        <is>
          <t>دورانتا أخضر</t>
        </is>
      </c>
      <c r="E111" s="4" t="n">
        <v>1290</v>
      </c>
      <c r="F111" s="4" t="n">
        <v>2.5</v>
      </c>
      <c r="G111" s="4">
        <f>IF(F111="","",E111*F111)</f>
        <v/>
      </c>
      <c r="H111" s="9">
        <f>IFERROR(IF(VLOOKUP("دورانتا اخضر",'قائمة الأسعار الموحدة'!$B$3:$E$69,4,FALSE)="",F111,VLOOKUP("دورانتا اخضر",'قائمة الأسعار الموحدة'!$B$3:$E$69,4,FALSE)),F111)</f>
        <v/>
      </c>
      <c r="I111" s="4">
        <f>IF(H111="","",E111*H111)</f>
        <v/>
      </c>
      <c r="J111" s="4">
        <f>IF(OR(G111="",I111=""),"",G111-I111)</f>
        <v/>
      </c>
      <c r="K111" s="3" t="inlineStr">
        <is>
          <t>صنف موجود بالسند بالنظام وأسقطه المحاسب – أُضيف</t>
        </is>
      </c>
    </row>
    <row r="112">
      <c r="A112" s="4" t="n">
        <v>110</v>
      </c>
      <c r="B112" s="8" t="n">
        <v>46214</v>
      </c>
      <c r="C112" s="3" t="inlineStr">
        <is>
          <t>TRF-0107</t>
        </is>
      </c>
      <c r="D112" s="3" t="inlineStr">
        <is>
          <t>اكاليفا</t>
        </is>
      </c>
      <c r="E112" s="4" t="n">
        <v>60</v>
      </c>
      <c r="F112" s="4" t="n">
        <v>2.5</v>
      </c>
      <c r="G112" s="4">
        <f>IF(F112="","",E112*F112)</f>
        <v/>
      </c>
      <c r="H112" s="9">
        <f>IFERROR(IF(VLOOKUP("اكاليفا",'قائمة الأسعار الموحدة'!$B$3:$E$69,4,FALSE)="",F112,VLOOKUP("اكاليفا",'قائمة الأسعار الموحدة'!$B$3:$E$69,4,FALSE)),F112)</f>
        <v/>
      </c>
      <c r="I112" s="4">
        <f>IF(H112="","",E112*H112)</f>
        <v/>
      </c>
      <c r="J112" s="4">
        <f>IF(OR(G112="",I112=""),"",G112-I112)</f>
        <v/>
      </c>
      <c r="K112" s="3" t="inlineStr">
        <is>
          <t>صنف موجود بالسند بالنظام وأسقطه المحاسب – أُضيف</t>
        </is>
      </c>
    </row>
    <row r="113">
      <c r="A113" s="4" t="n">
        <v>111</v>
      </c>
      <c r="B113" s="8" t="n">
        <v>46214</v>
      </c>
      <c r="C113" s="3" t="inlineStr">
        <is>
          <t>TRF-0107</t>
        </is>
      </c>
      <c r="D113" s="3" t="inlineStr">
        <is>
          <t>فل بلدي</t>
        </is>
      </c>
      <c r="E113" s="4" t="n">
        <v>450</v>
      </c>
      <c r="F113" s="4" t="n">
        <v>2.5</v>
      </c>
      <c r="G113" s="4">
        <f>IF(F113="","",E113*F113)</f>
        <v/>
      </c>
      <c r="H113" s="9">
        <f>IFERROR(IF(VLOOKUP("فل بلدي",'قائمة الأسعار الموحدة'!$B$3:$E$69,4,FALSE)="",F113,VLOOKUP("فل بلدي",'قائمة الأسعار الموحدة'!$B$3:$E$69,4,FALSE)),F113)</f>
        <v/>
      </c>
      <c r="I113" s="4">
        <f>IF(H113="","",E113*H113)</f>
        <v/>
      </c>
      <c r="J113" s="4">
        <f>IF(OR(G113="",I113=""),"",G113-I113)</f>
        <v/>
      </c>
      <c r="K113" s="3" t="inlineStr">
        <is>
          <t>صنف موجود بالسند بالنظام وأسقطه المحاسب – أُضيف</t>
        </is>
      </c>
    </row>
    <row r="114">
      <c r="A114" s="4" t="n">
        <v>112</v>
      </c>
      <c r="B114" s="8" t="n">
        <v>46214</v>
      </c>
      <c r="C114" s="3" t="inlineStr">
        <is>
          <t>TRF-0107</t>
        </is>
      </c>
      <c r="D114" s="3" t="inlineStr">
        <is>
          <t>تيكوماريا 50 سم</t>
        </is>
      </c>
      <c r="E114" s="4" t="n">
        <v>2384</v>
      </c>
      <c r="F114" s="4" t="n">
        <v>2.5</v>
      </c>
      <c r="G114" s="4">
        <f>IF(F114="","",E114*F114)</f>
        <v/>
      </c>
      <c r="H114" s="9">
        <f>IFERROR(IF(VLOOKUP("تيكوماريا 50",'قائمة الأسعار الموحدة'!$B$3:$E$69,4,FALSE)="",F114,VLOOKUP("تيكوماريا 50",'قائمة الأسعار الموحدة'!$B$3:$E$69,4,FALSE)),F114)</f>
        <v/>
      </c>
      <c r="I114" s="4">
        <f>IF(H114="","",E114*H114)</f>
        <v/>
      </c>
      <c r="J114" s="4">
        <f>IF(OR(G114="",I114=""),"",G114-I114)</f>
        <v/>
      </c>
      <c r="K114" s="3" t="inlineStr">
        <is>
          <t>صنف موجود بالسند بالنظام وأسقطه المحاسب – أُضيف</t>
        </is>
      </c>
    </row>
    <row r="115">
      <c r="A115" s="4" t="n">
        <v>113</v>
      </c>
      <c r="B115" s="8" t="n">
        <v>46214</v>
      </c>
      <c r="C115" s="3" t="inlineStr">
        <is>
          <t>TRF-0107</t>
        </is>
      </c>
      <c r="D115" s="3" t="inlineStr">
        <is>
          <t>ياسمين أزرق</t>
        </is>
      </c>
      <c r="E115" s="4" t="n">
        <v>580</v>
      </c>
      <c r="F115" s="4" t="n">
        <v>2.5</v>
      </c>
      <c r="G115" s="4">
        <f>IF(F115="","",E115*F115)</f>
        <v/>
      </c>
      <c r="H115" s="9">
        <f>IFERROR(IF(VLOOKUP("ياسمين ازرق",'قائمة الأسعار الموحدة'!$B$3:$E$69,4,FALSE)="",F115,VLOOKUP("ياسمين ازرق",'قائمة الأسعار الموحدة'!$B$3:$E$69,4,FALSE)),F115)</f>
        <v/>
      </c>
      <c r="I115" s="4">
        <f>IF(H115="","",E115*H115)</f>
        <v/>
      </c>
      <c r="J115" s="4">
        <f>IF(OR(G115="",I115=""),"",G115-I115)</f>
        <v/>
      </c>
      <c r="K115" s="3" t="inlineStr">
        <is>
          <t>صنف موجود بالسند بالنظام وأسقطه المحاسب – أُضيف</t>
        </is>
      </c>
    </row>
    <row r="116">
      <c r="A116" s="4" t="n">
        <v>114</v>
      </c>
      <c r="B116" s="8" t="n">
        <v>46214</v>
      </c>
      <c r="C116" s="3" t="inlineStr">
        <is>
          <t>TRF-0107</t>
        </is>
      </c>
      <c r="D116" s="3" t="inlineStr">
        <is>
          <t>تجيل كروي مركن 9 سم</t>
        </is>
      </c>
      <c r="E116" s="4" t="n">
        <v>2400</v>
      </c>
      <c r="F116" s="4" t="n">
        <v>1.1</v>
      </c>
      <c r="G116" s="4">
        <f>IF(F116="","",E116*F116)</f>
        <v/>
      </c>
      <c r="H116" s="9">
        <f>IFERROR(IF(VLOOKUP("تجيل كروي مركن 9",'قائمة الأسعار الموحدة'!$B$3:$E$69,4,FALSE)="",F116,VLOOKUP("تجيل كروي مركن 9",'قائمة الأسعار الموحدة'!$B$3:$E$69,4,FALSE)),F116)</f>
        <v/>
      </c>
      <c r="I116" s="4">
        <f>IF(H116="","",E116*H116)</f>
        <v/>
      </c>
      <c r="J116" s="4">
        <f>IF(OR(G116="",I116=""),"",G116-I116)</f>
        <v/>
      </c>
      <c r="K116" s="3" t="inlineStr">
        <is>
          <t>صنف موجود بالسند بالنظام وأسقطه المحاسب – أُضيف</t>
        </is>
      </c>
    </row>
    <row r="117">
      <c r="A117" s="4" t="n">
        <v>115</v>
      </c>
      <c r="B117" s="8" t="n">
        <v>46104</v>
      </c>
      <c r="C117" s="3" t="inlineStr">
        <is>
          <t>RNT-180</t>
        </is>
      </c>
      <c r="D117" s="3" t="inlineStr">
        <is>
          <t>بيرلايت 100 لتر</t>
        </is>
      </c>
      <c r="E117" s="4" t="n">
        <v>100</v>
      </c>
      <c r="F117" s="4" t="n">
        <v>32.5</v>
      </c>
      <c r="G117" s="4">
        <f>IF(F117="","",E117*F117)</f>
        <v/>
      </c>
      <c r="H117" s="9">
        <f>IFERROR(IF(VLOOKUP("بيرلايت 100 لتر",'قائمة الأسعار الموحدة'!$B$3:$E$69,4,FALSE)="",F117,VLOOKUP("بيرلايت 100 لتر",'قائمة الأسعار الموحدة'!$B$3:$E$69,4,FALSE)),F117)</f>
        <v/>
      </c>
      <c r="I117" s="4">
        <f>IF(H117="","",E117*H117)</f>
        <v/>
      </c>
      <c r="J117" s="4">
        <f>IF(OR(G117="",I117=""),"",G117-I117)</f>
        <v/>
      </c>
      <c r="K117" s="3" t="inlineStr">
        <is>
          <t>صنف موجود بالسند بالنظام وأسقطه المحاسب – أُضيف</t>
        </is>
      </c>
    </row>
    <row r="118">
      <c r="A118" s="4" t="n">
        <v>116</v>
      </c>
      <c r="B118" s="8" t="n">
        <v>46187</v>
      </c>
      <c r="C118" s="3" t="inlineStr">
        <is>
          <t>ISV-0010</t>
        </is>
      </c>
      <c r="D118" s="3" t="inlineStr">
        <is>
          <t>رويليا</t>
        </is>
      </c>
      <c r="E118" s="4" t="n">
        <v>94</v>
      </c>
      <c r="F118" s="4" t="n">
        <v>2.5</v>
      </c>
      <c r="G118" s="4">
        <f>IF(F118="","",E118*F118)</f>
        <v/>
      </c>
      <c r="H118" s="9">
        <f>IFERROR(IF(VLOOKUP("رويليا",'قائمة الأسعار الموحدة'!$B$3:$E$69,4,FALSE)="",F118,VLOOKUP("رويليا",'قائمة الأسعار الموحدة'!$B$3:$E$69,4,FALSE)),F118)</f>
        <v/>
      </c>
      <c r="I118" s="4">
        <f>IF(H118="","",E118*H118)</f>
        <v/>
      </c>
      <c r="J118" s="4">
        <f>IF(OR(G118="",I118=""),"",G118-I118)</f>
        <v/>
      </c>
      <c r="K118" s="3" t="inlineStr">
        <is>
          <t>صنف موجود بالسند بالنظام وأسقطه المحاسب – أُضيف</t>
        </is>
      </c>
    </row>
    <row r="119">
      <c r="A119" s="4" t="n">
        <v>117</v>
      </c>
      <c r="B119" s="8" t="n">
        <v>46209</v>
      </c>
      <c r="C119" s="3" t="inlineStr">
        <is>
          <t>ISV-0081</t>
        </is>
      </c>
      <c r="D119" s="3" t="inlineStr">
        <is>
          <t>تيكوماريا 50 سم</t>
        </is>
      </c>
      <c r="E119" s="4" t="n">
        <v>250</v>
      </c>
      <c r="F119" s="4" t="n">
        <v>2.5</v>
      </c>
      <c r="G119" s="4">
        <f>IF(F119="","",E119*F119)</f>
        <v/>
      </c>
      <c r="H119" s="9">
        <f>IFERROR(IF(VLOOKUP("تيكوماريا 50",'قائمة الأسعار الموحدة'!$B$3:$E$69,4,FALSE)="",F119,VLOOKUP("تيكوماريا 50",'قائمة الأسعار الموحدة'!$B$3:$E$69,4,FALSE)),F119)</f>
        <v/>
      </c>
      <c r="I119" s="4">
        <f>IF(H119="","",E119*H119)</f>
        <v/>
      </c>
      <c r="J119" s="4">
        <f>IF(OR(G119="",I119=""),"",G119-I119)</f>
        <v/>
      </c>
      <c r="K119" s="3" t="inlineStr">
        <is>
          <t>صنف موجود بالسند بالنظام وأسقطه المحاسب – أُضيف</t>
        </is>
      </c>
    </row>
    <row r="120">
      <c r="A120" s="4" t="n">
        <v>118</v>
      </c>
      <c r="B120" s="8" t="n">
        <v>46057</v>
      </c>
      <c r="C120" s="3" t="inlineStr">
        <is>
          <t>RNP-3756</t>
        </is>
      </c>
      <c r="D120" s="3" t="inlineStr">
        <is>
          <t>ياسمين هندي كبير</t>
        </is>
      </c>
      <c r="E120" s="4" t="n">
        <v>20</v>
      </c>
      <c r="F120" s="4" t="n">
        <v>32.5</v>
      </c>
      <c r="G120" s="4">
        <f>IF(F120="","",E120*F120)</f>
        <v/>
      </c>
      <c r="H120" s="9">
        <f>IFERROR(IF(VLOOKUP("ياسمين هندي كبير",'قائمة الأسعار الموحدة'!$B$3:$E$69,4,FALSE)="",F120,VLOOKUP("ياسمين هندي كبير",'قائمة الأسعار الموحدة'!$B$3:$E$69,4,FALSE)),F120)</f>
        <v/>
      </c>
      <c r="I120" s="4">
        <f>IF(H120="","",E120*H120)</f>
        <v/>
      </c>
      <c r="J120" s="4">
        <f>IF(OR(G120="",I120=""),"",G120-I120)</f>
        <v/>
      </c>
      <c r="K120" s="3" t="inlineStr">
        <is>
          <t>صنف موجود بالسند بالنظام وأسقطه المحاسب – أُضيف</t>
        </is>
      </c>
    </row>
    <row r="121">
      <c r="A121" s="4" t="n">
        <v>119</v>
      </c>
      <c r="B121" s="8" t="n">
        <v>46163</v>
      </c>
      <c r="C121" s="3" t="inlineStr">
        <is>
          <t>طلب 58991 (#299/#301)</t>
        </is>
      </c>
      <c r="D121" s="3" t="inlineStr">
        <is>
          <t>زهور فينكا روزا</t>
        </is>
      </c>
      <c r="E121" s="4" t="n">
        <v>-17900</v>
      </c>
      <c r="F121" s="4" t="n">
        <v>0.5</v>
      </c>
      <c r="G121" s="4">
        <f>IF(F121="","",E121*F121)</f>
        <v/>
      </c>
      <c r="H121" s="4">
        <f>IFERROR(IF(VLOOKUP("فينكا روزا",'قائمة الأسعار الموحدة'!$B$3:$E$69,4,FALSE)="",F121,VLOOKUP("فينكا روزا",'قائمة الأسعار الموحدة'!$B$3:$E$69,4,FALSE)),F121)</f>
        <v/>
      </c>
      <c r="I121" s="4">
        <f>IF(H121="","",E121*H121)</f>
        <v/>
      </c>
      <c r="J121" s="4">
        <f>IF(OR(G121="",I121=""),"",G121-I121)</f>
        <v/>
      </c>
      <c r="K121" s="3" t="inlineStr">
        <is>
          <t>خصم كمية مرفوضة/مفقودة مع المناديب (حسب قرارك)</t>
        </is>
      </c>
    </row>
    <row r="122">
      <c r="A122" s="10" t="n"/>
      <c r="B122" s="10" t="n"/>
      <c r="C122" s="10" t="n"/>
      <c r="D122" s="11" t="inlineStr">
        <is>
          <t>الإجمالي</t>
        </is>
      </c>
      <c r="E122" s="12">
        <f>SUM(E3:E121)</f>
        <v/>
      </c>
      <c r="F122" s="10" t="n"/>
      <c r="G122" s="12">
        <f>SUM(G3:G121)</f>
        <v/>
      </c>
      <c r="H122" s="10" t="n"/>
      <c r="I122" s="12">
        <f>SUM(I3:I121)</f>
        <v/>
      </c>
      <c r="J122" s="12">
        <f>SUM(J3:J121)</f>
        <v/>
      </c>
      <c r="K122" s="1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34" customWidth="1" min="4" max="4"/>
    <col width="11" customWidth="1" min="5" max="5"/>
    <col width="11" customWidth="1" min="6" max="6"/>
    <col width="14" customWidth="1" min="7" max="7"/>
    <col width="11" customWidth="1" min="8" max="8"/>
    <col width="14" customWidth="1" min="9" max="9"/>
    <col width="16" customWidth="1" min="10" max="10"/>
    <col width="48" customWidth="1" min="11" max="11"/>
  </cols>
  <sheetData>
    <row r="1">
      <c r="A1" s="5" t="inlineStr">
        <is>
          <t>الترحيل من تبوك إلى مزرعة الرياض بالسعر الموحد = دعم تشغيلي من أبو مازن</t>
        </is>
      </c>
    </row>
    <row r="2">
      <c r="A2" s="2" t="inlineStr">
        <is>
          <t>م</t>
        </is>
      </c>
      <c r="B2" s="2" t="inlineStr">
        <is>
          <t>التاريخ</t>
        </is>
      </c>
      <c r="C2" s="2" t="inlineStr">
        <is>
          <t>السند</t>
        </is>
      </c>
      <c r="D2" s="2" t="inlineStr">
        <is>
          <t>الصنف</t>
        </is>
      </c>
      <c r="E2" s="2" t="inlineStr">
        <is>
          <t>الكمية</t>
        </is>
      </c>
      <c r="F2" s="2" t="inlineStr">
        <is>
          <t>السعر المسجل</t>
        </is>
      </c>
      <c r="G2" s="2" t="inlineStr">
        <is>
          <t>الإجمالي المسجل</t>
        </is>
      </c>
      <c r="H2" s="2" t="inlineStr">
        <is>
          <t>السعر الموحد</t>
        </is>
      </c>
      <c r="I2" s="2" t="inlineStr">
        <is>
          <t>الإجمالي الموحد</t>
        </is>
      </c>
      <c r="J2" s="2" t="inlineStr">
        <is>
          <t>الفرق (المسجل − الموحد)</t>
        </is>
      </c>
      <c r="K2" s="2" t="inlineStr">
        <is>
          <t>ملاحظة</t>
        </is>
      </c>
    </row>
    <row r="3">
      <c r="A3" s="4" t="n">
        <v>1</v>
      </c>
      <c r="B3" s="8" t="n">
        <v>45874</v>
      </c>
      <c r="C3" s="3" t="inlineStr">
        <is>
          <t>TNR-1867</t>
        </is>
      </c>
      <c r="D3" s="3" t="inlineStr">
        <is>
          <t>حجر ديكورى ابيض مطفى 3:5سم-10كجم</t>
        </is>
      </c>
      <c r="E3" s="4" t="n">
        <v>598</v>
      </c>
      <c r="F3" s="4" t="n">
        <v>10</v>
      </c>
      <c r="G3" s="4">
        <f>IF(F3="","",E3*F3)</f>
        <v/>
      </c>
      <c r="H3" s="9">
        <f>IFERROR(IF(VLOOKUP("حجر ديكوري ابيض مطفي 3: 5",'قائمة الأسعار الموحدة'!$B$3:$E$69,4,FALSE)="",F3,VLOOKUP("حجر ديكوري ابيض مطفي 3: 5",'قائمة الأسعار الموحدة'!$B$3:$E$69,4,FALSE)),F3)</f>
        <v/>
      </c>
      <c r="I3" s="4">
        <f>IF(H3="","",E3*H3)</f>
        <v/>
      </c>
      <c r="J3" s="4">
        <f>IF(OR(G3="",I3=""),"",G3-I3)</f>
        <v/>
      </c>
      <c r="K3" s="3" t="inlineStr">
        <is>
          <t>تاريخ مصحح من 2026 إلى 2025</t>
        </is>
      </c>
    </row>
    <row r="4">
      <c r="A4" s="4" t="n">
        <v>2</v>
      </c>
      <c r="B4" s="8" t="n">
        <v>45874</v>
      </c>
      <c r="C4" s="3" t="inlineStr">
        <is>
          <t>TNR-1867</t>
        </is>
      </c>
      <c r="D4" s="3" t="inlineStr">
        <is>
          <t>ابيض لامع</t>
        </is>
      </c>
      <c r="E4" s="4" t="n">
        <v>11</v>
      </c>
      <c r="F4" s="4" t="n">
        <v>18</v>
      </c>
      <c r="G4" s="4">
        <f>IF(F4="","",E4*F4)</f>
        <v/>
      </c>
      <c r="H4" s="9">
        <f>IFERROR(IF(VLOOKUP("حجر ديكوري ابيض لامع 1: 3",'قائمة الأسعار الموحدة'!$B$3:$E$69,4,FALSE)="",F4,VLOOKUP("حجر ديكوري ابيض لامع 1: 3",'قائمة الأسعار الموحدة'!$B$3:$E$69,4,FALSE)),F4)</f>
        <v/>
      </c>
      <c r="I4" s="4">
        <f>IF(H4="","",E4*H4)</f>
        <v/>
      </c>
      <c r="J4" s="4">
        <f>IF(OR(G4="",I4=""),"",G4-I4)</f>
        <v/>
      </c>
      <c r="K4" s="3" t="inlineStr">
        <is>
          <t>تاريخ مصحح من 2026 إلى 2025</t>
        </is>
      </c>
    </row>
    <row r="5">
      <c r="A5" s="4" t="n">
        <v>3</v>
      </c>
      <c r="B5" s="8" t="n">
        <v>45874</v>
      </c>
      <c r="C5" s="3" t="inlineStr">
        <is>
          <t>TNR-1867</t>
        </is>
      </c>
      <c r="D5" s="3" t="inlineStr">
        <is>
          <t xml:space="preserve">اسود لامع </t>
        </is>
      </c>
      <c r="E5" s="4" t="n">
        <v>9</v>
      </c>
      <c r="F5" s="4" t="n">
        <v>18</v>
      </c>
      <c r="G5" s="4">
        <f>IF(F5="","",E5*F5)</f>
        <v/>
      </c>
      <c r="H5" s="9">
        <f>IFERROR(IF(VLOOKUP("حجر ديكوري اسود لامع 1: 3",'قائمة الأسعار الموحدة'!$B$3:$E$69,4,FALSE)="",F5,VLOOKUP("حجر ديكوري اسود لامع 1: 3",'قائمة الأسعار الموحدة'!$B$3:$E$69,4,FALSE)),F5)</f>
        <v/>
      </c>
      <c r="I5" s="4">
        <f>IF(H5="","",E5*H5)</f>
        <v/>
      </c>
      <c r="J5" s="4">
        <f>IF(OR(G5="",I5=""),"",G5-I5)</f>
        <v/>
      </c>
      <c r="K5" s="3" t="inlineStr">
        <is>
          <t>تاريخ مصحح من 2026 إلى 2025</t>
        </is>
      </c>
    </row>
    <row r="6">
      <c r="A6" s="4" t="n">
        <v>4</v>
      </c>
      <c r="B6" s="8" t="n">
        <v>45874</v>
      </c>
      <c r="C6" s="3" t="inlineStr">
        <is>
          <t>TNR-1867</t>
        </is>
      </c>
      <c r="D6" s="3" t="inlineStr">
        <is>
          <t xml:space="preserve">احمر لامع </t>
        </is>
      </c>
      <c r="E6" s="4" t="n">
        <v>10</v>
      </c>
      <c r="F6" s="4" t="n">
        <v>18</v>
      </c>
      <c r="G6" s="4">
        <f>IF(F6="","",E6*F6)</f>
        <v/>
      </c>
      <c r="H6" s="9">
        <f>IFERROR(IF(VLOOKUP("حجر ديكوري احمر لامع 1: 3",'قائمة الأسعار الموحدة'!$B$3:$E$69,4,FALSE)="",F6,VLOOKUP("حجر ديكوري احمر لامع 1: 3",'قائمة الأسعار الموحدة'!$B$3:$E$69,4,FALSE)),F6)</f>
        <v/>
      </c>
      <c r="I6" s="4">
        <f>IF(H6="","",E6*H6)</f>
        <v/>
      </c>
      <c r="J6" s="4">
        <f>IF(OR(G6="",I6=""),"",G6-I6)</f>
        <v/>
      </c>
      <c r="K6" s="3" t="inlineStr">
        <is>
          <t>تاريخ مصحح من 2026 إلى 2025</t>
        </is>
      </c>
    </row>
    <row r="7">
      <c r="A7" s="4" t="n">
        <v>5</v>
      </c>
      <c r="B7" s="8" t="n">
        <v>45874</v>
      </c>
      <c r="C7" s="3" t="inlineStr">
        <is>
          <t>TNR-1867</t>
        </is>
      </c>
      <c r="D7" s="3" t="inlineStr">
        <is>
          <t>احمر مطفى</t>
        </is>
      </c>
      <c r="E7" s="4" t="n">
        <v>70</v>
      </c>
      <c r="F7" s="4" t="n">
        <v>10</v>
      </c>
      <c r="G7" s="4">
        <f>IF(F7="","",E7*F7)</f>
        <v/>
      </c>
      <c r="H7" s="9">
        <f>IFERROR(IF(VLOOKUP("حجر ديكوري احمر مطفي",'قائمة الأسعار الموحدة'!$B$3:$E$69,4,FALSE)="",F7,VLOOKUP("حجر ديكوري احمر مطفي",'قائمة الأسعار الموحدة'!$B$3:$E$69,4,FALSE)),F7)</f>
        <v/>
      </c>
      <c r="I7" s="4">
        <f>IF(H7="","",E7*H7)</f>
        <v/>
      </c>
      <c r="J7" s="4">
        <f>IF(OR(G7="",I7=""),"",G7-I7)</f>
        <v/>
      </c>
      <c r="K7" s="3" t="inlineStr">
        <is>
          <t>تاريخ مصحح من 2026 إلى 2025</t>
        </is>
      </c>
    </row>
    <row r="8">
      <c r="A8" s="4" t="n">
        <v>6</v>
      </c>
      <c r="B8" s="8" t="n">
        <v>45874</v>
      </c>
      <c r="C8" s="3" t="inlineStr">
        <is>
          <t>TNR-1867</t>
        </is>
      </c>
      <c r="D8" s="3" t="inlineStr">
        <is>
          <t>اصفر مطفى</t>
        </is>
      </c>
      <c r="E8" s="4" t="n">
        <v>196</v>
      </c>
      <c r="F8" s="4" t="n">
        <v>10</v>
      </c>
      <c r="G8" s="4">
        <f>IF(F8="","",E8*F8)</f>
        <v/>
      </c>
      <c r="H8" s="9">
        <f>IFERROR(IF(VLOOKUP("حجر ديكوري اصفر مطفي 1: 3",'قائمة الأسعار الموحدة'!$B$3:$E$69,4,FALSE)="",F8,VLOOKUP("حجر ديكوري اصفر مطفي 1: 3",'قائمة الأسعار الموحدة'!$B$3:$E$69,4,FALSE)),F8)</f>
        <v/>
      </c>
      <c r="I8" s="4">
        <f>IF(H8="","",E8*H8)</f>
        <v/>
      </c>
      <c r="J8" s="4">
        <f>IF(OR(G8="",I8=""),"",G8-I8)</f>
        <v/>
      </c>
      <c r="K8" s="3" t="inlineStr">
        <is>
          <t>تاريخ مصحح من 2026 إلى 2025</t>
        </is>
      </c>
    </row>
    <row r="9">
      <c r="A9" s="4" t="n">
        <v>7</v>
      </c>
      <c r="B9" s="8" t="n">
        <v>45969</v>
      </c>
      <c r="C9" s="3" t="inlineStr">
        <is>
          <t>TNR-2792</t>
        </is>
      </c>
      <c r="D9" s="3" t="inlineStr">
        <is>
          <t>جهنمية بلدى واحد عود 50سم</t>
        </is>
      </c>
      <c r="E9" s="4" t="n">
        <v>300</v>
      </c>
      <c r="F9" s="4" t="n">
        <v>2.5</v>
      </c>
      <c r="G9" s="4">
        <f>IF(F9="","",E9*F9)</f>
        <v/>
      </c>
      <c r="H9" s="9">
        <f>IFERROR(IF(VLOOKUP("جهنميه بلدي 50",'قائمة الأسعار الموحدة'!$B$3:$E$69,4,FALSE)="",F9,VLOOKUP("جهنميه بلدي 50",'قائمة الأسعار الموحدة'!$B$3:$E$69,4,FALSE)),F9)</f>
        <v/>
      </c>
      <c r="I9" s="4">
        <f>IF(H9="","",E9*H9)</f>
        <v/>
      </c>
      <c r="J9" s="4">
        <f>IF(OR(G9="",I9=""),"",G9-I9)</f>
        <v/>
      </c>
      <c r="K9" s="3" t="inlineStr"/>
    </row>
    <row r="10">
      <c r="A10" s="4" t="n">
        <v>8</v>
      </c>
      <c r="B10" s="8" t="n">
        <v>45969</v>
      </c>
      <c r="C10" s="3" t="inlineStr">
        <is>
          <t>TNR-2792</t>
        </is>
      </c>
      <c r="D10" s="3" t="inlineStr">
        <is>
          <t>وايتكس 50 سم</t>
        </is>
      </c>
      <c r="E10" s="4" t="n">
        <v>400</v>
      </c>
      <c r="F10" s="4" t="n">
        <v>2.5</v>
      </c>
      <c r="G10" s="4">
        <f>IF(F10="","",E10*F10)</f>
        <v/>
      </c>
      <c r="H10" s="9">
        <f>IFERROR(IF(VLOOKUP("وايتكس 50",'قائمة الأسعار الموحدة'!$B$3:$E$69,4,FALSE)="",F10,VLOOKUP("وايتكس 50",'قائمة الأسعار الموحدة'!$B$3:$E$69,4,FALSE)),F10)</f>
        <v/>
      </c>
      <c r="I10" s="4">
        <f>IF(H10="","",E10*H10)</f>
        <v/>
      </c>
      <c r="J10" s="4">
        <f>IF(OR(G10="",I10=""),"",G10-I10)</f>
        <v/>
      </c>
      <c r="K10" s="3" t="inlineStr"/>
    </row>
    <row r="11">
      <c r="A11" s="4" t="n">
        <v>9</v>
      </c>
      <c r="B11" s="8" t="n">
        <v>45969</v>
      </c>
      <c r="C11" s="3" t="inlineStr">
        <is>
          <t>TNR-2792</t>
        </is>
      </c>
      <c r="D11" s="3" t="inlineStr">
        <is>
          <t>دورانتا اخضر</t>
        </is>
      </c>
      <c r="E11" s="4" t="n">
        <v>300</v>
      </c>
      <c r="F11" s="4" t="n">
        <v>2.5</v>
      </c>
      <c r="G11" s="4">
        <f>IF(F11="","",E11*F11)</f>
        <v/>
      </c>
      <c r="H11" s="9">
        <f>IFERROR(IF(VLOOKUP("دورانتا اخضر",'قائمة الأسعار الموحدة'!$B$3:$E$69,4,FALSE)="",F11,VLOOKUP("دورانتا اخضر",'قائمة الأسعار الموحدة'!$B$3:$E$69,4,FALSE)),F11)</f>
        <v/>
      </c>
      <c r="I11" s="4">
        <f>IF(H11="","",E11*H11)</f>
        <v/>
      </c>
      <c r="J11" s="4">
        <f>IF(OR(G11="",I11=""),"",G11-I11)</f>
        <v/>
      </c>
      <c r="K11" s="3" t="inlineStr"/>
    </row>
    <row r="12">
      <c r="A12" s="4" t="n">
        <v>10</v>
      </c>
      <c r="B12" s="8" t="n">
        <v>45969</v>
      </c>
      <c r="C12" s="3" t="inlineStr">
        <is>
          <t>TNR-2792</t>
        </is>
      </c>
      <c r="D12" s="3" t="inlineStr">
        <is>
          <t>لانتانا لبناني صغير</t>
        </is>
      </c>
      <c r="E12" s="4" t="n">
        <v>100</v>
      </c>
      <c r="F12" s="4" t="n">
        <v>2.5</v>
      </c>
      <c r="G12" s="4">
        <f>IF(F12="","",E12*F12)</f>
        <v/>
      </c>
      <c r="H12" s="9">
        <f>IFERROR(IF(VLOOKUP("لانتانا لبناني صغير",'قائمة الأسعار الموحدة'!$B$3:$E$69,4,FALSE)="",F12,VLOOKUP("لانتانا لبناني صغير",'قائمة الأسعار الموحدة'!$B$3:$E$69,4,FALSE)),F12)</f>
        <v/>
      </c>
      <c r="I12" s="4">
        <f>IF(H12="","",E12*H12)</f>
        <v/>
      </c>
      <c r="J12" s="4">
        <f>IF(OR(G12="",I12=""),"",G12-I12)</f>
        <v/>
      </c>
      <c r="K12" s="3" t="inlineStr"/>
    </row>
    <row r="13">
      <c r="A13" s="4" t="n">
        <v>11</v>
      </c>
      <c r="B13" s="8" t="n">
        <v>45969</v>
      </c>
      <c r="C13" s="3" t="inlineStr">
        <is>
          <t>TNR-2792</t>
        </is>
      </c>
      <c r="D13" s="3" t="inlineStr">
        <is>
          <t>رويليا</t>
        </is>
      </c>
      <c r="E13" s="4" t="n">
        <v>300</v>
      </c>
      <c r="F13" s="4" t="n">
        <v>2.5</v>
      </c>
      <c r="G13" s="4">
        <f>IF(F13="","",E13*F13)</f>
        <v/>
      </c>
      <c r="H13" s="9">
        <f>IFERROR(IF(VLOOKUP("رويليا",'قائمة الأسعار الموحدة'!$B$3:$E$69,4,FALSE)="",F13,VLOOKUP("رويليا",'قائمة الأسعار الموحدة'!$B$3:$E$69,4,FALSE)),F13)</f>
        <v/>
      </c>
      <c r="I13" s="4">
        <f>IF(H13="","",E13*H13)</f>
        <v/>
      </c>
      <c r="J13" s="4">
        <f>IF(OR(G13="",I13=""),"",G13-I13)</f>
        <v/>
      </c>
      <c r="K13" s="3" t="inlineStr"/>
    </row>
    <row r="14">
      <c r="A14" s="4" t="n">
        <v>12</v>
      </c>
      <c r="B14" s="8" t="n">
        <v>45981</v>
      </c>
      <c r="C14" s="3" t="inlineStr">
        <is>
          <t>TNR-2938</t>
        </is>
      </c>
      <c r="D14" s="3" t="inlineStr">
        <is>
          <t>زهور بيتونيا</t>
        </is>
      </c>
      <c r="E14" s="4" t="n">
        <v>8850</v>
      </c>
      <c r="F14" s="4" t="n">
        <v>0.5</v>
      </c>
      <c r="G14" s="4">
        <f>IF(F14="","",E14*F14)</f>
        <v/>
      </c>
      <c r="H14" s="4">
        <f>IFERROR(IF(VLOOKUP("بيتونيا",'قائمة الأسعار الموحدة'!$B$3:$E$69,4,FALSE)="",F14,VLOOKUP("بيتونيا",'قائمة الأسعار الموحدة'!$B$3:$E$69,4,FALSE)),F14)</f>
        <v/>
      </c>
      <c r="I14" s="4">
        <f>IF(H14="","",E14*H14)</f>
        <v/>
      </c>
      <c r="J14" s="4">
        <f>IF(OR(G14="",I14=""),"",G14-I14)</f>
        <v/>
      </c>
      <c r="K14" s="3" t="inlineStr"/>
    </row>
    <row r="15">
      <c r="A15" s="4" t="n">
        <v>13</v>
      </c>
      <c r="B15" s="8" t="n">
        <v>45981</v>
      </c>
      <c r="C15" s="3" t="inlineStr">
        <is>
          <t>TNR-2938</t>
        </is>
      </c>
      <c r="D15" s="3" t="inlineStr">
        <is>
          <t>زهور اليسوم</t>
        </is>
      </c>
      <c r="E15" s="4" t="n">
        <v>200</v>
      </c>
      <c r="F15" s="4" t="n">
        <v>0.5</v>
      </c>
      <c r="G15" s="4">
        <f>IF(F15="","",E15*F15)</f>
        <v/>
      </c>
      <c r="H15" s="9">
        <f>IFERROR(IF(VLOOKUP("اليسوم",'قائمة الأسعار الموحدة'!$B$3:$E$69,4,FALSE)="",F15,VLOOKUP("اليسوم",'قائمة الأسعار الموحدة'!$B$3:$E$69,4,FALSE)),F15)</f>
        <v/>
      </c>
      <c r="I15" s="4">
        <f>IF(H15="","",E15*H15)</f>
        <v/>
      </c>
      <c r="J15" s="4">
        <f>IF(OR(G15="",I15=""),"",G15-I15)</f>
        <v/>
      </c>
      <c r="K15" s="3" t="inlineStr"/>
    </row>
    <row r="16">
      <c r="A16" s="4" t="n">
        <v>14</v>
      </c>
      <c r="B16" s="8" t="n">
        <v>46002</v>
      </c>
      <c r="C16" s="3" t="inlineStr">
        <is>
          <t>TNR-3201</t>
        </is>
      </c>
      <c r="D16" s="3" t="inlineStr">
        <is>
          <t>حجر ديكورى ابيض مطفى 3:5سم-10كجم</t>
        </is>
      </c>
      <c r="E16" s="4" t="n">
        <v>320</v>
      </c>
      <c r="F16" s="4" t="n">
        <v>10</v>
      </c>
      <c r="G16" s="4">
        <f>IF(F16="","",E16*F16)</f>
        <v/>
      </c>
      <c r="H16" s="9">
        <f>IFERROR(IF(VLOOKUP("حجر ديكوري ابيض مطفي 3: 5",'قائمة الأسعار الموحدة'!$B$3:$E$69,4,FALSE)="",F16,VLOOKUP("حجر ديكوري ابيض مطفي 3: 5",'قائمة الأسعار الموحدة'!$B$3:$E$69,4,FALSE)),F16)</f>
        <v/>
      </c>
      <c r="I16" s="4">
        <f>IF(H16="","",E16*H16)</f>
        <v/>
      </c>
      <c r="J16" s="4">
        <f>IF(OR(G16="",I16=""),"",G16-I16)</f>
        <v/>
      </c>
      <c r="K16" s="3" t="inlineStr"/>
    </row>
    <row r="17">
      <c r="A17" s="4" t="n">
        <v>15</v>
      </c>
      <c r="B17" s="8" t="n">
        <v>46025</v>
      </c>
      <c r="C17" s="3" t="inlineStr">
        <is>
          <t>اذن صرف 319</t>
        </is>
      </c>
      <c r="D17" s="3" t="inlineStr">
        <is>
          <t>دورانتا اخضر</t>
        </is>
      </c>
      <c r="E17" s="4" t="n">
        <v>1200</v>
      </c>
      <c r="F17" s="4" t="n">
        <v>2.5</v>
      </c>
      <c r="G17" s="4">
        <f>IF(F17="","",E17*F17)</f>
        <v/>
      </c>
      <c r="H17" s="9">
        <f>IFERROR(IF(VLOOKUP("دورانتا اخضر",'قائمة الأسعار الموحدة'!$B$3:$E$69,4,FALSE)="",F17,VLOOKUP("دورانتا اخضر",'قائمة الأسعار الموحدة'!$B$3:$E$69,4,FALSE)),F17)</f>
        <v/>
      </c>
      <c r="I17" s="4">
        <f>IF(H17="","",E17*H17)</f>
        <v/>
      </c>
      <c r="J17" s="4">
        <f>IF(OR(G17="",I17=""),"",G17-I17)</f>
        <v/>
      </c>
      <c r="K17" s="3" t="inlineStr"/>
    </row>
    <row r="18">
      <c r="A18" s="4" t="n">
        <v>16</v>
      </c>
      <c r="B18" s="8" t="n">
        <v>46025</v>
      </c>
      <c r="C18" s="3" t="inlineStr">
        <is>
          <t>اذن صرف 319</t>
        </is>
      </c>
      <c r="D18" s="3" t="inlineStr">
        <is>
          <t>تيكوماريا</t>
        </is>
      </c>
      <c r="E18" s="4" t="n">
        <v>740</v>
      </c>
      <c r="F18" s="4" t="n">
        <v>2.5</v>
      </c>
      <c r="G18" s="4">
        <f>IF(F18="","",E18*F18)</f>
        <v/>
      </c>
      <c r="H18" s="9">
        <f>IFERROR(IF(VLOOKUP("تيكوماريا 50",'قائمة الأسعار الموحدة'!$B$3:$E$69,4,FALSE)="",F18,VLOOKUP("تيكوماريا 50",'قائمة الأسعار الموحدة'!$B$3:$E$69,4,FALSE)),F18)</f>
        <v/>
      </c>
      <c r="I18" s="4">
        <f>IF(H18="","",E18*H18)</f>
        <v/>
      </c>
      <c r="J18" s="4">
        <f>IF(OR(G18="",I18=""),"",G18-I18)</f>
        <v/>
      </c>
      <c r="K18" s="3" t="inlineStr"/>
    </row>
    <row r="19">
      <c r="A19" s="4" t="n">
        <v>17</v>
      </c>
      <c r="B19" s="8" t="n">
        <v>46025</v>
      </c>
      <c r="C19" s="3" t="inlineStr">
        <is>
          <t>اذن صرف 319</t>
        </is>
      </c>
      <c r="D19" s="3" t="inlineStr">
        <is>
          <t>اكاليفيا</t>
        </is>
      </c>
      <c r="E19" s="4" t="n">
        <v>60</v>
      </c>
      <c r="F19" s="4" t="n">
        <v>2.5</v>
      </c>
      <c r="G19" s="4">
        <f>IF(F19="","",E19*F19)</f>
        <v/>
      </c>
      <c r="H19" s="9">
        <f>IFERROR(IF(VLOOKUP("اكاليفا",'قائمة الأسعار الموحدة'!$B$3:$E$69,4,FALSE)="",F19,VLOOKUP("اكاليفا",'قائمة الأسعار الموحدة'!$B$3:$E$69,4,FALSE)),F19)</f>
        <v/>
      </c>
      <c r="I19" s="4">
        <f>IF(H19="","",E19*H19)</f>
        <v/>
      </c>
      <c r="J19" s="4">
        <f>IF(OR(G19="",I19=""),"",G19-I19)</f>
        <v/>
      </c>
      <c r="K19" s="3" t="inlineStr"/>
    </row>
    <row r="20">
      <c r="A20" s="4" t="n">
        <v>18</v>
      </c>
      <c r="B20" s="8" t="n">
        <v>46025</v>
      </c>
      <c r="C20" s="3" t="inlineStr">
        <is>
          <t>اذن صرف 319</t>
        </is>
      </c>
      <c r="D20" s="3" t="inlineStr">
        <is>
          <t>حجر ديكورى ابيض مطفى 3:5سم-10كجم</t>
        </is>
      </c>
      <c r="E20" s="4" t="n">
        <v>200</v>
      </c>
      <c r="F20" s="4" t="n">
        <v>10</v>
      </c>
      <c r="G20" s="4">
        <f>IF(F20="","",E20*F20)</f>
        <v/>
      </c>
      <c r="H20" s="9">
        <f>IFERROR(IF(VLOOKUP("حجر ديكوري ابيض مطفي 3: 5",'قائمة الأسعار الموحدة'!$B$3:$E$69,4,FALSE)="",F20,VLOOKUP("حجر ديكوري ابيض مطفي 3: 5",'قائمة الأسعار الموحدة'!$B$3:$E$69,4,FALSE)),F20)</f>
        <v/>
      </c>
      <c r="I20" s="4">
        <f>IF(H20="","",E20*H20)</f>
        <v/>
      </c>
      <c r="J20" s="4">
        <f>IF(OR(G20="",I20=""),"",G20-I20)</f>
        <v/>
      </c>
      <c r="K20" s="3" t="inlineStr"/>
    </row>
    <row r="21">
      <c r="A21" s="4" t="n">
        <v>19</v>
      </c>
      <c r="C21" s="3" t="inlineStr">
        <is>
          <t>فرق PO الشجيرات</t>
        </is>
      </c>
      <c r="D21" s="3" t="inlineStr">
        <is>
          <t>جهنمية بلدى واحد عود 50سم</t>
        </is>
      </c>
      <c r="E21" s="4" t="n">
        <v>270</v>
      </c>
      <c r="F21" s="4" t="n">
        <v>2.5</v>
      </c>
      <c r="G21" s="4">
        <f>IF(F21="","",E21*F21)</f>
        <v/>
      </c>
      <c r="H21" s="9">
        <f>IFERROR(IF(VLOOKUP("جهنميه بلدي 50",'قائمة الأسعار الموحدة'!$B$3:$E$69,4,FALSE)="",F21,VLOOKUP("جهنميه بلدي 50",'قائمة الأسعار الموحدة'!$B$3:$E$69,4,FALSE)),F21)</f>
        <v/>
      </c>
      <c r="I21" s="4">
        <f>IF(H21="","",E21*H21)</f>
        <v/>
      </c>
      <c r="J21" s="4">
        <f>IF(OR(G21="",I21=""),"",G21-I21)</f>
        <v/>
      </c>
      <c r="K21" s="3" t="inlineStr">
        <is>
          <t>صافي ما باعته الرياض من براد الشجيرات</t>
        </is>
      </c>
    </row>
    <row r="22">
      <c r="A22" s="4" t="n">
        <v>20</v>
      </c>
      <c r="C22" s="3" t="inlineStr">
        <is>
          <t>فرق PO الشجيرات</t>
        </is>
      </c>
      <c r="D22" s="3" t="inlineStr">
        <is>
          <t>دورانتا اخضر</t>
        </is>
      </c>
      <c r="E22" s="4" t="n">
        <v>10</v>
      </c>
      <c r="F22" s="4" t="n">
        <v>2.5</v>
      </c>
      <c r="G22" s="4">
        <f>IF(F22="","",E22*F22)</f>
        <v/>
      </c>
      <c r="H22" s="9">
        <f>IFERROR(IF(VLOOKUP("دورانتا اخضر",'قائمة الأسعار الموحدة'!$B$3:$E$69,4,FALSE)="",F22,VLOOKUP("دورانتا اخضر",'قائمة الأسعار الموحدة'!$B$3:$E$69,4,FALSE)),F22)</f>
        <v/>
      </c>
      <c r="I22" s="4">
        <f>IF(H22="","",E22*H22)</f>
        <v/>
      </c>
      <c r="J22" s="4">
        <f>IF(OR(G22="",I22=""),"",G22-I22)</f>
        <v/>
      </c>
      <c r="K22" s="3" t="inlineStr">
        <is>
          <t>صافي ما باعته الرياض من براد الشجيرات</t>
        </is>
      </c>
    </row>
    <row r="23">
      <c r="A23" s="4" t="n">
        <v>21</v>
      </c>
      <c r="C23" s="3" t="inlineStr">
        <is>
          <t>فرق PO الشجيرات</t>
        </is>
      </c>
      <c r="D23" s="3" t="inlineStr">
        <is>
          <t>لانتانا لبناني صغير</t>
        </is>
      </c>
      <c r="E23" s="4" t="n">
        <v>60</v>
      </c>
      <c r="F23" s="4" t="n">
        <v>2.5</v>
      </c>
      <c r="G23" s="4">
        <f>IF(F23="","",E23*F23)</f>
        <v/>
      </c>
      <c r="H23" s="9">
        <f>IFERROR(IF(VLOOKUP("لانتانا لبناني صغير",'قائمة الأسعار الموحدة'!$B$3:$E$69,4,FALSE)="",F23,VLOOKUP("لانتانا لبناني صغير",'قائمة الأسعار الموحدة'!$B$3:$E$69,4,FALSE)),F23)</f>
        <v/>
      </c>
      <c r="I23" s="4">
        <f>IF(H23="","",E23*H23)</f>
        <v/>
      </c>
      <c r="J23" s="4">
        <f>IF(OR(G23="",I23=""),"",G23-I23)</f>
        <v/>
      </c>
      <c r="K23" s="3" t="inlineStr">
        <is>
          <t>صافي ما باعته الرياض من براد الشجيرات</t>
        </is>
      </c>
    </row>
    <row r="24">
      <c r="A24" s="4" t="n">
        <v>22</v>
      </c>
      <c r="C24" s="3" t="inlineStr">
        <is>
          <t>فرق PO الشجيرات</t>
        </is>
      </c>
      <c r="D24" s="3" t="inlineStr">
        <is>
          <t>رويليا</t>
        </is>
      </c>
      <c r="E24" s="4" t="n">
        <v>206</v>
      </c>
      <c r="F24" s="4" t="n">
        <v>2.5</v>
      </c>
      <c r="G24" s="4">
        <f>IF(F24="","",E24*F24)</f>
        <v/>
      </c>
      <c r="H24" s="9">
        <f>IFERROR(IF(VLOOKUP("رويليا",'قائمة الأسعار الموحدة'!$B$3:$E$69,4,FALSE)="",F24,VLOOKUP("رويليا",'قائمة الأسعار الموحدة'!$B$3:$E$69,4,FALSE)),F24)</f>
        <v/>
      </c>
      <c r="I24" s="4">
        <f>IF(H24="","",E24*H24)</f>
        <v/>
      </c>
      <c r="J24" s="4">
        <f>IF(OR(G24="",I24=""),"",G24-I24)</f>
        <v/>
      </c>
      <c r="K24" s="3" t="inlineStr">
        <is>
          <t>صافي ما باعته الرياض من براد الشجيرات</t>
        </is>
      </c>
    </row>
    <row r="25">
      <c r="A25" s="4" t="n">
        <v>23</v>
      </c>
      <c r="C25" s="3" t="inlineStr">
        <is>
          <t>فرق PO الشجيرات</t>
        </is>
      </c>
      <c r="D25" s="3" t="inlineStr">
        <is>
          <t>تيكوماريا</t>
        </is>
      </c>
      <c r="E25" s="4" t="n">
        <v>72</v>
      </c>
      <c r="F25" s="4" t="n">
        <v>2.5</v>
      </c>
      <c r="G25" s="4">
        <f>IF(F25="","",E25*F25)</f>
        <v/>
      </c>
      <c r="H25" s="9">
        <f>IFERROR(IF(VLOOKUP("تيكوماريا 50",'قائمة الأسعار الموحدة'!$B$3:$E$69,4,FALSE)="",F25,VLOOKUP("تيكوماريا 50",'قائمة الأسعار الموحدة'!$B$3:$E$69,4,FALSE)),F25)</f>
        <v/>
      </c>
      <c r="I25" s="4">
        <f>IF(H25="","",E25*H25)</f>
        <v/>
      </c>
      <c r="J25" s="4">
        <f>IF(OR(G25="",I25=""),"",G25-I25)</f>
        <v/>
      </c>
      <c r="K25" s="3" t="inlineStr">
        <is>
          <t>صافي ما باعته الرياض من براد الشجيرات</t>
        </is>
      </c>
    </row>
    <row r="26">
      <c r="A26" s="4" t="n">
        <v>24</v>
      </c>
      <c r="C26" s="3" t="inlineStr">
        <is>
          <t>فرق PO الشجيرات</t>
        </is>
      </c>
      <c r="D26" s="3" t="inlineStr">
        <is>
          <t>فل بلدى</t>
        </is>
      </c>
      <c r="E26" s="4" t="n">
        <v>50</v>
      </c>
      <c r="F26" s="4" t="n">
        <v>2.5</v>
      </c>
      <c r="G26" s="4">
        <f>IF(F26="","",E26*F26)</f>
        <v/>
      </c>
      <c r="H26" s="9">
        <f>IFERROR(IF(VLOOKUP("فل بلدي",'قائمة الأسعار الموحدة'!$B$3:$E$69,4,FALSE)="",F26,VLOOKUP("فل بلدي",'قائمة الأسعار الموحدة'!$B$3:$E$69,4,FALSE)),F26)</f>
        <v/>
      </c>
      <c r="I26" s="4">
        <f>IF(H26="","",E26*H26)</f>
        <v/>
      </c>
      <c r="J26" s="4">
        <f>IF(OR(G26="",I26=""),"",G26-I26)</f>
        <v/>
      </c>
      <c r="K26" s="3" t="inlineStr">
        <is>
          <t>صافي ما باعته الرياض من براد الشجيرات</t>
        </is>
      </c>
    </row>
    <row r="27">
      <c r="A27" s="4" t="n">
        <v>25</v>
      </c>
      <c r="C27" s="3" t="inlineStr">
        <is>
          <t>فرق PO الشجيرات</t>
        </is>
      </c>
      <c r="D27" s="3" t="inlineStr">
        <is>
          <t>ياسمين ازرق  50 سم</t>
        </is>
      </c>
      <c r="E27" s="4" t="n">
        <v>150</v>
      </c>
      <c r="F27" s="4" t="n">
        <v>2.5</v>
      </c>
      <c r="G27" s="4">
        <f>IF(F27="","",E27*F27)</f>
        <v/>
      </c>
      <c r="H27" s="9">
        <f>IFERROR(IF(VLOOKUP("ياسمين ازرق",'قائمة الأسعار الموحدة'!$B$3:$E$69,4,FALSE)="",F27,VLOOKUP("ياسمين ازرق",'قائمة الأسعار الموحدة'!$B$3:$E$69,4,FALSE)),F27)</f>
        <v/>
      </c>
      <c r="I27" s="4">
        <f>IF(H27="","",E27*H27)</f>
        <v/>
      </c>
      <c r="J27" s="4">
        <f>IF(OR(G27="",I27=""),"",G27-I27)</f>
        <v/>
      </c>
      <c r="K27" s="3" t="inlineStr">
        <is>
          <t>صافي ما باعته الرياض من براد الشجيرات</t>
        </is>
      </c>
    </row>
    <row r="28">
      <c r="A28" s="4" t="n">
        <v>26</v>
      </c>
      <c r="B28" s="8" t="n">
        <v>46231</v>
      </c>
      <c r="C28" s="3" t="inlineStr">
        <is>
          <t>TRF-0188</t>
        </is>
      </c>
      <c r="D28" s="3" t="inlineStr">
        <is>
          <t>بيرلايت 100 لتر</t>
        </is>
      </c>
      <c r="E28" s="4" t="n">
        <v>25</v>
      </c>
      <c r="F28" s="4" t="n">
        <v>32.5</v>
      </c>
      <c r="G28" s="4">
        <f>IF(F28="","",E28*F28)</f>
        <v/>
      </c>
      <c r="H28" s="9">
        <f>IFERROR(IF(VLOOKUP("بيرلايت 100 لتر",'قائمة الأسعار الموحدة'!$B$3:$E$69,4,FALSE)="",F28,VLOOKUP("بيرلايت 100 لتر",'قائمة الأسعار الموحدة'!$B$3:$E$69,4,FALSE)),F28)</f>
        <v/>
      </c>
      <c r="I28" s="4">
        <f>IF(H28="","",E28*H28)</f>
        <v/>
      </c>
      <c r="J28" s="4">
        <f>IF(OR(G28="",I28=""),"",G28-I28)</f>
        <v/>
      </c>
      <c r="K28" s="3" t="inlineStr">
        <is>
          <t>سند بالنظام لم يدرجه المحاسب – أُضيف</t>
        </is>
      </c>
    </row>
    <row r="29">
      <c r="A29" s="4" t="n">
        <v>27</v>
      </c>
      <c r="B29" s="8" t="n">
        <v>45976</v>
      </c>
      <c r="C29" s="3" t="inlineStr">
        <is>
          <t>TNR-2689 / TNR-2888</t>
        </is>
      </c>
      <c r="D29" s="3" t="inlineStr">
        <is>
          <t>زهور بيتونيا</t>
        </is>
      </c>
      <c r="E29" s="4" t="n">
        <v>69625</v>
      </c>
      <c r="F29" s="4" t="n">
        <v>0.5</v>
      </c>
      <c r="G29" s="4">
        <f>IF(F29="","",E29*F29)</f>
        <v/>
      </c>
      <c r="H29" s="4">
        <f>IFERROR(IF(VLOOKUP("بيتونيا",'قائمة الأسعار الموحدة'!$B$3:$E$69,4,FALSE)="",F29,VLOOKUP("بيتونيا",'قائمة الأسعار الموحدة'!$B$3:$E$69,4,FALSE)),F29)</f>
        <v/>
      </c>
      <c r="I29" s="4">
        <f>IF(H29="","",E29*H29)</f>
        <v/>
      </c>
      <c r="J29" s="4">
        <f>IF(OR(G29="",I29=""),"",G29-I29)</f>
        <v/>
      </c>
      <c r="K29" s="3" t="inlineStr">
        <is>
          <t>بيتونيا عقد عرعر المحوّلة من تبوك (72,625 − 3,000 تالف)</t>
        </is>
      </c>
    </row>
    <row r="30">
      <c r="A30" s="10" t="n"/>
      <c r="B30" s="10" t="n"/>
      <c r="C30" s="10" t="n"/>
      <c r="D30" s="11" t="inlineStr">
        <is>
          <t>الإجمالي</t>
        </is>
      </c>
      <c r="E30" s="12">
        <f>SUM(E3:E29)</f>
        <v/>
      </c>
      <c r="F30" s="10" t="n"/>
      <c r="G30" s="12">
        <f>SUM(G3:G29)</f>
        <v/>
      </c>
      <c r="H30" s="10" t="n"/>
      <c r="I30" s="12">
        <f>SUM(I3:I29)</f>
        <v/>
      </c>
      <c r="J30" s="12">
        <f>SUM(J3:J29)</f>
        <v/>
      </c>
      <c r="K30" s="10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34" customWidth="1" min="4" max="4"/>
    <col width="11" customWidth="1" min="5" max="5"/>
    <col width="11" customWidth="1" min="6" max="6"/>
    <col width="14" customWidth="1" min="7" max="7"/>
    <col width="11" customWidth="1" min="8" max="8"/>
    <col width="14" customWidth="1" min="9" max="9"/>
    <col width="16" customWidth="1" min="10" max="10"/>
    <col width="48" customWidth="1" min="11" max="11"/>
  </cols>
  <sheetData>
    <row r="1">
      <c r="A1" s="5" t="inlineStr">
        <is>
          <t>مسحوبات تبوك من الرياض قبل 30-7-2025 (أوامر P00480–P00523) بالسعر الموحد = مديونية على أبو مازن</t>
        </is>
      </c>
    </row>
    <row r="2">
      <c r="A2" s="2" t="inlineStr">
        <is>
          <t>م</t>
        </is>
      </c>
      <c r="B2" s="2" t="inlineStr">
        <is>
          <t>التاريخ</t>
        </is>
      </c>
      <c r="C2" s="2" t="inlineStr">
        <is>
          <t>السند</t>
        </is>
      </c>
      <c r="D2" s="2" t="inlineStr">
        <is>
          <t>الصنف</t>
        </is>
      </c>
      <c r="E2" s="2" t="inlineStr">
        <is>
          <t>الكمية</t>
        </is>
      </c>
      <c r="F2" s="2" t="inlineStr">
        <is>
          <t>السعر المسجل</t>
        </is>
      </c>
      <c r="G2" s="2" t="inlineStr">
        <is>
          <t>الإجمالي المسجل</t>
        </is>
      </c>
      <c r="H2" s="2" t="inlineStr">
        <is>
          <t>السعر الموحد</t>
        </is>
      </c>
      <c r="I2" s="2" t="inlineStr">
        <is>
          <t>الإجمالي الموحد</t>
        </is>
      </c>
      <c r="J2" s="2" t="inlineStr">
        <is>
          <t>الفرق (المسجل − الموحد)</t>
        </is>
      </c>
      <c r="K2" s="2" t="inlineStr">
        <is>
          <t>ملاحظة</t>
        </is>
      </c>
    </row>
    <row r="3">
      <c r="A3" s="4" t="n">
        <v>1</v>
      </c>
      <c r="B3" s="8" t="n">
        <v>45845</v>
      </c>
      <c r="C3" s="3" t="inlineStr">
        <is>
          <t>P00480</t>
        </is>
      </c>
      <c r="D3" s="3" t="inlineStr">
        <is>
          <t>فينكا أبيض نقطة حمراء</t>
        </is>
      </c>
      <c r="E3" s="4" t="n">
        <v>3875</v>
      </c>
      <c r="G3" s="4">
        <f>IF(F3="","",E3*F3)</f>
        <v/>
      </c>
      <c r="H3" s="4">
        <f>IFERROR(IF(VLOOKUP("فينكا ابيض نقطه حمراء",'قائمة الأسعار الموحدة'!$B$3:$E$69,4,FALSE)="",F3,VLOOKUP("فينكا ابيض نقطه حمراء",'قائمة الأسعار الموحدة'!$B$3:$E$69,4,FALSE)),F3)</f>
        <v/>
      </c>
      <c r="I3" s="4">
        <f>IF(H3="","",E3*H3)</f>
        <v/>
      </c>
      <c r="J3" s="4">
        <f>IF(OR(G3="",I3=""),"",G3-I3)</f>
        <v/>
      </c>
      <c r="K3" s="3" t="inlineStr">
        <is>
          <t>شحن خارجي تحمّلته نسما 1,400 ريال – لا يُحمّل على أي طرف</t>
        </is>
      </c>
    </row>
    <row r="4">
      <c r="A4" s="4" t="n">
        <v>2</v>
      </c>
      <c r="B4" s="8" t="n">
        <v>45845</v>
      </c>
      <c r="C4" s="3" t="inlineStr">
        <is>
          <t>P00480</t>
        </is>
      </c>
      <c r="D4" s="3" t="inlineStr">
        <is>
          <t>فينكا أحمر بنقطة</t>
        </is>
      </c>
      <c r="E4" s="4" t="n">
        <v>3000</v>
      </c>
      <c r="G4" s="4">
        <f>IF(F4="","",E4*F4)</f>
        <v/>
      </c>
      <c r="H4" s="4">
        <f>IFERROR(IF(VLOOKUP("فينكا احمر بنقطه",'قائمة الأسعار الموحدة'!$B$3:$E$69,4,FALSE)="",F4,VLOOKUP("فينكا احمر بنقطه",'قائمة الأسعار الموحدة'!$B$3:$E$69,4,FALSE)),F4)</f>
        <v/>
      </c>
      <c r="I4" s="4">
        <f>IF(H4="","",E4*H4)</f>
        <v/>
      </c>
      <c r="J4" s="4">
        <f>IF(OR(G4="",I4=""),"",G4-I4)</f>
        <v/>
      </c>
      <c r="K4" s="3" t="inlineStr">
        <is>
          <t>شحن خارجي تحمّلته نسما 1,400 ريال – لا يُحمّل على أي طرف</t>
        </is>
      </c>
    </row>
    <row r="5">
      <c r="A5" s="4" t="n">
        <v>3</v>
      </c>
      <c r="B5" s="8" t="n">
        <v>45845</v>
      </c>
      <c r="C5" s="3" t="inlineStr">
        <is>
          <t>P00481</t>
        </is>
      </c>
      <c r="D5" s="3" t="inlineStr">
        <is>
          <t>فينكا أحمر</t>
        </is>
      </c>
      <c r="E5" s="4" t="n">
        <v>5000</v>
      </c>
      <c r="G5" s="4">
        <f>IF(F5="","",E5*F5)</f>
        <v/>
      </c>
      <c r="H5" s="4">
        <f>IFERROR(IF(VLOOKUP("فينكا احمر",'قائمة الأسعار الموحدة'!$B$3:$E$69,4,FALSE)="",F5,VLOOKUP("فينكا احمر",'قائمة الأسعار الموحدة'!$B$3:$E$69,4,FALSE)),F5)</f>
        <v/>
      </c>
      <c r="I5" s="4">
        <f>IF(H5="","",E5*H5)</f>
        <v/>
      </c>
      <c r="J5" s="4">
        <f>IF(OR(G5="",I5=""),"",G5-I5)</f>
        <v/>
      </c>
      <c r="K5" s="3" t="inlineStr">
        <is>
          <t>شحن خارجي تحمّلته نسما 1,400 ريال – لا يُحمّل على أي طرف</t>
        </is>
      </c>
    </row>
    <row r="6">
      <c r="A6" s="4" t="n">
        <v>4</v>
      </c>
      <c r="B6" s="8" t="n">
        <v>45845</v>
      </c>
      <c r="C6" s="3" t="inlineStr">
        <is>
          <t>P00481</t>
        </is>
      </c>
      <c r="D6" s="3" t="inlineStr">
        <is>
          <t>فينكا أزرق</t>
        </is>
      </c>
      <c r="E6" s="4" t="n">
        <v>5000</v>
      </c>
      <c r="G6" s="4">
        <f>IF(F6="","",E6*F6)</f>
        <v/>
      </c>
      <c r="H6" s="4">
        <f>IFERROR(IF(VLOOKUP("فينكا ازرق",'قائمة الأسعار الموحدة'!$B$3:$E$69,4,FALSE)="",F6,VLOOKUP("فينكا ازرق",'قائمة الأسعار الموحدة'!$B$3:$E$69,4,FALSE)),F6)</f>
        <v/>
      </c>
      <c r="I6" s="4">
        <f>IF(H6="","",E6*H6)</f>
        <v/>
      </c>
      <c r="J6" s="4">
        <f>IF(OR(G6="",I6=""),"",G6-I6)</f>
        <v/>
      </c>
      <c r="K6" s="3" t="inlineStr">
        <is>
          <t>شحن خارجي تحمّلته نسما 1,400 ريال – لا يُحمّل على أي طرف</t>
        </is>
      </c>
    </row>
    <row r="7">
      <c r="A7" s="4" t="n">
        <v>5</v>
      </c>
      <c r="B7" s="8" t="n">
        <v>45845</v>
      </c>
      <c r="C7" s="3" t="inlineStr">
        <is>
          <t>P00481</t>
        </is>
      </c>
      <c r="D7" s="3" t="inlineStr">
        <is>
          <t>فينكا أبيض</t>
        </is>
      </c>
      <c r="E7" s="4" t="n">
        <v>3000</v>
      </c>
      <c r="G7" s="4">
        <f>IF(F7="","",E7*F7)</f>
        <v/>
      </c>
      <c r="H7" s="4">
        <f>IFERROR(IF(VLOOKUP("فينكا ابيض",'قائمة الأسعار الموحدة'!$B$3:$E$69,4,FALSE)="",F7,VLOOKUP("فينكا ابيض",'قائمة الأسعار الموحدة'!$B$3:$E$69,4,FALSE)),F7)</f>
        <v/>
      </c>
      <c r="I7" s="4">
        <f>IF(H7="","",E7*H7)</f>
        <v/>
      </c>
      <c r="J7" s="4">
        <f>IF(OR(G7="",I7=""),"",G7-I7)</f>
        <v/>
      </c>
      <c r="K7" s="3" t="inlineStr">
        <is>
          <t>شحن خارجي تحمّلته نسما 1,400 ريال – لا يُحمّل على أي طرف</t>
        </is>
      </c>
    </row>
    <row r="8">
      <c r="A8" s="4" t="n">
        <v>6</v>
      </c>
      <c r="B8" s="8" t="n">
        <v>45845</v>
      </c>
      <c r="C8" s="3" t="inlineStr">
        <is>
          <t>P00481</t>
        </is>
      </c>
      <c r="D8" s="3" t="inlineStr">
        <is>
          <t>فينكا مشمشي</t>
        </is>
      </c>
      <c r="E8" s="4" t="n">
        <v>5000</v>
      </c>
      <c r="G8" s="4">
        <f>IF(F8="","",E8*F8)</f>
        <v/>
      </c>
      <c r="H8" s="4">
        <f>IFERROR(IF(VLOOKUP("فينكا مشمشي",'قائمة الأسعار الموحدة'!$B$3:$E$69,4,FALSE)="",F8,VLOOKUP("فينكا مشمشي",'قائمة الأسعار الموحدة'!$B$3:$E$69,4,FALSE)),F8)</f>
        <v/>
      </c>
      <c r="I8" s="4">
        <f>IF(H8="","",E8*H8)</f>
        <v/>
      </c>
      <c r="J8" s="4">
        <f>IF(OR(G8="",I8=""),"",G8-I8)</f>
        <v/>
      </c>
      <c r="K8" s="3" t="inlineStr">
        <is>
          <t>شحن خارجي تحمّلته نسما 1,400 ريال – لا يُحمّل على أي طرف</t>
        </is>
      </c>
    </row>
    <row r="9">
      <c r="A9" s="4" t="n">
        <v>7</v>
      </c>
      <c r="B9" s="8" t="n">
        <v>45854</v>
      </c>
      <c r="C9" s="3" t="inlineStr">
        <is>
          <t>P00508</t>
        </is>
      </c>
      <c r="D9" s="3" t="inlineStr">
        <is>
          <t>فينكا أحمر</t>
        </is>
      </c>
      <c r="E9" s="4" t="n">
        <v>6000</v>
      </c>
      <c r="G9" s="4">
        <f>IF(F9="","",E9*F9)</f>
        <v/>
      </c>
      <c r="H9" s="4">
        <f>IFERROR(IF(VLOOKUP("فينكا احمر",'قائمة الأسعار الموحدة'!$B$3:$E$69,4,FALSE)="",F9,VLOOKUP("فينكا احمر",'قائمة الأسعار الموحدة'!$B$3:$E$69,4,FALSE)),F9)</f>
        <v/>
      </c>
      <c r="I9" s="4">
        <f>IF(H9="","",E9*H9)</f>
        <v/>
      </c>
      <c r="J9" s="4">
        <f>IF(OR(G9="",I9=""),"",G9-I9)</f>
        <v/>
      </c>
      <c r="K9" s="3" t="inlineStr">
        <is>
          <t>شحن خارجي تحمّلته نسما 1,700 ريال – لا يُحمّل على أي طرف</t>
        </is>
      </c>
    </row>
    <row r="10">
      <c r="A10" s="4" t="n">
        <v>8</v>
      </c>
      <c r="B10" s="8" t="n">
        <v>45854</v>
      </c>
      <c r="C10" s="3" t="inlineStr">
        <is>
          <t>P00508</t>
        </is>
      </c>
      <c r="D10" s="3" t="inlineStr">
        <is>
          <t>فينكا أبيض</t>
        </is>
      </c>
      <c r="E10" s="4" t="n">
        <v>6000</v>
      </c>
      <c r="G10" s="4">
        <f>IF(F10="","",E10*F10)</f>
        <v/>
      </c>
      <c r="H10" s="4">
        <f>IFERROR(IF(VLOOKUP("فينكا ابيض",'قائمة الأسعار الموحدة'!$B$3:$E$69,4,FALSE)="",F10,VLOOKUP("فينكا ابيض",'قائمة الأسعار الموحدة'!$B$3:$E$69,4,FALSE)),F10)</f>
        <v/>
      </c>
      <c r="I10" s="4">
        <f>IF(H10="","",E10*H10)</f>
        <v/>
      </c>
      <c r="J10" s="4">
        <f>IF(OR(G10="",I10=""),"",G10-I10)</f>
        <v/>
      </c>
      <c r="K10" s="3" t="inlineStr">
        <is>
          <t>شحن خارجي تحمّلته نسما 1,700 ريال – لا يُحمّل على أي طرف</t>
        </is>
      </c>
    </row>
    <row r="11">
      <c r="A11" s="4" t="n">
        <v>9</v>
      </c>
      <c r="B11" s="8" t="n">
        <v>45856</v>
      </c>
      <c r="C11" s="3" t="inlineStr">
        <is>
          <t>P00519</t>
        </is>
      </c>
      <c r="D11" s="3" t="inlineStr">
        <is>
          <t>زهور موسمية (SEASONAL FLOWERS)</t>
        </is>
      </c>
      <c r="E11" s="4" t="n">
        <v>42000</v>
      </c>
      <c r="G11" s="4">
        <f>IF(F11="","",E11*F11)</f>
        <v/>
      </c>
      <c r="H11" s="4">
        <f>IFERROR(IF(VLOOKUP("موسميه",'قائمة الأسعار الموحدة'!$B$3:$E$69,4,FALSE)="",F11,VLOOKUP("موسميه",'قائمة الأسعار الموحدة'!$B$3:$E$69,4,FALSE)),F11)</f>
        <v/>
      </c>
      <c r="I11" s="4">
        <f>IF(H11="","",E11*H11)</f>
        <v/>
      </c>
      <c r="J11" s="4">
        <f>IF(OR(G11="",I11=""),"",G11-I11)</f>
        <v/>
      </c>
      <c r="K11" s="3" t="inlineStr">
        <is>
          <t>شحن خارجي تحمّلته نسما 3,800 ريال – لا يُحمّل على أي طرف</t>
        </is>
      </c>
    </row>
    <row r="12">
      <c r="A12" s="4" t="n">
        <v>10</v>
      </c>
      <c r="B12" s="8" t="n">
        <v>45856</v>
      </c>
      <c r="C12" s="3" t="inlineStr">
        <is>
          <t>P00522</t>
        </is>
      </c>
      <c r="D12" s="3" t="inlineStr">
        <is>
          <t>زهور موسمية – غير شامل التوصيل</t>
        </is>
      </c>
      <c r="E12" s="4" t="n">
        <v>15000</v>
      </c>
      <c r="G12" s="4">
        <f>IF(F12="","",E12*F12)</f>
        <v/>
      </c>
      <c r="H12" s="4">
        <f>IFERROR(IF(VLOOKUP("موسميه",'قائمة الأسعار الموحدة'!$B$3:$E$69,4,FALSE)="",F12,VLOOKUP("موسميه",'قائمة الأسعار الموحدة'!$B$3:$E$69,4,FALSE)),F12)</f>
        <v/>
      </c>
      <c r="I12" s="4">
        <f>IF(H12="","",E12*H12)</f>
        <v/>
      </c>
      <c r="J12" s="4">
        <f>IF(OR(G12="",I12=""),"",G12-I12)</f>
        <v/>
      </c>
      <c r="K12" s="3" t="inlineStr">
        <is>
          <t>شحن خارجي تحمّلته نسما 3,000 ريال – لا يُحمّل على أي طرف</t>
        </is>
      </c>
    </row>
    <row r="13">
      <c r="A13" s="4" t="n">
        <v>11</v>
      </c>
      <c r="B13" s="8" t="n">
        <v>45856</v>
      </c>
      <c r="C13" s="3" t="inlineStr">
        <is>
          <t>P00523</t>
        </is>
      </c>
      <c r="D13" s="3" t="inlineStr">
        <is>
          <t>زهور موسمية (SEASONAL FLOWERS)</t>
        </is>
      </c>
      <c r="E13" s="4" t="n">
        <v>9000</v>
      </c>
      <c r="G13" s="4">
        <f>IF(F13="","",E13*F13)</f>
        <v/>
      </c>
      <c r="H13" s="4">
        <f>IFERROR(IF(VLOOKUP("موسميه",'قائمة الأسعار الموحدة'!$B$3:$E$69,4,FALSE)="",F13,VLOOKUP("موسميه",'قائمة الأسعار الموحدة'!$B$3:$E$69,4,FALSE)),F13)</f>
        <v/>
      </c>
      <c r="I13" s="4">
        <f>IF(H13="","",E13*H13)</f>
        <v/>
      </c>
      <c r="J13" s="4">
        <f>IF(OR(G13="",I13=""),"",G13-I13)</f>
        <v/>
      </c>
      <c r="K13" s="3" t="inlineStr">
        <is>
          <t>البراد على جرين تاون – الحمولة 15,000 وقُبل 9,000</t>
        </is>
      </c>
    </row>
    <row r="14">
      <c r="A14" s="10" t="n"/>
      <c r="B14" s="10" t="n"/>
      <c r="C14" s="10" t="n"/>
      <c r="D14" s="11" t="inlineStr">
        <is>
          <t>الإجمالي</t>
        </is>
      </c>
      <c r="E14" s="12">
        <f>SUM(E3:E13)</f>
        <v/>
      </c>
      <c r="F14" s="10" t="n"/>
      <c r="G14" s="12">
        <f>SUM(G3:G13)</f>
        <v/>
      </c>
      <c r="H14" s="10" t="n"/>
      <c r="I14" s="12">
        <f>SUM(I3:I13)</f>
        <v/>
      </c>
      <c r="J14" s="12">
        <f>SUM(J3:J13)</f>
        <v/>
      </c>
      <c r="K14" s="10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2" customWidth="1" min="3" max="3"/>
    <col width="12" customWidth="1" min="4" max="4"/>
    <col width="34" customWidth="1" min="5" max="5"/>
    <col width="18" customWidth="1" min="6" max="6"/>
    <col width="18" customWidth="1" min="7" max="7"/>
    <col width="50" customWidth="1" min="8" max="8"/>
  </cols>
  <sheetData>
    <row r="1">
      <c r="A1" s="5" t="inlineStr">
        <is>
          <t>سندات مسحوبات/ترحيل بالنظام بدون تفصيل أصناف – لا يمكن إعادة تسعيرها إلا بإدخال الأصناف</t>
        </is>
      </c>
    </row>
    <row r="2">
      <c r="A2" s="2" t="inlineStr">
        <is>
          <t>م</t>
        </is>
      </c>
      <c r="B2" s="2" t="inlineStr">
        <is>
          <t>الاتجاه</t>
        </is>
      </c>
      <c r="C2" s="2" t="inlineStr">
        <is>
          <t>السند</t>
        </is>
      </c>
      <c r="D2" s="2" t="inlineStr">
        <is>
          <t>التاريخ</t>
        </is>
      </c>
      <c r="E2" s="2" t="inlineStr">
        <is>
          <t>الجهة</t>
        </is>
      </c>
      <c r="F2" s="2" t="inlineStr">
        <is>
          <t>القيمة بالنظام (شاملة الضريبة)</t>
        </is>
      </c>
      <c r="G2" s="2" t="inlineStr">
        <is>
          <t>القيمة المعتمدة (يدوي)</t>
        </is>
      </c>
      <c r="H2" s="2" t="inlineStr">
        <is>
          <t>ملاحظة</t>
        </is>
      </c>
    </row>
    <row r="3">
      <c r="A3" s="4" t="n">
        <v>1</v>
      </c>
      <c r="B3" s="3" t="inlineStr">
        <is>
          <t>الرياض ← تبوك (على أبو مازن)</t>
        </is>
      </c>
      <c r="C3" s="3" t="inlineStr">
        <is>
          <t>RNT-2166</t>
        </is>
      </c>
      <c r="D3" s="8" t="n">
        <v>45887</v>
      </c>
      <c r="E3" s="3" t="inlineStr">
        <is>
          <t>TRANSACTIONS BETWEEN RIYADH-TABUK</t>
        </is>
      </c>
      <c r="F3" s="4" t="n">
        <v>7475</v>
      </c>
      <c r="G3" s="7" t="n"/>
      <c r="H3" s="3" t="inlineStr">
        <is>
          <t>غير مدرج بشيت المحاسب – أرسل الأصناف أو اعتمد القيمة</t>
        </is>
      </c>
    </row>
    <row r="4">
      <c r="A4" s="4" t="n">
        <v>2</v>
      </c>
      <c r="B4" s="3" t="inlineStr">
        <is>
          <t>الرياض ← تبوك (على أبو مازن)</t>
        </is>
      </c>
      <c r="C4" s="3" t="inlineStr">
        <is>
          <t>RNT-2141</t>
        </is>
      </c>
      <c r="D4" s="8" t="n">
        <v>45909</v>
      </c>
      <c r="E4" s="3" t="inlineStr">
        <is>
          <t>TRANSACTIONS BETWEEN RIYADH-TABUK</t>
        </is>
      </c>
      <c r="F4" s="4" t="n">
        <v>8855</v>
      </c>
      <c r="G4" s="7" t="n"/>
      <c r="H4" s="3" t="inlineStr">
        <is>
          <t>غير مدرج بشيت المحاسب – أرسل الأصناف أو اعتمد القيمة</t>
        </is>
      </c>
    </row>
    <row r="5">
      <c r="A5" s="4" t="n">
        <v>3</v>
      </c>
      <c r="B5" s="3" t="inlineStr">
        <is>
          <t>الرياض ← تبوك (على أبو مازن)</t>
        </is>
      </c>
      <c r="C5" s="3" t="inlineStr">
        <is>
          <t>RNT-3077</t>
        </is>
      </c>
      <c r="D5" s="8" t="n">
        <v>45992</v>
      </c>
      <c r="E5" s="3" t="inlineStr">
        <is>
          <t>TRANSACTIONS BETWEEN RIYADH-TABUK</t>
        </is>
      </c>
      <c r="F5" s="4" t="n">
        <v>4305.03</v>
      </c>
      <c r="G5" s="7" t="n"/>
      <c r="H5" s="3" t="inlineStr">
        <is>
          <t>غير مدرج بشيت المحاسب – أرسل الأصناف أو اعتمد القيمة</t>
        </is>
      </c>
    </row>
    <row r="6">
      <c r="A6" s="4" t="n">
        <v>4</v>
      </c>
      <c r="B6" s="3" t="inlineStr">
        <is>
          <t>الرياض ← تبوك (على أبو مازن)</t>
        </is>
      </c>
      <c r="C6" s="3" t="inlineStr">
        <is>
          <t>RNT-3346</t>
        </is>
      </c>
      <c r="D6" s="8" t="n">
        <v>46016</v>
      </c>
      <c r="E6" s="3" t="inlineStr">
        <is>
          <t>TRANSACTIONS BETWEEN RIYADH-TABUK</t>
        </is>
      </c>
      <c r="F6" s="4" t="n">
        <v>1765.25</v>
      </c>
      <c r="G6" s="7" t="n"/>
      <c r="H6" s="3" t="inlineStr">
        <is>
          <t>غير مدرج بشيت المحاسب – أرسل الأصناف أو اعتمد القيمة</t>
        </is>
      </c>
    </row>
    <row r="7">
      <c r="A7" s="4" t="n">
        <v>5</v>
      </c>
      <c r="B7" s="3" t="inlineStr">
        <is>
          <t>الرياض ← تبوك (على أبو مازن)</t>
        </is>
      </c>
      <c r="C7" s="3" t="inlineStr">
        <is>
          <t>RNP-2297</t>
        </is>
      </c>
      <c r="D7" s="8" t="n">
        <v>45926</v>
      </c>
      <c r="E7" s="3" t="inlineStr">
        <is>
          <t>NESMA ELSHARQ-PROJECTS</t>
        </is>
      </c>
      <c r="F7" s="4" t="n">
        <v>5433.75</v>
      </c>
      <c r="G7" s="7" t="n"/>
      <c r="H7" s="3" t="inlineStr">
        <is>
          <t>غير مدرج بشيت المحاسب – أرسل الأصناف أو اعتمد القيمة</t>
        </is>
      </c>
    </row>
    <row r="8">
      <c r="A8" s="4" t="n">
        <v>6</v>
      </c>
      <c r="B8" s="3" t="inlineStr">
        <is>
          <t>الرياض ← تبوك (على أبو مازن)</t>
        </is>
      </c>
      <c r="C8" s="3" t="inlineStr">
        <is>
          <t>RNP-2427</t>
        </is>
      </c>
      <c r="D8" s="8" t="n">
        <v>45938</v>
      </c>
      <c r="E8" s="3" t="inlineStr">
        <is>
          <t>NESMA ELSHARQ-PROJECTS</t>
        </is>
      </c>
      <c r="F8" s="4" t="n">
        <v>7078.25</v>
      </c>
      <c r="G8" s="7" t="n"/>
      <c r="H8" s="3" t="inlineStr">
        <is>
          <t>غير مدرج بشيت المحاسب – أرسل الأصناف أو اعتمد القيمة</t>
        </is>
      </c>
    </row>
    <row r="9">
      <c r="A9" s="4" t="n">
        <v>7</v>
      </c>
      <c r="B9" s="3" t="inlineStr">
        <is>
          <t>الرياض ← تبوك (على أبو مازن)</t>
        </is>
      </c>
      <c r="C9" s="3" t="inlineStr">
        <is>
          <t>RNP-1787</t>
        </is>
      </c>
      <c r="D9" s="8" t="n">
        <v>45873</v>
      </c>
      <c r="E9" s="3" t="inlineStr">
        <is>
          <t>WHOLESALE DEPARTMENT RIYADH</t>
        </is>
      </c>
      <c r="F9" s="4" t="n">
        <v>20872.5</v>
      </c>
      <c r="G9" s="7" t="n"/>
      <c r="H9" s="3" t="inlineStr">
        <is>
          <t>غير مدرج بشيت المحاسب – أرسل الأصناف أو اعتمد القيمة</t>
        </is>
      </c>
    </row>
    <row r="10">
      <c r="E10" s="13" t="inlineStr">
        <is>
          <t>الإجمالي</t>
        </is>
      </c>
      <c r="F10" s="4">
        <f>SUM(F3:F9)</f>
        <v/>
      </c>
      <c r="G10" s="4">
        <f>SUM(G3:G9)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2026-09-28T16:34:33Z</dcterms:created>
  <dcterms:modified xsi:type="dcterms:W3CDTF">2026-09-28T16:34:33Z</dcterms:modified>
</cp:coreProperties>
</file>