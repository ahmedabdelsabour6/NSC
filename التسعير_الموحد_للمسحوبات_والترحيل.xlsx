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الرياض'!G133</f>
        <v/>
      </c>
      <c r="C4" s="4">
        <f>'مسحوبات نسما من الرياض'!I133</f>
        <v/>
      </c>
      <c r="D4" s="4">
        <f>'مسحوبات نسما من الرياض'!J133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أصناف'!F4</f>
        <v/>
      </c>
      <c r="C7" s="4">
        <f>'سندات بدون تفصيل أصناف'!G4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4">
      <c r="A14" s="3" t="inlineStr">
        <is>
          <t>4) الترحيل من الرياض إلى تبوك = مديونية على أبو مازن، ومن تبوك إلى الرياض = دعم تشغيلي من أبو مازن.</t>
        </is>
      </c>
    </row>
    <row r="15">
      <c r="A15" s="3" t="inlineStr">
        <is>
          <t>5) أُلغي PO-213 (بيتونيا 6,000) وخُصمت 17,900 فينكا مفقودة من الطلب 58991، وسلفة رائد الخير (ISV-0075) مستبعدة.</t>
        </is>
      </c>
    </row>
    <row r="16">
      <c r="A16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0.55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270147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</t>
        </is>
      </c>
      <c r="C9" s="3" t="inlineStr">
        <is>
          <t>زهور فينكا</t>
        </is>
      </c>
      <c r="D9" s="3" t="inlineStr">
        <is>
          <t>0.55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تبوك من الرياض</t>
        </is>
      </c>
      <c r="H9" s="4" t="n">
        <v>73000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</t>
        </is>
      </c>
      <c r="C10" s="3" t="inlineStr">
        <is>
          <t>فينكا أبيض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9000</v>
      </c>
      <c r="I10" s="3" t="inlineStr">
        <is>
          <t>—</t>
        </is>
      </c>
    </row>
    <row r="11">
      <c r="A11" s="4" t="n">
        <v>9</v>
      </c>
      <c r="B11" s="3" t="inlineStr">
        <is>
          <t>فينكا ابيض نقطه حمراء</t>
        </is>
      </c>
      <c r="C11" s="3" t="inlineStr">
        <is>
          <t>فينكا أبيض نقطة حمراء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3875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</t>
        </is>
      </c>
      <c r="C12" s="3" t="inlineStr">
        <is>
          <t>فينكا أحمر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11000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احمر بنقطه</t>
        </is>
      </c>
      <c r="C13" s="3" t="inlineStr">
        <is>
          <t>فينكا أحمر بنقطة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3000</v>
      </c>
      <c r="I13" s="3" t="inlineStr">
        <is>
          <t>—</t>
        </is>
      </c>
    </row>
    <row r="14">
      <c r="A14" s="4" t="n">
        <v>12</v>
      </c>
      <c r="B14" s="3" t="inlineStr">
        <is>
          <t>فينكا ازرق</t>
        </is>
      </c>
      <c r="C14" s="3" t="inlineStr">
        <is>
          <t>فينكا أزرق</t>
        </is>
      </c>
      <c r="D14" s="3" t="inlineStr">
        <is>
          <t>—</t>
        </is>
      </c>
      <c r="E14" s="6" t="n">
        <v>0.5</v>
      </c>
      <c r="F14" s="3" t="inlineStr">
        <is>
          <t>موحد 0.50 (قرارك)</t>
        </is>
      </c>
      <c r="G14" s="3" t="inlineStr">
        <is>
          <t>مسحوبات قبل الفترة</t>
        </is>
      </c>
      <c r="H14" s="4" t="n">
        <v>5000</v>
      </c>
      <c r="I14" s="3" t="inlineStr">
        <is>
          <t>—</t>
        </is>
      </c>
    </row>
    <row r="15">
      <c r="A15" s="4" t="n">
        <v>13</v>
      </c>
      <c r="B15" s="3" t="inlineStr">
        <is>
          <t>فينكا روزا</t>
        </is>
      </c>
      <c r="C15" s="3" t="inlineStr">
        <is>
          <t>زهور فينكا روزا</t>
        </is>
      </c>
      <c r="D15" s="3" t="inlineStr">
        <is>
          <t>0.5 / 0.55</t>
        </is>
      </c>
      <c r="E15" s="6" t="n">
        <v>0.5</v>
      </c>
      <c r="F15" s="3" t="inlineStr">
        <is>
          <t>موحد 0.50 (قرارك)</t>
        </is>
      </c>
      <c r="G15" s="3" t="inlineStr">
        <is>
          <t>عقود أبو خالد + مسحوبات تبوك من الرياض</t>
        </is>
      </c>
      <c r="H15" s="4" t="n">
        <v>190390</v>
      </c>
      <c r="I15" s="4" t="n">
        <v>0.55</v>
      </c>
    </row>
    <row r="16">
      <c r="A16" s="4" t="n">
        <v>14</v>
      </c>
      <c r="B16" s="3" t="inlineStr">
        <is>
          <t>فينكا مشمشي</t>
        </is>
      </c>
      <c r="C16" s="3" t="inlineStr">
        <is>
          <t>فينكا مشمشي</t>
        </is>
      </c>
      <c r="D16" s="3" t="inlineStr">
        <is>
          <t>—</t>
        </is>
      </c>
      <c r="E16" s="6" t="n">
        <v>0.5</v>
      </c>
      <c r="F16" s="3" t="inlineStr">
        <is>
          <t>موحد 0.50 (قرارك)</t>
        </is>
      </c>
      <c r="G16" s="3" t="inlineStr">
        <is>
          <t>مسحوبات قبل الفترة</t>
        </is>
      </c>
      <c r="H16" s="4" t="n">
        <v>5000</v>
      </c>
      <c r="I16" s="3" t="inlineStr">
        <is>
          <t>—</t>
        </is>
      </c>
    </row>
    <row r="17">
      <c r="A17" s="4" t="n">
        <v>15</v>
      </c>
      <c r="B17" s="3" t="inlineStr">
        <is>
          <t>ماري جولد</t>
        </is>
      </c>
      <c r="C17" s="3" t="inlineStr">
        <is>
          <t>زهور مارى جولد / زهور ماري جولد / مارى جولد</t>
        </is>
      </c>
      <c r="D17" s="3" t="inlineStr">
        <is>
          <t>0.5 / 0.7</t>
        </is>
      </c>
      <c r="E17" s="6" t="n">
        <v>0.5</v>
      </c>
      <c r="F17" s="3" t="inlineStr">
        <is>
          <t>موحد 0.50 (قرارك)</t>
        </is>
      </c>
      <c r="G17" s="3" t="inlineStr">
        <is>
          <t>عقود أبو خالد + مسحوبات تبوك من الرياض</t>
        </is>
      </c>
      <c r="H17" s="4" t="n">
        <v>16025</v>
      </c>
      <c r="I17" s="4" t="n">
        <v>0.7</v>
      </c>
    </row>
    <row r="18">
      <c r="A18" s="4" t="n">
        <v>16</v>
      </c>
      <c r="B18" s="3" t="inlineStr">
        <is>
          <t>ماري جولد فرنسي</t>
        </is>
      </c>
      <c r="C18" s="3" t="inlineStr">
        <is>
          <t>زهور ماري جولد فرنسى</t>
        </is>
      </c>
      <c r="D18" s="3" t="inlineStr">
        <is>
          <t>0.5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تبوك من الرياض</t>
        </is>
      </c>
      <c r="H18" s="4" t="n">
        <v>250</v>
      </c>
      <c r="I18" s="3" t="inlineStr">
        <is>
          <t>—</t>
        </is>
      </c>
    </row>
    <row r="19">
      <c r="A19" s="4" t="n">
        <v>17</v>
      </c>
      <c r="B19" s="3" t="inlineStr">
        <is>
          <t>موسميه</t>
        </is>
      </c>
      <c r="C19" s="3" t="inlineStr">
        <is>
          <t>زهور موسمية (SEASONAL FLOWERS) / زهور موسمية – غير شامل التوصيل</t>
        </is>
      </c>
      <c r="D19" s="3" t="inlineStr">
        <is>
          <t>—</t>
        </is>
      </c>
      <c r="E19" s="6" t="n">
        <v>0.5</v>
      </c>
      <c r="F19" s="3" t="inlineStr">
        <is>
          <t>موحد 0.50 (قرارك)</t>
        </is>
      </c>
      <c r="G19" s="3" t="inlineStr">
        <is>
          <t>مسحوبات قبل الفترة</t>
        </is>
      </c>
      <c r="H19" s="4" t="n">
        <v>66000</v>
      </c>
      <c r="I19" s="3" t="inlineStr">
        <is>
          <t>—</t>
        </is>
      </c>
    </row>
    <row r="20">
      <c r="A20" s="4" t="n">
        <v>18</v>
      </c>
      <c r="B20" s="3" t="inlineStr">
        <is>
          <t>هيبوستس</t>
        </is>
      </c>
      <c r="C20" s="3" t="inlineStr">
        <is>
          <t>زهور هيبوستس / زهور هيبوستس مركن9 سم / هيبوستس</t>
        </is>
      </c>
      <c r="D20" s="3" t="inlineStr">
        <is>
          <t>0.55 / 0.7 / 2.5</t>
        </is>
      </c>
      <c r="E20" s="6" t="n">
        <v>0.5</v>
      </c>
      <c r="F20" s="3" t="inlineStr">
        <is>
          <t>موحد 0.50 (قرارك)</t>
        </is>
      </c>
      <c r="G20" s="3" t="inlineStr">
        <is>
          <t>عقود أبو خالد + مسحوبات تبوك من الرياض</t>
        </is>
      </c>
      <c r="H20" s="4" t="n">
        <v>4575</v>
      </c>
      <c r="I20" s="4" t="n">
        <v>0.7</v>
      </c>
    </row>
    <row r="21">
      <c r="A21" s="4" t="n">
        <v>19</v>
      </c>
      <c r="B21" s="3" t="inlineStr">
        <is>
          <t>اشجار تيسبيسيا 2- 3 متر</t>
        </is>
      </c>
      <c r="C21" s="3" t="inlineStr">
        <is>
          <t>أشجار تيسبيسيا 2-3 متر</t>
        </is>
      </c>
      <c r="D21" s="3" t="inlineStr">
        <is>
          <t>60</t>
        </is>
      </c>
      <c r="E21" s="6" t="n">
        <v>60</v>
      </c>
      <c r="F21" s="3" t="inlineStr">
        <is>
          <t>معتمد (قرارك)</t>
        </is>
      </c>
      <c r="G21" s="3" t="inlineStr">
        <is>
          <t>عقود أبو خالد</t>
        </is>
      </c>
      <c r="H21" s="4" t="n">
        <v>4</v>
      </c>
      <c r="I21" s="4" t="n">
        <v>60</v>
      </c>
    </row>
    <row r="22">
      <c r="A22" s="4" t="n">
        <v>20</v>
      </c>
      <c r="B22" s="3" t="inlineStr">
        <is>
          <t>اقحوان افريقي مركن 12</t>
        </is>
      </c>
      <c r="C22" s="3" t="inlineStr">
        <is>
          <t>اقحوان افريقى مركن 12 / زهور اقحوان افريقى مركن12 سم / زهور اقحوان افريقي مركن 12</t>
        </is>
      </c>
      <c r="D22" s="3" t="inlineStr">
        <is>
          <t>3.25</t>
        </is>
      </c>
      <c r="E22" s="6" t="n">
        <v>3.25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7010</v>
      </c>
      <c r="I22" s="4" t="n">
        <v>3.25</v>
      </c>
    </row>
    <row r="23">
      <c r="A23" s="4" t="n">
        <v>21</v>
      </c>
      <c r="B23" s="3" t="inlineStr">
        <is>
          <t>اقحوان افريقي مركن 9</t>
        </is>
      </c>
      <c r="C23" s="3" t="inlineStr">
        <is>
          <t>زهور اقحوان افريقي مركن 9 / زهور اقحوان افريقي مركن9 سم</t>
        </is>
      </c>
      <c r="D23" s="3" t="inlineStr">
        <is>
          <t>1.5 / 2</t>
        </is>
      </c>
      <c r="E23" s="6" t="n">
        <v>1.5</v>
      </c>
      <c r="F23" s="3" t="inlineStr">
        <is>
          <t>معتمد (قرارك)</t>
        </is>
      </c>
      <c r="G23" s="3" t="inlineStr">
        <is>
          <t>عقود أبو خالد + مسحوبات تبوك من الرياض</t>
        </is>
      </c>
      <c r="H23" s="4" t="n">
        <v>5975</v>
      </c>
      <c r="I23" s="4" t="n">
        <v>1.5</v>
      </c>
    </row>
    <row r="24">
      <c r="A24" s="4" t="n">
        <v>22</v>
      </c>
      <c r="B24" s="3" t="inlineStr">
        <is>
          <t>اقحوان افريقي هولندي مركن 12</t>
        </is>
      </c>
      <c r="C24" s="3" t="inlineStr">
        <is>
          <t>زهور اقحوان افريقي هولندي مركن 12</t>
        </is>
      </c>
      <c r="D24" s="3" t="inlineStr">
        <is>
          <t>3.25</t>
        </is>
      </c>
      <c r="E24" s="6" t="n">
        <v>3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1875</v>
      </c>
      <c r="I24" s="3" t="inlineStr">
        <is>
          <t>—</t>
        </is>
      </c>
    </row>
    <row r="25">
      <c r="A25" s="4" t="n">
        <v>23</v>
      </c>
      <c r="B25" s="3" t="inlineStr">
        <is>
          <t>اكاسيا جلوكا من 1 - 2 متر</t>
        </is>
      </c>
      <c r="C25" s="3" t="inlineStr">
        <is>
          <t>اكاسيا جلوكا من 1 - 2 متر</t>
        </is>
      </c>
      <c r="D25" s="3" t="inlineStr">
        <is>
          <t>25</t>
        </is>
      </c>
      <c r="E25" s="6" t="n">
        <v>12</v>
      </c>
      <c r="F25" s="3" t="inlineStr">
        <is>
          <t>معتمد (قرارك)</t>
        </is>
      </c>
      <c r="G25" s="3" t="inlineStr">
        <is>
          <t>مسحوبات تبوك من الرياض</t>
        </is>
      </c>
      <c r="H25" s="4" t="n">
        <v>172</v>
      </c>
      <c r="I25" s="3" t="inlineStr">
        <is>
          <t>—</t>
        </is>
      </c>
    </row>
    <row r="26">
      <c r="A26" s="4" t="n">
        <v>24</v>
      </c>
      <c r="B26" s="3" t="inlineStr">
        <is>
          <t>اكاليفا</t>
        </is>
      </c>
      <c r="C26" s="3" t="inlineStr">
        <is>
          <t>اكاليفا / اكاليفيا</t>
        </is>
      </c>
      <c r="D26" s="3" t="inlineStr">
        <is>
          <t>2.5</t>
        </is>
      </c>
      <c r="E26" s="6" t="n">
        <v>3</v>
      </c>
      <c r="F26" s="3" t="inlineStr">
        <is>
          <t>معتمد (قرارك)</t>
        </is>
      </c>
      <c r="G26" s="3" t="inlineStr">
        <is>
          <t>مسحوبات تبوك من الرياض + ترحيل تبوك للرياض</t>
        </is>
      </c>
      <c r="H26" s="4" t="n">
        <v>120</v>
      </c>
      <c r="I26" s="3" t="inlineStr">
        <is>
          <t>—</t>
        </is>
      </c>
    </row>
    <row r="27">
      <c r="A27" s="4" t="n">
        <v>25</v>
      </c>
      <c r="B27" s="3" t="inlineStr">
        <is>
          <t>اليسوم</t>
        </is>
      </c>
      <c r="C27" s="3" t="inlineStr">
        <is>
          <t>زهور اليسوم / زهور اليسوم مركن9 سم</t>
        </is>
      </c>
      <c r="D27" s="3" t="inlineStr">
        <is>
          <t>0.5</t>
        </is>
      </c>
      <c r="E27" s="6" t="n">
        <v>0.5</v>
      </c>
      <c r="F27" s="3" t="inlineStr">
        <is>
          <t>معتمد (قرارك)</t>
        </is>
      </c>
      <c r="G27" s="3" t="inlineStr">
        <is>
          <t>عقود أبو خالد + مسحوبات تبوك من الرياض + ترحيل تبوك للرياض</t>
        </is>
      </c>
      <c r="H27" s="4" t="n">
        <v>5275</v>
      </c>
      <c r="I27" s="4" t="n">
        <v>0.5</v>
      </c>
    </row>
    <row r="28">
      <c r="A28" s="4" t="n">
        <v>26</v>
      </c>
      <c r="B28" s="3" t="inlineStr">
        <is>
          <t>بانستيم اخضر</t>
        </is>
      </c>
      <c r="C28" s="3" t="inlineStr">
        <is>
          <t>بانستيم اخضر</t>
        </is>
      </c>
      <c r="D28" s="3" t="inlineStr">
        <is>
          <t>2.5</t>
        </is>
      </c>
      <c r="E28" s="6" t="n">
        <v>3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150</v>
      </c>
      <c r="I28" s="3" t="inlineStr">
        <is>
          <t>—</t>
        </is>
      </c>
    </row>
    <row r="29">
      <c r="A29" s="4" t="n">
        <v>27</v>
      </c>
      <c r="B29" s="3" t="inlineStr">
        <is>
          <t>بوتنج سويل 70 لتر</t>
        </is>
      </c>
      <c r="C29" s="3" t="inlineStr">
        <is>
          <t>بوتنج سويل 70 لتر</t>
        </is>
      </c>
      <c r="D29" s="3" t="inlineStr">
        <is>
          <t>46</t>
        </is>
      </c>
      <c r="E29" s="6" t="n">
        <v>64</v>
      </c>
      <c r="F29" s="3" t="inlineStr">
        <is>
          <t>معتمد (قرارك)</t>
        </is>
      </c>
      <c r="G29" s="3" t="inlineStr">
        <is>
          <t>مسحوبات تبوك من الرياض</t>
        </is>
      </c>
      <c r="H29" s="4" t="n">
        <v>10</v>
      </c>
      <c r="I29" s="3" t="inlineStr">
        <is>
          <t>—</t>
        </is>
      </c>
    </row>
    <row r="30">
      <c r="A30" s="4" t="n">
        <v>28</v>
      </c>
      <c r="B30" s="3" t="inlineStr">
        <is>
          <t>بيرلايت 100 لتر</t>
        </is>
      </c>
      <c r="C30" s="3" t="inlineStr">
        <is>
          <t>بيرلايت 100 لتر</t>
        </is>
      </c>
      <c r="D30" s="3" t="inlineStr">
        <is>
          <t>32.5</t>
        </is>
      </c>
      <c r="E30" s="6" t="n">
        <v>25</v>
      </c>
      <c r="F30" s="3" t="inlineStr">
        <is>
          <t>معتمد (قرارك)</t>
        </is>
      </c>
      <c r="G30" s="3" t="inlineStr">
        <is>
          <t>مسحوبات تبوك من الرياض + ترحيل تبوك للرياض</t>
        </is>
      </c>
      <c r="H30" s="4" t="n">
        <v>225</v>
      </c>
      <c r="I30" s="3" t="inlineStr">
        <is>
          <t>—</t>
        </is>
      </c>
    </row>
    <row r="31">
      <c r="A31" s="4" t="n">
        <v>29</v>
      </c>
      <c r="B31" s="3" t="inlineStr">
        <is>
          <t>تجيل كروي مركن 9</t>
        </is>
      </c>
      <c r="C31" s="3" t="inlineStr">
        <is>
          <t>تجيل كروي مركن 9 سم</t>
        </is>
      </c>
      <c r="D31" s="3" t="inlineStr">
        <is>
          <t>1.1</t>
        </is>
      </c>
      <c r="E31" s="6" t="n">
        <v>0.9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2400</v>
      </c>
      <c r="I31" s="3" t="inlineStr">
        <is>
          <t>—</t>
        </is>
      </c>
    </row>
    <row r="32">
      <c r="A32" s="4" t="n">
        <v>30</v>
      </c>
      <c r="B32" s="3" t="inlineStr">
        <is>
          <t>تراديسكانتيا مركن 19 علاقي</t>
        </is>
      </c>
      <c r="C32" s="3" t="inlineStr">
        <is>
          <t>تراديسكانتيا مركن 19 علاقي</t>
        </is>
      </c>
      <c r="D32" s="3" t="inlineStr">
        <is>
          <t>10</t>
        </is>
      </c>
      <c r="E32" s="6" t="n">
        <v>9.5</v>
      </c>
      <c r="F32" s="3" t="inlineStr">
        <is>
          <t>معتمد (قرارك)</t>
        </is>
      </c>
      <c r="G32" s="3" t="inlineStr">
        <is>
          <t>مسحوبات تبوك من الرياض</t>
        </is>
      </c>
      <c r="H32" s="4" t="n">
        <v>515</v>
      </c>
      <c r="I32" s="3" t="inlineStr">
        <is>
          <t>—</t>
        </is>
      </c>
    </row>
    <row r="33">
      <c r="A33" s="4" t="n">
        <v>31</v>
      </c>
      <c r="B33" s="3" t="inlineStr">
        <is>
          <t>تيكوماريا 50</t>
        </is>
      </c>
      <c r="C33" s="3" t="inlineStr">
        <is>
          <t>تيكوماريا / تيكوماريا 50 سم / تيكوماريا50 سم</t>
        </is>
      </c>
      <c r="D33" s="3" t="inlineStr">
        <is>
          <t>2.5 / 4</t>
        </is>
      </c>
      <c r="E33" s="6" t="n">
        <v>3</v>
      </c>
      <c r="F33" s="3" t="inlineStr">
        <is>
          <t>معتمد (قرارك)</t>
        </is>
      </c>
      <c r="G33" s="3" t="inlineStr">
        <is>
          <t>عقود أبو خالد + مسحوبات تبوك من الرياض + ترحيل تبوك للرياض</t>
        </is>
      </c>
      <c r="H33" s="4" t="n">
        <v>3530</v>
      </c>
      <c r="I33" s="4" t="n">
        <v>4</v>
      </c>
    </row>
    <row r="34">
      <c r="A34" s="4" t="n">
        <v>32</v>
      </c>
      <c r="B34" s="3" t="inlineStr">
        <is>
          <t>جازانيا</t>
        </is>
      </c>
      <c r="C34" s="3" t="inlineStr">
        <is>
          <t>زهور جازانيا</t>
        </is>
      </c>
      <c r="D34" s="3" t="inlineStr">
        <is>
          <t>0.5</t>
        </is>
      </c>
      <c r="E34" s="6" t="n">
        <v>0.5</v>
      </c>
      <c r="F34" s="3" t="inlineStr">
        <is>
          <t>معتمد (قرارك)</t>
        </is>
      </c>
      <c r="G34" s="3" t="inlineStr">
        <is>
          <t>عقود أبو خالد + مسحوبات تبوك من الرياض</t>
        </is>
      </c>
      <c r="H34" s="4" t="n">
        <v>5525</v>
      </c>
      <c r="I34" s="4" t="n">
        <v>0.5</v>
      </c>
    </row>
    <row r="35">
      <c r="A35" s="4" t="n">
        <v>33</v>
      </c>
      <c r="B35" s="3" t="inlineStr">
        <is>
          <t>جهنميه بلدي 1 متر</t>
        </is>
      </c>
      <c r="C35" s="3" t="inlineStr">
        <is>
          <t>جهنمية بلدي1 متر</t>
        </is>
      </c>
      <c r="D35" s="3" t="inlineStr">
        <is>
          <t>6</t>
        </is>
      </c>
      <c r="E35" s="6" t="n">
        <v>4</v>
      </c>
      <c r="F35" s="3" t="inlineStr">
        <is>
          <t>معتمد (قرارك)</t>
        </is>
      </c>
      <c r="G35" s="3" t="inlineStr">
        <is>
          <t>مسحوبات تبوك من الرياض</t>
        </is>
      </c>
      <c r="H35" s="4" t="n">
        <v>10</v>
      </c>
      <c r="I35" s="3" t="inlineStr">
        <is>
          <t>—</t>
        </is>
      </c>
    </row>
    <row r="36">
      <c r="A36" s="4" t="n">
        <v>34</v>
      </c>
      <c r="B36" s="3" t="inlineStr">
        <is>
          <t>جهنميه بلدي 50</t>
        </is>
      </c>
      <c r="C36" s="3" t="inlineStr">
        <is>
          <t>جهنمية بلدى واحد عود 50سم / جهنمية بلدي 50 سم</t>
        </is>
      </c>
      <c r="D36" s="3" t="inlineStr">
        <is>
          <t>2.5 / 5</t>
        </is>
      </c>
      <c r="E36" s="6" t="n">
        <v>3</v>
      </c>
      <c r="F36" s="3" t="inlineStr">
        <is>
          <t>معتمد (قرارك)</t>
        </is>
      </c>
      <c r="G36" s="3" t="inlineStr">
        <is>
          <t>مسحوبات تبوك من الرياض + ترحيل تبوك للرياض</t>
        </is>
      </c>
      <c r="H36" s="4" t="n">
        <v>600</v>
      </c>
      <c r="I36" s="3" t="inlineStr">
        <is>
          <t>—</t>
        </is>
      </c>
    </row>
    <row r="37">
      <c r="A37" s="4" t="n">
        <v>35</v>
      </c>
      <c r="B37" s="3" t="inlineStr">
        <is>
          <t>جهنميه تايلاندي مركن 25</t>
        </is>
      </c>
      <c r="C37" s="3" t="inlineStr">
        <is>
          <t>جهنميه تايلاندى مركن 25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10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صغير</t>
        </is>
      </c>
      <c r="C38" s="3" t="inlineStr">
        <is>
          <t>جهنمية كروية تايلندي صغير</t>
        </is>
      </c>
      <c r="D38" s="3" t="inlineStr">
        <is>
          <t>250</t>
        </is>
      </c>
      <c r="E38" s="6" t="n">
        <v>200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2</v>
      </c>
      <c r="I38" s="3" t="inlineStr">
        <is>
          <t>—</t>
        </is>
      </c>
    </row>
    <row r="39">
      <c r="A39" s="4" t="n">
        <v>37</v>
      </c>
      <c r="B39" s="3" t="inlineStr">
        <is>
          <t>جهنميه كرويه تايلندي كبير</t>
        </is>
      </c>
      <c r="C39" s="3" t="inlineStr">
        <is>
          <t>جهنمية كروية تايلندي كبير</t>
        </is>
      </c>
      <c r="D39" s="3" t="inlineStr">
        <is>
          <t>300</t>
        </is>
      </c>
      <c r="E39" s="6" t="n">
        <v>230</v>
      </c>
      <c r="F39" s="3" t="inlineStr">
        <is>
          <t>معتمد (قرارك)</t>
        </is>
      </c>
      <c r="G39" s="3" t="inlineStr">
        <is>
          <t>مسحوبات تبوك من الرياض</t>
        </is>
      </c>
      <c r="H39" s="4" t="n">
        <v>5</v>
      </c>
      <c r="I39" s="3" t="inlineStr">
        <is>
          <t>—</t>
        </is>
      </c>
    </row>
    <row r="40">
      <c r="A40" s="4" t="n">
        <v>38</v>
      </c>
      <c r="B40" s="3" t="inlineStr">
        <is>
          <t>جيرانيوم مركن 12</t>
        </is>
      </c>
      <c r="C40" s="3" t="inlineStr">
        <is>
          <t>جيرانيوم مركن 12 / زهور جيرانيوم مركن 12 / زهور جيرانيوم مركن12 سم</t>
        </is>
      </c>
      <c r="D40" s="3" t="inlineStr">
        <is>
          <t>3 / 3.75</t>
        </is>
      </c>
      <c r="E40" s="6" t="n">
        <v>3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20355</v>
      </c>
      <c r="I40" s="4" t="n">
        <v>3</v>
      </c>
    </row>
    <row r="41">
      <c r="A41" s="4" t="n">
        <v>39</v>
      </c>
      <c r="B41" s="3" t="inlineStr">
        <is>
          <t>جيرانيوم مركن 9</t>
        </is>
      </c>
      <c r="C41" s="3" t="inlineStr">
        <is>
          <t>زهور جرانيوم مركن9 سم / زهور جيرانيوم مركن 9</t>
        </is>
      </c>
      <c r="D41" s="3" t="inlineStr">
        <is>
          <t>1.25 / 1.4 / 1.5</t>
        </is>
      </c>
      <c r="E41" s="6" t="n">
        <v>1.25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41825</v>
      </c>
      <c r="I41" s="4" t="n">
        <v>1.25</v>
      </c>
    </row>
    <row r="42">
      <c r="A42" s="4" t="n">
        <v>40</v>
      </c>
      <c r="B42" s="3" t="inlineStr">
        <is>
          <t>جيرانيوم هولندي مركن 12</t>
        </is>
      </c>
      <c r="C42" s="3" t="inlineStr">
        <is>
          <t>زهور جيرانيوم  هولندي مركن12 / زهور جيرانيوم هولندى مركن12 سم / زهور جيرانيوم هولندي مركن 12</t>
        </is>
      </c>
      <c r="D42" s="3" t="inlineStr">
        <is>
          <t>3.45 / 3.75</t>
        </is>
      </c>
      <c r="E42" s="6" t="n">
        <v>3.45</v>
      </c>
      <c r="F42" s="3" t="inlineStr">
        <is>
          <t>معتمد (قرارك)</t>
        </is>
      </c>
      <c r="G42" s="3" t="inlineStr">
        <is>
          <t>عقود أبو خالد + مسحوبات تبوك من الرياض</t>
        </is>
      </c>
      <c r="H42" s="4" t="n">
        <v>1295</v>
      </c>
      <c r="I42" s="4" t="n">
        <v>3.45</v>
      </c>
    </row>
    <row r="43">
      <c r="A43" s="4" t="n">
        <v>41</v>
      </c>
      <c r="B43" s="3" t="inlineStr">
        <is>
          <t>حجر ديكوري ابيض لامع 1: 3</t>
        </is>
      </c>
      <c r="C43" s="3" t="inlineStr">
        <is>
          <t>ابيض لامع / حجر ديكوري أبيض لامع 1:3 سم (10 كجم)</t>
        </is>
      </c>
      <c r="D43" s="3" t="inlineStr">
        <is>
          <t>18 / 25</t>
        </is>
      </c>
      <c r="E43" s="6" t="n">
        <v>18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16</v>
      </c>
      <c r="I43" s="4" t="n">
        <v>25</v>
      </c>
    </row>
    <row r="44">
      <c r="A44" s="4" t="n">
        <v>42</v>
      </c>
      <c r="B44" s="3" t="inlineStr">
        <is>
          <t>حجر ديكوري ابيض مطفي 3: 5</t>
        </is>
      </c>
      <c r="C44" s="3" t="inlineStr">
        <is>
          <t>حجر ديكورى ابيض مطفى 3:5سم-10كجم / حجر ديكوري أبيض مطفي 3:5 سم (10 كجم)</t>
        </is>
      </c>
      <c r="D44" s="3" t="inlineStr">
        <is>
          <t>10 / 13</t>
        </is>
      </c>
      <c r="E44" s="6" t="n">
        <v>11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1123</v>
      </c>
      <c r="I44" s="4" t="n">
        <v>13</v>
      </c>
    </row>
    <row r="45">
      <c r="A45" s="4" t="n">
        <v>43</v>
      </c>
      <c r="B45" s="3" t="inlineStr">
        <is>
          <t>حجر ديكوري احمر لامع 1: 3</t>
        </is>
      </c>
      <c r="C45" s="3" t="inlineStr">
        <is>
          <t>احمر لامع / حجر ديكوري أحمر لامع 1:3 سم (10 كجم)</t>
        </is>
      </c>
      <c r="D45" s="3" t="inlineStr">
        <is>
          <t>18 / 25</t>
        </is>
      </c>
      <c r="E45" s="6" t="n">
        <v>18</v>
      </c>
      <c r="F45" s="3" t="inlineStr">
        <is>
          <t>معتمد (قرارك)</t>
        </is>
      </c>
      <c r="G45" s="3" t="inlineStr">
        <is>
          <t>عقود أبو خالد + ترحيل تبوك للرياض</t>
        </is>
      </c>
      <c r="H45" s="4" t="n">
        <v>15</v>
      </c>
      <c r="I45" s="4" t="n">
        <v>25</v>
      </c>
    </row>
    <row r="46">
      <c r="A46" s="4" t="n">
        <v>44</v>
      </c>
      <c r="B46" s="3" t="inlineStr">
        <is>
          <t>حجر ديكوري احمر مطفي</t>
        </is>
      </c>
      <c r="C46" s="3" t="inlineStr">
        <is>
          <t>احمر مطفى</t>
        </is>
      </c>
      <c r="D46" s="3" t="inlineStr">
        <is>
          <t>10</t>
        </is>
      </c>
      <c r="E46" s="6" t="n">
        <v>11</v>
      </c>
      <c r="F46" s="3" t="inlineStr">
        <is>
          <t>معتمد (قرارك)</t>
        </is>
      </c>
      <c r="G46" s="3" t="inlineStr">
        <is>
          <t>ترحيل تبوك للرياض</t>
        </is>
      </c>
      <c r="H46" s="4" t="n">
        <v>70</v>
      </c>
      <c r="I46" s="3" t="inlineStr">
        <is>
          <t>—</t>
        </is>
      </c>
    </row>
    <row r="47">
      <c r="A47" s="4" t="n">
        <v>45</v>
      </c>
      <c r="B47" s="3" t="inlineStr">
        <is>
          <t>حجر ديكوري اسود لامع 1: 3</t>
        </is>
      </c>
      <c r="C47" s="3" t="inlineStr">
        <is>
          <t>اسود لامع / حجر ديكوري أسود لامع 1:3 سم (10 كجم)</t>
        </is>
      </c>
      <c r="D47" s="3" t="inlineStr">
        <is>
          <t>18 / 25</t>
        </is>
      </c>
      <c r="E47" s="6" t="n">
        <v>18</v>
      </c>
      <c r="F47" s="3" t="inlineStr">
        <is>
          <t>معتمد (قرارك)</t>
        </is>
      </c>
      <c r="G47" s="3" t="inlineStr">
        <is>
          <t>عقود أبو خالد + ترحيل تبوك للرياض</t>
        </is>
      </c>
      <c r="H47" s="4" t="n">
        <v>14</v>
      </c>
      <c r="I47" s="4" t="n">
        <v>25</v>
      </c>
    </row>
    <row r="48">
      <c r="A48" s="4" t="n">
        <v>46</v>
      </c>
      <c r="B48" s="3" t="inlineStr">
        <is>
          <t>حجر ديكوري اصفر مطفي 1: 3</t>
        </is>
      </c>
      <c r="C48" s="3" t="inlineStr">
        <is>
          <t>اصفر مطفى / حجر اصفر مطفى / حجر ديكوري أصفر مطفي 1:3 سم (10 كجم)</t>
        </is>
      </c>
      <c r="D48" s="3" t="inlineStr">
        <is>
          <t>10 / 10.5 / 13</t>
        </is>
      </c>
      <c r="E48" s="6" t="n">
        <v>11</v>
      </c>
      <c r="F48" s="3" t="inlineStr">
        <is>
          <t>معتمد (قرارك)</t>
        </is>
      </c>
      <c r="G48" s="3" t="inlineStr">
        <is>
          <t>عقود أبو خالد + مسحوبات تبوك من الرياض + ترحيل تبوك للرياض</t>
        </is>
      </c>
      <c r="H48" s="4" t="n">
        <v>202</v>
      </c>
      <c r="I48" s="4" t="n">
        <v>13</v>
      </c>
    </row>
    <row r="49">
      <c r="A49" s="4" t="n">
        <v>47</v>
      </c>
      <c r="B49" s="3" t="inlineStr">
        <is>
          <t>دورانتا اخضر</t>
        </is>
      </c>
      <c r="C49" s="3" t="inlineStr">
        <is>
          <t>دورانتا أخضر / دورانتا اخضر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4000</v>
      </c>
      <c r="I49" s="3" t="inlineStr">
        <is>
          <t>—</t>
        </is>
      </c>
    </row>
    <row r="50">
      <c r="A50" s="4" t="n">
        <v>48</v>
      </c>
      <c r="B50" s="3" t="inlineStr">
        <is>
          <t>رويليا</t>
        </is>
      </c>
      <c r="C50" s="3" t="inlineStr">
        <is>
          <t>رويليا</t>
        </is>
      </c>
      <c r="D50" s="3" t="inlineStr">
        <is>
          <t>2.5</t>
        </is>
      </c>
      <c r="E50" s="6" t="n">
        <v>3</v>
      </c>
      <c r="F50" s="3" t="inlineStr">
        <is>
          <t>معتمد (قرارك)</t>
        </is>
      </c>
      <c r="G50" s="3" t="inlineStr">
        <is>
          <t>مسحوبات تبوك من الرياض + ترحيل تبوك للرياض</t>
        </is>
      </c>
      <c r="H50" s="4" t="n">
        <v>600</v>
      </c>
      <c r="I50" s="3" t="inlineStr">
        <is>
          <t>—</t>
        </is>
      </c>
    </row>
    <row r="51">
      <c r="A51" s="4" t="n">
        <v>49</v>
      </c>
      <c r="B51" s="3" t="inlineStr">
        <is>
          <t>سكندابسس مركن 19 علاقي</t>
        </is>
      </c>
      <c r="C51" s="3" t="inlineStr">
        <is>
          <t>سكندابسس مركن 19 علاقي</t>
        </is>
      </c>
      <c r="D51" s="3" t="inlineStr">
        <is>
          <t>10</t>
        </is>
      </c>
      <c r="E51" s="6" t="n">
        <v>9.5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2300</v>
      </c>
      <c r="I51" s="3" t="inlineStr">
        <is>
          <t>—</t>
        </is>
      </c>
    </row>
    <row r="52">
      <c r="A52" s="4" t="n">
        <v>50</v>
      </c>
      <c r="B52" s="3" t="inlineStr">
        <is>
          <t>سيسبانيا 1 - 2 متر</t>
        </is>
      </c>
      <c r="C52" s="3" t="inlineStr">
        <is>
          <t>سيسلبانيا 1 - 2 متر</t>
        </is>
      </c>
      <c r="D52" s="3" t="inlineStr">
        <is>
          <t>25.5</t>
        </is>
      </c>
      <c r="E52" s="6" t="n">
        <v>4.5</v>
      </c>
      <c r="F52" s="3" t="inlineStr">
        <is>
          <t>معتمد (قرارك)</t>
        </is>
      </c>
      <c r="G52" s="3" t="inlineStr">
        <is>
          <t>مسحوبات تبوك من الرياض</t>
        </is>
      </c>
      <c r="H52" s="4" t="n">
        <v>240</v>
      </c>
      <c r="I52" s="3" t="inlineStr">
        <is>
          <t>—</t>
        </is>
      </c>
    </row>
    <row r="53">
      <c r="A53" s="4" t="n">
        <v>51</v>
      </c>
      <c r="B53" s="3" t="inlineStr">
        <is>
          <t>سينيراريا مركن 12</t>
        </is>
      </c>
      <c r="C53" s="3" t="inlineStr">
        <is>
          <t>زهور سينيراريا 12 / زهور سينيراريا مركن12 سم</t>
        </is>
      </c>
      <c r="D53" s="3" t="inlineStr">
        <is>
          <t>2.5 / 5</t>
        </is>
      </c>
      <c r="E53" s="6" t="n">
        <v>2.5</v>
      </c>
      <c r="F53" s="3" t="inlineStr">
        <is>
          <t>معتمد (قرارك)</t>
        </is>
      </c>
      <c r="G53" s="3" t="inlineStr">
        <is>
          <t>عقود أبو خالد + مسحوبات تبوك من الرياض</t>
        </is>
      </c>
      <c r="H53" s="4" t="n">
        <v>348</v>
      </c>
      <c r="I53" s="4" t="n">
        <v>5</v>
      </c>
    </row>
    <row r="54">
      <c r="A54" s="4" t="n">
        <v>52</v>
      </c>
      <c r="B54" s="3" t="inlineStr">
        <is>
          <t>فل بلدي</t>
        </is>
      </c>
      <c r="C54" s="3" t="inlineStr">
        <is>
          <t>فل بلدى / فل بلدي</t>
        </is>
      </c>
      <c r="D54" s="3" t="inlineStr">
        <is>
          <t>2.5</t>
        </is>
      </c>
      <c r="E54" s="6" t="n">
        <v>3</v>
      </c>
      <c r="F54" s="3" t="inlineStr">
        <is>
          <t>معتمد (قرارك)</t>
        </is>
      </c>
      <c r="G54" s="3" t="inlineStr">
        <is>
          <t>مسحوبات تبوك من الرياض + ترحيل تبوك للرياض</t>
        </is>
      </c>
      <c r="H54" s="4" t="n">
        <v>500</v>
      </c>
      <c r="I54" s="3" t="inlineStr">
        <is>
          <t>—</t>
        </is>
      </c>
    </row>
    <row r="55">
      <c r="A55" s="4" t="n">
        <v>53</v>
      </c>
      <c r="B55" s="3" t="inlineStr">
        <is>
          <t>فيكس بندا 50</t>
        </is>
      </c>
      <c r="C55" s="3" t="inlineStr">
        <is>
          <t>فيكس بندا 50 سم</t>
        </is>
      </c>
      <c r="D55" s="3" t="inlineStr">
        <is>
          <t>10</t>
        </is>
      </c>
      <c r="E55" s="6" t="n">
        <v>4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10</v>
      </c>
      <c r="I55" s="3" t="inlineStr">
        <is>
          <t>—</t>
        </is>
      </c>
    </row>
    <row r="56">
      <c r="A56" s="4" t="n">
        <v>54</v>
      </c>
      <c r="B56" s="3" t="inlineStr">
        <is>
          <t>قرنفل امريكي 12</t>
        </is>
      </c>
      <c r="C56" s="3" t="inlineStr">
        <is>
          <t>زهور قرنفل امريكي 12</t>
        </is>
      </c>
      <c r="D56" s="3" t="inlineStr">
        <is>
          <t>4</t>
        </is>
      </c>
      <c r="E56" s="6" t="n">
        <v>2.5</v>
      </c>
      <c r="F56" s="3" t="inlineStr">
        <is>
          <t>معتمد (قرارك)</t>
        </is>
      </c>
      <c r="G56" s="3" t="inlineStr">
        <is>
          <t>مسحوبات تبوك من الرياض</t>
        </is>
      </c>
      <c r="H56" s="4" t="n">
        <v>90</v>
      </c>
      <c r="I56" s="3" t="inlineStr">
        <is>
          <t>—</t>
        </is>
      </c>
    </row>
    <row r="57">
      <c r="A57" s="4" t="n">
        <v>55</v>
      </c>
      <c r="B57" s="3" t="inlineStr">
        <is>
          <t>قرنفل صيني</t>
        </is>
      </c>
      <c r="C57" s="3" t="inlineStr">
        <is>
          <t>زهور قرنفل صيني / زهور قرنفل صيني مركن9 سم</t>
        </is>
      </c>
      <c r="D57" s="3" t="inlineStr">
        <is>
          <t>0.5</t>
        </is>
      </c>
      <c r="E57" s="6" t="n">
        <v>0.5</v>
      </c>
      <c r="F57" s="3" t="inlineStr">
        <is>
          <t>معتمد (قرارك)</t>
        </is>
      </c>
      <c r="G57" s="3" t="inlineStr">
        <is>
          <t>عقود أبو خالد + مسحوبات تبوك من الرياض</t>
        </is>
      </c>
      <c r="H57" s="4" t="n">
        <v>3550</v>
      </c>
      <c r="I57" s="4" t="n">
        <v>0.5</v>
      </c>
    </row>
    <row r="58">
      <c r="A58" s="4" t="n">
        <v>56</v>
      </c>
      <c r="B58" s="3" t="inlineStr">
        <is>
          <t>كف مريم 1. 5 : 2 م</t>
        </is>
      </c>
      <c r="C58" s="3" t="inlineStr">
        <is>
          <t>كف مريم 1.5 : 2 م</t>
        </is>
      </c>
      <c r="D58" s="3" t="inlineStr">
        <is>
          <t>5.5</t>
        </is>
      </c>
      <c r="E58" s="6" t="n">
        <v>5.5</v>
      </c>
      <c r="F58" s="3" t="inlineStr">
        <is>
          <t>معتمد (قرارك)</t>
        </is>
      </c>
      <c r="G58" s="3" t="inlineStr">
        <is>
          <t>مسحوبات تبوك من الرياض</t>
        </is>
      </c>
      <c r="H58" s="4" t="n">
        <v>6</v>
      </c>
      <c r="I58" s="3" t="inlineStr">
        <is>
          <t>—</t>
        </is>
      </c>
    </row>
    <row r="59">
      <c r="A59" s="4" t="n">
        <v>57</v>
      </c>
      <c r="B59" s="3" t="inlineStr">
        <is>
          <t>كلانشو هولندي مركن 12</t>
        </is>
      </c>
      <c r="C59" s="3" t="inlineStr">
        <is>
          <t>كالنشو هولندى مركن12 سم / كلانشو هولندي مركن 12</t>
        </is>
      </c>
      <c r="D59" s="3" t="inlineStr">
        <is>
          <t>4 / 5</t>
        </is>
      </c>
      <c r="E59" s="6" t="n">
        <v>3</v>
      </c>
      <c r="F59" s="3" t="inlineStr">
        <is>
          <t>معتمد (قرارك)</t>
        </is>
      </c>
      <c r="G59" s="3" t="inlineStr">
        <is>
          <t>عقود أبو خالد + مسحوبات تبوك من الرياض</t>
        </is>
      </c>
      <c r="H59" s="4" t="n">
        <v>2720</v>
      </c>
      <c r="I59" s="4" t="n">
        <v>4</v>
      </c>
    </row>
    <row r="60">
      <c r="A60" s="4" t="n">
        <v>58</v>
      </c>
      <c r="B60" s="3" t="inlineStr">
        <is>
          <t>كمبوست 10 ك</t>
        </is>
      </c>
      <c r="C60" s="3" t="inlineStr">
        <is>
          <t>كمبوست 10 ك</t>
        </is>
      </c>
      <c r="D60" s="3" t="inlineStr">
        <is>
          <t>2</t>
        </is>
      </c>
      <c r="E60" s="6" t="n">
        <v>2</v>
      </c>
      <c r="F60" s="3" t="inlineStr">
        <is>
          <t>معتمد (قرارك)</t>
        </is>
      </c>
      <c r="G60" s="3" t="inlineStr">
        <is>
          <t>مسحوبات تبوك من الرياض</t>
        </is>
      </c>
      <c r="H60" s="4" t="n">
        <v>170</v>
      </c>
      <c r="I60" s="3" t="inlineStr">
        <is>
          <t>—</t>
        </is>
      </c>
    </row>
    <row r="61">
      <c r="A61" s="4" t="n">
        <v>59</v>
      </c>
      <c r="B61" s="3" t="inlineStr">
        <is>
          <t>كيليوس</t>
        </is>
      </c>
      <c r="C61" s="3" t="inlineStr">
        <is>
          <t>زهور كيليوس</t>
        </is>
      </c>
      <c r="D61" s="3" t="inlineStr">
        <is>
          <t>0.55</t>
        </is>
      </c>
      <c r="E61" s="6" t="n">
        <v>0.5</v>
      </c>
      <c r="F61" s="3" t="inlineStr">
        <is>
          <t>معتمد (قرارك)</t>
        </is>
      </c>
      <c r="G61" s="3" t="inlineStr">
        <is>
          <t>عقود أبو خالد</t>
        </is>
      </c>
      <c r="H61" s="4" t="n">
        <v>2200</v>
      </c>
      <c r="I61" s="4" t="n">
        <v>0.55</v>
      </c>
    </row>
    <row r="62">
      <c r="A62" s="4" t="n">
        <v>60</v>
      </c>
      <c r="B62" s="3" t="inlineStr">
        <is>
          <t>لانتانا لبناني صغير</t>
        </is>
      </c>
      <c r="C62" s="3" t="inlineStr">
        <is>
          <t>لانتانا لبناني صغير</t>
        </is>
      </c>
      <c r="D62" s="3" t="inlineStr">
        <is>
          <t>2.5</t>
        </is>
      </c>
      <c r="E62" s="6" t="n">
        <v>3</v>
      </c>
      <c r="F62" s="3" t="inlineStr">
        <is>
          <t>معتمد (قرارك)</t>
        </is>
      </c>
      <c r="G62" s="3" t="inlineStr">
        <is>
          <t>مسحوبات تبوك من الرياض + ترحيل تبوك للرياض</t>
        </is>
      </c>
      <c r="H62" s="4" t="n">
        <v>200</v>
      </c>
      <c r="I62" s="3" t="inlineStr">
        <is>
          <t>—</t>
        </is>
      </c>
    </row>
    <row r="63">
      <c r="A63" s="4" t="n">
        <v>61</v>
      </c>
      <c r="B63" s="3" t="inlineStr">
        <is>
          <t>مركن 16</t>
        </is>
      </c>
      <c r="C63" s="3" t="inlineStr">
        <is>
          <t>مركن 16 سم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15000</v>
      </c>
      <c r="I63" s="3" t="inlineStr">
        <is>
          <t>—</t>
        </is>
      </c>
    </row>
    <row r="64">
      <c r="A64" s="4" t="n">
        <v>62</v>
      </c>
      <c r="B64" s="3" t="inlineStr">
        <is>
          <t>ملفوف مركن 9</t>
        </is>
      </c>
      <c r="C64" s="3" t="inlineStr">
        <is>
          <t>زهور ملفوف براسيكا مركن9 سم / زهور ملفوف مركن 9</t>
        </is>
      </c>
      <c r="D64" s="3" t="inlineStr">
        <is>
          <t>0.5</t>
        </is>
      </c>
      <c r="E64" s="6" t="n">
        <v>0.5</v>
      </c>
      <c r="F64" s="3" t="inlineStr">
        <is>
          <t>معتمد (قرارك)</t>
        </is>
      </c>
      <c r="G64" s="3" t="inlineStr">
        <is>
          <t>عقود أبو خالد + مسحوبات تبوك من الرياض</t>
        </is>
      </c>
      <c r="H64" s="4" t="n">
        <v>2862</v>
      </c>
      <c r="I64" s="4" t="n">
        <v>0.5</v>
      </c>
    </row>
    <row r="65">
      <c r="A65" s="4" t="n">
        <v>63</v>
      </c>
      <c r="B65" s="3" t="inlineStr">
        <is>
          <t>منثور مركن 9</t>
        </is>
      </c>
      <c r="C65" s="3" t="inlineStr">
        <is>
          <t>زهور منثور مركن 9</t>
        </is>
      </c>
      <c r="D65" s="3" t="inlineStr">
        <is>
          <t>0.5</t>
        </is>
      </c>
      <c r="E65" s="6" t="n">
        <v>0.5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462</v>
      </c>
      <c r="I65" s="3" t="inlineStr">
        <is>
          <t>—</t>
        </is>
      </c>
    </row>
    <row r="66">
      <c r="A66" s="4" t="n">
        <v>64</v>
      </c>
      <c r="B66" s="3" t="inlineStr">
        <is>
          <t>نخيل سايكس 30</t>
        </is>
      </c>
      <c r="C66" s="3" t="inlineStr">
        <is>
          <t>نخيل سايكس 30 سم</t>
        </is>
      </c>
      <c r="D66" s="3" t="inlineStr">
        <is>
          <t>262.5</t>
        </is>
      </c>
      <c r="E66" s="6" t="n">
        <v>300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4</v>
      </c>
      <c r="I66" s="3" t="inlineStr">
        <is>
          <t>—</t>
        </is>
      </c>
    </row>
    <row r="67">
      <c r="A67" s="4" t="n">
        <v>65</v>
      </c>
      <c r="B67" s="3" t="inlineStr">
        <is>
          <t>نخيل سايكس 40</t>
        </is>
      </c>
      <c r="C67" s="3" t="inlineStr">
        <is>
          <t>نخيل سايكس 40 سم</t>
        </is>
      </c>
      <c r="D67" s="3" t="inlineStr">
        <is>
          <t>400</t>
        </is>
      </c>
      <c r="E67" s="6" t="n">
        <v>350</v>
      </c>
      <c r="F67" s="3" t="inlineStr">
        <is>
          <t>معتمد (قرارك)</t>
        </is>
      </c>
      <c r="G67" s="3" t="inlineStr">
        <is>
          <t>مسحوبات تبوك من الرياض</t>
        </is>
      </c>
      <c r="H67" s="4" t="n">
        <v>3</v>
      </c>
      <c r="I67" s="3" t="inlineStr">
        <is>
          <t>—</t>
        </is>
      </c>
    </row>
    <row r="68">
      <c r="A68" s="4" t="n">
        <v>66</v>
      </c>
      <c r="B68" s="3" t="inlineStr">
        <is>
          <t>هيدرا علاقي مركن 19</t>
        </is>
      </c>
      <c r="C68" s="3" t="inlineStr">
        <is>
          <t>هيدرا علاقي مركن 19</t>
        </is>
      </c>
      <c r="D68" s="3" t="inlineStr">
        <is>
          <t>10</t>
        </is>
      </c>
      <c r="E68" s="6" t="n">
        <v>7</v>
      </c>
      <c r="F68" s="3" t="inlineStr">
        <is>
          <t>معتمد (قرارك)</t>
        </is>
      </c>
      <c r="G68" s="3" t="inlineStr">
        <is>
          <t>مسحوبات تبوك من الرياض</t>
        </is>
      </c>
      <c r="H68" s="4" t="n">
        <v>288</v>
      </c>
      <c r="I68" s="3" t="inlineStr">
        <is>
          <t>—</t>
        </is>
      </c>
    </row>
    <row r="69">
      <c r="A69" s="4" t="n">
        <v>67</v>
      </c>
      <c r="B69" s="3" t="inlineStr">
        <is>
          <t>وايتكس 50</t>
        </is>
      </c>
      <c r="C69" s="3" t="inlineStr">
        <is>
          <t>وايتكس 50 سم</t>
        </is>
      </c>
      <c r="D69" s="3" t="inlineStr">
        <is>
          <t>2.5</t>
        </is>
      </c>
      <c r="E69" s="6" t="n">
        <v>3</v>
      </c>
      <c r="F69" s="3" t="inlineStr">
        <is>
          <t>معتمد (قرارك)</t>
        </is>
      </c>
      <c r="G69" s="3" t="inlineStr">
        <is>
          <t>ترحيل تبوك للرياض</t>
        </is>
      </c>
      <c r="H69" s="4" t="n">
        <v>400</v>
      </c>
      <c r="I69" s="3" t="inlineStr">
        <is>
          <t>—</t>
        </is>
      </c>
    </row>
    <row r="70">
      <c r="A70" s="4" t="n">
        <v>68</v>
      </c>
      <c r="B70" s="3" t="inlineStr">
        <is>
          <t>ياسمين ازرق</t>
        </is>
      </c>
      <c r="C70" s="3" t="inlineStr">
        <is>
          <t>ياسمين أزرق / ياسمين ازرق  50 سم</t>
        </is>
      </c>
      <c r="D70" s="3" t="inlineStr">
        <is>
          <t>2.5</t>
        </is>
      </c>
      <c r="E70" s="6" t="n">
        <v>3</v>
      </c>
      <c r="F70" s="3" t="inlineStr">
        <is>
          <t>معتمد (قرارك)</t>
        </is>
      </c>
      <c r="G70" s="3" t="inlineStr">
        <is>
          <t>مسحوبات تبوك من الرياض + ترحيل تبوك للرياض</t>
        </is>
      </c>
      <c r="H70" s="4" t="n">
        <v>730</v>
      </c>
      <c r="I70" s="3" t="inlineStr">
        <is>
          <t>—</t>
        </is>
      </c>
    </row>
    <row r="71">
      <c r="A71" s="4" t="n">
        <v>69</v>
      </c>
      <c r="B71" s="3" t="inlineStr">
        <is>
          <t>ياسمين هندي كبير</t>
        </is>
      </c>
      <c r="C71" s="3" t="inlineStr">
        <is>
          <t>ياسمين هندي كبير</t>
        </is>
      </c>
      <c r="D71" s="3" t="inlineStr">
        <is>
          <t>32.5</t>
        </is>
      </c>
      <c r="E71" s="6" t="n">
        <v>30</v>
      </c>
      <c r="F71" s="3" t="inlineStr">
        <is>
          <t>معتمد (قرارك)</t>
        </is>
      </c>
      <c r="G71" s="3" t="inlineStr">
        <is>
          <t>مسحوبات تبوك من الرياض</t>
        </is>
      </c>
      <c r="H71" s="4" t="n">
        <v>20</v>
      </c>
      <c r="I71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الموحدة'!$B$3:$E$71,4,FALSE)="",G3,VLOOKUP("بيتونيا",'قائمة الأسعار الموحدة'!$B$3:$E$71,4,FALSE)),G3)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الموحدة'!$B$3:$E$71,4,FALSE)="",G4,VLOOKUP("بيتونيا",'قائمة الأسعار الموحدة'!$B$3:$E$71,4,FALSE)),G4)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الموحدة'!$B$3:$E$71,4,FALSE)="",G5,VLOOKUP("بيتونيا",'قائمة الأسعار الموحدة'!$B$3:$E$71,4,FALSE)),G5)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الموحدة'!$B$3:$E$71,4,FALSE)="",G6,VLOOKUP("بيتونيا",'قائمة الأسعار الموحدة'!$B$3:$E$71,4,FALSE)),G6)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الموحدة'!$B$3:$E$71,4,FALSE)="",G7,VLOOKUP("سالفيا مركن 9",'قائمة الأسعار الموحدة'!$B$3:$E$71,4,FALSE)),G7)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الموحدة'!$B$3:$E$71,4,FALSE)="",G8,VLOOKUP("بيتونيا",'قائمة الأسعار الموحدة'!$B$3:$E$71,4,FALSE)),G8)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الموحدة'!$B$3:$E$71,4,FALSE)="",G10,VLOOKUP("بيتونيا",'قائمة الأسعار الموحدة'!$B$3:$E$71,4,FALSE)),G10)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الموحدة'!$B$3:$E$71,4,FALSE)="",G14,VLOOKUP("هيبوستس",'قائمة الأسعار الموحدة'!$B$3:$E$71,4,FALSE)),G14)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الموحدة'!$B$3:$E$71,4,FALSE)="",G16,VLOOKUP("بيتونيا",'قائمة الأسعار الموحدة'!$B$3:$E$71,4,FALSE)),G16)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الموحدة'!$B$3:$E$71,4,FALSE)="",G17,VLOOKUP("بيتونيا",'قائمة الأسعار الموحدة'!$B$3:$E$71,4,FALSE)),G17)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الموحدة'!$B$3:$E$71,4,FALSE)="",G19,VLOOKUP("بيتونيا",'قائمة الأسعار الموحدة'!$B$3:$E$71,4,FALSE)),G19)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الموحدة'!$B$3:$E$71,4,FALSE)="",G21,VLOOKUP("بيتونيا",'قائمة الأسعار الموحدة'!$B$3:$E$71,4,FALSE)),G21)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الموحدة'!$B$3:$E$71,4,FALSE)="",G23,VLOOKUP("بيتونيا",'قائمة الأسعار الموحدة'!$B$3:$E$71,4,FALSE)),G23)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الموحدة'!$B$3:$E$71,4,FALSE)="",G24,VLOOKUP("بيتونيا",'قائمة الأسعار الموحدة'!$B$3:$E$71,4,FALSE)),G24)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الموحدة'!$B$3:$E$71,4,FALSE)="",G25,VLOOKUP("ماري جولد",'قائمة الأسعار الموحدة'!$B$3:$E$71,4,FALSE)),G25)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الموحدة'!$B$3:$E$71,4,FALSE)="",G26,VLOOKUP("بيتونيا",'قائمة الأسعار الموحدة'!$B$3:$E$71,4,FALSE)),G26)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الموحدة'!$B$3:$E$71,4,FALSE)="",G33,VLOOKUP("بيتونيا",'قائمة الأسعار الموحدة'!$B$3:$E$71,4,FALSE)),G33)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الموحدة'!$B$3:$E$71,4,FALSE)="",G35,VLOOKUP("قرنفل صيني",'قائمة الأسعار الموحدة'!$B$3:$E$71,4,FALSE)),G35)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الموحدة'!$B$3:$E$71,4,FALSE)="",G36,VLOOKUP("بيتونيا",'قائمة الأسعار الموحدة'!$B$3:$E$71,4,FALSE)),G36)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الموحدة'!$B$3:$E$71,4,FALSE)="",G38,VLOOKUP("اليسوم",'قائمة الأسعار الموحدة'!$B$3:$E$71,4,FALSE)),G38)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الموحدة'!$B$3:$E$71,4,FALSE)="",G39,VLOOKUP("قرنفل صيني",'قائمة الأسعار الموحدة'!$B$3:$E$71,4,FALSE)),G39)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الموحدة'!$B$3:$E$71,4,FALSE)="",G40,VLOOKUP("ملفوف مركن 9",'قائمة الأسعار الموحدة'!$B$3:$E$71,4,FALSE)),G40)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الموحدة'!$B$3:$E$71,4,FALSE)="",G45,VLOOKUP("بيتونيا",'قائمة الأسعار الموحدة'!$B$3:$E$71,4,FALSE)),G45)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الموحدة'!$B$3:$E$71,4,FALSE)="",G50,VLOOKUP("زينيا",'قائمة الأسعار الموحدة'!$B$3:$E$71,4,FALSE)),G50)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الموحدة'!$B$3:$E$71,4,FALSE)="",G51,VLOOKUP("سيلوزيا",'قائمة الأسعار الموحدة'!$B$3:$E$71,4,FALSE)),G51)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الموحدة'!$B$3:$E$71,4,FALSE)="",G52,VLOOKUP("امرانتس",'قائمة الأسعار الموحدة'!$B$3:$E$71,4,FALSE)),G52)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الموحدة'!$B$3:$E$71,4,FALSE)="",G53,VLOOKUP("جازانيا",'قائمة الأسعار الموحدة'!$B$3:$E$71,4,FALSE)),G53)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الموحدة'!$B$3:$E$71,4,FALSE)="",G54,VLOOKUP("تيكوماريا 50",'قائمة الأسعار الموحدة'!$B$3:$E$71,4,FALSE)),G54)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الموحدة'!$B$3:$E$71,4,FALSE)="",G56,VLOOKUP("فينكا روزا",'قائمة الأسعار الموحدة'!$B$3:$E$71,4,FALSE)),G56)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الموحدة'!$B$3:$E$71,4,FALSE)="",G57,VLOOKUP("كيليوس",'قائمة الأسعار الموحدة'!$B$3:$E$71,4,FALSE)),G57)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الموحدة'!$B$3:$E$71,4,FALSE)="",G58,VLOOKUP("فينكا روزا",'قائمة الأسعار الموحدة'!$B$3:$E$71,4,FALSE)),G58)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الموحدة'!$B$3:$E$71,4,FALSE)="",G59,VLOOKUP("فينكا روزا",'قائمة الأسعار الموحدة'!$B$3:$E$71,4,FALSE)),G59)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الموحدة'!$B$3:$E$71,4,FALSE)="",G60,VLOOKUP("امرانتس",'قائمة الأسعار الموحدة'!$B$3:$E$71,4,FALSE)),G60)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الموحدة'!$B$3:$E$71,4,FALSE)="",F3,VLOOKUP("ماري جولد",'قائمة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RNP-2297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الموحدة'!$B$3:$E$71,4,FALSE)="",F4,VLOOKUP("بيتونيا",'قائمة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رقم السند مصحح: المحاسب كتبه RNP-2293 والصحيح RNP-2297 (قيمة النظام 4,725)</t>
        </is>
      </c>
    </row>
    <row r="5">
      <c r="A5" s="4" t="n">
        <v>3</v>
      </c>
      <c r="B5" s="7" t="n">
        <v>45926</v>
      </c>
      <c r="C5" s="3" t="inlineStr">
        <is>
          <t>RNP-2297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رقم السند مصحح: المحاسب كتبه RNP-2293 والصحيح RNP-2297 (قيمة النظام 4,725)</t>
        </is>
      </c>
    </row>
    <row r="6">
      <c r="A6" s="4" t="n">
        <v>4</v>
      </c>
      <c r="B6" s="7" t="n">
        <v>45926</v>
      </c>
      <c r="C6" s="3" t="inlineStr">
        <is>
          <t>RNP-2297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رقم السند مصحح: المحاسب كتبه RNP-2293 والصحيح RNP-2297 (قيمة النظام 4,725)</t>
        </is>
      </c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الموحدة'!$B$3:$E$71,4,FALSE)="",F11,VLOOKUP("هيبوستس",'قائمة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الموحدة'!$B$3:$E$71,4,FALSE)="",F16,VLOOKUP("ماري جولد",'قائمة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الموحدة'!$B$3:$E$71,4,FALSE)="",F17,VLOOKUP("بيتونيا",'قائمة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الموحدة'!$B$3:$E$71,4,FALSE)="",F19,VLOOKUP("بيتونيا",'قائمة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الموحدة'!$B$3:$E$71,4,FALSE)="",F21,VLOOKUP("قرنفل صيني",'قائمة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الموحدة'!$B$3:$E$71,4,FALSE)="",F26,VLOOKUP("هيبوستس",'قائمة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الموحدة'!$B$3:$E$71,4,FALSE)="",F27,VLOOKUP("كمبوست 10 ك",'قائمة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الموحدة'!$B$3:$E$71,4,FALSE)="",F28,VLOOKUP("اليسوم",'قائمة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الموحدة'!$B$3:$E$71,4,FALSE)="",F29,VLOOKUP("ماري جولد",'قائمة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الموحدة'!$B$3:$E$71,4,FALSE)="",F30,VLOOKUP("بيتونيا",'قائمة الأسعار الموحدة'!$B$3:$E$71,4,FALSE)),F30)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الموحدة'!$B$3:$E$71,4,FALSE)="",F33,VLOOKUP("اليسوم",'قائمة الأسعار الموحدة'!$B$3:$E$71,4,FALSE)),F33)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الموحدة'!$B$3:$E$71,4,FALSE)="",F35,VLOOKUP("بيتونيا",'قائمة الأسعار الموحدة'!$B$3:$E$71,4,FALSE)),F35)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الموحدة'!$B$3:$E$71,4,FALSE)="",F36,VLOOKUP("ماري جولد",'قائمة الأسعار الموحدة'!$B$3:$E$71,4,FALSE)),F36)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الموحدة'!$B$3:$E$71,4,FALSE)="",F37,VLOOKUP("اليسوم",'قائمة الأسعار الموحدة'!$B$3:$E$71,4,FALSE)),F37)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الموحدة'!$B$3:$E$71,4,FALSE)="",F38,VLOOKUP("ماري جولد",'قائمة الأسعار الموحدة'!$B$3:$E$71,4,FALSE)),F38)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الموحدة'!$B$3:$E$71,4,FALSE)="",F39,VLOOKUP("بيتونيا",'قائمة الأسعار الموحدة'!$B$3:$E$71,4,FALSE)),F39)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الموحدة'!$B$3:$E$71,4,FALSE)="",F40,VLOOKUP("اليسوم",'قائمة الأسعار الموحدة'!$B$3:$E$71,4,FALSE)),F40)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الموحدة'!$B$3:$E$71,4,FALSE)="",F42,VLOOKUP("بيتونيا",'قائمة الأسعار الموحدة'!$B$3:$E$71,4,FALSE)),F42)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الموحدة'!$B$3:$E$71,4,FALSE)="",F43,VLOOKUP("تيكوماريا 50",'قائمة الأسعار الموحدة'!$B$3:$E$71,4,FALSE)),F43)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الموحدة'!$B$3:$E$71,4,FALSE)="",F46,VLOOKUP("قرنفل صيني",'قائمة الأسعار الموحدة'!$B$3:$E$71,4,FALSE)),F46)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الموحدة'!$B$3:$E$71,4,FALSE)="",F48,VLOOKUP("نخيل سايكس 30",'قائمة الأسعار الموحدة'!$B$3:$E$71,4,FALSE)),F48)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الموحدة'!$B$3:$E$71,4,FALSE)="",F51,VLOOKUP("ملفوف مركن 9",'قائمة الأسعار الموحدة'!$B$3:$E$71,4,FALSE)),F51)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الموحدة'!$B$3:$E$71,4,FALSE)="",F54,VLOOKUP("منثور مركن 9",'قائمة الأسعار الموحدة'!$B$3:$E$71,4,FALSE)),F54)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الموحدة'!$B$3:$E$71,4,FALSE)="",F58,VLOOKUP("بيتونيا",'قائمة الأسعار الموحدة'!$B$3:$E$71,4,FALSE)),F58)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الموحدة'!$B$3:$E$71,4,FALSE)="",F59,VLOOKUP("منثور مركن 9",'قائمة الأسعار الموحدة'!$B$3:$E$71,4,FALSE)),F59)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الموحدة'!$B$3:$E$71,4,FALSE)="",F61,VLOOKUP("ملفوف مركن 9",'قائمة الأسعار الموحدة'!$B$3:$E$71,4,FALSE)),F61)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الموحدة'!$B$3:$E$71,4,FALSE)="",F63,VLOOKUP("هيبوستس",'قائمة الأسعار الموحدة'!$B$3:$E$71,4,FALSE)),F63)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الموحدة'!$B$3:$E$71,4,FALSE)="",F65,VLOOKUP("زينيا",'قائمة الأسعار الموحدة'!$B$3:$E$71,4,FALSE)),F65)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الموحدة'!$B$3:$E$71,4,FALSE)="",F66,VLOOKUP("امرانتس",'قائمة الأسعار الموحدة'!$B$3:$E$71,4,FALSE)),F66)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الموحدة'!$B$3:$E$71,4,FALSE)="",F67,VLOOKUP("فينكا روزا",'قائمة الأسعار الموحدة'!$B$3:$E$71,4,FALSE)),F67)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الموحدة'!$B$3:$E$71,4,FALSE)="",F69,VLOOKUP("فينكا روزا",'قائمة الأسعار الموحدة'!$B$3:$E$71,4,FALSE)),F69)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الموحدة'!$B$3:$E$71,4,FALSE)="",F70,VLOOKUP("جازانيا",'قائمة الأسعار الموحدة'!$B$3:$E$71,4,FALSE)),F70)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الموحدة'!$B$3:$E$71,4,FALSE)="",F71,VLOOKUP("زينيا",'قائمة الأسعار الموحدة'!$B$3:$E$71,4,FALSE)),F71)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الموحدة'!$B$3:$E$71,4,FALSE)="",F72,VLOOKUP("فينكا روزا",'قائمة الأسعار الموحدة'!$B$3:$E$71,4,FALSE)),F72)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الموحدة'!$B$3:$E$71,4,FALSE)="",F73,VLOOKUP("زينيا",'قائمة الأسعار الموحدة'!$B$3:$E$71,4,FALSE)),F73)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الموحدة'!$B$3:$E$71,4,FALSE)="",F74,VLOOKUP("امرانتس",'قائمة الأسعار الموحدة'!$B$3:$E$71,4,FALSE)),F74)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الموحدة'!$B$3:$E$71,4,FALSE)="",F75,VLOOKUP("فينكا روزا",'قائمة الأسعار الموحدة'!$B$3:$E$71,4,FALSE)),F75)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الموحدة'!$B$3:$E$71,4,FALSE)="",F76,VLOOKUP("زينيا",'قائمة الأسعار الموحدة'!$B$3:$E$71,4,FALSE)),F76)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الموحدة'!$B$3:$E$71,4,FALSE)="",F77,VLOOKUP("فينكا روزا",'قائمة الأسعار الموحدة'!$B$3:$E$71,4,FALSE)),F77)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الموحدة'!$B$3:$E$71,4,FALSE)="",F78,VLOOKUP("جازانيا",'قائمة الأسعار الموحدة'!$B$3:$E$71,4,FALSE)),F78)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الموحدة'!$B$3:$E$71,4,FALSE)="",F79,VLOOKUP("فينكا روزا",'قائمة الأسعار الموحدة'!$B$3:$E$71,4,FALSE)),F79)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الموحدة'!$B$3:$E$71,4,FALSE)="",F80,VLOOKUP("زينيا",'قائمة الأسعار الموحدة'!$B$3:$E$71,4,FALSE)),F80)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الموحدة'!$B$3:$E$71,4,FALSE)="",F81,VLOOKUP("فينكا روزا",'قائمة الأسعار الموحدة'!$B$3:$E$71,4,FALSE)),F81)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الموحدة'!$B$3:$E$71,4,FALSE)="",F82,VLOOKUP("فينكا روزا",'قائمة الأسعار الموحدة'!$B$3:$E$71,4,FALSE)),F82)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الموحدة'!$B$3:$E$71,4,FALSE)="",F83,VLOOKUP("زينيا",'قائمة الأسعار الموحدة'!$B$3:$E$71,4,FALSE)),F83)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الموحدة'!$B$3:$E$71,4,FALSE)="",F84,VLOOKUP("امرانتس",'قائمة الأسعار الموحدة'!$B$3:$E$71,4,FALSE)),F84)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الموحدة'!$B$3:$E$71,4,FALSE)="",F85,VLOOKUP("فضيه",'قائمة الأسعار الموحدة'!$B$3:$E$71,4,FALSE)),F85)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الموحدة'!$B$3:$E$71,4,FALSE)="",F86,VLOOKUP("فينكا روزا",'قائمة الأسعار الموحدة'!$B$3:$E$71,4,FALSE)),F86)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الموحدة'!$B$3:$E$71,4,FALSE)="",F87,VLOOKUP("فينكا روزا",'قائمة الأسعار الموحدة'!$B$3:$E$71,4,FALSE)),F87)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الموحدة'!$B$3:$E$71,4,FALSE)="",F88,VLOOKUP("زينيا",'قائمة الأسعار الموحدة'!$B$3:$E$71,4,FALSE)),F88)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الموحدة'!$B$3:$E$71,4,FALSE)="",F92,VLOOKUP("زينيا",'قائمة الأسعار الموحدة'!$B$3:$E$71,4,FALSE)),F92)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الموحدة'!$B$3:$E$71,4,FALSE)="",F95,VLOOKUP("فينكا روزا",'قائمة الأسعار الموحدة'!$B$3:$E$71,4,FALSE)),F95)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الموحدة'!$B$3:$E$71,4,FALSE)="",F96,VLOOKUP("فينكا روزا",'قائمة الأسعار الموحدة'!$B$3:$E$71,4,FALSE)),F96)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الموحدة'!$B$3:$E$71,4,FALSE)="",F97,VLOOKUP("فينكا روزا",'قائمة الأسعار الموحدة'!$B$3:$E$71,4,FALSE)),F97)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الموحدة'!$B$3:$E$71,4,FALSE)="",F98,VLOOKUP("فينكا روزا",'قائمة الأسعار الموحدة'!$B$3:$E$71,4,FALSE)),F98)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الموحدة'!$B$3:$E$71,4,FALSE)="",F101,VLOOKUP("فينكا روزا",'قائمة الأسعار الموحدة'!$B$3:$E$71,4,FALSE)),F101)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الموحدة'!$B$3:$E$71,4,FALSE)="",F102,VLOOKUP("فينكا روزا",'قائمة الأسعار الموحدة'!$B$3:$E$71,4,FALSE)),F102)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الموحدة'!$B$3:$E$71,4,FALSE)="",F103,VLOOKUP("فينكا روزا",'قائمة الأسعار الموحدة'!$B$3:$E$71,4,FALSE)),F103)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الموحدة'!$B$3:$E$71,4,FALSE)="",F107,VLOOKUP("فينكا روزا",'قائمة الأسعار الموحدة'!$B$3:$E$71,4,FALSE)),F107)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الموحدة'!$B$3:$E$71,4,FALSE)="",F108,VLOOKUP("فينكا روزا",'قائمة الأسعار الموحدة'!$B$3:$E$71,4,FALSE)),F108)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الموحدة'!$B$3:$E$71,4,FALSE)="",F110,VLOOKUP("فيكس بندا 50",'قائمة الأسعار الموحدة'!$B$3:$E$71,4,FALSE)),F110)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الموحدة'!$B$3:$E$71,4,FALSE)="",F112,VLOOKUP("اكاليفا",'قائمة الأسعار الموحدة'!$B$3:$E$71,4,FALSE)),F112)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الموحدة'!$B$3:$E$71,4,FALSE)="",F113,VLOOKUP("فل بلدي",'قائمة الأسعار الموحدة'!$B$3:$E$71,4,FALSE)),F113)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الموحدة'!$B$3:$E$71,4,FALSE)="",F114,VLOOKUP("تيكوماريا 50",'قائمة الأسعار الموحدة'!$B$3:$E$71,4,FALSE)),F114)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الموحدة'!$B$3:$E$71,4,FALSE)="",F115,VLOOKUP("ياسمين ازرق",'قائمة الأسعار الموحدة'!$B$3:$E$71,4,FALSE)),F115)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الموحدة'!$B$3:$E$71,4,FALSE)="",F118,VLOOKUP("رويليا",'قائمة الأسعار الموحدة'!$B$3:$E$71,4,FALSE)),F118)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الموحدة'!$B$3:$E$71,4,FALSE)="",F119,VLOOKUP("تيكوماريا 50",'قائمة الأسعار الموحدة'!$B$3:$E$71,4,FALSE)),F119)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45992</v>
      </c>
      <c r="C121" s="3" t="inlineStr">
        <is>
          <t>RNT-3077</t>
        </is>
      </c>
      <c r="D121" s="3" t="inlineStr">
        <is>
          <t>زهور جيرانيوم هولندي مركن 12</t>
        </is>
      </c>
      <c r="E121" s="4" t="n">
        <v>105</v>
      </c>
      <c r="F121" s="4" t="n">
        <v>3.45</v>
      </c>
      <c r="G121" s="4">
        <f>IF(F121="","",E121*F121)</f>
        <v/>
      </c>
      <c r="H121" s="8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أصناف من إذن الصرف المرسل (RAW OUT#65/#90) – السعر المسجل = سعر النظام التقريبي</t>
        </is>
      </c>
    </row>
    <row r="122">
      <c r="A122" s="4" t="n">
        <v>120</v>
      </c>
      <c r="B122" s="7" t="n">
        <v>45992</v>
      </c>
      <c r="C122" s="3" t="inlineStr">
        <is>
          <t>RNT-3077</t>
        </is>
      </c>
      <c r="D122" s="3" t="inlineStr">
        <is>
          <t>كمبوست 10 ك</t>
        </is>
      </c>
      <c r="E122" s="4" t="n">
        <v>51</v>
      </c>
      <c r="F122" s="4" t="n">
        <v>2</v>
      </c>
      <c r="G122" s="4">
        <f>IF(F122="","",E122*F122)</f>
        <v/>
      </c>
      <c r="H122" s="8">
        <f>IFERROR(IF(VLOOKUP("كمبوست 10 ك",'قائمة الأسعار الموحدة'!$B$3:$E$71,4,FALSE)="",F122,VLOOKUP("كمبوست 10 ك",'قائمة الأسعار الموحدة'!$B$3:$E$71,4,FALSE)),F122)</f>
        <v/>
      </c>
      <c r="I122" s="4">
        <f>IF(H122="","",E122*H122)</f>
        <v/>
      </c>
      <c r="J122" s="4">
        <f>IF(OR(G122="",I122=""),"",G122-I122)</f>
        <v/>
      </c>
      <c r="K122" s="3" t="inlineStr">
        <is>
          <t>أصناف من إذن الصرف المرسل (RAW OUT#65/#90) – السعر المسجل = سعر النظام التقريبي</t>
        </is>
      </c>
    </row>
    <row r="123">
      <c r="A123" s="4" t="n">
        <v>121</v>
      </c>
      <c r="B123" s="7" t="n">
        <v>45992</v>
      </c>
      <c r="C123" s="3" t="inlineStr">
        <is>
          <t>RNT-3077</t>
        </is>
      </c>
      <c r="D123" s="3" t="inlineStr">
        <is>
          <t>بيرلايت 100 لتر</t>
        </is>
      </c>
      <c r="E123" s="4" t="n">
        <v>100</v>
      </c>
      <c r="F123" s="4" t="n">
        <v>32.5</v>
      </c>
      <c r="G123" s="4">
        <f>IF(F123="","",E123*F123)</f>
        <v/>
      </c>
      <c r="H123" s="8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4">
        <f>IF(H123="","",E123*H123)</f>
        <v/>
      </c>
      <c r="J123" s="4">
        <f>IF(OR(G123="",I123=""),"",G123-I123)</f>
        <v/>
      </c>
      <c r="K123" s="3" t="inlineStr">
        <is>
          <t>أصناف من إذن الصرف المرسل (RAW OUT#65/#90) – السعر المسجل = سعر النظام التقريبي</t>
        </is>
      </c>
    </row>
    <row r="124">
      <c r="A124" s="4" t="n">
        <v>122</v>
      </c>
      <c r="B124" s="7" t="n">
        <v>46016</v>
      </c>
      <c r="C124" s="3" t="inlineStr">
        <is>
          <t>RNT-3346</t>
        </is>
      </c>
      <c r="D124" s="3" t="inlineStr">
        <is>
          <t>زهور ماري جولد</t>
        </is>
      </c>
      <c r="E124" s="4" t="n">
        <v>600</v>
      </c>
      <c r="F124" s="4" t="n">
        <v>0.5</v>
      </c>
      <c r="G124" s="4">
        <f>IF(F124="","",E124*F124)</f>
        <v/>
      </c>
      <c r="H124" s="4">
        <f>IFERROR(IF(VLOOKUP("ماري جولد",'قائمة الأسعار الموحدة'!$B$3:$E$71,4,FALSE)="",F124,VLOOKUP("ماري جولد",'قائمة الأسعار الموحدة'!$B$3:$E$71,4,FALSE)),F124)</f>
        <v/>
      </c>
      <c r="I124" s="4">
        <f>IF(H124="","",E124*H124)</f>
        <v/>
      </c>
      <c r="J124" s="4">
        <f>IF(OR(G124="",I124=""),"",G124-I124)</f>
        <v/>
      </c>
      <c r="K124" s="3" t="inlineStr">
        <is>
          <t>أصناف من إذن الصرف المرسل (RAW OUT#65/#90) – السعر المسجل = سعر النظام التقريبي</t>
        </is>
      </c>
    </row>
    <row r="125">
      <c r="A125" s="4" t="n">
        <v>123</v>
      </c>
      <c r="B125" s="7" t="n">
        <v>46016</v>
      </c>
      <c r="C125" s="3" t="inlineStr">
        <is>
          <t>RNT-3346</t>
        </is>
      </c>
      <c r="D125" s="3" t="inlineStr">
        <is>
          <t>كلانشو هولندي مركن 12</t>
        </is>
      </c>
      <c r="E125" s="4" t="n">
        <v>300</v>
      </c>
      <c r="F125" s="4" t="n">
        <v>4</v>
      </c>
      <c r="G125" s="4">
        <f>IF(F125="","",E125*F125)</f>
        <v/>
      </c>
      <c r="H125" s="8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4">
        <f>IF(H125="","",E125*H125)</f>
        <v/>
      </c>
      <c r="J125" s="4">
        <f>IF(OR(G125="",I125=""),"",G125-I125)</f>
        <v/>
      </c>
      <c r="K125" s="3" t="inlineStr">
        <is>
          <t>أصناف من إذن الصرف المرسل (RAW OUT#65/#90) – السعر المسجل = سعر النظام التقريبي</t>
        </is>
      </c>
    </row>
    <row r="126">
      <c r="A126" s="4" t="n">
        <v>124</v>
      </c>
      <c r="B126" s="7" t="n">
        <v>46016</v>
      </c>
      <c r="C126" s="3" t="inlineStr">
        <is>
          <t>RNT-3346</t>
        </is>
      </c>
      <c r="D126" s="3" t="inlineStr">
        <is>
          <t>زهور ملفوف مركن 9</t>
        </is>
      </c>
      <c r="E126" s="4" t="n">
        <v>500</v>
      </c>
      <c r="F126" s="4" t="n">
        <v>0.5</v>
      </c>
      <c r="G126" s="4">
        <f>IF(F126="","",E126*F126)</f>
        <v/>
      </c>
      <c r="H126" s="8">
        <f>IFERROR(IF(VLOOKUP("ملفوف مركن 9",'قائمة الأسعار الموحدة'!$B$3:$E$71,4,FALSE)="",F126,VLOOKUP("ملفوف مركن 9",'قائمة الأسعار الموحدة'!$B$3:$E$71,4,FALSE)),F126)</f>
        <v/>
      </c>
      <c r="I126" s="4">
        <f>IF(H126="","",E126*H126)</f>
        <v/>
      </c>
      <c r="J126" s="4">
        <f>IF(OR(G126="",I126=""),"",G126-I126)</f>
        <v/>
      </c>
      <c r="K126" s="3" t="inlineStr">
        <is>
          <t>أصناف من إذن الصرف المرسل (RAW OUT#65/#90) – السعر المسجل = سعر النظام التقريبي</t>
        </is>
      </c>
    </row>
    <row r="127">
      <c r="A127" s="4" t="n">
        <v>125</v>
      </c>
      <c r="B127" s="7" t="n">
        <v>45873</v>
      </c>
      <c r="C127" s="3" t="inlineStr">
        <is>
          <t>RNP-1787</t>
        </is>
      </c>
      <c r="D127" s="3" t="inlineStr">
        <is>
          <t>زهور فينكا</t>
        </is>
      </c>
      <c r="E127" s="4" t="n">
        <v>33000</v>
      </c>
      <c r="F127" s="4" t="n">
        <v>0.55</v>
      </c>
      <c r="G127" s="4">
        <f>IF(F127="","",E127*F127)</f>
        <v/>
      </c>
      <c r="H127" s="4">
        <f>IFERROR(IF(VLOOKUP("فينكا",'قائمة الأسعار الموحدة'!$B$3:$E$71,4,FALSE)="",F127,VLOOKUP("فينكا",'قائمة الأسعار الموحدة'!$B$3:$E$71,4,FALSE)),F127)</f>
        <v/>
      </c>
      <c r="I127" s="4">
        <f>IF(H127="","",E127*H127)</f>
        <v/>
      </c>
      <c r="J127" s="4">
        <f>IF(OR(G127="",I127=""),"",G127-I127)</f>
        <v/>
      </c>
      <c r="K127" s="3" t="inlineStr">
        <is>
          <t>مسحوبات لنسما (تأكيدك) – 33,000 فينكا، قيمة النظام 18,150 قبل الضريبة</t>
        </is>
      </c>
    </row>
    <row r="128">
      <c r="A128" s="4" t="n">
        <v>126</v>
      </c>
      <c r="B128" s="7" t="n">
        <v>45926</v>
      </c>
      <c r="C128" s="3" t="inlineStr">
        <is>
          <t>RNP-2293</t>
        </is>
      </c>
      <c r="D128" s="3" t="inlineStr">
        <is>
          <t>زهور فينكا</t>
        </is>
      </c>
      <c r="E128" s="4" t="n">
        <v>40000</v>
      </c>
      <c r="F128" s="4" t="n">
        <v>0.55</v>
      </c>
      <c r="G128" s="4">
        <f>IF(F128="","",E128*F128)</f>
        <v/>
      </c>
      <c r="H128" s="4">
        <f>IFERROR(IF(VLOOKUP("فينكا",'قائمة الأسعار الموحدة'!$B$3:$E$71,4,FALSE)="",F128,VLOOKUP("فينكا",'قائمة الأسعار الموحدة'!$B$3:$E$71,4,FALSE)),F128)</f>
        <v/>
      </c>
      <c r="I128" s="4">
        <f>IF(H128="","",E128*H128)</f>
        <v/>
      </c>
      <c r="J128" s="4">
        <f>IF(OR(G128="",I128=""),"",G128-I128)</f>
        <v/>
      </c>
      <c r="K128" s="3" t="inlineStr">
        <is>
          <t>حسب إفادتك – 40,000 فينكا، مطابق لقيمة النظام 22,000 قبل الضريبة</t>
        </is>
      </c>
    </row>
    <row r="129">
      <c r="A129" s="4" t="n">
        <v>127</v>
      </c>
      <c r="B129" s="7" t="n">
        <v>45938</v>
      </c>
      <c r="C129" s="3" t="inlineStr">
        <is>
          <t>RNP-2427</t>
        </is>
      </c>
      <c r="D129" s="3" t="inlineStr">
        <is>
          <t>زهور بيتونيا</t>
        </is>
      </c>
      <c r="E129" s="4" t="n">
        <v>11000</v>
      </c>
      <c r="F129" s="4" t="n">
        <v>0.55</v>
      </c>
      <c r="G129" s="4">
        <f>IF(F129="","",E129*F129)</f>
        <v/>
      </c>
      <c r="H129" s="4">
        <f>IFERROR(IF(VLOOKUP("بيتونيا",'قائمة الأسعار الموحدة'!$B$3:$E$71,4,FALSE)="",F129,VLOOKUP("بيتونيا",'قائمة الأسعار الموحدة'!$B$3:$E$71,4,FALSE)),F129)</f>
        <v/>
      </c>
      <c r="I129" s="4">
        <f>IF(H129="","",E129*H129)</f>
        <v/>
      </c>
      <c r="J129" s="4">
        <f>IF(OR(G129="",I129=""),"",G129-I129)</f>
        <v/>
      </c>
      <c r="K129" s="3" t="inlineStr">
        <is>
          <t>حسب إفادتك – 11,000 بيتونيا (قيمة النظام 6,155 قبل الضريبة – فرق 105 عن 0.55)</t>
        </is>
      </c>
    </row>
    <row r="130">
      <c r="A130" s="4" t="n">
        <v>128</v>
      </c>
      <c r="B130" s="7" t="n">
        <v>45909</v>
      </c>
      <c r="C130" s="3" t="inlineStr">
        <is>
          <t>RNT-2141</t>
        </is>
      </c>
      <c r="D130" s="3" t="inlineStr">
        <is>
          <t>مركن 16 سم</t>
        </is>
      </c>
      <c r="E130" s="4" t="n">
        <v>15000</v>
      </c>
      <c r="F130" s="4" t="n">
        <v>0.5</v>
      </c>
      <c r="G130" s="4">
        <f>IF(F130="","",E130*F130)</f>
        <v/>
      </c>
      <c r="H130" s="8">
        <f>IFERROR(IF(VLOOKUP("مركن 16",'قائمة الأسعار الموحدة'!$B$3:$E$71,4,FALSE)="",F130,VLOOKUP("مركن 16",'قائمة الأسعار الموحدة'!$B$3:$E$71,4,FALSE)),F130)</f>
        <v/>
      </c>
      <c r="I130" s="4">
        <f>IF(H130="","",E130*H130)</f>
        <v/>
      </c>
      <c r="J130" s="4">
        <f>IF(OR(G130="",I130=""),"",G130-I130)</f>
        <v/>
      </c>
      <c r="K130" s="3" t="inlineStr">
        <is>
          <t>أصناف حسب إفادتك – مطابق لقيمة النظام 7,700 قبل الضريبة</t>
        </is>
      </c>
    </row>
    <row r="131">
      <c r="A131" s="4" t="n">
        <v>129</v>
      </c>
      <c r="B131" s="7" t="n">
        <v>45909</v>
      </c>
      <c r="C131" s="3" t="inlineStr">
        <is>
          <t>RNT-2141</t>
        </is>
      </c>
      <c r="D131" s="3" t="inlineStr">
        <is>
          <t>كمبوست 10 ك</t>
        </is>
      </c>
      <c r="E131" s="4" t="n">
        <v>100</v>
      </c>
      <c r="F131" s="4" t="n">
        <v>2</v>
      </c>
      <c r="G131" s="4">
        <f>IF(F131="","",E131*F131)</f>
        <v/>
      </c>
      <c r="H131" s="8">
        <f>IFERROR(IF(VLOOKUP("كمبوست 10 ك",'قائمة الأسعار الموحدة'!$B$3:$E$71,4,FALSE)="",F131,VLOOKUP("كمبوست 10 ك",'قائمة الأسعار الموحدة'!$B$3:$E$71,4,FALSE)),F131)</f>
        <v/>
      </c>
      <c r="I131" s="4">
        <f>IF(H131="","",E131*H131)</f>
        <v/>
      </c>
      <c r="J131" s="4">
        <f>IF(OR(G131="",I131=""),"",G131-I131)</f>
        <v/>
      </c>
      <c r="K131" s="3" t="inlineStr">
        <is>
          <t>أصناف حسب إفادتك – مطابق لقيمة النظام 7,700 قبل الضريبة</t>
        </is>
      </c>
    </row>
    <row r="132">
      <c r="A132" s="4" t="n">
        <v>130</v>
      </c>
      <c r="B132" s="7" t="n">
        <v>46163</v>
      </c>
      <c r="C132" s="3" t="inlineStr">
        <is>
          <t>طلب 58991 (#299/#301)</t>
        </is>
      </c>
      <c r="D132" s="3" t="inlineStr">
        <is>
          <t>زهور فينكا روزا</t>
        </is>
      </c>
      <c r="E132" s="4" t="n">
        <v>-17900</v>
      </c>
      <c r="F132" s="4" t="n">
        <v>0.5</v>
      </c>
      <c r="G132" s="4">
        <f>IF(F132="","",E132*F132)</f>
        <v/>
      </c>
      <c r="H132" s="4">
        <f>IFERROR(IF(VLOOKUP("فينكا روزا",'قائمة الأسعار الموحدة'!$B$3:$E$71,4,FALSE)="",F132,VLOOKUP("فينكا روزا",'قائمة الأسعار الموحدة'!$B$3:$E$71,4,FALSE)),F132)</f>
        <v/>
      </c>
      <c r="I132" s="4">
        <f>IF(H132="","",E132*H132)</f>
        <v/>
      </c>
      <c r="J132" s="4">
        <f>IF(OR(G132="",I132=""),"",G132-I132)</f>
        <v/>
      </c>
      <c r="K132" s="3" t="inlineStr">
        <is>
          <t>خصم كمية مرفوضة/مفقودة مع المناديب (حسب قرارك)</t>
        </is>
      </c>
    </row>
    <row r="133">
      <c r="A133" s="9" t="n"/>
      <c r="B133" s="9" t="n"/>
      <c r="C133" s="9" t="n"/>
      <c r="D133" s="10" t="inlineStr">
        <is>
          <t>الإجمالي</t>
        </is>
      </c>
      <c r="E133" s="11">
        <f>SUM(E3:E132)</f>
        <v/>
      </c>
      <c r="F133" s="9" t="n"/>
      <c r="G133" s="11">
        <f>SUM(G3:G132)</f>
        <v/>
      </c>
      <c r="H133" s="9" t="n"/>
      <c r="I133" s="11">
        <f>SUM(I3:I132)</f>
        <v/>
      </c>
      <c r="J133" s="11">
        <f>SUM(J3:J132)</f>
        <v/>
      </c>
      <c r="K133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الموحدة'!$B$3:$E$71,4,FALSE)="",F9,VLOOKUP("جهنميه بلدي 50",'قائمة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الموحدة'!$B$3:$E$71,4,FALSE)="",F10,VLOOKUP("وايتكس 50",'قائمة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الموحدة'!$B$3:$E$71,4,FALSE)="",F13,VLOOKUP("رويليا",'قائمة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الموحدة'!$B$3:$E$71,4,FALSE)="",F14,VLOOKUP("بيتونيا",'قائمة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الموحدة'!$B$3:$E$71,4,FALSE)="",F15,VLOOKUP("اليسوم",'قائمة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الموحدة'!$B$3:$E$71,4,FALSE)="",F18,VLOOKUP("تيكوماريا 50",'قائمة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الموحدة'!$B$3:$E$71,4,FALSE)="",F19,VLOOKUP("اكاليفا",'قائمة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الموحدة'!$B$3:$E$71,4,FALSE)="",F24,VLOOKUP("رويليا",'قائمة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الموحدة'!$B$3:$E$71,4,FALSE)="",F25,VLOOKUP("تيكوماريا 50",'قائمة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الموحدة'!$B$3:$E$71,4,FALSE)="",F26,VLOOKUP("فل بلدي",'قائمة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الموحدة'!$B$3:$E$71,4,FALSE)="",F27,VLOOKUP("ياسمين ازرق",'قائمة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الموحدة'!$B$3:$E$71,4,FALSE)="",F29,VLOOKUP("بيتونيا",'قائمة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الموحدة'!$B$3:$E$71,4,FALSE)="",F5,VLOOKUP("فينكا احمر",'قائمة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الموحدة'!$B$3:$E$71,4,FALSE)="",F6,VLOOKUP("فينكا ازرق",'قائمة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الموحدة'!$B$3:$E$71,4,FALSE)="",F7,VLOOKUP("فينكا ابيض",'قائمة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الموحدة'!$B$3:$E$71,4,FALSE)="",F8,VLOOKUP("فينكا مشمشي",'قائمة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الموحدة'!$B$3:$E$71,4,FALSE)="",F9,VLOOKUP("فينكا احمر",'قائمة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الموحدة'!$B$3:$E$71,4,FALSE)="",F10,VLOOKUP("فينكا ابيض",'قائمة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الموحدة'!$B$3:$E$71,4,FALSE)="",F11,VLOOKUP("موسميه",'قائمة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الموحدة'!$B$3:$E$71,4,FALSE)="",F12,VLOOKUP("موسميه",'قائمة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الموحدة'!$B$3:$E$71,4,FALSE)="",F13,VLOOKUP("موسميه",'قائمة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7" t="n">
        <v>45887</v>
      </c>
      <c r="E3" s="3" t="inlineStr">
        <is>
          <t>TRANSACTIONS BETWEEN RIYADH-TABUK</t>
        </is>
      </c>
      <c r="F3" s="4" t="n">
        <v>7475</v>
      </c>
      <c r="G3" s="4">
        <f>ROUND(F3/1.15,2)</f>
        <v/>
      </c>
      <c r="H3" s="3" t="inlineStr">
        <is>
          <t>غير مدرج بشيت المحاسب – أرسل الأصناف للتسعير الموحد</t>
        </is>
      </c>
    </row>
    <row r="4">
      <c r="E4" s="12" t="inlineStr">
        <is>
          <t>الإجمالي</t>
        </is>
      </c>
      <c r="F4" s="4">
        <f>SUM(F3:F3)</f>
        <v/>
      </c>
      <c r="G4" s="4">
        <f>SUM(G3:G3)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2026-09-28T17:26:12Z</dcterms:created>
  <dcterms:modified xsi:type="dcterms:W3CDTF">2026-09-28T17:26:12Z</dcterms:modified>
</cp:coreProperties>
</file>