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سجل العقود" sheetId="2" state="visible" r:id="rId2"/>
    <sheet name="تفصيل البنود" sheetId="3" state="visible" r:id="rId3"/>
    <sheet name="الكميات حسب الصنف" sheetId="4" state="visible" r:id="rId4"/>
  </sheets>
  <definedNames>
    <definedName name="_xlnm._FilterDatabase" localSheetId="1" hidden="1">'سجل العقود'!$A$1:$K$255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#,##0.##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2" fillId="6" borderId="1" pivotButton="0" quotePrefix="0" xfId="0"/>
    <xf numFmtId="4" fontId="2" fillId="6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4" fontId="0" fillId="5" borderId="1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164" fontId="0" fillId="5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3" customWidth="1" min="3" max="3"/>
    <col width="18" customWidth="1" min="4" max="4"/>
    <col width="13" customWidth="1" min="5" max="5"/>
    <col width="18" customWidth="1" min="6" max="6"/>
    <col width="11" customWidth="1" min="7" max="7"/>
    <col width="18" customWidth="1" min="8" max="8"/>
    <col width="13" customWidth="1" min="9" max="9"/>
    <col width="18" customWidth="1" min="10" max="10"/>
  </cols>
  <sheetData>
    <row r="1">
      <c r="A1" s="1" t="inlineStr">
        <is>
          <t>ملخص حركات المواد – مزرعة الرياض</t>
        </is>
      </c>
    </row>
    <row r="2">
      <c r="A2" t="inlineStr">
        <is>
          <t>الفترة الكاملة: من 30-7-2025 إلى 31-7-2026 – سجل الحركات (النظام القديم) + النظام الجديد (يونيو–يوليو 2026) بعد المراجعة مع السندات وملف التفصيل.</t>
        </is>
      </c>
    </row>
    <row r="4" ht="40" customHeight="1">
      <c r="A4" s="2" t="inlineStr">
        <is>
          <t>الرمز</t>
        </is>
      </c>
      <c r="B4" s="2" t="inlineStr">
        <is>
          <t>نوع الحركة</t>
        </is>
      </c>
      <c r="C4" s="2" t="inlineStr">
        <is>
          <t>عدد – النظام القديم</t>
        </is>
      </c>
      <c r="D4" s="2" t="inlineStr">
        <is>
          <t>قيمة النظام القديم</t>
        </is>
      </c>
      <c r="E4" s="2" t="inlineStr">
        <is>
          <t>عدد – النظام الجديد</t>
        </is>
      </c>
      <c r="F4" s="2" t="inlineStr">
        <is>
          <t>قيمة النظام الجديد</t>
        </is>
      </c>
      <c r="G4" s="2" t="inlineStr">
        <is>
          <t>إجمالي العدد</t>
        </is>
      </c>
      <c r="H4" s="2" t="inlineStr">
        <is>
          <t>الإجمالي للفترة</t>
        </is>
      </c>
      <c r="I4" s="2" t="inlineStr">
        <is>
          <t>عقود بتفصيل بنود</t>
        </is>
      </c>
      <c r="J4" s="2" t="inlineStr">
        <is>
          <t>قيمة العقود المفصّلة</t>
        </is>
      </c>
    </row>
    <row r="5">
      <c r="A5" s="3" t="inlineStr">
        <is>
          <t>TNR</t>
        </is>
      </c>
      <c r="B5" s="3" t="inlineStr">
        <is>
          <t>ترحيل من تبوك إلى الرياض</t>
        </is>
      </c>
      <c r="C5" s="3">
        <f>COUNTIFS('سجل العقود'!B2:B255,"TNR",'سجل العقود'!I2:I255,"النظام القديم",'سجل العقود'!J2:J255,"نعم")</f>
        <v/>
      </c>
      <c r="D5" s="4">
        <f>SUMIFS('سجل العقود'!H2:H255,'سجل العقود'!B2:B255,"TNR",'سجل العقود'!I2:I255,"النظام القديم",'سجل العقود'!J2:J255,"نعم")</f>
        <v/>
      </c>
      <c r="E5" s="3">
        <f>COUNTIFS('سجل العقود'!B2:B255,"TNR",'سجل العقود'!I2:I255,"النظام الجديد",'سجل العقود'!J2:J255,"نعم")</f>
        <v/>
      </c>
      <c r="F5" s="4">
        <f>SUMIFS('سجل العقود'!H2:H255,'سجل العقود'!B2:B255,"TNR",'سجل العقود'!I2:I255,"النظام الجديد",'سجل العقود'!J2:J255,"نعم")</f>
        <v/>
      </c>
      <c r="G5" s="3">
        <f>C5+E5</f>
        <v/>
      </c>
      <c r="H5" s="4">
        <f>D5+F5</f>
        <v/>
      </c>
      <c r="I5" s="3" t="n">
        <v>3</v>
      </c>
      <c r="J5" s="4" t="n">
        <v>16660.63</v>
      </c>
    </row>
    <row r="6">
      <c r="A6" s="3" t="inlineStr">
        <is>
          <t>RNT</t>
        </is>
      </c>
      <c r="B6" s="3" t="inlineStr">
        <is>
          <t>ترحيل من الرياض إلى تبوك</t>
        </is>
      </c>
      <c r="C6" s="3">
        <f>COUNTIFS('سجل العقود'!B2:B255,"RNT",'سجل العقود'!I2:I255,"النظام القديم",'سجل العقود'!J2:J255,"نعم")</f>
        <v/>
      </c>
      <c r="D6" s="4">
        <f>SUMIFS('سجل العقود'!H2:H255,'سجل العقود'!B2:B255,"RNT",'سجل العقود'!I2:I255,"النظام القديم",'سجل العقود'!J2:J255,"نعم")</f>
        <v/>
      </c>
      <c r="E6" s="3">
        <f>COUNTIFS('سجل العقود'!B2:B255,"RNT",'سجل العقود'!I2:I255,"النظام الجديد",'سجل العقود'!J2:J255,"نعم")</f>
        <v/>
      </c>
      <c r="F6" s="4">
        <f>SUMIFS('سجل العقود'!H2:H255,'سجل العقود'!B2:B255,"RNT",'سجل العقود'!I2:I255,"النظام الجديد",'سجل العقود'!J2:J255,"نعم")</f>
        <v/>
      </c>
      <c r="G6" s="3">
        <f>C6+E6</f>
        <v/>
      </c>
      <c r="H6" s="4">
        <f>D6+F6</f>
        <v/>
      </c>
      <c r="I6" s="3" t="n">
        <v>5</v>
      </c>
      <c r="J6" s="4" t="n">
        <v>46750.38</v>
      </c>
    </row>
    <row r="7">
      <c r="A7" s="3" t="inlineStr">
        <is>
          <t>RNP</t>
        </is>
      </c>
      <c r="B7" s="3" t="inlineStr">
        <is>
          <t>ترحيل إلى قسم المشاريع تبوك</t>
        </is>
      </c>
      <c r="C7" s="3">
        <f>COUNTIFS('سجل العقود'!B2:B255,"RNP",'سجل العقود'!I2:I255,"النظام القديم",'سجل العقود'!J2:J255,"نعم")</f>
        <v/>
      </c>
      <c r="D7" s="4">
        <f>SUMIFS('سجل العقود'!H2:H255,'سجل العقود'!B2:B255,"RNP",'سجل العقود'!I2:I255,"النظام القديم",'سجل العقود'!J2:J255,"نعم")</f>
        <v/>
      </c>
      <c r="E7" s="3">
        <f>COUNTIFS('سجل العقود'!B2:B255,"RNP",'سجل العقود'!I2:I255,"النظام الجديد",'سجل العقود'!J2:J255,"نعم")</f>
        <v/>
      </c>
      <c r="F7" s="4">
        <f>SUMIFS('سجل العقود'!H2:H255,'سجل العقود'!B2:B255,"RNP",'سجل العقود'!I2:I255,"النظام الجديد",'سجل العقود'!J2:J255,"نعم")</f>
        <v/>
      </c>
      <c r="G7" s="3">
        <f>C7+E7</f>
        <v/>
      </c>
      <c r="H7" s="4">
        <f>D7+F7</f>
        <v/>
      </c>
      <c r="I7" s="3" t="n">
        <v>25</v>
      </c>
      <c r="J7" s="4" t="n">
        <v>139835.86</v>
      </c>
    </row>
    <row r="8">
      <c r="A8" s="3" t="inlineStr">
        <is>
          <t>RNO</t>
        </is>
      </c>
      <c r="B8" s="3" t="inlineStr">
        <is>
          <t>صرف مواد للإنتاج – مزرعة الرياض</t>
        </is>
      </c>
      <c r="C8" s="3">
        <f>COUNTIFS('سجل العقود'!B2:B255,"RNO",'سجل العقود'!I2:I255,"النظام القديم",'سجل العقود'!J2:J255,"نعم")</f>
        <v/>
      </c>
      <c r="D8" s="4">
        <f>SUMIFS('سجل العقود'!H2:H255,'سجل العقود'!B2:B255,"RNO",'سجل العقود'!I2:I255,"النظام القديم",'سجل العقود'!J2:J255,"نعم")</f>
        <v/>
      </c>
      <c r="E8" s="3">
        <f>COUNTIFS('سجل العقود'!B2:B255,"RNO",'سجل العقود'!I2:I255,"النظام الجديد",'سجل العقود'!J2:J255,"نعم")</f>
        <v/>
      </c>
      <c r="F8" s="4">
        <f>SUMIFS('سجل العقود'!H2:H255,'سجل العقود'!B2:B255,"RNO",'سجل العقود'!I2:I255,"النظام الجديد",'سجل العقود'!J2:J255,"نعم")</f>
        <v/>
      </c>
      <c r="G8" s="3">
        <f>C8+E8</f>
        <v/>
      </c>
      <c r="H8" s="4">
        <f>D8+F8</f>
        <v/>
      </c>
      <c r="I8" s="3" t="n">
        <v>37</v>
      </c>
      <c r="J8" s="4" t="n">
        <v>169491.16</v>
      </c>
    </row>
    <row r="9">
      <c r="A9" s="3" t="inlineStr">
        <is>
          <t>RNL</t>
        </is>
      </c>
      <c r="B9" s="3" t="inlineStr">
        <is>
          <t>كميات هالكة ومفقودة</t>
        </is>
      </c>
      <c r="C9" s="3">
        <f>COUNTIFS('سجل العقود'!B2:B255,"RNL",'سجل العقود'!I2:I255,"النظام القديم",'سجل العقود'!J2:J255,"نعم")</f>
        <v/>
      </c>
      <c r="D9" s="4">
        <f>SUMIFS('سجل العقود'!H2:H255,'سجل العقود'!B2:B255,"RNL",'سجل العقود'!I2:I255,"النظام القديم",'سجل العقود'!J2:J255,"نعم")</f>
        <v/>
      </c>
      <c r="E9" s="3">
        <f>COUNTIFS('سجل العقود'!B2:B255,"RNL",'سجل العقود'!I2:I255,"النظام الجديد",'سجل العقود'!J2:J255,"نعم")</f>
        <v/>
      </c>
      <c r="F9" s="4">
        <f>SUMIFS('سجل العقود'!H2:H255,'سجل العقود'!B2:B255,"RNL",'سجل العقود'!I2:I255,"النظام الجديد",'سجل العقود'!J2:J255,"نعم")</f>
        <v/>
      </c>
      <c r="G9" s="3">
        <f>C9+E9</f>
        <v/>
      </c>
      <c r="H9" s="4">
        <f>D9+F9</f>
        <v/>
      </c>
      <c r="I9" s="3" t="n">
        <v>20</v>
      </c>
      <c r="J9" s="4" t="n">
        <v>42103.69</v>
      </c>
    </row>
    <row r="10">
      <c r="A10" s="5" t="inlineStr"/>
      <c r="B10" s="5" t="inlineStr">
        <is>
          <t>الإجمالي</t>
        </is>
      </c>
      <c r="C10" s="5">
        <f>SUM(C5:C9)</f>
        <v/>
      </c>
      <c r="D10" s="6">
        <f>SUM(D5:D9)</f>
        <v/>
      </c>
      <c r="E10" s="5">
        <f>SUM(E5:E9)</f>
        <v/>
      </c>
      <c r="F10" s="6">
        <f>SUM(F5:F9)</f>
        <v/>
      </c>
      <c r="G10" s="5">
        <f>SUM(G5:G9)</f>
        <v/>
      </c>
      <c r="H10" s="6">
        <f>SUM(H5:H9)</f>
        <v/>
      </c>
      <c r="I10" s="5">
        <f>SUM(I5:I9)</f>
        <v/>
      </c>
      <c r="J10" s="6">
        <f>SUM(J5:J9)</f>
        <v/>
      </c>
    </row>
    <row r="11" ht="34" customHeight="1">
      <c r="A11" s="18" t="inlineStr"/>
    </row>
    <row r="12" ht="34" customHeight="1">
      <c r="A12" s="19" t="inlineStr">
        <is>
          <t>ملاحظات المراجعة:</t>
        </is>
      </c>
    </row>
    <row r="13" ht="34" customHeight="1">
      <c r="A13" s="18" t="inlineStr">
        <is>
          <t>1) مراجعة السندات: ملف تفصيل النظام الجديد فيه 50 سنداً. سندات الصرف للإنتاج RNO (20) والهالك RNL (12) مطابقة تماماً للأرشيف في العدد والقيمة وعدد البنود.</t>
        </is>
      </c>
    </row>
    <row r="14" ht="34" customHeight="1">
      <c r="A14" s="18" t="inlineStr">
        <is>
          <t>2) ⚠ ترحيلات المشاريع RNP في الأرشيف كانت سندين فقط، بينما ملف التفصيل فيه 18 سنداً – أُضيف 17 سنداً ناقصاً بقيمة 75,138.00 (من ISV-0004 إلى ISV-0128). السند ISV-0075 (4-7-2026 بقيمة 2,750) موجود بالأرشيف فقط بدون تفصيل.</t>
        </is>
      </c>
    </row>
    <row r="15" ht="34" customHeight="1">
      <c r="A15" s="18" t="inlineStr">
        <is>
          <t>3) ⚠ مرجع الطلب NS-REQ-008 مستخدم في سندين: ISV-0011 (14-6 بقيمة 1,100) و ISV-0016 (17-6 بقيمة 825) – يلزم التأكد أنهما صرفان مختلفان.</t>
        </is>
      </c>
    </row>
    <row r="16" ht="34" customHeight="1">
      <c r="A16" s="18" t="inlineStr">
        <is>
          <t>4) ⚠ سندات التحويل TRF: قيم الأرشيف تختلف عن السندات الأصلية، وتم اعتماد السند: TRF-0107 (أرشيف 32,149.00 / سند 28,146.25)، TRF-0122 (7,080.00 / 7,038.00)، TRF-0120 (7,375.00 / 7,331.25)، TRF-0188 (937.50 / 934.38).</t>
        </is>
      </c>
    </row>
    <row r="17" ht="34" customHeight="1">
      <c r="A17" s="18" t="inlineStr">
        <is>
          <t>5) صنف سيسبانيا OD373: خرج 250 من الرياض لتبوك (TRF-0107 في 11-7)، ثم رجع 250 من تبوك للرياض (TRF-0120 في 14-7 الساعة 9:35)، ثم خرج 240 مرة أخرى لتبوك (TRF-0122 في 14-7 الساعة 9:52) مع مرتجع 10 حبات مكسورة. الصافي المحوّل لتبوك 240 حبة – يلزم التأكد أن التحويل الأول لم يُلغَ.</t>
        </is>
      </c>
    </row>
    <row r="18" ht="34" customHeight="1">
      <c r="A18" s="18" t="inlineStr">
        <is>
          <t>6) السند TRF-0107 تاريخه على السند 2026-11-07 وهو 11-7-2026 (مقلوب).</t>
        </is>
      </c>
    </row>
    <row r="19" ht="34" customHeight="1">
      <c r="A19" s="18" t="inlineStr">
        <is>
          <t>7) سجل الحركات (النظام القديم) ينتهي عند 22-2-2026 والنظام الجديد يبدأ 13-6-2026 – لا توجد حركات من 23-2-2026 إلى 12-6-2026.</t>
        </is>
      </c>
    </row>
    <row r="20" ht="34" customHeight="1">
      <c r="A20" s="18" t="inlineStr">
        <is>
          <t>8) العقد RNO-3832 (13-2-2026): مجموع البنود 5,274.48 وإجمالي العقد 5,550.48 – فرق 276.00.</t>
        </is>
      </c>
    </row>
    <row r="21" ht="34" customHeight="1">
      <c r="A21" s="18" t="inlineStr">
        <is>
          <t>9) رقم العقد RNP-1787 مكرر لحركتين (25-7-2025 بقيمة 18,975 قبل الفترة، و 4-8-2025 بقيمة 20,872.50). وحركات قبل 30-7-2025 غير محسوبة (بالرمادي).</t>
        </is>
      </c>
    </row>
    <row r="22" ht="34" customHeight="1">
      <c r="A22" s="18" t="inlineStr">
        <is>
          <t>10) السند ISV-0061 حالته مرتجع جزئي ولا يوضح النظام الكمية المرتجعة.</t>
        </is>
      </c>
    </row>
  </sheetData>
  <mergeCells count="14">
    <mergeCell ref="A1:J1"/>
    <mergeCell ref="A14:J14"/>
    <mergeCell ref="A22:J22"/>
    <mergeCell ref="A16:J16"/>
    <mergeCell ref="A17:J17"/>
    <mergeCell ref="A18:J18"/>
    <mergeCell ref="A21:J21"/>
    <mergeCell ref="A12:J12"/>
    <mergeCell ref="A15:J15"/>
    <mergeCell ref="A19:J19"/>
    <mergeCell ref="A20:J20"/>
    <mergeCell ref="A2:J2"/>
    <mergeCell ref="A13:J13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8" customWidth="1" min="3" max="3"/>
    <col width="14" customWidth="1" min="4" max="4"/>
    <col width="12" customWidth="1" min="5" max="5"/>
    <col width="30" customWidth="1" min="6" max="6"/>
    <col width="9" customWidth="1" min="7" max="7"/>
    <col width="16" customWidth="1" min="8" max="8"/>
    <col width="14" customWidth="1" min="9" max="9"/>
    <col width="11" customWidth="1" min="10" max="10"/>
    <col width="90" customWidth="1" min="11" max="11"/>
  </cols>
  <sheetData>
    <row r="1">
      <c r="A1" s="2" t="inlineStr">
        <is>
          <t>م</t>
        </is>
      </c>
      <c r="B1" s="2" t="inlineStr">
        <is>
          <t>نوع الحركة</t>
        </is>
      </c>
      <c r="C1" s="2" t="inlineStr">
        <is>
          <t>البيان</t>
        </is>
      </c>
      <c r="D1" s="2" t="inlineStr">
        <is>
          <t>رقم العقد / السند</t>
        </is>
      </c>
      <c r="E1" s="2" t="inlineStr">
        <is>
          <t>التاريخ</t>
        </is>
      </c>
      <c r="F1" s="2" t="inlineStr">
        <is>
          <t>الجهة / المرجع</t>
        </is>
      </c>
      <c r="G1" s="2" t="inlineStr">
        <is>
          <t>عدد البنود</t>
        </is>
      </c>
      <c r="H1" s="2" t="inlineStr">
        <is>
          <t>القيمة</t>
        </is>
      </c>
      <c r="I1" s="2" t="inlineStr">
        <is>
          <t>المصدر</t>
        </is>
      </c>
      <c r="J1" s="2" t="inlineStr">
        <is>
          <t>محسوب بالفترة</t>
        </is>
      </c>
      <c r="K1" s="2" t="inlineStr">
        <is>
          <t>ملاحظة</t>
        </is>
      </c>
    </row>
    <row r="2">
      <c r="A2" s="3" t="n">
        <v>1</v>
      </c>
      <c r="B2" s="3" t="inlineStr">
        <is>
          <t>TNR</t>
        </is>
      </c>
      <c r="C2" s="3" t="inlineStr">
        <is>
          <t>ترحيل من تبوك إلى الرياض</t>
        </is>
      </c>
      <c r="D2" s="3" t="inlineStr">
        <is>
          <t>TNR-1867</t>
        </is>
      </c>
      <c r="E2" s="20" t="n">
        <v>45874</v>
      </c>
      <c r="F2" s="3" t="inlineStr">
        <is>
          <t>TRANSACTIONS BETWEEN RIYADH -TABUK NURSERY</t>
        </is>
      </c>
      <c r="G2" s="3" t="n"/>
      <c r="H2" s="4" t="n">
        <v>12165.28</v>
      </c>
      <c r="I2" s="3" t="inlineStr">
        <is>
          <t>النظام القديم</t>
        </is>
      </c>
      <c r="J2" s="3" t="inlineStr">
        <is>
          <t>نعم</t>
        </is>
      </c>
      <c r="K2" s="3" t="inlineStr">
        <is>
          <t>بدون تفصيل بنود في السجل</t>
        </is>
      </c>
    </row>
    <row r="3">
      <c r="A3" s="3" t="n">
        <v>2</v>
      </c>
      <c r="B3" s="3" t="inlineStr">
        <is>
          <t>TNR</t>
        </is>
      </c>
      <c r="C3" s="3" t="inlineStr">
        <is>
          <t>ترحيل من تبوك إلى الرياض</t>
        </is>
      </c>
      <c r="D3" s="3" t="inlineStr">
        <is>
          <t>TNR-2689</t>
        </is>
      </c>
      <c r="E3" s="20" t="n">
        <v>45959</v>
      </c>
      <c r="F3" s="3" t="inlineStr">
        <is>
          <t>WHOLESALE DEPARTMENT TABUK NURSERY</t>
        </is>
      </c>
      <c r="G3" s="3" t="n"/>
      <c r="H3" s="4" t="n">
        <v>22137.5</v>
      </c>
      <c r="I3" s="3" t="inlineStr">
        <is>
          <t>النظام القديم</t>
        </is>
      </c>
      <c r="J3" s="3" t="inlineStr">
        <is>
          <t>نعم</t>
        </is>
      </c>
      <c r="K3" s="3" t="inlineStr">
        <is>
          <t>بدون تفصيل بنود في السجل</t>
        </is>
      </c>
    </row>
    <row r="4">
      <c r="A4" s="3" t="n">
        <v>3</v>
      </c>
      <c r="B4" s="3" t="inlineStr">
        <is>
          <t>TNR</t>
        </is>
      </c>
      <c r="C4" s="3" t="inlineStr">
        <is>
          <t>ترحيل من تبوك إلى الرياض</t>
        </is>
      </c>
      <c r="D4" s="3" t="inlineStr">
        <is>
          <t>TNR-2792</t>
        </is>
      </c>
      <c r="E4" s="20" t="n">
        <v>45967</v>
      </c>
      <c r="F4" s="3" t="inlineStr">
        <is>
          <t>TRANSACTIONS BETWEEN RIYADH -TABUK NURSERY</t>
        </is>
      </c>
      <c r="G4" s="3" t="n"/>
      <c r="H4" s="4" t="n">
        <v>6828.13</v>
      </c>
      <c r="I4" s="3" t="inlineStr">
        <is>
          <t>النظام القديم</t>
        </is>
      </c>
      <c r="J4" s="3" t="inlineStr">
        <is>
          <t>نعم</t>
        </is>
      </c>
      <c r="K4" s="3" t="inlineStr">
        <is>
          <t>بدون تفصيل بنود في السجل</t>
        </is>
      </c>
    </row>
    <row r="5">
      <c r="A5" s="3" t="n">
        <v>4</v>
      </c>
      <c r="B5" s="3" t="inlineStr">
        <is>
          <t>TNR</t>
        </is>
      </c>
      <c r="C5" s="3" t="inlineStr">
        <is>
          <t>ترحيل من تبوك إلى الرياض</t>
        </is>
      </c>
      <c r="D5" s="3" t="inlineStr">
        <is>
          <t>TNR-2888</t>
        </is>
      </c>
      <c r="E5" s="20" t="n">
        <v>45976</v>
      </c>
      <c r="F5" s="3" t="inlineStr">
        <is>
          <t>WHOLESALE DEPARTMENT TABUK NURSERY</t>
        </is>
      </c>
      <c r="G5" s="3" t="n"/>
      <c r="H5" s="4" t="n">
        <v>23797.81</v>
      </c>
      <c r="I5" s="3" t="inlineStr">
        <is>
          <t>النظام القديم</t>
        </is>
      </c>
      <c r="J5" s="3" t="inlineStr">
        <is>
          <t>نعم</t>
        </is>
      </c>
      <c r="K5" s="3" t="inlineStr">
        <is>
          <t>بدون تفصيل بنود في السجل</t>
        </is>
      </c>
    </row>
    <row r="6">
      <c r="A6" s="3" t="n">
        <v>5</v>
      </c>
      <c r="B6" s="3" t="inlineStr">
        <is>
          <t>TNR</t>
        </is>
      </c>
      <c r="C6" s="3" t="inlineStr">
        <is>
          <t>ترحيل من تبوك إلى الرياض</t>
        </is>
      </c>
      <c r="D6" s="3" t="inlineStr">
        <is>
          <t>TNR-2938</t>
        </is>
      </c>
      <c r="E6" s="20" t="n">
        <v>45980</v>
      </c>
      <c r="F6" s="3" t="inlineStr">
        <is>
          <t>TRANSACTIONS BETWEEN RIYADH -TABUK NURSERY</t>
        </is>
      </c>
      <c r="G6" s="3" t="n"/>
      <c r="H6" s="4" t="n">
        <v>5724.13</v>
      </c>
      <c r="I6" s="3" t="inlineStr">
        <is>
          <t>النظام القديم</t>
        </is>
      </c>
      <c r="J6" s="3" t="inlineStr">
        <is>
          <t>نعم</t>
        </is>
      </c>
      <c r="K6" s="3" t="inlineStr">
        <is>
          <t>بدون تفصيل بنود في السجل</t>
        </is>
      </c>
    </row>
    <row r="7">
      <c r="A7" s="3" t="n">
        <v>6</v>
      </c>
      <c r="B7" s="3" t="inlineStr">
        <is>
          <t>TNR</t>
        </is>
      </c>
      <c r="C7" s="3" t="inlineStr">
        <is>
          <t>ترحيل من تبوك إلى الرياض</t>
        </is>
      </c>
      <c r="D7" s="3" t="inlineStr">
        <is>
          <t>TNR-3201</t>
        </is>
      </c>
      <c r="E7" s="20" t="n">
        <v>46001</v>
      </c>
      <c r="F7" s="3" t="inlineStr">
        <is>
          <t>TRANSACTIONS BETWEEN RIYADH -TABUK NURSERY</t>
        </is>
      </c>
      <c r="G7" s="3" t="n"/>
      <c r="H7" s="4" t="n">
        <v>4232</v>
      </c>
      <c r="I7" s="3" t="inlineStr">
        <is>
          <t>النظام القديم</t>
        </is>
      </c>
      <c r="J7" s="3" t="inlineStr">
        <is>
          <t>نعم</t>
        </is>
      </c>
      <c r="K7" s="3" t="inlineStr">
        <is>
          <t>بدون تفصيل بنود في السجل</t>
        </is>
      </c>
    </row>
    <row r="8">
      <c r="A8" s="3" t="n">
        <v>7</v>
      </c>
      <c r="B8" s="3" t="inlineStr">
        <is>
          <t>TNR</t>
        </is>
      </c>
      <c r="C8" s="3" t="inlineStr">
        <is>
          <t>ترحيل من تبوك إلى الرياض</t>
        </is>
      </c>
      <c r="D8" s="3" t="inlineStr">
        <is>
          <t>TNR-3441</t>
        </is>
      </c>
      <c r="E8" s="20" t="n">
        <v>46023</v>
      </c>
      <c r="F8" s="3" t="inlineStr">
        <is>
          <t>TRANSACTIONS BETWEEN RIYADH - TABUK NURSERY</t>
        </is>
      </c>
      <c r="G8" s="3" t="n">
        <v>4</v>
      </c>
      <c r="H8" s="4" t="n">
        <v>8395</v>
      </c>
      <c r="I8" s="3" t="inlineStr">
        <is>
          <t>النظام القديم</t>
        </is>
      </c>
      <c r="J8" s="3" t="inlineStr">
        <is>
          <t>نعم</t>
        </is>
      </c>
      <c r="K8" s="3" t="inlineStr"/>
    </row>
    <row r="9">
      <c r="A9" s="8" t="n">
        <v>8</v>
      </c>
      <c r="B9" s="8" t="inlineStr">
        <is>
          <t>TNR</t>
        </is>
      </c>
      <c r="C9" s="8" t="inlineStr">
        <is>
          <t>ترحيل من تبوك إلى الرياض</t>
        </is>
      </c>
      <c r="D9" s="8" t="inlineStr">
        <is>
          <t>TRF-0120</t>
        </is>
      </c>
      <c r="E9" s="21" t="n">
        <v>46217</v>
      </c>
      <c r="F9" s="8" t="inlineStr">
        <is>
          <t>تبوك ← الرياض</t>
        </is>
      </c>
      <c r="G9" s="8" t="n">
        <v>1</v>
      </c>
      <c r="H9" s="10" t="n">
        <v>7331.25</v>
      </c>
      <c r="I9" s="8" t="inlineStr">
        <is>
          <t>النظام الجديد</t>
        </is>
      </c>
      <c r="J9" s="8" t="inlineStr">
        <is>
          <t>نعم</t>
        </is>
      </c>
      <c r="K9" s="8" t="inlineStr">
        <is>
          <t>قيمة السند (PDF): 7,331.25 = 6,375.00 + ضريبة 15% | ملاحظة السند: تحويل مزرعة الرياض | ⚠ قيمة الأرشيف 7,375.00 تختلف عن السند 7,331.25 (فرق 43.75) – تم اعتماد السند</t>
        </is>
      </c>
    </row>
    <row r="10">
      <c r="A10" s="8" t="n">
        <v>9</v>
      </c>
      <c r="B10" s="8" t="inlineStr">
        <is>
          <t>TNR</t>
        </is>
      </c>
      <c r="C10" s="8" t="inlineStr">
        <is>
          <t>ترحيل من تبوك إلى الرياض</t>
        </is>
      </c>
      <c r="D10" s="8" t="inlineStr">
        <is>
          <t>TRF-0188</t>
        </is>
      </c>
      <c r="E10" s="21" t="n">
        <v>46231</v>
      </c>
      <c r="F10" s="8" t="inlineStr">
        <is>
          <t>تبوك ← الرياض</t>
        </is>
      </c>
      <c r="G10" s="8" t="n">
        <v>1</v>
      </c>
      <c r="H10" s="10" t="n">
        <v>934.38</v>
      </c>
      <c r="I10" s="8" t="inlineStr">
        <is>
          <t>النظام الجديد</t>
        </is>
      </c>
      <c r="J10" s="8" t="inlineStr">
        <is>
          <t>نعم</t>
        </is>
      </c>
      <c r="K10" s="8" t="inlineStr">
        <is>
          <t>قيمة السند (PDF): 934.38 = 812.50 + ضريبة 15% | ملاحظة السند: تحويل إلى مزرعة الرياض | ⚠ قيمة الأرشيف 937.50 تختلف عن السند 934.38 (فرق 3.12) – تم اعتماد السند</t>
        </is>
      </c>
    </row>
    <row r="11">
      <c r="A11" s="11" t="n">
        <v>10</v>
      </c>
      <c r="B11" s="11" t="inlineStr">
        <is>
          <t>RNT</t>
        </is>
      </c>
      <c r="C11" s="11" t="inlineStr">
        <is>
          <t>ترحيل من الرياض إلى تبوك</t>
        </is>
      </c>
      <c r="D11" s="11" t="inlineStr">
        <is>
          <t>RNT-1789</t>
        </is>
      </c>
      <c r="E11" s="22" t="n">
        <v>45863</v>
      </c>
      <c r="F11" s="11" t="inlineStr">
        <is>
          <t>TRANSACTIONS BETWEEN RIYADH -TABUK NURSERY</t>
        </is>
      </c>
      <c r="G11" s="11" t="n"/>
      <c r="H11" s="13" t="n">
        <v>5483.2</v>
      </c>
      <c r="I11" s="11" t="inlineStr">
        <is>
          <t>النظام القديم</t>
        </is>
      </c>
      <c r="J11" s="11" t="inlineStr">
        <is>
          <t>لا</t>
        </is>
      </c>
      <c r="K11" s="11" t="inlineStr">
        <is>
          <t>قبل بداية الفترة 30-7-2025 – غير محسوب | بدون تفصيل بنود في السجل</t>
        </is>
      </c>
    </row>
    <row r="12">
      <c r="A12" s="3" t="n">
        <v>11</v>
      </c>
      <c r="B12" s="3" t="inlineStr">
        <is>
          <t>RNT</t>
        </is>
      </c>
      <c r="C12" s="3" t="inlineStr">
        <is>
          <t>ترحيل من الرياض إلى تبوك</t>
        </is>
      </c>
      <c r="D12" s="3" t="inlineStr">
        <is>
          <t>RNT-2166</t>
        </is>
      </c>
      <c r="E12" s="20" t="n">
        <v>45887</v>
      </c>
      <c r="F12" s="3" t="inlineStr">
        <is>
          <t>TRANSACTIONS BETWEEN RIYADH -TABUK NURSERY</t>
        </is>
      </c>
      <c r="G12" s="3" t="n"/>
      <c r="H12" s="4" t="n">
        <v>7475</v>
      </c>
      <c r="I12" s="3" t="inlineStr">
        <is>
          <t>النظام القديم</t>
        </is>
      </c>
      <c r="J12" s="3" t="inlineStr">
        <is>
          <t>نعم</t>
        </is>
      </c>
      <c r="K12" s="3" t="inlineStr">
        <is>
          <t>بدون تفصيل بنود في السجل</t>
        </is>
      </c>
    </row>
    <row r="13">
      <c r="A13" s="3" t="n">
        <v>12</v>
      </c>
      <c r="B13" s="3" t="inlineStr">
        <is>
          <t>RNT</t>
        </is>
      </c>
      <c r="C13" s="3" t="inlineStr">
        <is>
          <t>ترحيل من الرياض إلى تبوك</t>
        </is>
      </c>
      <c r="D13" s="3" t="inlineStr">
        <is>
          <t>RNT-2141</t>
        </is>
      </c>
      <c r="E13" s="20" t="n">
        <v>45909</v>
      </c>
      <c r="F13" s="3" t="inlineStr">
        <is>
          <t>TRANSACTIONS BETWEEN RIYADH -TABUK NURSERY</t>
        </is>
      </c>
      <c r="G13" s="3" t="n"/>
      <c r="H13" s="4" t="n">
        <v>8855</v>
      </c>
      <c r="I13" s="3" t="inlineStr">
        <is>
          <t>النظام القديم</t>
        </is>
      </c>
      <c r="J13" s="3" t="inlineStr">
        <is>
          <t>نعم</t>
        </is>
      </c>
      <c r="K13" s="3" t="inlineStr">
        <is>
          <t>بدون تفصيل بنود في السجل</t>
        </is>
      </c>
    </row>
    <row r="14">
      <c r="A14" s="3" t="n">
        <v>13</v>
      </c>
      <c r="B14" s="3" t="inlineStr">
        <is>
          <t>RNT</t>
        </is>
      </c>
      <c r="C14" s="3" t="inlineStr">
        <is>
          <t>ترحيل من الرياض إلى تبوك</t>
        </is>
      </c>
      <c r="D14" s="3" t="inlineStr">
        <is>
          <t>RNT-2395</t>
        </is>
      </c>
      <c r="E14" s="20" t="n">
        <v>45938</v>
      </c>
      <c r="F14" s="3" t="inlineStr">
        <is>
          <t>TRANSACTIONS BETWEEN RIYADH -TABUK NURSERY</t>
        </is>
      </c>
      <c r="G14" s="3" t="n"/>
      <c r="H14" s="4" t="n">
        <v>34535.65</v>
      </c>
      <c r="I14" s="3" t="inlineStr">
        <is>
          <t>النظام القديم</t>
        </is>
      </c>
      <c r="J14" s="3" t="inlineStr">
        <is>
          <t>نعم</t>
        </is>
      </c>
      <c r="K14" s="3" t="inlineStr">
        <is>
          <t>بدون تفصيل بنود في السجل</t>
        </is>
      </c>
    </row>
    <row r="15">
      <c r="A15" s="3" t="n">
        <v>14</v>
      </c>
      <c r="B15" s="3" t="inlineStr">
        <is>
          <t>RNT</t>
        </is>
      </c>
      <c r="C15" s="3" t="inlineStr">
        <is>
          <t>ترحيل من الرياض إلى تبوك</t>
        </is>
      </c>
      <c r="D15" s="3" t="inlineStr">
        <is>
          <t>RNT-3077</t>
        </is>
      </c>
      <c r="E15" s="20" t="n">
        <v>45992</v>
      </c>
      <c r="F15" s="3" t="inlineStr">
        <is>
          <t>TRANSACTIONS BETWEEN RIYADH -TABUK NURSERY</t>
        </is>
      </c>
      <c r="G15" s="3" t="n"/>
      <c r="H15" s="4" t="n">
        <v>4305.03</v>
      </c>
      <c r="I15" s="3" t="inlineStr">
        <is>
          <t>النظام القديم</t>
        </is>
      </c>
      <c r="J15" s="3" t="inlineStr">
        <is>
          <t>نعم</t>
        </is>
      </c>
      <c r="K15" s="3" t="inlineStr">
        <is>
          <t>بدون تفصيل بنود في السجل</t>
        </is>
      </c>
    </row>
    <row r="16">
      <c r="A16" s="3" t="n">
        <v>15</v>
      </c>
      <c r="B16" s="3" t="inlineStr">
        <is>
          <t>RNT</t>
        </is>
      </c>
      <c r="C16" s="3" t="inlineStr">
        <is>
          <t>ترحيل من الرياض إلى تبوك</t>
        </is>
      </c>
      <c r="D16" s="3" t="inlineStr">
        <is>
          <t>RNT-3346</t>
        </is>
      </c>
      <c r="E16" s="20" t="n">
        <v>46016</v>
      </c>
      <c r="F16" s="3" t="inlineStr">
        <is>
          <t>TRANSACTIONS BETWEEN RIYADH -TABUK NURSERY</t>
        </is>
      </c>
      <c r="G16" s="3" t="n"/>
      <c r="H16" s="4" t="n">
        <v>1765.25</v>
      </c>
      <c r="I16" s="3" t="inlineStr">
        <is>
          <t>النظام القديم</t>
        </is>
      </c>
      <c r="J16" s="3" t="inlineStr">
        <is>
          <t>نعم</t>
        </is>
      </c>
      <c r="K16" s="3" t="inlineStr">
        <is>
          <t>بدون تفصيل بنود في السجل</t>
        </is>
      </c>
    </row>
    <row r="17">
      <c r="A17" s="3" t="n">
        <v>16</v>
      </c>
      <c r="B17" s="3" t="inlineStr">
        <is>
          <t>RNT</t>
        </is>
      </c>
      <c r="C17" s="3" t="inlineStr">
        <is>
          <t>ترحيل من الرياض إلى تبوك</t>
        </is>
      </c>
      <c r="D17" s="3" t="inlineStr">
        <is>
          <t>RNT-3434</t>
        </is>
      </c>
      <c r="E17" s="20" t="n">
        <v>46026</v>
      </c>
      <c r="F17" s="3" t="inlineStr">
        <is>
          <t>TRANSACTIONS BETWEEN RIYADH - TABUK NURSERY</t>
        </is>
      </c>
      <c r="G17" s="3" t="n">
        <v>1</v>
      </c>
      <c r="H17" s="4" t="n">
        <v>1380</v>
      </c>
      <c r="I17" s="3" t="inlineStr">
        <is>
          <t>النظام القديم</t>
        </is>
      </c>
      <c r="J17" s="3" t="inlineStr">
        <is>
          <t>نعم</t>
        </is>
      </c>
      <c r="K17" s="3" t="inlineStr"/>
    </row>
    <row r="18">
      <c r="A18" s="3" t="n">
        <v>17</v>
      </c>
      <c r="B18" s="3" t="inlineStr">
        <is>
          <t>RNT</t>
        </is>
      </c>
      <c r="C18" s="3" t="inlineStr">
        <is>
          <t>ترحيل من الرياض إلى تبوك</t>
        </is>
      </c>
      <c r="D18" s="3" t="inlineStr">
        <is>
          <t>RNT-3604</t>
        </is>
      </c>
      <c r="E18" s="20" t="n">
        <v>46042</v>
      </c>
      <c r="F18" s="3" t="inlineStr">
        <is>
          <t>TRANSACTIONS BETWEEN RIYADH - TABUK NURSERY</t>
        </is>
      </c>
      <c r="G18" s="3" t="n">
        <v>3</v>
      </c>
      <c r="H18" s="4" t="n">
        <v>8504.25</v>
      </c>
      <c r="I18" s="3" t="inlineStr">
        <is>
          <t>النظام القديم</t>
        </is>
      </c>
      <c r="J18" s="3" t="inlineStr">
        <is>
          <t>نعم</t>
        </is>
      </c>
      <c r="K18" s="3" t="inlineStr"/>
    </row>
    <row r="19">
      <c r="A19" s="3" t="n">
        <v>18</v>
      </c>
      <c r="B19" s="3" t="inlineStr">
        <is>
          <t>RNT</t>
        </is>
      </c>
      <c r="C19" s="3" t="inlineStr">
        <is>
          <t>ترحيل من الرياض إلى تبوك</t>
        </is>
      </c>
      <c r="D19" s="3" t="inlineStr">
        <is>
          <t>RNT-3805</t>
        </is>
      </c>
      <c r="E19" s="20" t="n">
        <v>46064</v>
      </c>
      <c r="F19" s="3" t="inlineStr">
        <is>
          <t>TRANSACTIONS BETWEEN RIYADH - TABUK NURSERY</t>
        </is>
      </c>
      <c r="G19" s="3" t="n">
        <v>6</v>
      </c>
      <c r="H19" s="4" t="n">
        <v>1681.88</v>
      </c>
      <c r="I19" s="3" t="inlineStr">
        <is>
          <t>النظام القديم</t>
        </is>
      </c>
      <c r="J19" s="3" t="inlineStr">
        <is>
          <t>نعم</t>
        </is>
      </c>
      <c r="K19" s="3" t="inlineStr"/>
    </row>
    <row r="20">
      <c r="A20" s="8" t="n">
        <v>19</v>
      </c>
      <c r="B20" s="8" t="inlineStr">
        <is>
          <t>RNT</t>
        </is>
      </c>
      <c r="C20" s="8" t="inlineStr">
        <is>
          <t>ترحيل من الرياض إلى تبوك</t>
        </is>
      </c>
      <c r="D20" s="8" t="inlineStr">
        <is>
          <t>TRF-0107</t>
        </is>
      </c>
      <c r="E20" s="21" t="n">
        <v>46214</v>
      </c>
      <c r="F20" s="8" t="inlineStr">
        <is>
          <t>الرياض ← تبوك (Order 205)</t>
        </is>
      </c>
      <c r="G20" s="8" t="n">
        <v>9</v>
      </c>
      <c r="H20" s="10" t="n">
        <v>28146.25</v>
      </c>
      <c r="I20" s="8" t="inlineStr">
        <is>
          <t>النظام الجديد</t>
        </is>
      </c>
      <c r="J20" s="8" t="inlineStr">
        <is>
          <t>نعم</t>
        </is>
      </c>
      <c r="K20" s="8" t="inlineStr">
        <is>
          <t>قيمة السند (PDF): 28,146.25 = 24,475.00 + ضريبة 15% | ملاحظة السند: تحويل الشجيرات من الرياض إلى تبوك | ⚠ قيمة الأرشيف 32,149.00 تختلف عن السند 28,146.25 (فرق 4,002.75) – تم اعتماد السند</t>
        </is>
      </c>
    </row>
    <row r="21">
      <c r="A21" s="8" t="n">
        <v>20</v>
      </c>
      <c r="B21" s="8" t="inlineStr">
        <is>
          <t>RNT</t>
        </is>
      </c>
      <c r="C21" s="8" t="inlineStr">
        <is>
          <t>ترحيل من الرياض إلى تبوك</t>
        </is>
      </c>
      <c r="D21" s="8" t="inlineStr">
        <is>
          <t>TRF-0122</t>
        </is>
      </c>
      <c r="E21" s="21" t="n">
        <v>46217</v>
      </c>
      <c r="F21" s="8" t="inlineStr">
        <is>
          <t>الرياض ← تبوك (Order 2035)</t>
        </is>
      </c>
      <c r="G21" s="8" t="n">
        <v>1</v>
      </c>
      <c r="H21" s="10" t="n">
        <v>7038</v>
      </c>
      <c r="I21" s="8" t="inlineStr">
        <is>
          <t>النظام الجديد</t>
        </is>
      </c>
      <c r="J21" s="8" t="inlineStr">
        <is>
          <t>نعم</t>
        </is>
      </c>
      <c r="K21" s="8" t="inlineStr">
        <is>
          <t>قيمة السند (PDF): 7,038.00 = 6,120.00 + ضريبة 15% | ملاحظة السند: تحويل سيسبانيا لتبوك عدد 250 وعمل مرتجع 10 حبة مكسور | ⚠ قيمة الأرشيف 7,080.00 تختلف عن السند 7,038.00 (فرق 42.00) – تم اعتماد السند</t>
        </is>
      </c>
    </row>
    <row r="22">
      <c r="A22" s="11" t="n">
        <v>21</v>
      </c>
      <c r="B22" s="11" t="inlineStr">
        <is>
          <t>RNP</t>
        </is>
      </c>
      <c r="C22" s="11" t="inlineStr">
        <is>
          <t>ترحيل إلى قسم المشاريع تبوك</t>
        </is>
      </c>
      <c r="D22" s="11" t="inlineStr">
        <is>
          <t>RNP-1787</t>
        </is>
      </c>
      <c r="E22" s="22" t="n">
        <v>45863</v>
      </c>
      <c r="F22" s="11" t="inlineStr">
        <is>
          <t>NESMA ELSHARQ COMPANY-PROJECTS</t>
        </is>
      </c>
      <c r="G22" s="11" t="n"/>
      <c r="H22" s="13" t="n">
        <v>18975</v>
      </c>
      <c r="I22" s="11" t="inlineStr">
        <is>
          <t>النظام القديم</t>
        </is>
      </c>
      <c r="J22" s="11" t="inlineStr">
        <is>
          <t>لا</t>
        </is>
      </c>
      <c r="K22" s="11" t="inlineStr">
        <is>
          <t>رقم العقد مكرر لحركتين مختلفتين | قبل بداية الفترة 30-7-2025 – غير محسوب | بدون تفصيل بنود في السجل</t>
        </is>
      </c>
    </row>
    <row r="23">
      <c r="A23" s="3" t="n">
        <v>22</v>
      </c>
      <c r="B23" s="3" t="inlineStr">
        <is>
          <t>RNP</t>
        </is>
      </c>
      <c r="C23" s="3" t="inlineStr">
        <is>
          <t>ترحيل إلى قسم المشاريع تبوك</t>
        </is>
      </c>
      <c r="D23" s="3" t="inlineStr">
        <is>
          <t>RNP-1787</t>
        </is>
      </c>
      <c r="E23" s="20" t="n">
        <v>45873</v>
      </c>
      <c r="F23" s="3" t="inlineStr">
        <is>
          <t>WHOLESALE DEPARTMENT RIYADH NURSERY</t>
        </is>
      </c>
      <c r="G23" s="3" t="n"/>
      <c r="H23" s="4" t="n">
        <v>20872.5</v>
      </c>
      <c r="I23" s="3" t="inlineStr">
        <is>
          <t>النظام القديم</t>
        </is>
      </c>
      <c r="J23" s="3" t="inlineStr">
        <is>
          <t>نعم</t>
        </is>
      </c>
      <c r="K23" s="3" t="inlineStr">
        <is>
          <t>رقم العقد مكرر لحركتين مختلفتين | بدون تفصيل بنود في السجل</t>
        </is>
      </c>
    </row>
    <row r="24">
      <c r="A24" s="3" t="n">
        <v>23</v>
      </c>
      <c r="B24" s="3" t="inlineStr">
        <is>
          <t>RNP</t>
        </is>
      </c>
      <c r="C24" s="3" t="inlineStr">
        <is>
          <t>ترحيل إلى قسم المشاريع تبوك</t>
        </is>
      </c>
      <c r="D24" s="3" t="inlineStr">
        <is>
          <t>RNP-2113</t>
        </is>
      </c>
      <c r="E24" s="20" t="n">
        <v>45906</v>
      </c>
      <c r="F24" s="3" t="inlineStr">
        <is>
          <t>NESMA ELSHARQ COMPANY-PROJECTS</t>
        </is>
      </c>
      <c r="G24" s="3" t="n"/>
      <c r="H24" s="4" t="n">
        <v>6325</v>
      </c>
      <c r="I24" s="3" t="inlineStr">
        <is>
          <t>النظام القديم</t>
        </is>
      </c>
      <c r="J24" s="3" t="inlineStr">
        <is>
          <t>نعم</t>
        </is>
      </c>
      <c r="K24" s="3" t="inlineStr">
        <is>
          <t>بدون تفصيل بنود في السجل</t>
        </is>
      </c>
    </row>
    <row r="25">
      <c r="A25" s="3" t="n">
        <v>24</v>
      </c>
      <c r="B25" s="3" t="inlineStr">
        <is>
          <t>RNP</t>
        </is>
      </c>
      <c r="C25" s="3" t="inlineStr">
        <is>
          <t>ترحيل إلى قسم المشاريع تبوك</t>
        </is>
      </c>
      <c r="D25" s="3" t="inlineStr">
        <is>
          <t>RNP-2293</t>
        </is>
      </c>
      <c r="E25" s="20" t="n">
        <v>45926</v>
      </c>
      <c r="F25" s="3" t="inlineStr">
        <is>
          <t>NESMA ELSHARQ COMPANY-PROJECTS</t>
        </is>
      </c>
      <c r="G25" s="3" t="n"/>
      <c r="H25" s="4" t="n">
        <v>25300</v>
      </c>
      <c r="I25" s="3" t="inlineStr">
        <is>
          <t>النظام القديم</t>
        </is>
      </c>
      <c r="J25" s="3" t="inlineStr">
        <is>
          <t>نعم</t>
        </is>
      </c>
      <c r="K25" s="3" t="inlineStr">
        <is>
          <t>بدون تفصيل بنود في السجل</t>
        </is>
      </c>
    </row>
    <row r="26">
      <c r="A26" s="3" t="n">
        <v>25</v>
      </c>
      <c r="B26" s="3" t="inlineStr">
        <is>
          <t>RNP</t>
        </is>
      </c>
      <c r="C26" s="3" t="inlineStr">
        <is>
          <t>ترحيل إلى قسم المشاريع تبوك</t>
        </is>
      </c>
      <c r="D26" s="3" t="inlineStr">
        <is>
          <t>RNP-2297</t>
        </is>
      </c>
      <c r="E26" s="20" t="n">
        <v>45926</v>
      </c>
      <c r="F26" s="3" t="inlineStr">
        <is>
          <t>NESMA ELSHARQ COMPANY-PROJECTS</t>
        </is>
      </c>
      <c r="G26" s="3" t="n"/>
      <c r="H26" s="4" t="n">
        <v>5433.75</v>
      </c>
      <c r="I26" s="3" t="inlineStr">
        <is>
          <t>النظام القديم</t>
        </is>
      </c>
      <c r="J26" s="3" t="inlineStr">
        <is>
          <t>نعم</t>
        </is>
      </c>
      <c r="K26" s="3" t="inlineStr">
        <is>
          <t>بدون تفصيل بنود في السجل</t>
        </is>
      </c>
    </row>
    <row r="27">
      <c r="A27" s="3" t="n">
        <v>26</v>
      </c>
      <c r="B27" s="3" t="inlineStr">
        <is>
          <t>RNP</t>
        </is>
      </c>
      <c r="C27" s="3" t="inlineStr">
        <is>
          <t>ترحيل إلى قسم المشاريع تبوك</t>
        </is>
      </c>
      <c r="D27" s="3" t="inlineStr">
        <is>
          <t>RNP-2367</t>
        </is>
      </c>
      <c r="E27" s="20" t="n">
        <v>45935</v>
      </c>
      <c r="F27" s="3" t="inlineStr">
        <is>
          <t>NESMA ELSHARQ COMPANY-PROJECTS</t>
        </is>
      </c>
      <c r="G27" s="3" t="n"/>
      <c r="H27" s="4" t="n">
        <v>13.8</v>
      </c>
      <c r="I27" s="3" t="inlineStr">
        <is>
          <t>النظام القديم</t>
        </is>
      </c>
      <c r="J27" s="3" t="inlineStr">
        <is>
          <t>نعم</t>
        </is>
      </c>
      <c r="K27" s="3" t="inlineStr">
        <is>
          <t>بدون تفصيل بنود في السجل</t>
        </is>
      </c>
    </row>
    <row r="28">
      <c r="A28" s="3" t="n">
        <v>27</v>
      </c>
      <c r="B28" s="3" t="inlineStr">
        <is>
          <t>RNP</t>
        </is>
      </c>
      <c r="C28" s="3" t="inlineStr">
        <is>
          <t>ترحيل إلى قسم المشاريع تبوك</t>
        </is>
      </c>
      <c r="D28" s="3" t="inlineStr">
        <is>
          <t>RNP-2427</t>
        </is>
      </c>
      <c r="E28" s="20" t="n">
        <v>45938</v>
      </c>
      <c r="F28" s="3" t="inlineStr">
        <is>
          <t>NESMA ELSHARQ COMPANY-PROJECTS</t>
        </is>
      </c>
      <c r="G28" s="3" t="n"/>
      <c r="H28" s="4" t="n">
        <v>7078.25</v>
      </c>
      <c r="I28" s="3" t="inlineStr">
        <is>
          <t>النظام القديم</t>
        </is>
      </c>
      <c r="J28" s="3" t="inlineStr">
        <is>
          <t>نعم</t>
        </is>
      </c>
      <c r="K28" s="3" t="inlineStr">
        <is>
          <t>بدون تفصيل بنود في السجل</t>
        </is>
      </c>
    </row>
    <row r="29">
      <c r="A29" s="3" t="n">
        <v>28</v>
      </c>
      <c r="B29" s="3" t="inlineStr">
        <is>
          <t>RNP</t>
        </is>
      </c>
      <c r="C29" s="3" t="inlineStr">
        <is>
          <t>ترحيل إلى قسم المشاريع تبوك</t>
        </is>
      </c>
      <c r="D29" s="3" t="inlineStr">
        <is>
          <t>RNP-2512</t>
        </is>
      </c>
      <c r="E29" s="20" t="n">
        <v>45947</v>
      </c>
      <c r="F29" s="3" t="inlineStr">
        <is>
          <t>NESMA ELSHARQ COMPANY-PROJECTS</t>
        </is>
      </c>
      <c r="G29" s="3" t="n"/>
      <c r="H29" s="4" t="n">
        <v>3565</v>
      </c>
      <c r="I29" s="3" t="inlineStr">
        <is>
          <t>النظام القديم</t>
        </is>
      </c>
      <c r="J29" s="3" t="inlineStr">
        <is>
          <t>نعم</t>
        </is>
      </c>
      <c r="K29" s="3" t="inlineStr">
        <is>
          <t>بدون تفصيل بنود في السجل</t>
        </is>
      </c>
    </row>
    <row r="30">
      <c r="A30" s="3" t="n">
        <v>29</v>
      </c>
      <c r="B30" s="3" t="inlineStr">
        <is>
          <t>RNP</t>
        </is>
      </c>
      <c r="C30" s="3" t="inlineStr">
        <is>
          <t>ترحيل إلى قسم المشاريع تبوك</t>
        </is>
      </c>
      <c r="D30" s="3" t="inlineStr">
        <is>
          <t>RNP-2608</t>
        </is>
      </c>
      <c r="E30" s="20" t="n">
        <v>45954</v>
      </c>
      <c r="F30" s="3" t="inlineStr">
        <is>
          <t>NESMA ELSHARQ COMPANY-PROJECTS</t>
        </is>
      </c>
      <c r="G30" s="3" t="n"/>
      <c r="H30" s="4" t="n">
        <v>12650</v>
      </c>
      <c r="I30" s="3" t="inlineStr">
        <is>
          <t>النظام القديم</t>
        </is>
      </c>
      <c r="J30" s="3" t="inlineStr">
        <is>
          <t>نعم</t>
        </is>
      </c>
      <c r="K30" s="3" t="inlineStr">
        <is>
          <t>بدون تفصيل بنود في السجل</t>
        </is>
      </c>
    </row>
    <row r="31">
      <c r="A31" s="3" t="n">
        <v>30</v>
      </c>
      <c r="B31" s="3" t="inlineStr">
        <is>
          <t>RNP</t>
        </is>
      </c>
      <c r="C31" s="3" t="inlineStr">
        <is>
          <t>ترحيل إلى قسم المشاريع تبوك</t>
        </is>
      </c>
      <c r="D31" s="3" t="inlineStr">
        <is>
          <t>RNP-2704</t>
        </is>
      </c>
      <c r="E31" s="20" t="n">
        <v>45962</v>
      </c>
      <c r="F31" s="3" t="inlineStr">
        <is>
          <t>NESMA ELSHARQ COMPANY-PROJECTS</t>
        </is>
      </c>
      <c r="G31" s="3" t="n"/>
      <c r="H31" s="4" t="n">
        <v>2443.75</v>
      </c>
      <c r="I31" s="3" t="inlineStr">
        <is>
          <t>النظام القديم</t>
        </is>
      </c>
      <c r="J31" s="3" t="inlineStr">
        <is>
          <t>نعم</t>
        </is>
      </c>
      <c r="K31" s="3" t="inlineStr">
        <is>
          <t>بدون تفصيل بنود في السجل</t>
        </is>
      </c>
    </row>
    <row r="32">
      <c r="A32" s="3" t="n">
        <v>31</v>
      </c>
      <c r="B32" s="3" t="inlineStr">
        <is>
          <t>RNP</t>
        </is>
      </c>
      <c r="C32" s="3" t="inlineStr">
        <is>
          <t>ترحيل إلى قسم المشاريع تبوك</t>
        </is>
      </c>
      <c r="D32" s="3" t="inlineStr">
        <is>
          <t>RNP-2748</t>
        </is>
      </c>
      <c r="E32" s="20" t="n">
        <v>45964</v>
      </c>
      <c r="F32" s="3" t="inlineStr">
        <is>
          <t>NESMA ELSHARQ COMPANY-PROJECTS</t>
        </is>
      </c>
      <c r="G32" s="3" t="n"/>
      <c r="H32" s="4" t="n">
        <v>646.88</v>
      </c>
      <c r="I32" s="3" t="inlineStr">
        <is>
          <t>النظام القديم</t>
        </is>
      </c>
      <c r="J32" s="3" t="inlineStr">
        <is>
          <t>نعم</t>
        </is>
      </c>
      <c r="K32" s="3" t="inlineStr">
        <is>
          <t>بدون تفصيل بنود في السجل</t>
        </is>
      </c>
    </row>
    <row r="33">
      <c r="A33" s="3" t="n">
        <v>32</v>
      </c>
      <c r="B33" s="3" t="inlineStr">
        <is>
          <t>RNP</t>
        </is>
      </c>
      <c r="C33" s="3" t="inlineStr">
        <is>
          <t>ترحيل إلى قسم المشاريع تبوك</t>
        </is>
      </c>
      <c r="D33" s="3" t="inlineStr">
        <is>
          <t>RNP-2805</t>
        </is>
      </c>
      <c r="E33" s="20" t="n">
        <v>45969</v>
      </c>
      <c r="F33" s="3" t="inlineStr">
        <is>
          <t>NESMA ELSHARQ COMPANY-PROJECTS</t>
        </is>
      </c>
      <c r="G33" s="3" t="n"/>
      <c r="H33" s="4" t="n">
        <v>31740</v>
      </c>
      <c r="I33" s="3" t="inlineStr">
        <is>
          <t>النظام القديم</t>
        </is>
      </c>
      <c r="J33" s="3" t="inlineStr">
        <is>
          <t>نعم</t>
        </is>
      </c>
      <c r="K33" s="3" t="inlineStr">
        <is>
          <t>بدون تفصيل بنود في السجل</t>
        </is>
      </c>
    </row>
    <row r="34">
      <c r="A34" s="3" t="n">
        <v>33</v>
      </c>
      <c r="B34" s="3" t="inlineStr">
        <is>
          <t>RNP</t>
        </is>
      </c>
      <c r="C34" s="3" t="inlineStr">
        <is>
          <t>ترحيل إلى قسم المشاريع تبوك</t>
        </is>
      </c>
      <c r="D34" s="3" t="inlineStr">
        <is>
          <t>RNP-3160</t>
        </is>
      </c>
      <c r="E34" s="20" t="n">
        <v>45999</v>
      </c>
      <c r="F34" s="3" t="inlineStr">
        <is>
          <t>NESMA ELSHARQ COMPANY-PROJECTS</t>
        </is>
      </c>
      <c r="G34" s="3" t="n"/>
      <c r="H34" s="4" t="n">
        <v>76.48</v>
      </c>
      <c r="I34" s="3" t="inlineStr">
        <is>
          <t>النظام القديم</t>
        </is>
      </c>
      <c r="J34" s="3" t="inlineStr">
        <is>
          <t>نعم</t>
        </is>
      </c>
      <c r="K34" s="3" t="inlineStr">
        <is>
          <t>بدون تفصيل بنود في السجل</t>
        </is>
      </c>
    </row>
    <row r="35">
      <c r="A35" s="3" t="n">
        <v>34</v>
      </c>
      <c r="B35" s="3" t="inlineStr">
        <is>
          <t>RNP</t>
        </is>
      </c>
      <c r="C35" s="3" t="inlineStr">
        <is>
          <t>ترحيل إلى قسم المشاريع تبوك</t>
        </is>
      </c>
      <c r="D35" s="3" t="inlineStr">
        <is>
          <t>RNP-3165</t>
        </is>
      </c>
      <c r="E35" s="20" t="n">
        <v>45999</v>
      </c>
      <c r="F35" s="3" t="inlineStr">
        <is>
          <t>NESMA ELSHARQ COMPANY-PROJECTS</t>
        </is>
      </c>
      <c r="G35" s="3" t="n"/>
      <c r="H35" s="4" t="n">
        <v>110.69</v>
      </c>
      <c r="I35" s="3" t="inlineStr">
        <is>
          <t>النظام القديم</t>
        </is>
      </c>
      <c r="J35" s="3" t="inlineStr">
        <is>
          <t>نعم</t>
        </is>
      </c>
      <c r="K35" s="3" t="inlineStr">
        <is>
          <t>بدون تفصيل بنود في السجل</t>
        </is>
      </c>
    </row>
    <row r="36">
      <c r="A36" s="3" t="n">
        <v>35</v>
      </c>
      <c r="B36" s="3" t="inlineStr">
        <is>
          <t>RNP</t>
        </is>
      </c>
      <c r="C36" s="3" t="inlineStr">
        <is>
          <t>ترحيل إلى قسم المشاريع تبوك</t>
        </is>
      </c>
      <c r="D36" s="3" t="inlineStr">
        <is>
          <t>RNP-3276</t>
        </is>
      </c>
      <c r="E36" s="20" t="n">
        <v>46011</v>
      </c>
      <c r="F36" s="3" t="inlineStr">
        <is>
          <t>NESMA ELSHARQ COMPANY-PROJECTS</t>
        </is>
      </c>
      <c r="G36" s="3" t="n"/>
      <c r="H36" s="4" t="n">
        <v>5180.46</v>
      </c>
      <c r="I36" s="3" t="inlineStr">
        <is>
          <t>النظام القديم</t>
        </is>
      </c>
      <c r="J36" s="3" t="inlineStr">
        <is>
          <t>نعم</t>
        </is>
      </c>
      <c r="K36" s="3" t="inlineStr">
        <is>
          <t>بدون تفصيل بنود في السجل</t>
        </is>
      </c>
    </row>
    <row r="37">
      <c r="A37" s="3" t="n">
        <v>36</v>
      </c>
      <c r="B37" s="3" t="inlineStr">
        <is>
          <t>RNP</t>
        </is>
      </c>
      <c r="C37" s="3" t="inlineStr">
        <is>
          <t>ترحيل إلى قسم المشاريع تبوك</t>
        </is>
      </c>
      <c r="D37" s="3" t="inlineStr">
        <is>
          <t>RNP-3432</t>
        </is>
      </c>
      <c r="E37" s="20" t="n">
        <v>46026</v>
      </c>
      <c r="F37" s="3" t="inlineStr">
        <is>
          <t>NESMA ELSHARQ COMPANY- PROJECTS</t>
        </is>
      </c>
      <c r="G37" s="3" t="n">
        <v>2</v>
      </c>
      <c r="H37" s="4" t="n">
        <v>42435</v>
      </c>
      <c r="I37" s="3" t="inlineStr">
        <is>
          <t>النظام القديم</t>
        </is>
      </c>
      <c r="J37" s="3" t="inlineStr">
        <is>
          <t>نعم</t>
        </is>
      </c>
      <c r="K37" s="3" t="inlineStr"/>
    </row>
    <row r="38">
      <c r="A38" s="3" t="n">
        <v>37</v>
      </c>
      <c r="B38" s="3" t="inlineStr">
        <is>
          <t>RNP</t>
        </is>
      </c>
      <c r="C38" s="3" t="inlineStr">
        <is>
          <t>ترحيل إلى قسم المشاريع تبوك</t>
        </is>
      </c>
      <c r="D38" s="3" t="inlineStr">
        <is>
          <t>RNP-3433</t>
        </is>
      </c>
      <c r="E38" s="20" t="n">
        <v>46026</v>
      </c>
      <c r="F38" s="3" t="inlineStr">
        <is>
          <t>NESMA ELSHARQ COMPANY- PROJECTS</t>
        </is>
      </c>
      <c r="G38" s="3" t="n">
        <v>4</v>
      </c>
      <c r="H38" s="4" t="n">
        <v>3760.5</v>
      </c>
      <c r="I38" s="3" t="inlineStr">
        <is>
          <t>النظام القديم</t>
        </is>
      </c>
      <c r="J38" s="3" t="inlineStr">
        <is>
          <t>نعم</t>
        </is>
      </c>
      <c r="K38" s="3" t="inlineStr"/>
    </row>
    <row r="39">
      <c r="A39" s="3" t="n">
        <v>38</v>
      </c>
      <c r="B39" s="3" t="inlineStr">
        <is>
          <t>RNP</t>
        </is>
      </c>
      <c r="C39" s="3" t="inlineStr">
        <is>
          <t>ترحيل إلى قسم المشاريع تبوك</t>
        </is>
      </c>
      <c r="D39" s="3" t="inlineStr">
        <is>
          <t>RNP-3491</t>
        </is>
      </c>
      <c r="E39" s="20" t="n">
        <v>46029</v>
      </c>
      <c r="F39" s="3" t="inlineStr">
        <is>
          <t>NESMA ELSHARQ COMPANY- PROJECTS</t>
        </is>
      </c>
      <c r="G39" s="3" t="n">
        <v>3</v>
      </c>
      <c r="H39" s="4" t="n">
        <v>5284.25</v>
      </c>
      <c r="I39" s="3" t="inlineStr">
        <is>
          <t>النظام القديم</t>
        </is>
      </c>
      <c r="J39" s="3" t="inlineStr">
        <is>
          <t>نعم</t>
        </is>
      </c>
      <c r="K39" s="3" t="inlineStr"/>
    </row>
    <row r="40">
      <c r="A40" s="3" t="n">
        <v>39</v>
      </c>
      <c r="B40" s="3" t="inlineStr">
        <is>
          <t>RNP</t>
        </is>
      </c>
      <c r="C40" s="3" t="inlineStr">
        <is>
          <t>ترحيل إلى قسم المشاريع تبوك</t>
        </is>
      </c>
      <c r="D40" s="3" t="inlineStr">
        <is>
          <t>RNP-3520</t>
        </is>
      </c>
      <c r="E40" s="20" t="n">
        <v>46033</v>
      </c>
      <c r="F40" s="3" t="inlineStr">
        <is>
          <t>NESMA ELSHARQ COMPANY- PROJECTS</t>
        </is>
      </c>
      <c r="G40" s="3" t="n">
        <v>1</v>
      </c>
      <c r="H40" s="4" t="n">
        <v>3795</v>
      </c>
      <c r="I40" s="3" t="inlineStr">
        <is>
          <t>النظام القديم</t>
        </is>
      </c>
      <c r="J40" s="3" t="inlineStr">
        <is>
          <t>نعم</t>
        </is>
      </c>
      <c r="K40" s="3" t="inlineStr"/>
    </row>
    <row r="41">
      <c r="A41" s="3" t="n">
        <v>40</v>
      </c>
      <c r="B41" s="3" t="inlineStr">
        <is>
          <t>RNP</t>
        </is>
      </c>
      <c r="C41" s="3" t="inlineStr">
        <is>
          <t>ترحيل إلى قسم المشاريع تبوك</t>
        </is>
      </c>
      <c r="D41" s="3" t="inlineStr">
        <is>
          <t>RNP-3586</t>
        </is>
      </c>
      <c r="E41" s="20" t="n">
        <v>46039</v>
      </c>
      <c r="F41" s="3" t="inlineStr">
        <is>
          <t>NESMA ELSHARQ COMPANY-PROJECTS</t>
        </is>
      </c>
      <c r="G41" s="3" t="n"/>
      <c r="H41" s="4" t="n">
        <v>97.75</v>
      </c>
      <c r="I41" s="3" t="inlineStr">
        <is>
          <t>النظام القديم</t>
        </is>
      </c>
      <c r="J41" s="3" t="inlineStr">
        <is>
          <t>نعم</t>
        </is>
      </c>
      <c r="K41" s="3" t="inlineStr">
        <is>
          <t>بدون تفصيل بنود في السجل</t>
        </is>
      </c>
    </row>
    <row r="42">
      <c r="A42" s="3" t="n">
        <v>41</v>
      </c>
      <c r="B42" s="3" t="inlineStr">
        <is>
          <t>RNP</t>
        </is>
      </c>
      <c r="C42" s="3" t="inlineStr">
        <is>
          <t>ترحيل إلى قسم المشاريع تبوك</t>
        </is>
      </c>
      <c r="D42" s="3" t="inlineStr">
        <is>
          <t>RNP-3613</t>
        </is>
      </c>
      <c r="E42" s="20" t="n">
        <v>46042</v>
      </c>
      <c r="F42" s="3" t="inlineStr">
        <is>
          <t>NESMA ELSHARQ COMPANY-PROJECTS</t>
        </is>
      </c>
      <c r="G42" s="3" t="n"/>
      <c r="H42" s="4" t="n">
        <v>2708.25</v>
      </c>
      <c r="I42" s="3" t="inlineStr">
        <is>
          <t>النظام القديم</t>
        </is>
      </c>
      <c r="J42" s="3" t="inlineStr">
        <is>
          <t>نعم</t>
        </is>
      </c>
      <c r="K42" s="3" t="inlineStr">
        <is>
          <t>بدون تفصيل بنود في السجل</t>
        </is>
      </c>
    </row>
    <row r="43">
      <c r="A43" s="3" t="n">
        <v>42</v>
      </c>
      <c r="B43" s="3" t="inlineStr">
        <is>
          <t>RNP</t>
        </is>
      </c>
      <c r="C43" s="3" t="inlineStr">
        <is>
          <t>ترحيل إلى قسم المشاريع تبوك</t>
        </is>
      </c>
      <c r="D43" s="3" t="inlineStr">
        <is>
          <t>RNP-3756</t>
        </is>
      </c>
      <c r="E43" s="20" t="n">
        <v>46057</v>
      </c>
      <c r="F43" s="3" t="inlineStr">
        <is>
          <t>NESMA ELSHARQ COMPANY- PROJECTS</t>
        </is>
      </c>
      <c r="G43" s="3" t="n">
        <v>1</v>
      </c>
      <c r="H43" s="4" t="n">
        <v>747.5</v>
      </c>
      <c r="I43" s="3" t="inlineStr">
        <is>
          <t>النظام القديم</t>
        </is>
      </c>
      <c r="J43" s="3" t="inlineStr">
        <is>
          <t>نعم</t>
        </is>
      </c>
      <c r="K43" s="3" t="inlineStr"/>
    </row>
    <row r="44">
      <c r="A44" s="3" t="n">
        <v>43</v>
      </c>
      <c r="B44" s="3" t="inlineStr">
        <is>
          <t>RNP</t>
        </is>
      </c>
      <c r="C44" s="3" t="inlineStr">
        <is>
          <t>ترحيل إلى قسم المشاريع تبوك</t>
        </is>
      </c>
      <c r="D44" s="3" t="inlineStr">
        <is>
          <t>RNP-3767</t>
        </is>
      </c>
      <c r="E44" s="20" t="n">
        <v>46059</v>
      </c>
      <c r="F44" s="3" t="inlineStr">
        <is>
          <t>NESMA ELSHARQ COMPANY- PROJECTS</t>
        </is>
      </c>
      <c r="G44" s="3" t="n">
        <v>2</v>
      </c>
      <c r="H44" s="4" t="n">
        <v>7423.25</v>
      </c>
      <c r="I44" s="3" t="inlineStr">
        <is>
          <t>النظام القديم</t>
        </is>
      </c>
      <c r="J44" s="3" t="inlineStr">
        <is>
          <t>نعم</t>
        </is>
      </c>
      <c r="K44" s="3" t="inlineStr"/>
    </row>
    <row r="45">
      <c r="A45" s="3" t="n">
        <v>44</v>
      </c>
      <c r="B45" s="3" t="inlineStr">
        <is>
          <t>RNP</t>
        </is>
      </c>
      <c r="C45" s="3" t="inlineStr">
        <is>
          <t>ترحيل إلى قسم المشاريع تبوك</t>
        </is>
      </c>
      <c r="D45" s="3" t="inlineStr">
        <is>
          <t>RNP-3839</t>
        </is>
      </c>
      <c r="E45" s="20" t="n">
        <v>46068</v>
      </c>
      <c r="F45" s="3" t="inlineStr">
        <is>
          <t>NESMA ELSHARQ COMPANY- PROJECTS</t>
        </is>
      </c>
      <c r="G45" s="3" t="n">
        <v>4</v>
      </c>
      <c r="H45" s="4" t="n">
        <v>789.36</v>
      </c>
      <c r="I45" s="3" t="inlineStr">
        <is>
          <t>النظام القديم</t>
        </is>
      </c>
      <c r="J45" s="3" t="inlineStr">
        <is>
          <t>نعم</t>
        </is>
      </c>
      <c r="K45" s="3" t="inlineStr"/>
    </row>
    <row r="46">
      <c r="A46" s="8" t="n">
        <v>45</v>
      </c>
      <c r="B46" s="8" t="inlineStr">
        <is>
          <t>RNP</t>
        </is>
      </c>
      <c r="C46" s="8" t="inlineStr">
        <is>
          <t>ترحيل إلى قسم المشاريع تبوك</t>
        </is>
      </c>
      <c r="D46" s="8" t="inlineStr">
        <is>
          <t>ISV-0004</t>
        </is>
      </c>
      <c r="E46" s="21" t="n">
        <v>46186</v>
      </c>
      <c r="F46" s="8" t="inlineStr">
        <is>
          <t>طلب: NS-REQ-005</t>
        </is>
      </c>
      <c r="G46" s="8" t="n">
        <v>5</v>
      </c>
      <c r="H46" s="10" t="n">
        <v>1100</v>
      </c>
      <c r="I46" s="8" t="inlineStr">
        <is>
          <t>النظام الجديد</t>
        </is>
      </c>
      <c r="J46" s="8" t="inlineStr">
        <is>
          <t>نعم</t>
        </is>
      </c>
      <c r="K46" s="8" t="inlineStr">
        <is>
          <t>مرجع الطلب: NS-REQ-005 | ⚠ غير موجود في ملف الأرشيف السابق (transfer vouchers archive) – تمت إضافته من ملف التفصيل</t>
        </is>
      </c>
    </row>
    <row r="47">
      <c r="A47" s="8" t="n">
        <v>46</v>
      </c>
      <c r="B47" s="8" t="inlineStr">
        <is>
          <t>RNP</t>
        </is>
      </c>
      <c r="C47" s="8" t="inlineStr">
        <is>
          <t>ترحيل إلى قسم المشاريع تبوك</t>
        </is>
      </c>
      <c r="D47" s="8" t="inlineStr">
        <is>
          <t>ISV-0005</t>
        </is>
      </c>
      <c r="E47" s="21" t="n">
        <v>46186</v>
      </c>
      <c r="F47" s="8" t="inlineStr">
        <is>
          <t>طلب: NS-REQ-004</t>
        </is>
      </c>
      <c r="G47" s="8" t="n">
        <v>6</v>
      </c>
      <c r="H47" s="10" t="n">
        <v>2200</v>
      </c>
      <c r="I47" s="8" t="inlineStr">
        <is>
          <t>النظام الجديد</t>
        </is>
      </c>
      <c r="J47" s="8" t="inlineStr">
        <is>
          <t>نعم</t>
        </is>
      </c>
      <c r="K47" s="8" t="inlineStr">
        <is>
          <t>مرجع الطلب: NS-REQ-004 | ⚠ غير موجود في ملف الأرشيف السابق (transfer vouchers archive) – تمت إضافته من ملف التفصيل</t>
        </is>
      </c>
    </row>
    <row r="48">
      <c r="A48" s="8" t="n">
        <v>47</v>
      </c>
      <c r="B48" s="8" t="inlineStr">
        <is>
          <t>RNP</t>
        </is>
      </c>
      <c r="C48" s="8" t="inlineStr">
        <is>
          <t>ترحيل إلى قسم المشاريع تبوك</t>
        </is>
      </c>
      <c r="D48" s="8" t="inlineStr">
        <is>
          <t>ISV-0010</t>
        </is>
      </c>
      <c r="E48" s="21" t="n">
        <v>46187</v>
      </c>
      <c r="F48" s="8" t="inlineStr">
        <is>
          <t>طلب: NS-REQ-007</t>
        </is>
      </c>
      <c r="G48" s="8" t="n">
        <v>10</v>
      </c>
      <c r="H48" s="10" t="n">
        <v>4271</v>
      </c>
      <c r="I48" s="8" t="inlineStr">
        <is>
          <t>النظام الجديد</t>
        </is>
      </c>
      <c r="J48" s="8" t="inlineStr">
        <is>
          <t>نعم</t>
        </is>
      </c>
      <c r="K48" s="8" t="inlineStr">
        <is>
          <t>مرجع الطلب: NS-REQ-007 | ⚠ غير موجود في ملف الأرشيف السابق (transfer vouchers archive) – تمت إضافته من ملف التفصيل</t>
        </is>
      </c>
    </row>
    <row r="49">
      <c r="A49" s="8" t="n">
        <v>48</v>
      </c>
      <c r="B49" s="8" t="inlineStr">
        <is>
          <t>RNP</t>
        </is>
      </c>
      <c r="C49" s="8" t="inlineStr">
        <is>
          <t>ترحيل إلى قسم المشاريع تبوك</t>
        </is>
      </c>
      <c r="D49" s="8" t="inlineStr">
        <is>
          <t>ISV-0011</t>
        </is>
      </c>
      <c r="E49" s="21" t="n">
        <v>46187</v>
      </c>
      <c r="F49" s="8" t="inlineStr">
        <is>
          <t>طلب: NS-REQ-008</t>
        </is>
      </c>
      <c r="G49" s="8" t="n">
        <v>1</v>
      </c>
      <c r="H49" s="10" t="n">
        <v>1100</v>
      </c>
      <c r="I49" s="8" t="inlineStr">
        <is>
          <t>النظام الجديد</t>
        </is>
      </c>
      <c r="J49" s="8" t="inlineStr">
        <is>
          <t>نعم</t>
        </is>
      </c>
      <c r="K49" s="8" t="inlineStr">
        <is>
          <t>مرجع الطلب: NS-REQ-008 | ⚠ غير موجود في ملف الأرشيف السابق (transfer vouchers archive) – تمت إضافته من ملف التفصيل | ⚠ مرجع الطلب NS-REQ-008 مستخدم في سندين (ISV-0011، ISV-0016)</t>
        </is>
      </c>
    </row>
    <row r="50">
      <c r="A50" s="8" t="n">
        <v>49</v>
      </c>
      <c r="B50" s="8" t="inlineStr">
        <is>
          <t>RNP</t>
        </is>
      </c>
      <c r="C50" s="8" t="inlineStr">
        <is>
          <t>ترحيل إلى قسم المشاريع تبوك</t>
        </is>
      </c>
      <c r="D50" s="8" t="inlineStr">
        <is>
          <t>ISV-0016</t>
        </is>
      </c>
      <c r="E50" s="21" t="n">
        <v>46190</v>
      </c>
      <c r="F50" s="8" t="inlineStr">
        <is>
          <t>طلب: NS-REQ-008</t>
        </is>
      </c>
      <c r="G50" s="8" t="n">
        <v>1</v>
      </c>
      <c r="H50" s="10" t="n">
        <v>825</v>
      </c>
      <c r="I50" s="8" t="inlineStr">
        <is>
          <t>النظام الجديد</t>
        </is>
      </c>
      <c r="J50" s="8" t="inlineStr">
        <is>
          <t>نعم</t>
        </is>
      </c>
      <c r="K50" s="8" t="inlineStr">
        <is>
          <t>مرجع الطلب: NS-REQ-008 | ⚠ غير موجود في ملف الأرشيف السابق (transfer vouchers archive) – تمت إضافته من ملف التفصيل | ⚠ مرجع الطلب NS-REQ-008 مستخدم في سندين (ISV-0011، ISV-0016)</t>
        </is>
      </c>
    </row>
    <row r="51">
      <c r="A51" s="14" t="n">
        <v>50</v>
      </c>
      <c r="B51" s="14" t="inlineStr">
        <is>
          <t>RNP</t>
        </is>
      </c>
      <c r="C51" s="14" t="inlineStr">
        <is>
          <t>ترحيل إلى قسم المشاريع تبوك</t>
        </is>
      </c>
      <c r="D51" s="14" t="inlineStr">
        <is>
          <t>ISV-0017</t>
        </is>
      </c>
      <c r="E51" s="23" t="n">
        <v>46190</v>
      </c>
      <c r="F51" s="14" t="inlineStr">
        <is>
          <t>طلب: CD1-REQ-011</t>
        </is>
      </c>
      <c r="G51" s="14" t="n">
        <v>1</v>
      </c>
      <c r="H51" s="16" t="n">
        <v>463</v>
      </c>
      <c r="I51" s="14" t="inlineStr">
        <is>
          <t>النظام الجديد</t>
        </is>
      </c>
      <c r="J51" s="14" t="inlineStr">
        <is>
          <t>نعم</t>
        </is>
      </c>
      <c r="K51" s="14" t="inlineStr">
        <is>
          <t>مرجع الطلب: CD1-REQ-011</t>
        </is>
      </c>
    </row>
    <row r="52">
      <c r="A52" s="8" t="n">
        <v>51</v>
      </c>
      <c r="B52" s="8" t="inlineStr">
        <is>
          <t>RNP</t>
        </is>
      </c>
      <c r="C52" s="8" t="inlineStr">
        <is>
          <t>ترحيل إلى قسم المشاريع تبوك</t>
        </is>
      </c>
      <c r="D52" s="8" t="inlineStr">
        <is>
          <t>ISV-0026</t>
        </is>
      </c>
      <c r="E52" s="21" t="n">
        <v>46195</v>
      </c>
      <c r="F52" s="8" t="inlineStr">
        <is>
          <t>طلب: NS-REQ-019</t>
        </is>
      </c>
      <c r="G52" s="8" t="n">
        <v>1</v>
      </c>
      <c r="H52" s="10" t="n">
        <v>3825</v>
      </c>
      <c r="I52" s="8" t="inlineStr">
        <is>
          <t>النظام الجديد</t>
        </is>
      </c>
      <c r="J52" s="8" t="inlineStr">
        <is>
          <t>نعم</t>
        </is>
      </c>
      <c r="K52" s="8" t="inlineStr">
        <is>
          <t>مرجع الطلب: NS-REQ-019 | ⚠ غير موجود في ملف الأرشيف السابق (transfer vouchers archive) – تمت إضافته من ملف التفصيل</t>
        </is>
      </c>
    </row>
    <row r="53">
      <c r="A53" s="8" t="n">
        <v>52</v>
      </c>
      <c r="B53" s="8" t="inlineStr">
        <is>
          <t>RNP</t>
        </is>
      </c>
      <c r="C53" s="8" t="inlineStr">
        <is>
          <t>ترحيل إلى قسم المشاريع تبوك</t>
        </is>
      </c>
      <c r="D53" s="8" t="inlineStr">
        <is>
          <t>ISV-0038</t>
        </is>
      </c>
      <c r="E53" s="21" t="n">
        <v>46197</v>
      </c>
      <c r="F53" s="8" t="inlineStr">
        <is>
          <t>طلب: NS-REQ-026</t>
        </is>
      </c>
      <c r="G53" s="8" t="n">
        <v>1</v>
      </c>
      <c r="H53" s="10" t="n">
        <v>1312.5</v>
      </c>
      <c r="I53" s="8" t="inlineStr">
        <is>
          <t>النظام الجديد</t>
        </is>
      </c>
      <c r="J53" s="8" t="inlineStr">
        <is>
          <t>نعم</t>
        </is>
      </c>
      <c r="K53" s="8" t="inlineStr">
        <is>
          <t>مرجع الطلب: NS-REQ-026 | ⚠ غير موجود في ملف الأرشيف السابق (transfer vouchers archive) – تمت إضافته من ملف التفصيل</t>
        </is>
      </c>
    </row>
    <row r="54">
      <c r="A54" s="8" t="n">
        <v>53</v>
      </c>
      <c r="B54" s="8" t="inlineStr">
        <is>
          <t>RNP</t>
        </is>
      </c>
      <c r="C54" s="8" t="inlineStr">
        <is>
          <t>ترحيل إلى قسم المشاريع تبوك</t>
        </is>
      </c>
      <c r="D54" s="8" t="inlineStr">
        <is>
          <t>ISV-0048</t>
        </is>
      </c>
      <c r="E54" s="21" t="n">
        <v>46200</v>
      </c>
      <c r="F54" s="8" t="inlineStr">
        <is>
          <t>طلب: NS-REQ-033</t>
        </is>
      </c>
      <c r="G54" s="8" t="n">
        <v>2</v>
      </c>
      <c r="H54" s="10" t="n">
        <v>4400</v>
      </c>
      <c r="I54" s="8" t="inlineStr">
        <is>
          <t>النظام الجديد</t>
        </is>
      </c>
      <c r="J54" s="8" t="inlineStr">
        <is>
          <t>نعم</t>
        </is>
      </c>
      <c r="K54" s="8" t="inlineStr">
        <is>
          <t>مرجع الطلب: NS-REQ-033 | ⚠ غير موجود في ملف الأرشيف السابق (transfer vouchers archive) – تمت إضافته من ملف التفصيل</t>
        </is>
      </c>
    </row>
    <row r="55">
      <c r="A55" s="8" t="n">
        <v>54</v>
      </c>
      <c r="B55" s="8" t="inlineStr">
        <is>
          <t>RNP</t>
        </is>
      </c>
      <c r="C55" s="8" t="inlineStr">
        <is>
          <t>ترحيل إلى قسم المشاريع تبوك</t>
        </is>
      </c>
      <c r="D55" s="8" t="inlineStr">
        <is>
          <t>ISV-0054</t>
        </is>
      </c>
      <c r="E55" s="21" t="n">
        <v>46201</v>
      </c>
      <c r="F55" s="8" t="inlineStr">
        <is>
          <t>طلب: NS-REQ-035</t>
        </is>
      </c>
      <c r="G55" s="8" t="n">
        <v>3</v>
      </c>
      <c r="H55" s="10" t="n">
        <v>19525</v>
      </c>
      <c r="I55" s="8" t="inlineStr">
        <is>
          <t>النظام الجديد</t>
        </is>
      </c>
      <c r="J55" s="8" t="inlineStr">
        <is>
          <t>نعم</t>
        </is>
      </c>
      <c r="K55" s="8" t="inlineStr">
        <is>
          <t>مرجع الطلب: NS-REQ-035 | ⚠ غير موجود في ملف الأرشيف السابق (transfer vouchers archive) – تمت إضافته من ملف التفصيل</t>
        </is>
      </c>
    </row>
    <row r="56">
      <c r="A56" s="8" t="n">
        <v>55</v>
      </c>
      <c r="B56" s="8" t="inlineStr">
        <is>
          <t>RNP</t>
        </is>
      </c>
      <c r="C56" s="8" t="inlineStr">
        <is>
          <t>ترحيل إلى قسم المشاريع تبوك</t>
        </is>
      </c>
      <c r="D56" s="8" t="inlineStr">
        <is>
          <t>ISV-0066</t>
        </is>
      </c>
      <c r="E56" s="21" t="n">
        <v>46203</v>
      </c>
      <c r="F56" s="8" t="inlineStr">
        <is>
          <t>طلب: NS-REQ-042</t>
        </is>
      </c>
      <c r="G56" s="8" t="n">
        <v>2</v>
      </c>
      <c r="H56" s="10" t="n">
        <v>22000</v>
      </c>
      <c r="I56" s="8" t="inlineStr">
        <is>
          <t>النظام الجديد</t>
        </is>
      </c>
      <c r="J56" s="8" t="inlineStr">
        <is>
          <t>نعم</t>
        </is>
      </c>
      <c r="K56" s="8" t="inlineStr">
        <is>
          <t>مرجع الطلب: NS-REQ-042 | ⚠ غير موجود في ملف الأرشيف السابق (transfer vouchers archive) – تمت إضافته من ملف التفصيل</t>
        </is>
      </c>
    </row>
    <row r="57">
      <c r="A57" s="8" t="n">
        <v>56</v>
      </c>
      <c r="B57" s="8" t="inlineStr">
        <is>
          <t>RNP</t>
        </is>
      </c>
      <c r="C57" s="8" t="inlineStr">
        <is>
          <t>ترحيل إلى قسم المشاريع تبوك</t>
        </is>
      </c>
      <c r="D57" s="8" t="inlineStr">
        <is>
          <t>ISV-0073</t>
        </is>
      </c>
      <c r="E57" s="21" t="n">
        <v>46205</v>
      </c>
      <c r="F57" s="8" t="inlineStr">
        <is>
          <t>طلب: NS-REQ-046</t>
        </is>
      </c>
      <c r="G57" s="8" t="n">
        <v>2</v>
      </c>
      <c r="H57" s="10" t="n">
        <v>5500</v>
      </c>
      <c r="I57" s="8" t="inlineStr">
        <is>
          <t>النظام الجديد</t>
        </is>
      </c>
      <c r="J57" s="8" t="inlineStr">
        <is>
          <t>نعم</t>
        </is>
      </c>
      <c r="K57" s="8" t="inlineStr">
        <is>
          <t>مرجع الطلب: NS-REQ-046 | ⚠ غير موجود في ملف الأرشيف السابق (transfer vouchers archive) – تمت إضافته من ملف التفصيل</t>
        </is>
      </c>
    </row>
    <row r="58">
      <c r="A58" s="14" t="n">
        <v>57</v>
      </c>
      <c r="B58" s="14" t="inlineStr">
        <is>
          <t>RNP</t>
        </is>
      </c>
      <c r="C58" s="14" t="inlineStr">
        <is>
          <t>ترحيل إلى قسم المشاريع تبوك</t>
        </is>
      </c>
      <c r="D58" s="14" t="inlineStr">
        <is>
          <t>ISV-0075</t>
        </is>
      </c>
      <c r="E58" s="23" t="n">
        <v>46207</v>
      </c>
      <c r="F58" s="14" t="inlineStr">
        <is>
          <t>REQ:رائد الخير</t>
        </is>
      </c>
      <c r="G58" s="14" t="n"/>
      <c r="H58" s="16" t="n">
        <v>2750</v>
      </c>
      <c r="I58" s="14" t="inlineStr">
        <is>
          <t>النظام الجديد</t>
        </is>
      </c>
      <c r="J58" s="14" t="inlineStr">
        <is>
          <t>نعم</t>
        </is>
      </c>
      <c r="K58" s="14" t="inlineStr">
        <is>
          <t>موجود في الأرشيف فقط – بدون تفصيل بنود (2 بند)</t>
        </is>
      </c>
    </row>
    <row r="59">
      <c r="A59" s="8" t="n">
        <v>58</v>
      </c>
      <c r="B59" s="8" t="inlineStr">
        <is>
          <t>RNP</t>
        </is>
      </c>
      <c r="C59" s="8" t="inlineStr">
        <is>
          <t>ترحيل إلى قسم المشاريع تبوك</t>
        </is>
      </c>
      <c r="D59" s="8" t="inlineStr">
        <is>
          <t>ISV-0081</t>
        </is>
      </c>
      <c r="E59" s="21" t="n">
        <v>46209</v>
      </c>
      <c r="F59" s="8" t="inlineStr">
        <is>
          <t>طلب: NS-REQ-051</t>
        </is>
      </c>
      <c r="G59" s="8" t="n">
        <v>8</v>
      </c>
      <c r="H59" s="10" t="n">
        <v>2768.5</v>
      </c>
      <c r="I59" s="8" t="inlineStr">
        <is>
          <t>النظام الجديد</t>
        </is>
      </c>
      <c r="J59" s="8" t="inlineStr">
        <is>
          <t>نعم</t>
        </is>
      </c>
      <c r="K59" s="8" t="inlineStr">
        <is>
          <t>مرجع الطلب: NS-REQ-051 | ⚠ غير موجود في ملف الأرشيف السابق (transfer vouchers archive) – تمت إضافته من ملف التفصيل</t>
        </is>
      </c>
    </row>
    <row r="60">
      <c r="A60" s="8" t="n">
        <v>59</v>
      </c>
      <c r="B60" s="8" t="inlineStr">
        <is>
          <t>RNP</t>
        </is>
      </c>
      <c r="C60" s="8" t="inlineStr">
        <is>
          <t>ترحيل إلى قسم المشاريع تبوك</t>
        </is>
      </c>
      <c r="D60" s="8" t="inlineStr">
        <is>
          <t>ISV-0090</t>
        </is>
      </c>
      <c r="E60" s="21" t="n">
        <v>46214</v>
      </c>
      <c r="F60" s="8" t="inlineStr">
        <is>
          <t>طلب: NS-REQ-058</t>
        </is>
      </c>
      <c r="G60" s="8" t="n">
        <v>4</v>
      </c>
      <c r="H60" s="10" t="n">
        <v>990</v>
      </c>
      <c r="I60" s="8" t="inlineStr">
        <is>
          <t>النظام الجديد</t>
        </is>
      </c>
      <c r="J60" s="8" t="inlineStr">
        <is>
          <t>نعم</t>
        </is>
      </c>
      <c r="K60" s="8" t="inlineStr">
        <is>
          <t>مرجع الطلب: NS-REQ-058 | ⚠ غير موجود في ملف الأرشيف السابق (transfer vouchers archive) – تمت إضافته من ملف التفصيل</t>
        </is>
      </c>
    </row>
    <row r="61">
      <c r="A61" s="8" t="n">
        <v>60</v>
      </c>
      <c r="B61" s="8" t="inlineStr">
        <is>
          <t>RNP</t>
        </is>
      </c>
      <c r="C61" s="8" t="inlineStr">
        <is>
          <t>ترحيل إلى قسم المشاريع تبوك</t>
        </is>
      </c>
      <c r="D61" s="8" t="inlineStr">
        <is>
          <t>ISV-0091</t>
        </is>
      </c>
      <c r="E61" s="21" t="n">
        <v>46214</v>
      </c>
      <c r="F61" s="8" t="inlineStr">
        <is>
          <t>طلب: NS-REQ-059</t>
        </is>
      </c>
      <c r="G61" s="8" t="n">
        <v>4</v>
      </c>
      <c r="H61" s="10" t="n">
        <v>330</v>
      </c>
      <c r="I61" s="8" t="inlineStr">
        <is>
          <t>النظام الجديد</t>
        </is>
      </c>
      <c r="J61" s="8" t="inlineStr">
        <is>
          <t>نعم</t>
        </is>
      </c>
      <c r="K61" s="8" t="inlineStr">
        <is>
          <t>مرجع الطلب: NS-REQ-059 | ⚠ غير موجود في ملف الأرشيف السابق (transfer vouchers archive) – تمت إضافته من ملف التفصيل</t>
        </is>
      </c>
    </row>
    <row r="62">
      <c r="A62" s="8" t="n">
        <v>61</v>
      </c>
      <c r="B62" s="8" t="inlineStr">
        <is>
          <t>RNP</t>
        </is>
      </c>
      <c r="C62" s="8" t="inlineStr">
        <is>
          <t>ترحيل إلى قسم المشاريع تبوك</t>
        </is>
      </c>
      <c r="D62" s="8" t="inlineStr">
        <is>
          <t>ISV-0092</t>
        </is>
      </c>
      <c r="E62" s="21" t="n">
        <v>46214</v>
      </c>
      <c r="F62" s="8" t="inlineStr">
        <is>
          <t>طلب: NS-REQ-061</t>
        </is>
      </c>
      <c r="G62" s="8" t="n">
        <v>1</v>
      </c>
      <c r="H62" s="10" t="n">
        <v>825</v>
      </c>
      <c r="I62" s="8" t="inlineStr">
        <is>
          <t>النظام الجديد</t>
        </is>
      </c>
      <c r="J62" s="8" t="inlineStr">
        <is>
          <t>نعم</t>
        </is>
      </c>
      <c r="K62" s="8" t="inlineStr">
        <is>
          <t>مرجع الطلب: NS-REQ-061 | ⚠ غير موجود في ملف الأرشيف السابق (transfer vouchers archive) – تمت إضافته من ملف التفصيل</t>
        </is>
      </c>
    </row>
    <row r="63">
      <c r="A63" s="8" t="n">
        <v>62</v>
      </c>
      <c r="B63" s="8" t="inlineStr">
        <is>
          <t>RNP</t>
        </is>
      </c>
      <c r="C63" s="8" t="inlineStr">
        <is>
          <t>ترحيل إلى قسم المشاريع تبوك</t>
        </is>
      </c>
      <c r="D63" s="8" t="inlineStr">
        <is>
          <t>ISV-0127</t>
        </is>
      </c>
      <c r="E63" s="21" t="n">
        <v>46229</v>
      </c>
      <c r="F63" s="8" t="inlineStr">
        <is>
          <t>طلب: NS-REQ-083</t>
        </is>
      </c>
      <c r="G63" s="8" t="n">
        <v>5</v>
      </c>
      <c r="H63" s="10" t="n">
        <v>1496</v>
      </c>
      <c r="I63" s="8" t="inlineStr">
        <is>
          <t>النظام الجديد</t>
        </is>
      </c>
      <c r="J63" s="8" t="inlineStr">
        <is>
          <t>نعم</t>
        </is>
      </c>
      <c r="K63" s="8" t="inlineStr">
        <is>
          <t>مرجع الطلب: NS-REQ-083 | ⚠ غير موجود في ملف الأرشيف السابق (transfer vouchers archive) – تمت إضافته من ملف التفصيل</t>
        </is>
      </c>
    </row>
    <row r="64">
      <c r="A64" s="8" t="n">
        <v>63</v>
      </c>
      <c r="B64" s="8" t="inlineStr">
        <is>
          <t>RNP</t>
        </is>
      </c>
      <c r="C64" s="8" t="inlineStr">
        <is>
          <t>ترحيل إلى قسم المشاريع تبوك</t>
        </is>
      </c>
      <c r="D64" s="8" t="inlineStr">
        <is>
          <t>ISV-0128</t>
        </is>
      </c>
      <c r="E64" s="21" t="n">
        <v>46229</v>
      </c>
      <c r="F64" s="8" t="inlineStr">
        <is>
          <t>طلب: NS-REQ-084</t>
        </is>
      </c>
      <c r="G64" s="8" t="n">
        <v>7</v>
      </c>
      <c r="H64" s="10" t="n">
        <v>2670</v>
      </c>
      <c r="I64" s="8" t="inlineStr">
        <is>
          <t>النظام الجديد</t>
        </is>
      </c>
      <c r="J64" s="8" t="inlineStr">
        <is>
          <t>نعم</t>
        </is>
      </c>
      <c r="K64" s="8" t="inlineStr">
        <is>
          <t>مرجع الطلب: NS-REQ-084 | ⚠ غير موجود في ملف الأرشيف السابق (transfer vouchers archive) – تمت إضافته من ملف التفصيل</t>
        </is>
      </c>
    </row>
    <row r="65">
      <c r="A65" s="11" t="n">
        <v>64</v>
      </c>
      <c r="B65" s="11" t="inlineStr">
        <is>
          <t>RNO</t>
        </is>
      </c>
      <c r="C65" s="11" t="inlineStr">
        <is>
          <t>صرف مواد للإنتاج – مزرعة الرياض</t>
        </is>
      </c>
      <c r="D65" s="11" t="inlineStr">
        <is>
          <t>RNO-1784</t>
        </is>
      </c>
      <c r="E65" s="22" t="n">
        <v>45863</v>
      </c>
      <c r="F65" s="11" t="inlineStr">
        <is>
          <t>OPERATION RIYADH NURSERY</t>
        </is>
      </c>
      <c r="G65" s="11" t="n"/>
      <c r="H65" s="13" t="n">
        <v>5179.26</v>
      </c>
      <c r="I65" s="11" t="inlineStr">
        <is>
          <t>النظام القديم</t>
        </is>
      </c>
      <c r="J65" s="11" t="inlineStr">
        <is>
          <t>لا</t>
        </is>
      </c>
      <c r="K65" s="11" t="inlineStr">
        <is>
          <t>قبل بداية الفترة 30-7-2025 – غير محسوب | بدون تفصيل بنود في السجل</t>
        </is>
      </c>
    </row>
    <row r="66">
      <c r="A66" s="11" t="n">
        <v>65</v>
      </c>
      <c r="B66" s="11" t="inlineStr">
        <is>
          <t>RNO</t>
        </is>
      </c>
      <c r="C66" s="11" t="inlineStr">
        <is>
          <t>صرف مواد للإنتاج – مزرعة الرياض</t>
        </is>
      </c>
      <c r="D66" s="11" t="inlineStr">
        <is>
          <t>RNO-1799</t>
        </is>
      </c>
      <c r="E66" s="22" t="n">
        <v>45865</v>
      </c>
      <c r="F66" s="11" t="inlineStr">
        <is>
          <t>OPERATION RIYADH NURSERY</t>
        </is>
      </c>
      <c r="G66" s="11" t="n"/>
      <c r="H66" s="13" t="n">
        <v>350.75</v>
      </c>
      <c r="I66" s="11" t="inlineStr">
        <is>
          <t>النظام القديم</t>
        </is>
      </c>
      <c r="J66" s="11" t="inlineStr">
        <is>
          <t>لا</t>
        </is>
      </c>
      <c r="K66" s="11" t="inlineStr">
        <is>
          <t>قبل بداية الفترة 30-7-2025 – غير محسوب | بدون تفصيل بنود في السجل</t>
        </is>
      </c>
    </row>
    <row r="67">
      <c r="A67" s="11" t="n">
        <v>66</v>
      </c>
      <c r="B67" s="11" t="inlineStr">
        <is>
          <t>RNO</t>
        </is>
      </c>
      <c r="C67" s="11" t="inlineStr">
        <is>
          <t>صرف مواد للإنتاج – مزرعة الرياض</t>
        </is>
      </c>
      <c r="D67" s="11" t="inlineStr">
        <is>
          <t>RNO-1814</t>
        </is>
      </c>
      <c r="E67" s="22" t="n">
        <v>45867</v>
      </c>
      <c r="F67" s="11" t="inlineStr">
        <is>
          <t>OPERATION RIYADH NURSERY</t>
        </is>
      </c>
      <c r="G67" s="11" t="n"/>
      <c r="H67" s="13" t="n">
        <v>7590</v>
      </c>
      <c r="I67" s="11" t="inlineStr">
        <is>
          <t>النظام القديم</t>
        </is>
      </c>
      <c r="J67" s="11" t="inlineStr">
        <is>
          <t>لا</t>
        </is>
      </c>
      <c r="K67" s="11" t="inlineStr">
        <is>
          <t>قبل بداية الفترة 30-7-2025 – غير محسوب | بدون تفصيل بنود في السجل</t>
        </is>
      </c>
    </row>
    <row r="68">
      <c r="A68" s="11" t="n">
        <v>67</v>
      </c>
      <c r="B68" s="11" t="inlineStr">
        <is>
          <t>RNO</t>
        </is>
      </c>
      <c r="C68" s="11" t="inlineStr">
        <is>
          <t>صرف مواد للإنتاج – مزرعة الرياض</t>
        </is>
      </c>
      <c r="D68" s="11" t="inlineStr">
        <is>
          <t>RNO-1816</t>
        </is>
      </c>
      <c r="E68" s="22" t="n">
        <v>45867</v>
      </c>
      <c r="F68" s="11" t="inlineStr">
        <is>
          <t>OPERATION RIYADH NURSERY</t>
        </is>
      </c>
      <c r="G68" s="11" t="n"/>
      <c r="H68" s="13" t="n">
        <v>200.1</v>
      </c>
      <c r="I68" s="11" t="inlineStr">
        <is>
          <t>النظام القديم</t>
        </is>
      </c>
      <c r="J68" s="11" t="inlineStr">
        <is>
          <t>لا</t>
        </is>
      </c>
      <c r="K68" s="11" t="inlineStr">
        <is>
          <t>قبل بداية الفترة 30-7-2025 – غير محسوب | بدون تفصيل بنود في السجل</t>
        </is>
      </c>
    </row>
    <row r="69">
      <c r="A69" s="3" t="n">
        <v>68</v>
      </c>
      <c r="B69" s="3" t="inlineStr">
        <is>
          <t>RNO</t>
        </is>
      </c>
      <c r="C69" s="3" t="inlineStr">
        <is>
          <t>صرف مواد للإنتاج – مزرعة الرياض</t>
        </is>
      </c>
      <c r="D69" s="3" t="inlineStr">
        <is>
          <t>RNO-1861</t>
        </is>
      </c>
      <c r="E69" s="20" t="n">
        <v>45872</v>
      </c>
      <c r="F69" s="3" t="inlineStr">
        <is>
          <t>OPERATION RIYADH NURSERY</t>
        </is>
      </c>
      <c r="G69" s="3" t="n"/>
      <c r="H69" s="4" t="n">
        <v>287.5</v>
      </c>
      <c r="I69" s="3" t="inlineStr">
        <is>
          <t>النظام القديم</t>
        </is>
      </c>
      <c r="J69" s="3" t="inlineStr">
        <is>
          <t>نعم</t>
        </is>
      </c>
      <c r="K69" s="3" t="inlineStr">
        <is>
          <t>بدون تفصيل بنود في السجل</t>
        </is>
      </c>
    </row>
    <row r="70">
      <c r="A70" s="3" t="n">
        <v>69</v>
      </c>
      <c r="B70" s="3" t="inlineStr">
        <is>
          <t>RNO</t>
        </is>
      </c>
      <c r="C70" s="3" t="inlineStr">
        <is>
          <t>صرف مواد للإنتاج – مزرعة الرياض</t>
        </is>
      </c>
      <c r="D70" s="3" t="inlineStr">
        <is>
          <t>RNO-2176</t>
        </is>
      </c>
      <c r="E70" s="20" t="n">
        <v>45873</v>
      </c>
      <c r="F70" s="3" t="inlineStr">
        <is>
          <t>OPERATION RIYADH NURSERY</t>
        </is>
      </c>
      <c r="G70" s="3" t="n"/>
      <c r="H70" s="4" t="n">
        <v>1690.5</v>
      </c>
      <c r="I70" s="3" t="inlineStr">
        <is>
          <t>النظام القديم</t>
        </is>
      </c>
      <c r="J70" s="3" t="inlineStr">
        <is>
          <t>نعم</t>
        </is>
      </c>
      <c r="K70" s="3" t="inlineStr">
        <is>
          <t>بدون تفصيل بنود في السجل</t>
        </is>
      </c>
    </row>
    <row r="71">
      <c r="A71" s="3" t="n">
        <v>70</v>
      </c>
      <c r="B71" s="3" t="inlineStr">
        <is>
          <t>RNO</t>
        </is>
      </c>
      <c r="C71" s="3" t="inlineStr">
        <is>
          <t>صرف مواد للإنتاج – مزرعة الرياض</t>
        </is>
      </c>
      <c r="D71" s="3" t="inlineStr">
        <is>
          <t>RNO-1890</t>
        </is>
      </c>
      <c r="E71" s="20" t="n">
        <v>45878</v>
      </c>
      <c r="F71" s="3" t="inlineStr">
        <is>
          <t>OPERATION RIYADH NURSERY</t>
        </is>
      </c>
      <c r="G71" s="3" t="n"/>
      <c r="H71" s="4" t="n">
        <v>4294.1</v>
      </c>
      <c r="I71" s="3" t="inlineStr">
        <is>
          <t>النظام القديم</t>
        </is>
      </c>
      <c r="J71" s="3" t="inlineStr">
        <is>
          <t>نعم</t>
        </is>
      </c>
      <c r="K71" s="3" t="inlineStr">
        <is>
          <t>بدون تفصيل بنود في السجل</t>
        </is>
      </c>
    </row>
    <row r="72">
      <c r="A72" s="3" t="n">
        <v>71</v>
      </c>
      <c r="B72" s="3" t="inlineStr">
        <is>
          <t>RNO</t>
        </is>
      </c>
      <c r="C72" s="3" t="inlineStr">
        <is>
          <t>صرف مواد للإنتاج – مزرعة الرياض</t>
        </is>
      </c>
      <c r="D72" s="3" t="inlineStr">
        <is>
          <t>RNO-1895</t>
        </is>
      </c>
      <c r="E72" s="20" t="n">
        <v>45878</v>
      </c>
      <c r="F72" s="3" t="inlineStr">
        <is>
          <t>OPERATION RIYADH NURSERY</t>
        </is>
      </c>
      <c r="G72" s="3" t="n"/>
      <c r="H72" s="4" t="n">
        <v>3775</v>
      </c>
      <c r="I72" s="3" t="inlineStr">
        <is>
          <t>النظام القديم</t>
        </is>
      </c>
      <c r="J72" s="3" t="inlineStr">
        <is>
          <t>نعم</t>
        </is>
      </c>
      <c r="K72" s="3" t="inlineStr">
        <is>
          <t>بدون تفصيل بنود في السجل</t>
        </is>
      </c>
    </row>
    <row r="73">
      <c r="A73" s="3" t="n">
        <v>72</v>
      </c>
      <c r="B73" s="3" t="inlineStr">
        <is>
          <t>RNO</t>
        </is>
      </c>
      <c r="C73" s="3" t="inlineStr">
        <is>
          <t>صرف مواد للإنتاج – مزرعة الرياض</t>
        </is>
      </c>
      <c r="D73" s="3" t="inlineStr">
        <is>
          <t>RNO-1899</t>
        </is>
      </c>
      <c r="E73" s="20" t="n">
        <v>45878</v>
      </c>
      <c r="F73" s="3" t="inlineStr">
        <is>
          <t>OPERATION RIYADH NURSERY</t>
        </is>
      </c>
      <c r="G73" s="3" t="n"/>
      <c r="H73" s="4" t="n">
        <v>9043</v>
      </c>
      <c r="I73" s="3" t="inlineStr">
        <is>
          <t>النظام القديم</t>
        </is>
      </c>
      <c r="J73" s="3" t="inlineStr">
        <is>
          <t>نعم</t>
        </is>
      </c>
      <c r="K73" s="3" t="inlineStr">
        <is>
          <t>بدون تفصيل بنود في السجل</t>
        </is>
      </c>
    </row>
    <row r="74">
      <c r="A74" s="3" t="n">
        <v>73</v>
      </c>
      <c r="B74" s="3" t="inlineStr">
        <is>
          <t>RNO</t>
        </is>
      </c>
      <c r="C74" s="3" t="inlineStr">
        <is>
          <t>صرف مواد للإنتاج – مزرعة الرياض</t>
        </is>
      </c>
      <c r="D74" s="3" t="inlineStr">
        <is>
          <t>RNO-1900</t>
        </is>
      </c>
      <c r="E74" s="20" t="n">
        <v>45878</v>
      </c>
      <c r="F74" s="3" t="inlineStr">
        <is>
          <t>OPERATION RIYADH NURSERY</t>
        </is>
      </c>
      <c r="G74" s="3" t="n"/>
      <c r="H74" s="4" t="n">
        <v>7500</v>
      </c>
      <c r="I74" s="3" t="inlineStr">
        <is>
          <t>النظام القديم</t>
        </is>
      </c>
      <c r="J74" s="3" t="inlineStr">
        <is>
          <t>نعم</t>
        </is>
      </c>
      <c r="K74" s="3" t="inlineStr">
        <is>
          <t>بدون تفصيل بنود في السجل</t>
        </is>
      </c>
    </row>
    <row r="75">
      <c r="A75" s="3" t="n">
        <v>74</v>
      </c>
      <c r="B75" s="3" t="inlineStr">
        <is>
          <t>RNO</t>
        </is>
      </c>
      <c r="C75" s="3" t="inlineStr">
        <is>
          <t>صرف مواد للإنتاج – مزرعة الرياض</t>
        </is>
      </c>
      <c r="D75" s="3" t="inlineStr">
        <is>
          <t>RNO-1922</t>
        </is>
      </c>
      <c r="E75" s="20" t="n">
        <v>45882</v>
      </c>
      <c r="F75" s="3" t="inlineStr">
        <is>
          <t>OPERATION RIYADH NURSERY</t>
        </is>
      </c>
      <c r="G75" s="3" t="n"/>
      <c r="H75" s="4" t="n">
        <v>2855.45</v>
      </c>
      <c r="I75" s="3" t="inlineStr">
        <is>
          <t>النظام القديم</t>
        </is>
      </c>
      <c r="J75" s="3" t="inlineStr">
        <is>
          <t>نعم</t>
        </is>
      </c>
      <c r="K75" s="3" t="inlineStr">
        <is>
          <t>بدون تفصيل بنود في السجل</t>
        </is>
      </c>
    </row>
    <row r="76">
      <c r="A76" s="3" t="n">
        <v>75</v>
      </c>
      <c r="B76" s="3" t="inlineStr">
        <is>
          <t>RNO</t>
        </is>
      </c>
      <c r="C76" s="3" t="inlineStr">
        <is>
          <t>صرف مواد للإنتاج – مزرعة الرياض</t>
        </is>
      </c>
      <c r="D76" s="3" t="inlineStr">
        <is>
          <t>RNO-1940</t>
        </is>
      </c>
      <c r="E76" s="20" t="n">
        <v>45885</v>
      </c>
      <c r="F76" s="3" t="inlineStr">
        <is>
          <t>OPERATION RIYADH NURSERY</t>
        </is>
      </c>
      <c r="G76" s="3" t="n"/>
      <c r="H76" s="4" t="n">
        <v>3737.5</v>
      </c>
      <c r="I76" s="3" t="inlineStr">
        <is>
          <t>النظام القديم</t>
        </is>
      </c>
      <c r="J76" s="3" t="inlineStr">
        <is>
          <t>نعم</t>
        </is>
      </c>
      <c r="K76" s="3" t="inlineStr">
        <is>
          <t>بدون تفصيل بنود في السجل</t>
        </is>
      </c>
    </row>
    <row r="77">
      <c r="A77" s="3" t="n">
        <v>76</v>
      </c>
      <c r="B77" s="3" t="inlineStr">
        <is>
          <t>RNO</t>
        </is>
      </c>
      <c r="C77" s="3" t="inlineStr">
        <is>
          <t>صرف مواد للإنتاج – مزرعة الرياض</t>
        </is>
      </c>
      <c r="D77" s="3" t="inlineStr">
        <is>
          <t>RNO-1939</t>
        </is>
      </c>
      <c r="E77" s="20" t="n">
        <v>45886</v>
      </c>
      <c r="F77" s="3" t="inlineStr">
        <is>
          <t>OPERATION RIYADH NURSERY</t>
        </is>
      </c>
      <c r="G77" s="3" t="n"/>
      <c r="H77" s="4" t="n">
        <v>1220.15</v>
      </c>
      <c r="I77" s="3" t="inlineStr">
        <is>
          <t>النظام القديم</t>
        </is>
      </c>
      <c r="J77" s="3" t="inlineStr">
        <is>
          <t>نعم</t>
        </is>
      </c>
      <c r="K77" s="3" t="inlineStr">
        <is>
          <t>بدون تفصيل بنود في السجل</t>
        </is>
      </c>
    </row>
    <row r="78">
      <c r="A78" s="3" t="n">
        <v>77</v>
      </c>
      <c r="B78" s="3" t="inlineStr">
        <is>
          <t>RNO</t>
        </is>
      </c>
      <c r="C78" s="3" t="inlineStr">
        <is>
          <t>صرف مواد للإنتاج – مزرعة الرياض</t>
        </is>
      </c>
      <c r="D78" s="3" t="inlineStr">
        <is>
          <t>RNO-1959</t>
        </is>
      </c>
      <c r="E78" s="20" t="n">
        <v>45887</v>
      </c>
      <c r="F78" s="3" t="inlineStr">
        <is>
          <t>OPERATION RIYADH NURSERY</t>
        </is>
      </c>
      <c r="G78" s="3" t="n"/>
      <c r="H78" s="4" t="n">
        <v>138</v>
      </c>
      <c r="I78" s="3" t="inlineStr">
        <is>
          <t>النظام القديم</t>
        </is>
      </c>
      <c r="J78" s="3" t="inlineStr">
        <is>
          <t>نعم</t>
        </is>
      </c>
      <c r="K78" s="3" t="inlineStr">
        <is>
          <t>بدون تفصيل بنود في السجل</t>
        </is>
      </c>
    </row>
    <row r="79">
      <c r="A79" s="3" t="n">
        <v>78</v>
      </c>
      <c r="B79" s="3" t="inlineStr">
        <is>
          <t>RNO</t>
        </is>
      </c>
      <c r="C79" s="3" t="inlineStr">
        <is>
          <t>صرف مواد للإنتاج – مزرعة الرياض</t>
        </is>
      </c>
      <c r="D79" s="3" t="inlineStr">
        <is>
          <t>RNO-1967</t>
        </is>
      </c>
      <c r="E79" s="20" t="n">
        <v>45889</v>
      </c>
      <c r="F79" s="3" t="inlineStr">
        <is>
          <t>OPERATION RIYADH NURSERY</t>
        </is>
      </c>
      <c r="G79" s="3" t="n"/>
      <c r="H79" s="4" t="n">
        <v>4525.25</v>
      </c>
      <c r="I79" s="3" t="inlineStr">
        <is>
          <t>النظام القديم</t>
        </is>
      </c>
      <c r="J79" s="3" t="inlineStr">
        <is>
          <t>نعم</t>
        </is>
      </c>
      <c r="K79" s="3" t="inlineStr">
        <is>
          <t>بدون تفصيل بنود في السجل</t>
        </is>
      </c>
    </row>
    <row r="80">
      <c r="A80" s="3" t="n">
        <v>79</v>
      </c>
      <c r="B80" s="3" t="inlineStr">
        <is>
          <t>RNO</t>
        </is>
      </c>
      <c r="C80" s="3" t="inlineStr">
        <is>
          <t>صرف مواد للإنتاج – مزرعة الرياض</t>
        </is>
      </c>
      <c r="D80" s="3" t="inlineStr">
        <is>
          <t>RNO-1986</t>
        </is>
      </c>
      <c r="E80" s="20" t="n">
        <v>45890</v>
      </c>
      <c r="F80" s="3" t="inlineStr">
        <is>
          <t>OPERATION RIYADH NURSERY</t>
        </is>
      </c>
      <c r="G80" s="3" t="n"/>
      <c r="H80" s="4" t="n">
        <v>920</v>
      </c>
      <c r="I80" s="3" t="inlineStr">
        <is>
          <t>النظام القديم</t>
        </is>
      </c>
      <c r="J80" s="3" t="inlineStr">
        <is>
          <t>نعم</t>
        </is>
      </c>
      <c r="K80" s="3" t="inlineStr">
        <is>
          <t>بدون تفصيل بنود في السجل</t>
        </is>
      </c>
    </row>
    <row r="81">
      <c r="A81" s="3" t="n">
        <v>80</v>
      </c>
      <c r="B81" s="3" t="inlineStr">
        <is>
          <t>RNO</t>
        </is>
      </c>
      <c r="C81" s="3" t="inlineStr">
        <is>
          <t>صرف مواد للإنتاج – مزرعة الرياض</t>
        </is>
      </c>
      <c r="D81" s="3" t="inlineStr">
        <is>
          <t>RNO-1989</t>
        </is>
      </c>
      <c r="E81" s="20" t="n">
        <v>45890</v>
      </c>
      <c r="F81" s="3" t="inlineStr">
        <is>
          <t>OPERATION RIYADH NURSERY</t>
        </is>
      </c>
      <c r="G81" s="3" t="n"/>
      <c r="H81" s="4" t="n">
        <v>517.5</v>
      </c>
      <c r="I81" s="3" t="inlineStr">
        <is>
          <t>النظام القديم</t>
        </is>
      </c>
      <c r="J81" s="3" t="inlineStr">
        <is>
          <t>نعم</t>
        </is>
      </c>
      <c r="K81" s="3" t="inlineStr">
        <is>
          <t>بدون تفصيل بنود في السجل</t>
        </is>
      </c>
    </row>
    <row r="82">
      <c r="A82" s="3" t="n">
        <v>81</v>
      </c>
      <c r="B82" s="3" t="inlineStr">
        <is>
          <t>RNO</t>
        </is>
      </c>
      <c r="C82" s="3" t="inlineStr">
        <is>
          <t>صرف مواد للإنتاج – مزرعة الرياض</t>
        </is>
      </c>
      <c r="D82" s="3" t="inlineStr">
        <is>
          <t>RNO-1997</t>
        </is>
      </c>
      <c r="E82" s="20" t="n">
        <v>45892</v>
      </c>
      <c r="F82" s="3" t="inlineStr">
        <is>
          <t>OPERATION RIYADH NURSERY</t>
        </is>
      </c>
      <c r="G82" s="3" t="n"/>
      <c r="H82" s="4" t="n">
        <v>1534.68</v>
      </c>
      <c r="I82" s="3" t="inlineStr">
        <is>
          <t>النظام القديم</t>
        </is>
      </c>
      <c r="J82" s="3" t="inlineStr">
        <is>
          <t>نعم</t>
        </is>
      </c>
      <c r="K82" s="3" t="inlineStr">
        <is>
          <t>بدون تفصيل بنود في السجل</t>
        </is>
      </c>
    </row>
    <row r="83">
      <c r="A83" s="3" t="n">
        <v>82</v>
      </c>
      <c r="B83" s="3" t="inlineStr">
        <is>
          <t>RNO</t>
        </is>
      </c>
      <c r="C83" s="3" t="inlineStr">
        <is>
          <t>صرف مواد للإنتاج – مزرعة الرياض</t>
        </is>
      </c>
      <c r="D83" s="3" t="inlineStr">
        <is>
          <t>RNO-2000</t>
        </is>
      </c>
      <c r="E83" s="20" t="n">
        <v>45892</v>
      </c>
      <c r="F83" s="3" t="inlineStr">
        <is>
          <t>OPERATION RIYADH NURSERY</t>
        </is>
      </c>
      <c r="G83" s="3" t="n"/>
      <c r="H83" s="4" t="n">
        <v>517.5</v>
      </c>
      <c r="I83" s="3" t="inlineStr">
        <is>
          <t>النظام القديم</t>
        </is>
      </c>
      <c r="J83" s="3" t="inlineStr">
        <is>
          <t>نعم</t>
        </is>
      </c>
      <c r="K83" s="3" t="inlineStr">
        <is>
          <t>بدون تفصيل بنود في السجل</t>
        </is>
      </c>
    </row>
    <row r="84">
      <c r="A84" s="3" t="n">
        <v>83</v>
      </c>
      <c r="B84" s="3" t="inlineStr">
        <is>
          <t>RNO</t>
        </is>
      </c>
      <c r="C84" s="3" t="inlineStr">
        <is>
          <t>صرف مواد للإنتاج – مزرعة الرياض</t>
        </is>
      </c>
      <c r="D84" s="3" t="inlineStr">
        <is>
          <t>RNO-2001</t>
        </is>
      </c>
      <c r="E84" s="20" t="n">
        <v>45892</v>
      </c>
      <c r="F84" s="3" t="inlineStr">
        <is>
          <t>OPERATION RIYADH NURSERY</t>
        </is>
      </c>
      <c r="G84" s="3" t="n"/>
      <c r="H84" s="4" t="n">
        <v>517.5</v>
      </c>
      <c r="I84" s="3" t="inlineStr">
        <is>
          <t>النظام القديم</t>
        </is>
      </c>
      <c r="J84" s="3" t="inlineStr">
        <is>
          <t>نعم</t>
        </is>
      </c>
      <c r="K84" s="3" t="inlineStr">
        <is>
          <t>بدون تفصيل بنود في السجل</t>
        </is>
      </c>
    </row>
    <row r="85">
      <c r="A85" s="3" t="n">
        <v>84</v>
      </c>
      <c r="B85" s="3" t="inlineStr">
        <is>
          <t>RNO</t>
        </is>
      </c>
      <c r="C85" s="3" t="inlineStr">
        <is>
          <t>صرف مواد للإنتاج – مزرعة الرياض</t>
        </is>
      </c>
      <c r="D85" s="3" t="inlineStr">
        <is>
          <t>RNO-2005</t>
        </is>
      </c>
      <c r="E85" s="20" t="n">
        <v>45893</v>
      </c>
      <c r="F85" s="3" t="inlineStr">
        <is>
          <t>OPERATION RIYADH NURSERY</t>
        </is>
      </c>
      <c r="G85" s="3" t="n"/>
      <c r="H85" s="4" t="n">
        <v>517.5</v>
      </c>
      <c r="I85" s="3" t="inlineStr">
        <is>
          <t>النظام القديم</t>
        </is>
      </c>
      <c r="J85" s="3" t="inlineStr">
        <is>
          <t>نعم</t>
        </is>
      </c>
      <c r="K85" s="3" t="inlineStr">
        <is>
          <t>بدون تفصيل بنود في السجل</t>
        </is>
      </c>
    </row>
    <row r="86">
      <c r="A86" s="3" t="n">
        <v>85</v>
      </c>
      <c r="B86" s="3" t="inlineStr">
        <is>
          <t>RNO</t>
        </is>
      </c>
      <c r="C86" s="3" t="inlineStr">
        <is>
          <t>صرف مواد للإنتاج – مزرعة الرياض</t>
        </is>
      </c>
      <c r="D86" s="3" t="inlineStr">
        <is>
          <t>RNO-2013</t>
        </is>
      </c>
      <c r="E86" s="20" t="n">
        <v>45893</v>
      </c>
      <c r="F86" s="3" t="inlineStr">
        <is>
          <t>OPERATION RIYADH NURSERY</t>
        </is>
      </c>
      <c r="G86" s="3" t="n"/>
      <c r="H86" s="4" t="n">
        <v>4439</v>
      </c>
      <c r="I86" s="3" t="inlineStr">
        <is>
          <t>النظام القديم</t>
        </is>
      </c>
      <c r="J86" s="3" t="inlineStr">
        <is>
          <t>نعم</t>
        </is>
      </c>
      <c r="K86" s="3" t="inlineStr">
        <is>
          <t>بدون تفصيل بنود في السجل</t>
        </is>
      </c>
    </row>
    <row r="87">
      <c r="A87" s="3" t="n">
        <v>86</v>
      </c>
      <c r="B87" s="3" t="inlineStr">
        <is>
          <t>RNO</t>
        </is>
      </c>
      <c r="C87" s="3" t="inlineStr">
        <is>
          <t>صرف مواد للإنتاج – مزرعة الرياض</t>
        </is>
      </c>
      <c r="D87" s="3" t="inlineStr">
        <is>
          <t>RNO-2028</t>
        </is>
      </c>
      <c r="E87" s="20" t="n">
        <v>45895</v>
      </c>
      <c r="F87" s="3" t="inlineStr">
        <is>
          <t>OPERATION RIYADH NURSERY</t>
        </is>
      </c>
      <c r="G87" s="3" t="n"/>
      <c r="H87" s="4" t="n">
        <v>5847.75</v>
      </c>
      <c r="I87" s="3" t="inlineStr">
        <is>
          <t>النظام القديم</t>
        </is>
      </c>
      <c r="J87" s="3" t="inlineStr">
        <is>
          <t>نعم</t>
        </is>
      </c>
      <c r="K87" s="3" t="inlineStr">
        <is>
          <t>بدون تفصيل بنود في السجل</t>
        </is>
      </c>
    </row>
    <row r="88">
      <c r="A88" s="3" t="n">
        <v>87</v>
      </c>
      <c r="B88" s="3" t="inlineStr">
        <is>
          <t>RNO</t>
        </is>
      </c>
      <c r="C88" s="3" t="inlineStr">
        <is>
          <t>صرف مواد للإنتاج – مزرعة الرياض</t>
        </is>
      </c>
      <c r="D88" s="3" t="inlineStr">
        <is>
          <t>RNO-2035</t>
        </is>
      </c>
      <c r="E88" s="20" t="n">
        <v>45896</v>
      </c>
      <c r="F88" s="3" t="inlineStr">
        <is>
          <t>OPERATION RIYADH NURSERY</t>
        </is>
      </c>
      <c r="G88" s="3" t="n"/>
      <c r="H88" s="4" t="n">
        <v>3458.63</v>
      </c>
      <c r="I88" s="3" t="inlineStr">
        <is>
          <t>النظام القديم</t>
        </is>
      </c>
      <c r="J88" s="3" t="inlineStr">
        <is>
          <t>نعم</t>
        </is>
      </c>
      <c r="K88" s="3" t="inlineStr">
        <is>
          <t>بدون تفصيل بنود في السجل</t>
        </is>
      </c>
    </row>
    <row r="89">
      <c r="A89" s="3" t="n">
        <v>88</v>
      </c>
      <c r="B89" s="3" t="inlineStr">
        <is>
          <t>RNO</t>
        </is>
      </c>
      <c r="C89" s="3" t="inlineStr">
        <is>
          <t>صرف مواد للإنتاج – مزرعة الرياض</t>
        </is>
      </c>
      <c r="D89" s="3" t="inlineStr">
        <is>
          <t>RNO-2049</t>
        </is>
      </c>
      <c r="E89" s="20" t="n">
        <v>45897</v>
      </c>
      <c r="F89" s="3" t="inlineStr">
        <is>
          <t>OPERATION RIYADH NURSERY</t>
        </is>
      </c>
      <c r="G89" s="3" t="n"/>
      <c r="H89" s="4" t="n">
        <v>4467.75</v>
      </c>
      <c r="I89" s="3" t="inlineStr">
        <is>
          <t>النظام القديم</t>
        </is>
      </c>
      <c r="J89" s="3" t="inlineStr">
        <is>
          <t>نعم</t>
        </is>
      </c>
      <c r="K89" s="3" t="inlineStr">
        <is>
          <t>بدون تفصيل بنود في السجل</t>
        </is>
      </c>
    </row>
    <row r="90">
      <c r="A90" s="3" t="n">
        <v>89</v>
      </c>
      <c r="B90" s="3" t="inlineStr">
        <is>
          <t>RNO</t>
        </is>
      </c>
      <c r="C90" s="3" t="inlineStr">
        <is>
          <t>صرف مواد للإنتاج – مزرعة الرياض</t>
        </is>
      </c>
      <c r="D90" s="3" t="inlineStr">
        <is>
          <t>RNO-2218</t>
        </is>
      </c>
      <c r="E90" s="20" t="n">
        <v>45898</v>
      </c>
      <c r="F90" s="3" t="inlineStr">
        <is>
          <t>OPERATION RIYADH NURSERY</t>
        </is>
      </c>
      <c r="G90" s="3" t="n"/>
      <c r="H90" s="4" t="n">
        <v>8625</v>
      </c>
      <c r="I90" s="3" t="inlineStr">
        <is>
          <t>النظام القديم</t>
        </is>
      </c>
      <c r="J90" s="3" t="inlineStr">
        <is>
          <t>نعم</t>
        </is>
      </c>
      <c r="K90" s="3" t="inlineStr">
        <is>
          <t>بدون تفصيل بنود في السجل</t>
        </is>
      </c>
    </row>
    <row r="91">
      <c r="A91" s="3" t="n">
        <v>90</v>
      </c>
      <c r="B91" s="3" t="inlineStr">
        <is>
          <t>RNO</t>
        </is>
      </c>
      <c r="C91" s="3" t="inlineStr">
        <is>
          <t>صرف مواد للإنتاج – مزرعة الرياض</t>
        </is>
      </c>
      <c r="D91" s="3" t="inlineStr">
        <is>
          <t>RNO-2063</t>
        </is>
      </c>
      <c r="E91" s="20" t="n">
        <v>45899</v>
      </c>
      <c r="F91" s="3" t="inlineStr">
        <is>
          <t>OPERATION RIYADH NURSERY</t>
        </is>
      </c>
      <c r="G91" s="3" t="n"/>
      <c r="H91" s="4" t="n">
        <v>9617.450000000001</v>
      </c>
      <c r="I91" s="3" t="inlineStr">
        <is>
          <t>النظام القديم</t>
        </is>
      </c>
      <c r="J91" s="3" t="inlineStr">
        <is>
          <t>نعم</t>
        </is>
      </c>
      <c r="K91" s="3" t="inlineStr">
        <is>
          <t>بدون تفصيل بنود في السجل</t>
        </is>
      </c>
    </row>
    <row r="92">
      <c r="A92" s="3" t="n">
        <v>91</v>
      </c>
      <c r="B92" s="3" t="inlineStr">
        <is>
          <t>RNO</t>
        </is>
      </c>
      <c r="C92" s="3" t="inlineStr">
        <is>
          <t>صرف مواد للإنتاج – مزرعة الرياض</t>
        </is>
      </c>
      <c r="D92" s="3" t="inlineStr">
        <is>
          <t>RNO-2071</t>
        </is>
      </c>
      <c r="E92" s="20" t="n">
        <v>45901</v>
      </c>
      <c r="F92" s="3" t="inlineStr">
        <is>
          <t>OPERATION RIYADH NURSERY</t>
        </is>
      </c>
      <c r="G92" s="3" t="n"/>
      <c r="H92" s="4" t="n">
        <v>414</v>
      </c>
      <c r="I92" s="3" t="inlineStr">
        <is>
          <t>النظام القديم</t>
        </is>
      </c>
      <c r="J92" s="3" t="inlineStr">
        <is>
          <t>نعم</t>
        </is>
      </c>
      <c r="K92" s="3" t="inlineStr">
        <is>
          <t>بدون تفصيل بنود في السجل</t>
        </is>
      </c>
    </row>
    <row r="93">
      <c r="A93" s="3" t="n">
        <v>92</v>
      </c>
      <c r="B93" s="3" t="inlineStr">
        <is>
          <t>RNO</t>
        </is>
      </c>
      <c r="C93" s="3" t="inlineStr">
        <is>
          <t>صرف مواد للإنتاج – مزرعة الرياض</t>
        </is>
      </c>
      <c r="D93" s="3" t="inlineStr">
        <is>
          <t>RNO-2074</t>
        </is>
      </c>
      <c r="E93" s="20" t="n">
        <v>45901</v>
      </c>
      <c r="F93" s="3" t="inlineStr">
        <is>
          <t>OPERATION RIYADH NURSERY</t>
        </is>
      </c>
      <c r="G93" s="3" t="n"/>
      <c r="H93" s="4" t="n">
        <v>17583.5</v>
      </c>
      <c r="I93" s="3" t="inlineStr">
        <is>
          <t>النظام القديم</t>
        </is>
      </c>
      <c r="J93" s="3" t="inlineStr">
        <is>
          <t>نعم</t>
        </is>
      </c>
      <c r="K93" s="3" t="inlineStr">
        <is>
          <t>بدون تفصيل بنود في السجل</t>
        </is>
      </c>
    </row>
    <row r="94">
      <c r="A94" s="3" t="n">
        <v>93</v>
      </c>
      <c r="B94" s="3" t="inlineStr">
        <is>
          <t>RNO</t>
        </is>
      </c>
      <c r="C94" s="3" t="inlineStr">
        <is>
          <t>صرف مواد للإنتاج – مزرعة الرياض</t>
        </is>
      </c>
      <c r="D94" s="3" t="inlineStr">
        <is>
          <t>RNO-2082</t>
        </is>
      </c>
      <c r="E94" s="20" t="n">
        <v>45901</v>
      </c>
      <c r="F94" s="3" t="inlineStr">
        <is>
          <t>OPERATION RIYADH NURSERY</t>
        </is>
      </c>
      <c r="G94" s="3" t="n"/>
      <c r="H94" s="4" t="n">
        <v>2551.85</v>
      </c>
      <c r="I94" s="3" t="inlineStr">
        <is>
          <t>النظام القديم</t>
        </is>
      </c>
      <c r="J94" s="3" t="inlineStr">
        <is>
          <t>نعم</t>
        </is>
      </c>
      <c r="K94" s="3" t="inlineStr">
        <is>
          <t>بدون تفصيل بنود في السجل</t>
        </is>
      </c>
    </row>
    <row r="95">
      <c r="A95" s="3" t="n">
        <v>94</v>
      </c>
      <c r="B95" s="3" t="inlineStr">
        <is>
          <t>RNO</t>
        </is>
      </c>
      <c r="C95" s="3" t="inlineStr">
        <is>
          <t>صرف مواد للإنتاج – مزرعة الرياض</t>
        </is>
      </c>
      <c r="D95" s="3" t="inlineStr">
        <is>
          <t>RNO-2087</t>
        </is>
      </c>
      <c r="E95" s="20" t="n">
        <v>45902</v>
      </c>
      <c r="F95" s="3" t="inlineStr">
        <is>
          <t>OPERATION RIYADH NURSERY</t>
        </is>
      </c>
      <c r="G95" s="3" t="n"/>
      <c r="H95" s="4" t="n">
        <v>4996.75</v>
      </c>
      <c r="I95" s="3" t="inlineStr">
        <is>
          <t>النظام القديم</t>
        </is>
      </c>
      <c r="J95" s="3" t="inlineStr">
        <is>
          <t>نعم</t>
        </is>
      </c>
      <c r="K95" s="3" t="inlineStr">
        <is>
          <t>بدون تفصيل بنود في السجل</t>
        </is>
      </c>
    </row>
    <row r="96">
      <c r="A96" s="3" t="n">
        <v>95</v>
      </c>
      <c r="B96" s="3" t="inlineStr">
        <is>
          <t>RNO</t>
        </is>
      </c>
      <c r="C96" s="3" t="inlineStr">
        <is>
          <t>صرف مواد للإنتاج – مزرعة الرياض</t>
        </is>
      </c>
      <c r="D96" s="3" t="inlineStr">
        <is>
          <t>RNO-2209</t>
        </is>
      </c>
      <c r="E96" s="20" t="n">
        <v>45903</v>
      </c>
      <c r="F96" s="3" t="inlineStr">
        <is>
          <t>OPERATION RIYADH NURSERY</t>
        </is>
      </c>
      <c r="G96" s="3" t="n"/>
      <c r="H96" s="4" t="n">
        <v>1071.8</v>
      </c>
      <c r="I96" s="3" t="inlineStr">
        <is>
          <t>النظام القديم</t>
        </is>
      </c>
      <c r="J96" s="3" t="inlineStr">
        <is>
          <t>نعم</t>
        </is>
      </c>
      <c r="K96" s="3" t="inlineStr">
        <is>
          <t>بدون تفصيل بنود في السجل</t>
        </is>
      </c>
    </row>
    <row r="97">
      <c r="A97" s="3" t="n">
        <v>96</v>
      </c>
      <c r="B97" s="3" t="inlineStr">
        <is>
          <t>RNO</t>
        </is>
      </c>
      <c r="C97" s="3" t="inlineStr">
        <is>
          <t>صرف مواد للإنتاج – مزرعة الرياض</t>
        </is>
      </c>
      <c r="D97" s="3" t="inlineStr">
        <is>
          <t>RNO-2109</t>
        </is>
      </c>
      <c r="E97" s="20" t="n">
        <v>45906</v>
      </c>
      <c r="F97" s="3" t="inlineStr">
        <is>
          <t>OPERATION RIYADH NURSERY</t>
        </is>
      </c>
      <c r="G97" s="3" t="n"/>
      <c r="H97" s="4" t="n">
        <v>10309.75</v>
      </c>
      <c r="I97" s="3" t="inlineStr">
        <is>
          <t>النظام القديم</t>
        </is>
      </c>
      <c r="J97" s="3" t="inlineStr">
        <is>
          <t>نعم</t>
        </is>
      </c>
      <c r="K97" s="3" t="inlineStr">
        <is>
          <t>بدون تفصيل بنود في السجل</t>
        </is>
      </c>
    </row>
    <row r="98">
      <c r="A98" s="3" t="n">
        <v>97</v>
      </c>
      <c r="B98" s="3" t="inlineStr">
        <is>
          <t>RNO</t>
        </is>
      </c>
      <c r="C98" s="3" t="inlineStr">
        <is>
          <t>صرف مواد للإنتاج – مزرعة الرياض</t>
        </is>
      </c>
      <c r="D98" s="3" t="inlineStr">
        <is>
          <t>RNO-2142</t>
        </is>
      </c>
      <c r="E98" s="20" t="n">
        <v>45910</v>
      </c>
      <c r="F98" s="3" t="inlineStr">
        <is>
          <t>OPERATION RIYADH NURSERY</t>
        </is>
      </c>
      <c r="G98" s="3" t="n"/>
      <c r="H98" s="4" t="n">
        <v>7181.18</v>
      </c>
      <c r="I98" s="3" t="inlineStr">
        <is>
          <t>النظام القديم</t>
        </is>
      </c>
      <c r="J98" s="3" t="inlineStr">
        <is>
          <t>نعم</t>
        </is>
      </c>
      <c r="K98" s="3" t="inlineStr">
        <is>
          <t>بدون تفصيل بنود في السجل</t>
        </is>
      </c>
    </row>
    <row r="99">
      <c r="A99" s="3" t="n">
        <v>98</v>
      </c>
      <c r="B99" s="3" t="inlineStr">
        <is>
          <t>RNO</t>
        </is>
      </c>
      <c r="C99" s="3" t="inlineStr">
        <is>
          <t>صرف مواد للإنتاج – مزرعة الرياض</t>
        </is>
      </c>
      <c r="D99" s="3" t="inlineStr">
        <is>
          <t>RNO-2156</t>
        </is>
      </c>
      <c r="E99" s="20" t="n">
        <v>45910</v>
      </c>
      <c r="F99" s="3" t="inlineStr">
        <is>
          <t>OPERATION RIYADH NURSERY</t>
        </is>
      </c>
      <c r="G99" s="3" t="n"/>
      <c r="H99" s="4" t="n">
        <v>1144.25</v>
      </c>
      <c r="I99" s="3" t="inlineStr">
        <is>
          <t>النظام القديم</t>
        </is>
      </c>
      <c r="J99" s="3" t="inlineStr">
        <is>
          <t>نعم</t>
        </is>
      </c>
      <c r="K99" s="3" t="inlineStr">
        <is>
          <t>بدون تفصيل بنود في السجل</t>
        </is>
      </c>
    </row>
    <row r="100">
      <c r="A100" s="3" t="n">
        <v>99</v>
      </c>
      <c r="B100" s="3" t="inlineStr">
        <is>
          <t>RNO</t>
        </is>
      </c>
      <c r="C100" s="3" t="inlineStr">
        <is>
          <t>صرف مواد للإنتاج – مزرعة الرياض</t>
        </is>
      </c>
      <c r="D100" s="3" t="inlineStr">
        <is>
          <t>RNO-2219</t>
        </is>
      </c>
      <c r="E100" s="20" t="n">
        <v>45910</v>
      </c>
      <c r="F100" s="3" t="inlineStr">
        <is>
          <t>OPERATION RIYADH NURSERY</t>
        </is>
      </c>
      <c r="G100" s="3" t="n"/>
      <c r="H100" s="4" t="n">
        <v>14202.5</v>
      </c>
      <c r="I100" s="3" t="inlineStr">
        <is>
          <t>النظام القديم</t>
        </is>
      </c>
      <c r="J100" s="3" t="inlineStr">
        <is>
          <t>نعم</t>
        </is>
      </c>
      <c r="K100" s="3" t="inlineStr">
        <is>
          <t>بدون تفصيل بنود في السجل</t>
        </is>
      </c>
    </row>
    <row r="101">
      <c r="A101" s="3" t="n">
        <v>100</v>
      </c>
      <c r="B101" s="3" t="inlineStr">
        <is>
          <t>RNO</t>
        </is>
      </c>
      <c r="C101" s="3" t="inlineStr">
        <is>
          <t>صرف مواد للإنتاج – مزرعة الرياض</t>
        </is>
      </c>
      <c r="D101" s="3" t="inlineStr">
        <is>
          <t>RNO-2163</t>
        </is>
      </c>
      <c r="E101" s="20" t="n">
        <v>45911</v>
      </c>
      <c r="F101" s="3" t="inlineStr">
        <is>
          <t>OPERATION RIYADH NURSERY</t>
        </is>
      </c>
      <c r="G101" s="3" t="n"/>
      <c r="H101" s="4" t="n">
        <v>6399.75</v>
      </c>
      <c r="I101" s="3" t="inlineStr">
        <is>
          <t>النظام القديم</t>
        </is>
      </c>
      <c r="J101" s="3" t="inlineStr">
        <is>
          <t>نعم</t>
        </is>
      </c>
      <c r="K101" s="3" t="inlineStr">
        <is>
          <t>بدون تفصيل بنود في السجل</t>
        </is>
      </c>
    </row>
    <row r="102">
      <c r="A102" s="3" t="n">
        <v>101</v>
      </c>
      <c r="B102" s="3" t="inlineStr">
        <is>
          <t>RNO</t>
        </is>
      </c>
      <c r="C102" s="3" t="inlineStr">
        <is>
          <t>صرف مواد للإنتاج – مزرعة الرياض</t>
        </is>
      </c>
      <c r="D102" s="3" t="inlineStr">
        <is>
          <t>RNO-2221</t>
        </is>
      </c>
      <c r="E102" s="20" t="n">
        <v>45912</v>
      </c>
      <c r="F102" s="3" t="inlineStr">
        <is>
          <t>OPERATION RIYADH NURSERY</t>
        </is>
      </c>
      <c r="G102" s="3" t="n"/>
      <c r="H102" s="4" t="n">
        <v>15525</v>
      </c>
      <c r="I102" s="3" t="inlineStr">
        <is>
          <t>النظام القديم</t>
        </is>
      </c>
      <c r="J102" s="3" t="inlineStr">
        <is>
          <t>نعم</t>
        </is>
      </c>
      <c r="K102" s="3" t="inlineStr">
        <is>
          <t>بدون تفصيل بنود في السجل</t>
        </is>
      </c>
    </row>
    <row r="103">
      <c r="A103" s="3" t="n">
        <v>102</v>
      </c>
      <c r="B103" s="3" t="inlineStr">
        <is>
          <t>RNO</t>
        </is>
      </c>
      <c r="C103" s="3" t="inlineStr">
        <is>
          <t>صرف مواد للإنتاج – مزرعة الرياض</t>
        </is>
      </c>
      <c r="D103" s="3" t="inlineStr">
        <is>
          <t>RNO-2174</t>
        </is>
      </c>
      <c r="E103" s="20" t="n">
        <v>45913</v>
      </c>
      <c r="F103" s="3" t="inlineStr">
        <is>
          <t>OPERATION RIYADH NURSERY</t>
        </is>
      </c>
      <c r="G103" s="3" t="n"/>
      <c r="H103" s="4" t="n">
        <v>1337.45</v>
      </c>
      <c r="I103" s="3" t="inlineStr">
        <is>
          <t>النظام القديم</t>
        </is>
      </c>
      <c r="J103" s="3" t="inlineStr">
        <is>
          <t>نعم</t>
        </is>
      </c>
      <c r="K103" s="3" t="inlineStr">
        <is>
          <t>بدون تفصيل بنود في السجل</t>
        </is>
      </c>
    </row>
    <row r="104">
      <c r="A104" s="3" t="n">
        <v>103</v>
      </c>
      <c r="B104" s="3" t="inlineStr">
        <is>
          <t>RNO</t>
        </is>
      </c>
      <c r="C104" s="3" t="inlineStr">
        <is>
          <t>صرف مواد للإنتاج – مزرعة الرياض</t>
        </is>
      </c>
      <c r="D104" s="3" t="inlineStr">
        <is>
          <t>RNO-2189</t>
        </is>
      </c>
      <c r="E104" s="20" t="n">
        <v>45914</v>
      </c>
      <c r="F104" s="3" t="inlineStr">
        <is>
          <t>OPERATION RIYADH NURSERY</t>
        </is>
      </c>
      <c r="G104" s="3" t="n"/>
      <c r="H104" s="4" t="n">
        <v>1920.5</v>
      </c>
      <c r="I104" s="3" t="inlineStr">
        <is>
          <t>النظام القديم</t>
        </is>
      </c>
      <c r="J104" s="3" t="inlineStr">
        <is>
          <t>نعم</t>
        </is>
      </c>
      <c r="K104" s="3" t="inlineStr">
        <is>
          <t>بدون تفصيل بنود في السجل</t>
        </is>
      </c>
    </row>
    <row r="105">
      <c r="A105" s="3" t="n">
        <v>104</v>
      </c>
      <c r="B105" s="3" t="inlineStr">
        <is>
          <t>RNO</t>
        </is>
      </c>
      <c r="C105" s="3" t="inlineStr">
        <is>
          <t>صرف مواد للإنتاج – مزرعة الرياض</t>
        </is>
      </c>
      <c r="D105" s="3" t="inlineStr">
        <is>
          <t>RNO-2201</t>
        </is>
      </c>
      <c r="E105" s="20" t="n">
        <v>45915</v>
      </c>
      <c r="F105" s="3" t="inlineStr">
        <is>
          <t>OPERATION RIYADH NURSERY</t>
        </is>
      </c>
      <c r="G105" s="3" t="n"/>
      <c r="H105" s="4" t="n">
        <v>5589</v>
      </c>
      <c r="I105" s="3" t="inlineStr">
        <is>
          <t>النظام القديم</t>
        </is>
      </c>
      <c r="J105" s="3" t="inlineStr">
        <is>
          <t>نعم</t>
        </is>
      </c>
      <c r="K105" s="3" t="inlineStr">
        <is>
          <t>بدون تفصيل بنود في السجل</t>
        </is>
      </c>
    </row>
    <row r="106">
      <c r="A106" s="3" t="n">
        <v>105</v>
      </c>
      <c r="B106" s="3" t="inlineStr">
        <is>
          <t>RNO</t>
        </is>
      </c>
      <c r="C106" s="3" t="inlineStr">
        <is>
          <t>صرف مواد للإنتاج – مزرعة الرياض</t>
        </is>
      </c>
      <c r="D106" s="3" t="inlineStr">
        <is>
          <t>RNO-2214</t>
        </is>
      </c>
      <c r="E106" s="20" t="n">
        <v>45916</v>
      </c>
      <c r="F106" s="3" t="inlineStr">
        <is>
          <t>OPERATION RIYADH NURSERY</t>
        </is>
      </c>
      <c r="G106" s="3" t="n"/>
      <c r="H106" s="4" t="n">
        <v>3490.25</v>
      </c>
      <c r="I106" s="3" t="inlineStr">
        <is>
          <t>النظام القديم</t>
        </is>
      </c>
      <c r="J106" s="3" t="inlineStr">
        <is>
          <t>نعم</t>
        </is>
      </c>
      <c r="K106" s="3" t="inlineStr">
        <is>
          <t>بدون تفصيل بنود في السجل</t>
        </is>
      </c>
    </row>
    <row r="107">
      <c r="A107" s="3" t="n">
        <v>106</v>
      </c>
      <c r="B107" s="3" t="inlineStr">
        <is>
          <t>RNO</t>
        </is>
      </c>
      <c r="C107" s="3" t="inlineStr">
        <is>
          <t>صرف مواد للإنتاج – مزرعة الرياض</t>
        </is>
      </c>
      <c r="D107" s="3" t="inlineStr">
        <is>
          <t>RNO-2229</t>
        </is>
      </c>
      <c r="E107" s="20" t="n">
        <v>45917</v>
      </c>
      <c r="F107" s="3" t="inlineStr">
        <is>
          <t>OPERATION RIYADH NURSERY</t>
        </is>
      </c>
      <c r="G107" s="3" t="n"/>
      <c r="H107" s="4" t="n">
        <v>3447.13</v>
      </c>
      <c r="I107" s="3" t="inlineStr">
        <is>
          <t>النظام القديم</t>
        </is>
      </c>
      <c r="J107" s="3" t="inlineStr">
        <is>
          <t>نعم</t>
        </is>
      </c>
      <c r="K107" s="3" t="inlineStr">
        <is>
          <t>بدون تفصيل بنود في السجل</t>
        </is>
      </c>
    </row>
    <row r="108">
      <c r="A108" s="3" t="n">
        <v>107</v>
      </c>
      <c r="B108" s="3" t="inlineStr">
        <is>
          <t>RNO</t>
        </is>
      </c>
      <c r="C108" s="3" t="inlineStr">
        <is>
          <t>صرف مواد للإنتاج – مزرعة الرياض</t>
        </is>
      </c>
      <c r="D108" s="3" t="inlineStr">
        <is>
          <t>RNO-2235</t>
        </is>
      </c>
      <c r="E108" s="20" t="n">
        <v>45918</v>
      </c>
      <c r="F108" s="3" t="inlineStr">
        <is>
          <t>OPERATION RIYADH NURSERY</t>
        </is>
      </c>
      <c r="G108" s="3" t="n"/>
      <c r="H108" s="4" t="n">
        <v>15525</v>
      </c>
      <c r="I108" s="3" t="inlineStr">
        <is>
          <t>النظام القديم</t>
        </is>
      </c>
      <c r="J108" s="3" t="inlineStr">
        <is>
          <t>نعم</t>
        </is>
      </c>
      <c r="K108" s="3" t="inlineStr">
        <is>
          <t>بدون تفصيل بنود في السجل</t>
        </is>
      </c>
    </row>
    <row r="109">
      <c r="A109" s="3" t="n">
        <v>108</v>
      </c>
      <c r="B109" s="3" t="inlineStr">
        <is>
          <t>RNO</t>
        </is>
      </c>
      <c r="C109" s="3" t="inlineStr">
        <is>
          <t>صرف مواد للإنتاج – مزرعة الرياض</t>
        </is>
      </c>
      <c r="D109" s="3" t="inlineStr">
        <is>
          <t>RNO-2245</t>
        </is>
      </c>
      <c r="E109" s="20" t="n">
        <v>45920</v>
      </c>
      <c r="F109" s="3" t="inlineStr">
        <is>
          <t>OPERATION RIYADH NURSERY</t>
        </is>
      </c>
      <c r="G109" s="3" t="n"/>
      <c r="H109" s="4" t="n">
        <v>3450</v>
      </c>
      <c r="I109" s="3" t="inlineStr">
        <is>
          <t>النظام القديم</t>
        </is>
      </c>
      <c r="J109" s="3" t="inlineStr">
        <is>
          <t>نعم</t>
        </is>
      </c>
      <c r="K109" s="3" t="inlineStr">
        <is>
          <t>بدون تفصيل بنود في السجل</t>
        </is>
      </c>
    </row>
    <row r="110">
      <c r="A110" s="3" t="n">
        <v>109</v>
      </c>
      <c r="B110" s="3" t="inlineStr">
        <is>
          <t>RNO</t>
        </is>
      </c>
      <c r="C110" s="3" t="inlineStr">
        <is>
          <t>صرف مواد للإنتاج – مزرعة الرياض</t>
        </is>
      </c>
      <c r="D110" s="3" t="inlineStr">
        <is>
          <t>RNO-2269</t>
        </is>
      </c>
      <c r="E110" s="20" t="n">
        <v>45924</v>
      </c>
      <c r="F110" s="3" t="inlineStr">
        <is>
          <t>OPERATION RIYADH NURSERY</t>
        </is>
      </c>
      <c r="G110" s="3" t="n"/>
      <c r="H110" s="4" t="n">
        <v>10898.55</v>
      </c>
      <c r="I110" s="3" t="inlineStr">
        <is>
          <t>النظام القديم</t>
        </is>
      </c>
      <c r="J110" s="3" t="inlineStr">
        <is>
          <t>نعم</t>
        </is>
      </c>
      <c r="K110" s="3" t="inlineStr">
        <is>
          <t>بدون تفصيل بنود في السجل</t>
        </is>
      </c>
    </row>
    <row r="111">
      <c r="A111" s="3" t="n">
        <v>110</v>
      </c>
      <c r="B111" s="3" t="inlineStr">
        <is>
          <t>RNO</t>
        </is>
      </c>
      <c r="C111" s="3" t="inlineStr">
        <is>
          <t>صرف مواد للإنتاج – مزرعة الرياض</t>
        </is>
      </c>
      <c r="D111" s="3" t="inlineStr">
        <is>
          <t>RNO-2284</t>
        </is>
      </c>
      <c r="E111" s="20" t="n">
        <v>45924</v>
      </c>
      <c r="F111" s="3" t="inlineStr">
        <is>
          <t>OPERATION RIYADH NURSERY</t>
        </is>
      </c>
      <c r="G111" s="3" t="n"/>
      <c r="H111" s="4" t="n">
        <v>2466.75</v>
      </c>
      <c r="I111" s="3" t="inlineStr">
        <is>
          <t>النظام القديم</t>
        </is>
      </c>
      <c r="J111" s="3" t="inlineStr">
        <is>
          <t>نعم</t>
        </is>
      </c>
      <c r="K111" s="3" t="inlineStr">
        <is>
          <t>بدون تفصيل بنود في السجل</t>
        </is>
      </c>
    </row>
    <row r="112">
      <c r="A112" s="3" t="n">
        <v>111</v>
      </c>
      <c r="B112" s="3" t="inlineStr">
        <is>
          <t>RNO</t>
        </is>
      </c>
      <c r="C112" s="3" t="inlineStr">
        <is>
          <t>صرف مواد للإنتاج – مزرعة الرياض</t>
        </is>
      </c>
      <c r="D112" s="3" t="inlineStr">
        <is>
          <t>RNO-2294</t>
        </is>
      </c>
      <c r="E112" s="20" t="n">
        <v>45926</v>
      </c>
      <c r="F112" s="3" t="inlineStr">
        <is>
          <t>OPERATION RIYADH NURSERY</t>
        </is>
      </c>
      <c r="G112" s="3" t="n"/>
      <c r="H112" s="4" t="n">
        <v>303.6</v>
      </c>
      <c r="I112" s="3" t="inlineStr">
        <is>
          <t>النظام القديم</t>
        </is>
      </c>
      <c r="J112" s="3" t="inlineStr">
        <is>
          <t>نعم</t>
        </is>
      </c>
      <c r="K112" s="3" t="inlineStr">
        <is>
          <t>بدون تفصيل بنود في السجل</t>
        </is>
      </c>
    </row>
    <row r="113">
      <c r="A113" s="3" t="n">
        <v>112</v>
      </c>
      <c r="B113" s="3" t="inlineStr">
        <is>
          <t>RNO</t>
        </is>
      </c>
      <c r="C113" s="3" t="inlineStr">
        <is>
          <t>صرف مواد للإنتاج – مزرعة الرياض</t>
        </is>
      </c>
      <c r="D113" s="3" t="inlineStr">
        <is>
          <t>RNO-2310</t>
        </is>
      </c>
      <c r="E113" s="20" t="n">
        <v>45927</v>
      </c>
      <c r="F113" s="3" t="inlineStr">
        <is>
          <t>OPERATION RIYADH NURSERY</t>
        </is>
      </c>
      <c r="G113" s="3" t="n"/>
      <c r="H113" s="4" t="n">
        <v>6166.3</v>
      </c>
      <c r="I113" s="3" t="inlineStr">
        <is>
          <t>النظام القديم</t>
        </is>
      </c>
      <c r="J113" s="3" t="inlineStr">
        <is>
          <t>نعم</t>
        </is>
      </c>
      <c r="K113" s="3" t="inlineStr">
        <is>
          <t>بدون تفصيل بنود في السجل</t>
        </is>
      </c>
    </row>
    <row r="114">
      <c r="A114" s="3" t="n">
        <v>113</v>
      </c>
      <c r="B114" s="3" t="inlineStr">
        <is>
          <t>RNO</t>
        </is>
      </c>
      <c r="C114" s="3" t="inlineStr">
        <is>
          <t>صرف مواد للإنتاج – مزرعة الرياض</t>
        </is>
      </c>
      <c r="D114" s="3" t="inlineStr">
        <is>
          <t>RNO-2317</t>
        </is>
      </c>
      <c r="E114" s="20" t="n">
        <v>45928</v>
      </c>
      <c r="F114" s="3" t="inlineStr">
        <is>
          <t>OPERATION RIYADH NURSERY</t>
        </is>
      </c>
      <c r="G114" s="3" t="n"/>
      <c r="H114" s="4" t="n">
        <v>2208</v>
      </c>
      <c r="I114" s="3" t="inlineStr">
        <is>
          <t>النظام القديم</t>
        </is>
      </c>
      <c r="J114" s="3" t="inlineStr">
        <is>
          <t>نعم</t>
        </is>
      </c>
      <c r="K114" s="3" t="inlineStr">
        <is>
          <t>بدون تفصيل بنود في السجل</t>
        </is>
      </c>
    </row>
    <row r="115">
      <c r="A115" s="3" t="n">
        <v>114</v>
      </c>
      <c r="B115" s="3" t="inlineStr">
        <is>
          <t>RNO</t>
        </is>
      </c>
      <c r="C115" s="3" t="inlineStr">
        <is>
          <t>صرف مواد للإنتاج – مزرعة الرياض</t>
        </is>
      </c>
      <c r="D115" s="3" t="inlineStr">
        <is>
          <t>RNO-2326</t>
        </is>
      </c>
      <c r="E115" s="20" t="n">
        <v>45930</v>
      </c>
      <c r="F115" s="3" t="inlineStr">
        <is>
          <t>OPERATION RIYADH NURSERY</t>
        </is>
      </c>
      <c r="G115" s="3" t="n"/>
      <c r="H115" s="4" t="n">
        <v>20518.3</v>
      </c>
      <c r="I115" s="3" t="inlineStr">
        <is>
          <t>النظام القديم</t>
        </is>
      </c>
      <c r="J115" s="3" t="inlineStr">
        <is>
          <t>نعم</t>
        </is>
      </c>
      <c r="K115" s="3" t="inlineStr">
        <is>
          <t>بدون تفصيل بنود في السجل</t>
        </is>
      </c>
    </row>
    <row r="116">
      <c r="A116" s="3" t="n">
        <v>115</v>
      </c>
      <c r="B116" s="3" t="inlineStr">
        <is>
          <t>RNO</t>
        </is>
      </c>
      <c r="C116" s="3" t="inlineStr">
        <is>
          <t>صرف مواد للإنتاج – مزرعة الرياض</t>
        </is>
      </c>
      <c r="D116" s="3" t="inlineStr">
        <is>
          <t>RNO-2342</t>
        </is>
      </c>
      <c r="E116" s="20" t="n">
        <v>45930</v>
      </c>
      <c r="F116" s="3" t="inlineStr">
        <is>
          <t>OPERATION RIYADH NURSERY</t>
        </is>
      </c>
      <c r="G116" s="3" t="n"/>
      <c r="H116" s="4" t="n">
        <v>8400.75</v>
      </c>
      <c r="I116" s="3" t="inlineStr">
        <is>
          <t>النظام القديم</t>
        </is>
      </c>
      <c r="J116" s="3" t="inlineStr">
        <is>
          <t>نعم</t>
        </is>
      </c>
      <c r="K116" s="3" t="inlineStr">
        <is>
          <t>بدون تفصيل بنود في السجل</t>
        </is>
      </c>
    </row>
    <row r="117">
      <c r="A117" s="3" t="n">
        <v>116</v>
      </c>
      <c r="B117" s="3" t="inlineStr">
        <is>
          <t>RNO</t>
        </is>
      </c>
      <c r="C117" s="3" t="inlineStr">
        <is>
          <t>صرف مواد للإنتاج – مزرعة الرياض</t>
        </is>
      </c>
      <c r="D117" s="3" t="inlineStr">
        <is>
          <t>RNO-2355</t>
        </is>
      </c>
      <c r="E117" s="20" t="n">
        <v>45933</v>
      </c>
      <c r="F117" s="3" t="inlineStr">
        <is>
          <t>OPERATION RIYADH NURSERY</t>
        </is>
      </c>
      <c r="G117" s="3" t="n"/>
      <c r="H117" s="4" t="n">
        <v>14682.05</v>
      </c>
      <c r="I117" s="3" t="inlineStr">
        <is>
          <t>النظام القديم</t>
        </is>
      </c>
      <c r="J117" s="3" t="inlineStr">
        <is>
          <t>نعم</t>
        </is>
      </c>
      <c r="K117" s="3" t="inlineStr">
        <is>
          <t>بدون تفصيل بنود في السجل</t>
        </is>
      </c>
    </row>
    <row r="118">
      <c r="A118" s="3" t="n">
        <v>117</v>
      </c>
      <c r="B118" s="3" t="inlineStr">
        <is>
          <t>RNO</t>
        </is>
      </c>
      <c r="C118" s="3" t="inlineStr">
        <is>
          <t>صرف مواد للإنتاج – مزرعة الرياض</t>
        </is>
      </c>
      <c r="D118" s="3" t="inlineStr">
        <is>
          <t>RNO-2363</t>
        </is>
      </c>
      <c r="E118" s="20" t="n">
        <v>45934</v>
      </c>
      <c r="F118" s="3" t="inlineStr">
        <is>
          <t>OPERATION RIYADH NURSERY</t>
        </is>
      </c>
      <c r="G118" s="3" t="n"/>
      <c r="H118" s="4" t="n">
        <v>24668.08</v>
      </c>
      <c r="I118" s="3" t="inlineStr">
        <is>
          <t>النظام القديم</t>
        </is>
      </c>
      <c r="J118" s="3" t="inlineStr">
        <is>
          <t>نعم</t>
        </is>
      </c>
      <c r="K118" s="3" t="inlineStr">
        <is>
          <t>بدون تفصيل بنود في السجل</t>
        </is>
      </c>
    </row>
    <row r="119">
      <c r="A119" s="3" t="n">
        <v>118</v>
      </c>
      <c r="B119" s="3" t="inlineStr">
        <is>
          <t>RNO</t>
        </is>
      </c>
      <c r="C119" s="3" t="inlineStr">
        <is>
          <t>صرف مواد للإنتاج – مزرعة الرياض</t>
        </is>
      </c>
      <c r="D119" s="3" t="inlineStr">
        <is>
          <t>RNO-2399</t>
        </is>
      </c>
      <c r="E119" s="20" t="n">
        <v>45938</v>
      </c>
      <c r="F119" s="3" t="inlineStr">
        <is>
          <t>OPERATION RIYADH NURSERY</t>
        </is>
      </c>
      <c r="G119" s="3" t="n"/>
      <c r="H119" s="4" t="n">
        <v>13531.48</v>
      </c>
      <c r="I119" s="3" t="inlineStr">
        <is>
          <t>النظام القديم</t>
        </is>
      </c>
      <c r="J119" s="3" t="inlineStr">
        <is>
          <t>نعم</t>
        </is>
      </c>
      <c r="K119" s="3" t="inlineStr">
        <is>
          <t>بدون تفصيل بنود في السجل</t>
        </is>
      </c>
    </row>
    <row r="120">
      <c r="A120" s="3" t="n">
        <v>119</v>
      </c>
      <c r="B120" s="3" t="inlineStr">
        <is>
          <t>RNO</t>
        </is>
      </c>
      <c r="C120" s="3" t="inlineStr">
        <is>
          <t>صرف مواد للإنتاج – مزرعة الرياض</t>
        </is>
      </c>
      <c r="D120" s="3" t="inlineStr">
        <is>
          <t>RNO-2409</t>
        </is>
      </c>
      <c r="E120" s="20" t="n">
        <v>45938</v>
      </c>
      <c r="F120" s="3" t="inlineStr">
        <is>
          <t>OPERATION RIYADH NURSERY</t>
        </is>
      </c>
      <c r="G120" s="3" t="n"/>
      <c r="H120" s="4" t="n">
        <v>552</v>
      </c>
      <c r="I120" s="3" t="inlineStr">
        <is>
          <t>النظام القديم</t>
        </is>
      </c>
      <c r="J120" s="3" t="inlineStr">
        <is>
          <t>نعم</t>
        </is>
      </c>
      <c r="K120" s="3" t="inlineStr">
        <is>
          <t>بدون تفصيل بنود في السجل</t>
        </is>
      </c>
    </row>
    <row r="121">
      <c r="A121" s="3" t="n">
        <v>120</v>
      </c>
      <c r="B121" s="3" t="inlineStr">
        <is>
          <t>RNO</t>
        </is>
      </c>
      <c r="C121" s="3" t="inlineStr">
        <is>
          <t>صرف مواد للإنتاج – مزرعة الرياض</t>
        </is>
      </c>
      <c r="D121" s="3" t="inlineStr">
        <is>
          <t>RNO-2417</t>
        </is>
      </c>
      <c r="E121" s="20" t="n">
        <v>45939</v>
      </c>
      <c r="F121" s="3" t="inlineStr">
        <is>
          <t>OPERATION RIYADH NURSERY</t>
        </is>
      </c>
      <c r="G121" s="3" t="n"/>
      <c r="H121" s="4" t="n">
        <v>56107.93</v>
      </c>
      <c r="I121" s="3" t="inlineStr">
        <is>
          <t>النظام القديم</t>
        </is>
      </c>
      <c r="J121" s="3" t="inlineStr">
        <is>
          <t>نعم</t>
        </is>
      </c>
      <c r="K121" s="3" t="inlineStr">
        <is>
          <t>بدون تفصيل بنود في السجل</t>
        </is>
      </c>
    </row>
    <row r="122">
      <c r="A122" s="3" t="n">
        <v>121</v>
      </c>
      <c r="B122" s="3" t="inlineStr">
        <is>
          <t>RNO</t>
        </is>
      </c>
      <c r="C122" s="3" t="inlineStr">
        <is>
          <t>صرف مواد للإنتاج – مزرعة الرياض</t>
        </is>
      </c>
      <c r="D122" s="3" t="inlineStr">
        <is>
          <t>RNO-2432</t>
        </is>
      </c>
      <c r="E122" s="20" t="n">
        <v>45941</v>
      </c>
      <c r="F122" s="3" t="inlineStr">
        <is>
          <t>OPERATION RIYADH NURSERY</t>
        </is>
      </c>
      <c r="G122" s="3" t="n"/>
      <c r="H122" s="4" t="n">
        <v>15117.9</v>
      </c>
      <c r="I122" s="3" t="inlineStr">
        <is>
          <t>النظام القديم</t>
        </is>
      </c>
      <c r="J122" s="3" t="inlineStr">
        <is>
          <t>نعم</t>
        </is>
      </c>
      <c r="K122" s="3" t="inlineStr">
        <is>
          <t>بدون تفصيل بنود في السجل</t>
        </is>
      </c>
    </row>
    <row r="123">
      <c r="A123" s="3" t="n">
        <v>122</v>
      </c>
      <c r="B123" s="3" t="inlineStr">
        <is>
          <t>RNO</t>
        </is>
      </c>
      <c r="C123" s="3" t="inlineStr">
        <is>
          <t>صرف مواد للإنتاج – مزرعة الرياض</t>
        </is>
      </c>
      <c r="D123" s="3" t="inlineStr">
        <is>
          <t>RNO-2448</t>
        </is>
      </c>
      <c r="E123" s="20" t="n">
        <v>45942</v>
      </c>
      <c r="F123" s="3" t="inlineStr">
        <is>
          <t>OPERATION RIYADH NURSERY</t>
        </is>
      </c>
      <c r="G123" s="3" t="n"/>
      <c r="H123" s="4" t="n">
        <v>2386.25</v>
      </c>
      <c r="I123" s="3" t="inlineStr">
        <is>
          <t>النظام القديم</t>
        </is>
      </c>
      <c r="J123" s="3" t="inlineStr">
        <is>
          <t>نعم</t>
        </is>
      </c>
      <c r="K123" s="3" t="inlineStr">
        <is>
          <t>بدون تفصيل بنود في السجل</t>
        </is>
      </c>
    </row>
    <row r="124">
      <c r="A124" s="3" t="n">
        <v>123</v>
      </c>
      <c r="B124" s="3" t="inlineStr">
        <is>
          <t>RNO</t>
        </is>
      </c>
      <c r="C124" s="3" t="inlineStr">
        <is>
          <t>صرف مواد للإنتاج – مزرعة الرياض</t>
        </is>
      </c>
      <c r="D124" s="3" t="inlineStr">
        <is>
          <t>RNO-2463</t>
        </is>
      </c>
      <c r="E124" s="20" t="n">
        <v>45943</v>
      </c>
      <c r="F124" s="3" t="inlineStr">
        <is>
          <t>OPERATION RIYADH NURSERY</t>
        </is>
      </c>
      <c r="G124" s="3" t="n"/>
      <c r="H124" s="4" t="n">
        <v>8435.25</v>
      </c>
      <c r="I124" s="3" t="inlineStr">
        <is>
          <t>النظام القديم</t>
        </is>
      </c>
      <c r="J124" s="3" t="inlineStr">
        <is>
          <t>نعم</t>
        </is>
      </c>
      <c r="K124" s="3" t="inlineStr">
        <is>
          <t>بدون تفصيل بنود في السجل</t>
        </is>
      </c>
    </row>
    <row r="125">
      <c r="A125" s="3" t="n">
        <v>124</v>
      </c>
      <c r="B125" s="3" t="inlineStr">
        <is>
          <t>RNO</t>
        </is>
      </c>
      <c r="C125" s="3" t="inlineStr">
        <is>
          <t>صرف مواد للإنتاج – مزرعة الرياض</t>
        </is>
      </c>
      <c r="D125" s="3" t="inlineStr">
        <is>
          <t>RNO-2478</t>
        </is>
      </c>
      <c r="E125" s="20" t="n">
        <v>45944</v>
      </c>
      <c r="F125" s="3" t="inlineStr">
        <is>
          <t>OPERATION RIYADH NURSERY</t>
        </is>
      </c>
      <c r="G125" s="3" t="n"/>
      <c r="H125" s="4" t="n">
        <v>8223.65</v>
      </c>
      <c r="I125" s="3" t="inlineStr">
        <is>
          <t>النظام القديم</t>
        </is>
      </c>
      <c r="J125" s="3" t="inlineStr">
        <is>
          <t>نعم</t>
        </is>
      </c>
      <c r="K125" s="3" t="inlineStr">
        <is>
          <t>بدون تفصيل بنود في السجل</t>
        </is>
      </c>
    </row>
    <row r="126">
      <c r="A126" s="3" t="n">
        <v>125</v>
      </c>
      <c r="B126" s="3" t="inlineStr">
        <is>
          <t>RNO</t>
        </is>
      </c>
      <c r="C126" s="3" t="inlineStr">
        <is>
          <t>صرف مواد للإنتاج – مزرعة الرياض</t>
        </is>
      </c>
      <c r="D126" s="3" t="inlineStr">
        <is>
          <t>RNO-2507</t>
        </is>
      </c>
      <c r="E126" s="20" t="n">
        <v>45946</v>
      </c>
      <c r="F126" s="3" t="inlineStr">
        <is>
          <t>OPERATION RIYADH NURSERY</t>
        </is>
      </c>
      <c r="G126" s="3" t="n"/>
      <c r="H126" s="4" t="n">
        <v>1749.15</v>
      </c>
      <c r="I126" s="3" t="inlineStr">
        <is>
          <t>النظام القديم</t>
        </is>
      </c>
      <c r="J126" s="3" t="inlineStr">
        <is>
          <t>نعم</t>
        </is>
      </c>
      <c r="K126" s="3" t="inlineStr">
        <is>
          <t>بدون تفصيل بنود في السجل</t>
        </is>
      </c>
    </row>
    <row r="127">
      <c r="A127" s="3" t="n">
        <v>126</v>
      </c>
      <c r="B127" s="3" t="inlineStr">
        <is>
          <t>RNO</t>
        </is>
      </c>
      <c r="C127" s="3" t="inlineStr">
        <is>
          <t>صرف مواد للإنتاج – مزرعة الرياض</t>
        </is>
      </c>
      <c r="D127" s="3" t="inlineStr">
        <is>
          <t>RNO-2518</t>
        </is>
      </c>
      <c r="E127" s="20" t="n">
        <v>45948</v>
      </c>
      <c r="F127" s="3" t="inlineStr">
        <is>
          <t>OPERATION RIYADH NURSERY</t>
        </is>
      </c>
      <c r="G127" s="3" t="n"/>
      <c r="H127" s="4" t="n">
        <v>6373.3</v>
      </c>
      <c r="I127" s="3" t="inlineStr">
        <is>
          <t>النظام القديم</t>
        </is>
      </c>
      <c r="J127" s="3" t="inlineStr">
        <is>
          <t>نعم</t>
        </is>
      </c>
      <c r="K127" s="3" t="inlineStr">
        <is>
          <t>بدون تفصيل بنود في السجل</t>
        </is>
      </c>
    </row>
    <row r="128">
      <c r="A128" s="3" t="n">
        <v>127</v>
      </c>
      <c r="B128" s="3" t="inlineStr">
        <is>
          <t>RNO</t>
        </is>
      </c>
      <c r="C128" s="3" t="inlineStr">
        <is>
          <t>صرف مواد للإنتاج – مزرعة الرياض</t>
        </is>
      </c>
      <c r="D128" s="3" t="inlineStr">
        <is>
          <t>RNO-2538</t>
        </is>
      </c>
      <c r="E128" s="20" t="n">
        <v>45949</v>
      </c>
      <c r="F128" s="3" t="inlineStr">
        <is>
          <t>OPERATION RIYADH NURSERY</t>
        </is>
      </c>
      <c r="G128" s="3" t="n"/>
      <c r="H128" s="4" t="n">
        <v>3151</v>
      </c>
      <c r="I128" s="3" t="inlineStr">
        <is>
          <t>النظام القديم</t>
        </is>
      </c>
      <c r="J128" s="3" t="inlineStr">
        <is>
          <t>نعم</t>
        </is>
      </c>
      <c r="K128" s="3" t="inlineStr">
        <is>
          <t>بدون تفصيل بنود في السجل</t>
        </is>
      </c>
    </row>
    <row r="129">
      <c r="A129" s="3" t="n">
        <v>128</v>
      </c>
      <c r="B129" s="3" t="inlineStr">
        <is>
          <t>RNO</t>
        </is>
      </c>
      <c r="C129" s="3" t="inlineStr">
        <is>
          <t>صرف مواد للإنتاج – مزرعة الرياض</t>
        </is>
      </c>
      <c r="D129" s="3" t="inlineStr">
        <is>
          <t>RNO-2547</t>
        </is>
      </c>
      <c r="E129" s="20" t="n">
        <v>45950</v>
      </c>
      <c r="F129" s="3" t="inlineStr">
        <is>
          <t>OPERATION RIYADH NURSERY</t>
        </is>
      </c>
      <c r="G129" s="3" t="n"/>
      <c r="H129" s="4" t="n">
        <v>7997.1</v>
      </c>
      <c r="I129" s="3" t="inlineStr">
        <is>
          <t>النظام القديم</t>
        </is>
      </c>
      <c r="J129" s="3" t="inlineStr">
        <is>
          <t>نعم</t>
        </is>
      </c>
      <c r="K129" s="3" t="inlineStr">
        <is>
          <t>بدون تفصيل بنود في السجل</t>
        </is>
      </c>
    </row>
    <row r="130">
      <c r="A130" s="3" t="n">
        <v>129</v>
      </c>
      <c r="B130" s="3" t="inlineStr">
        <is>
          <t>RNO</t>
        </is>
      </c>
      <c r="C130" s="3" t="inlineStr">
        <is>
          <t>صرف مواد للإنتاج – مزرعة الرياض</t>
        </is>
      </c>
      <c r="D130" s="3" t="inlineStr">
        <is>
          <t>RNO-2561</t>
        </is>
      </c>
      <c r="E130" s="20" t="n">
        <v>45951</v>
      </c>
      <c r="F130" s="3" t="inlineStr">
        <is>
          <t>OPERATION RIYADH NURSERY</t>
        </is>
      </c>
      <c r="G130" s="3" t="n"/>
      <c r="H130" s="4" t="n">
        <v>12983.5</v>
      </c>
      <c r="I130" s="3" t="inlineStr">
        <is>
          <t>النظام القديم</t>
        </is>
      </c>
      <c r="J130" s="3" t="inlineStr">
        <is>
          <t>نعم</t>
        </is>
      </c>
      <c r="K130" s="3" t="inlineStr">
        <is>
          <t>بدون تفصيل بنود في السجل</t>
        </is>
      </c>
    </row>
    <row r="131">
      <c r="A131" s="3" t="n">
        <v>130</v>
      </c>
      <c r="B131" s="3" t="inlineStr">
        <is>
          <t>RNO</t>
        </is>
      </c>
      <c r="C131" s="3" t="inlineStr">
        <is>
          <t>صرف مواد للإنتاج – مزرعة الرياض</t>
        </is>
      </c>
      <c r="D131" s="3" t="inlineStr">
        <is>
          <t>RNO-2581</t>
        </is>
      </c>
      <c r="E131" s="20" t="n">
        <v>45952</v>
      </c>
      <c r="F131" s="3" t="inlineStr">
        <is>
          <t>OPERATION RIYADH NURSERY</t>
        </is>
      </c>
      <c r="G131" s="3" t="n"/>
      <c r="H131" s="4" t="n">
        <v>11463.78</v>
      </c>
      <c r="I131" s="3" t="inlineStr">
        <is>
          <t>النظام القديم</t>
        </is>
      </c>
      <c r="J131" s="3" t="inlineStr">
        <is>
          <t>نعم</t>
        </is>
      </c>
      <c r="K131" s="3" t="inlineStr">
        <is>
          <t>بدون تفصيل بنود في السجل</t>
        </is>
      </c>
    </row>
    <row r="132">
      <c r="A132" s="3" t="n">
        <v>131</v>
      </c>
      <c r="B132" s="3" t="inlineStr">
        <is>
          <t>RNO</t>
        </is>
      </c>
      <c r="C132" s="3" t="inlineStr">
        <is>
          <t>صرف مواد للإنتاج – مزرعة الرياض</t>
        </is>
      </c>
      <c r="D132" s="3" t="inlineStr">
        <is>
          <t>RNO-2603</t>
        </is>
      </c>
      <c r="E132" s="20" t="n">
        <v>45953</v>
      </c>
      <c r="F132" s="3" t="inlineStr">
        <is>
          <t>OPERATION RIYADH NURSERY</t>
        </is>
      </c>
      <c r="G132" s="3" t="n"/>
      <c r="H132" s="4" t="n">
        <v>2823.25</v>
      </c>
      <c r="I132" s="3" t="inlineStr">
        <is>
          <t>النظام القديم</t>
        </is>
      </c>
      <c r="J132" s="3" t="inlineStr">
        <is>
          <t>نعم</t>
        </is>
      </c>
      <c r="K132" s="3" t="inlineStr">
        <is>
          <t>بدون تفصيل بنود في السجل</t>
        </is>
      </c>
    </row>
    <row r="133">
      <c r="A133" s="3" t="n">
        <v>132</v>
      </c>
      <c r="B133" s="3" t="inlineStr">
        <is>
          <t>RNO</t>
        </is>
      </c>
      <c r="C133" s="3" t="inlineStr">
        <is>
          <t>صرف مواد للإنتاج – مزرعة الرياض</t>
        </is>
      </c>
      <c r="D133" s="3" t="inlineStr">
        <is>
          <t>RNO-2609</t>
        </is>
      </c>
      <c r="E133" s="20" t="n">
        <v>45954</v>
      </c>
      <c r="F133" s="3" t="inlineStr">
        <is>
          <t>OPERATION RIYADH NURSERY</t>
        </is>
      </c>
      <c r="G133" s="3" t="n"/>
      <c r="H133" s="4" t="n">
        <v>5671.8</v>
      </c>
      <c r="I133" s="3" t="inlineStr">
        <is>
          <t>النظام القديم</t>
        </is>
      </c>
      <c r="J133" s="3" t="inlineStr">
        <is>
          <t>نعم</t>
        </is>
      </c>
      <c r="K133" s="3" t="inlineStr">
        <is>
          <t>بدون تفصيل بنود في السجل</t>
        </is>
      </c>
    </row>
    <row r="134">
      <c r="A134" s="3" t="n">
        <v>133</v>
      </c>
      <c r="B134" s="3" t="inlineStr">
        <is>
          <t>RNO</t>
        </is>
      </c>
      <c r="C134" s="3" t="inlineStr">
        <is>
          <t>صرف مواد للإنتاج – مزرعة الرياض</t>
        </is>
      </c>
      <c r="D134" s="3" t="inlineStr">
        <is>
          <t>RNO-2624</t>
        </is>
      </c>
      <c r="E134" s="20" t="n">
        <v>45955</v>
      </c>
      <c r="F134" s="3" t="inlineStr">
        <is>
          <t>OPERATION RIYADH NURSERY</t>
        </is>
      </c>
      <c r="G134" s="3" t="n"/>
      <c r="H134" s="4" t="n">
        <v>7216.83</v>
      </c>
      <c r="I134" s="3" t="inlineStr">
        <is>
          <t>النظام القديم</t>
        </is>
      </c>
      <c r="J134" s="3" t="inlineStr">
        <is>
          <t>نعم</t>
        </is>
      </c>
      <c r="K134" s="3" t="inlineStr">
        <is>
          <t>بدون تفصيل بنود في السجل</t>
        </is>
      </c>
    </row>
    <row r="135">
      <c r="A135" s="3" t="n">
        <v>134</v>
      </c>
      <c r="B135" s="3" t="inlineStr">
        <is>
          <t>RNO</t>
        </is>
      </c>
      <c r="C135" s="3" t="inlineStr">
        <is>
          <t>صرف مواد للإنتاج – مزرعة الرياض</t>
        </is>
      </c>
      <c r="D135" s="3" t="inlineStr">
        <is>
          <t>RNO-2640</t>
        </is>
      </c>
      <c r="E135" s="20" t="n">
        <v>45956</v>
      </c>
      <c r="F135" s="3" t="inlineStr">
        <is>
          <t>OPERATION RIYADH NURSERY</t>
        </is>
      </c>
      <c r="G135" s="3" t="n"/>
      <c r="H135" s="4" t="n">
        <v>2702.5</v>
      </c>
      <c r="I135" s="3" t="inlineStr">
        <is>
          <t>النظام القديم</t>
        </is>
      </c>
      <c r="J135" s="3" t="inlineStr">
        <is>
          <t>نعم</t>
        </is>
      </c>
      <c r="K135" s="3" t="inlineStr">
        <is>
          <t>بدون تفصيل بنود في السجل</t>
        </is>
      </c>
    </row>
    <row r="136">
      <c r="A136" s="3" t="n">
        <v>135</v>
      </c>
      <c r="B136" s="3" t="inlineStr">
        <is>
          <t>RNO</t>
        </is>
      </c>
      <c r="C136" s="3" t="inlineStr">
        <is>
          <t>صرف مواد للإنتاج – مزرعة الرياض</t>
        </is>
      </c>
      <c r="D136" s="3" t="inlineStr">
        <is>
          <t>RNO-2657</t>
        </is>
      </c>
      <c r="E136" s="20" t="n">
        <v>45957</v>
      </c>
      <c r="F136" s="3" t="inlineStr">
        <is>
          <t>OPERATION RIYADH NURSERY</t>
        </is>
      </c>
      <c r="G136" s="3" t="n"/>
      <c r="H136" s="4" t="n">
        <v>10368.98</v>
      </c>
      <c r="I136" s="3" t="inlineStr">
        <is>
          <t>النظام القديم</t>
        </is>
      </c>
      <c r="J136" s="3" t="inlineStr">
        <is>
          <t>نعم</t>
        </is>
      </c>
      <c r="K136" s="3" t="inlineStr">
        <is>
          <t>بدون تفصيل بنود في السجل</t>
        </is>
      </c>
    </row>
    <row r="137">
      <c r="A137" s="3" t="n">
        <v>136</v>
      </c>
      <c r="B137" s="3" t="inlineStr">
        <is>
          <t>RNO</t>
        </is>
      </c>
      <c r="C137" s="3" t="inlineStr">
        <is>
          <t>صرف مواد للإنتاج – مزرعة الرياض</t>
        </is>
      </c>
      <c r="D137" s="3" t="inlineStr">
        <is>
          <t>RNO-2668</t>
        </is>
      </c>
      <c r="E137" s="20" t="n">
        <v>45958</v>
      </c>
      <c r="F137" s="3" t="inlineStr">
        <is>
          <t>OPERATION RIYADH NURSERY</t>
        </is>
      </c>
      <c r="G137" s="3" t="n"/>
      <c r="H137" s="4" t="n">
        <v>6704.5</v>
      </c>
      <c r="I137" s="3" t="inlineStr">
        <is>
          <t>النظام القديم</t>
        </is>
      </c>
      <c r="J137" s="3" t="inlineStr">
        <is>
          <t>نعم</t>
        </is>
      </c>
      <c r="K137" s="3" t="inlineStr">
        <is>
          <t>بدون تفصيل بنود في السجل</t>
        </is>
      </c>
    </row>
    <row r="138">
      <c r="A138" s="3" t="n">
        <v>137</v>
      </c>
      <c r="B138" s="3" t="inlineStr">
        <is>
          <t>RNO</t>
        </is>
      </c>
      <c r="C138" s="3" t="inlineStr">
        <is>
          <t>صرف مواد للإنتاج – مزرعة الرياض</t>
        </is>
      </c>
      <c r="D138" s="3" t="inlineStr">
        <is>
          <t>RNO-2678</t>
        </is>
      </c>
      <c r="E138" s="20" t="n">
        <v>45959</v>
      </c>
      <c r="F138" s="3" t="inlineStr">
        <is>
          <t>OPERATION RIYADH NURSERY</t>
        </is>
      </c>
      <c r="G138" s="3" t="n"/>
      <c r="H138" s="4" t="n">
        <v>6857.45</v>
      </c>
      <c r="I138" s="3" t="inlineStr">
        <is>
          <t>النظام القديم</t>
        </is>
      </c>
      <c r="J138" s="3" t="inlineStr">
        <is>
          <t>نعم</t>
        </is>
      </c>
      <c r="K138" s="3" t="inlineStr">
        <is>
          <t>بدون تفصيل بنود في السجل</t>
        </is>
      </c>
    </row>
    <row r="139">
      <c r="A139" s="3" t="n">
        <v>138</v>
      </c>
      <c r="B139" s="3" t="inlineStr">
        <is>
          <t>RNO</t>
        </is>
      </c>
      <c r="C139" s="3" t="inlineStr">
        <is>
          <t>صرف مواد للإنتاج – مزرعة الرياض</t>
        </is>
      </c>
      <c r="D139" s="3" t="inlineStr">
        <is>
          <t>RNO-2699</t>
        </is>
      </c>
      <c r="E139" s="20" t="n">
        <v>45960</v>
      </c>
      <c r="F139" s="3" t="inlineStr">
        <is>
          <t>OPERATION RIYADH NURSERY</t>
        </is>
      </c>
      <c r="G139" s="3" t="n"/>
      <c r="H139" s="4" t="n">
        <v>3849.63</v>
      </c>
      <c r="I139" s="3" t="inlineStr">
        <is>
          <t>النظام القديم</t>
        </is>
      </c>
      <c r="J139" s="3" t="inlineStr">
        <is>
          <t>نعم</t>
        </is>
      </c>
      <c r="K139" s="3" t="inlineStr">
        <is>
          <t>بدون تفصيل بنود في السجل</t>
        </is>
      </c>
    </row>
    <row r="140">
      <c r="A140" s="3" t="n">
        <v>139</v>
      </c>
      <c r="B140" s="3" t="inlineStr">
        <is>
          <t>RNO</t>
        </is>
      </c>
      <c r="C140" s="3" t="inlineStr">
        <is>
          <t>صرف مواد للإنتاج – مزرعة الرياض</t>
        </is>
      </c>
      <c r="D140" s="3" t="inlineStr">
        <is>
          <t>RNO-2702</t>
        </is>
      </c>
      <c r="E140" s="20" t="n">
        <v>45961</v>
      </c>
      <c r="F140" s="3" t="inlineStr">
        <is>
          <t>OPERATION RIYADH NURSERY</t>
        </is>
      </c>
      <c r="G140" s="3" t="n"/>
      <c r="H140" s="4" t="n">
        <v>4285.48</v>
      </c>
      <c r="I140" s="3" t="inlineStr">
        <is>
          <t>النظام القديم</t>
        </is>
      </c>
      <c r="J140" s="3" t="inlineStr">
        <is>
          <t>نعم</t>
        </is>
      </c>
      <c r="K140" s="3" t="inlineStr">
        <is>
          <t>بدون تفصيل بنود في السجل</t>
        </is>
      </c>
    </row>
    <row r="141">
      <c r="A141" s="3" t="n">
        <v>140</v>
      </c>
      <c r="B141" s="3" t="inlineStr">
        <is>
          <t>RNO</t>
        </is>
      </c>
      <c r="C141" s="3" t="inlineStr">
        <is>
          <t>صرف مواد للإنتاج – مزرعة الرياض</t>
        </is>
      </c>
      <c r="D141" s="3" t="inlineStr">
        <is>
          <t>RNO-2709</t>
        </is>
      </c>
      <c r="E141" s="20" t="n">
        <v>45962</v>
      </c>
      <c r="F141" s="3" t="inlineStr">
        <is>
          <t>OPERATION RIYADH NURSERY</t>
        </is>
      </c>
      <c r="G141" s="3" t="n"/>
      <c r="H141" s="4" t="n">
        <v>7096.65</v>
      </c>
      <c r="I141" s="3" t="inlineStr">
        <is>
          <t>النظام القديم</t>
        </is>
      </c>
      <c r="J141" s="3" t="inlineStr">
        <is>
          <t>نعم</t>
        </is>
      </c>
      <c r="K141" s="3" t="inlineStr">
        <is>
          <t>بدون تفصيل بنود في السجل</t>
        </is>
      </c>
    </row>
    <row r="142">
      <c r="A142" s="3" t="n">
        <v>141</v>
      </c>
      <c r="B142" s="3" t="inlineStr">
        <is>
          <t>RNO</t>
        </is>
      </c>
      <c r="C142" s="3" t="inlineStr">
        <is>
          <t>صرف مواد للإنتاج – مزرعة الرياض</t>
        </is>
      </c>
      <c r="D142" s="3" t="inlineStr">
        <is>
          <t>RNO-2740</t>
        </is>
      </c>
      <c r="E142" s="20" t="n">
        <v>45963</v>
      </c>
      <c r="F142" s="3" t="inlineStr">
        <is>
          <t>OPERATION RIYADH NURSERY</t>
        </is>
      </c>
      <c r="G142" s="3" t="n"/>
      <c r="H142" s="4" t="n">
        <v>7449.13</v>
      </c>
      <c r="I142" s="3" t="inlineStr">
        <is>
          <t>النظام القديم</t>
        </is>
      </c>
      <c r="J142" s="3" t="inlineStr">
        <is>
          <t>نعم</t>
        </is>
      </c>
      <c r="K142" s="3" t="inlineStr">
        <is>
          <t>بدون تفصيل بنود في السجل</t>
        </is>
      </c>
    </row>
    <row r="143">
      <c r="A143" s="3" t="n">
        <v>142</v>
      </c>
      <c r="B143" s="3" t="inlineStr">
        <is>
          <t>RNO</t>
        </is>
      </c>
      <c r="C143" s="3" t="inlineStr">
        <is>
          <t>صرف مواد للإنتاج – مزرعة الرياض</t>
        </is>
      </c>
      <c r="D143" s="3" t="inlineStr">
        <is>
          <t>RNO-2749</t>
        </is>
      </c>
      <c r="E143" s="20" t="n">
        <v>45964</v>
      </c>
      <c r="F143" s="3" t="inlineStr">
        <is>
          <t>OPERATION RIYADH NURSERY</t>
        </is>
      </c>
      <c r="G143" s="3" t="n"/>
      <c r="H143" s="4" t="n">
        <v>2415</v>
      </c>
      <c r="I143" s="3" t="inlineStr">
        <is>
          <t>النظام القديم</t>
        </is>
      </c>
      <c r="J143" s="3" t="inlineStr">
        <is>
          <t>نعم</t>
        </is>
      </c>
      <c r="K143" s="3" t="inlineStr">
        <is>
          <t>بدون تفصيل بنود في السجل</t>
        </is>
      </c>
    </row>
    <row r="144">
      <c r="A144" s="3" t="n">
        <v>143</v>
      </c>
      <c r="B144" s="3" t="inlineStr">
        <is>
          <t>RNO</t>
        </is>
      </c>
      <c r="C144" s="3" t="inlineStr">
        <is>
          <t>صرف مواد للإنتاج – مزرعة الرياض</t>
        </is>
      </c>
      <c r="D144" s="3" t="inlineStr">
        <is>
          <t>RNO-2754</t>
        </is>
      </c>
      <c r="E144" s="20" t="n">
        <v>45965</v>
      </c>
      <c r="F144" s="3" t="inlineStr">
        <is>
          <t>OPERATION RIYADH NURSERY</t>
        </is>
      </c>
      <c r="G144" s="3" t="n"/>
      <c r="H144" s="4" t="n">
        <v>16472.03</v>
      </c>
      <c r="I144" s="3" t="inlineStr">
        <is>
          <t>النظام القديم</t>
        </is>
      </c>
      <c r="J144" s="3" t="inlineStr">
        <is>
          <t>نعم</t>
        </is>
      </c>
      <c r="K144" s="3" t="inlineStr">
        <is>
          <t>بدون تفصيل بنود في السجل</t>
        </is>
      </c>
    </row>
    <row r="145">
      <c r="A145" s="3" t="n">
        <v>144</v>
      </c>
      <c r="B145" s="3" t="inlineStr">
        <is>
          <t>RNO</t>
        </is>
      </c>
      <c r="C145" s="3" t="inlineStr">
        <is>
          <t>صرف مواد للإنتاج – مزرعة الرياض</t>
        </is>
      </c>
      <c r="D145" s="3" t="inlineStr">
        <is>
          <t>RNO-2774</t>
        </is>
      </c>
      <c r="E145" s="20" t="n">
        <v>45966</v>
      </c>
      <c r="F145" s="3" t="inlineStr">
        <is>
          <t>OPERATION RIYADH NURSERY</t>
        </is>
      </c>
      <c r="G145" s="3" t="n"/>
      <c r="H145" s="4" t="n">
        <v>3987.63</v>
      </c>
      <c r="I145" s="3" t="inlineStr">
        <is>
          <t>النظام القديم</t>
        </is>
      </c>
      <c r="J145" s="3" t="inlineStr">
        <is>
          <t>نعم</t>
        </is>
      </c>
      <c r="K145" s="3" t="inlineStr">
        <is>
          <t>بدون تفصيل بنود في السجل</t>
        </is>
      </c>
    </row>
    <row r="146">
      <c r="A146" s="3" t="n">
        <v>145</v>
      </c>
      <c r="B146" s="3" t="inlineStr">
        <is>
          <t>RNO</t>
        </is>
      </c>
      <c r="C146" s="3" t="inlineStr">
        <is>
          <t>صرف مواد للإنتاج – مزرعة الرياض</t>
        </is>
      </c>
      <c r="D146" s="3" t="inlineStr">
        <is>
          <t>RNO-2785</t>
        </is>
      </c>
      <c r="E146" s="20" t="n">
        <v>45967</v>
      </c>
      <c r="F146" s="3" t="inlineStr">
        <is>
          <t>OPERATION RIYADH NURSERY</t>
        </is>
      </c>
      <c r="G146" s="3" t="n"/>
      <c r="H146" s="4" t="n">
        <v>10571.95</v>
      </c>
      <c r="I146" s="3" t="inlineStr">
        <is>
          <t>النظام القديم</t>
        </is>
      </c>
      <c r="J146" s="3" t="inlineStr">
        <is>
          <t>نعم</t>
        </is>
      </c>
      <c r="K146" s="3" t="inlineStr">
        <is>
          <t>بدون تفصيل بنود في السجل</t>
        </is>
      </c>
    </row>
    <row r="147">
      <c r="A147" s="3" t="n">
        <v>146</v>
      </c>
      <c r="B147" s="3" t="inlineStr">
        <is>
          <t>RNO</t>
        </is>
      </c>
      <c r="C147" s="3" t="inlineStr">
        <is>
          <t>صرف مواد للإنتاج – مزرعة الرياض</t>
        </is>
      </c>
      <c r="D147" s="3" t="inlineStr">
        <is>
          <t>RNO-2802</t>
        </is>
      </c>
      <c r="E147" s="20" t="n">
        <v>45969</v>
      </c>
      <c r="F147" s="3" t="inlineStr">
        <is>
          <t>OPERATION RIYADH NURSERY</t>
        </is>
      </c>
      <c r="G147" s="3" t="n"/>
      <c r="H147" s="4" t="n">
        <v>16040.2</v>
      </c>
      <c r="I147" s="3" t="inlineStr">
        <is>
          <t>النظام القديم</t>
        </is>
      </c>
      <c r="J147" s="3" t="inlineStr">
        <is>
          <t>نعم</t>
        </is>
      </c>
      <c r="K147" s="3" t="inlineStr">
        <is>
          <t>بدون تفصيل بنود في السجل</t>
        </is>
      </c>
    </row>
    <row r="148">
      <c r="A148" s="3" t="n">
        <v>147</v>
      </c>
      <c r="B148" s="3" t="inlineStr">
        <is>
          <t>RNO</t>
        </is>
      </c>
      <c r="C148" s="3" t="inlineStr">
        <is>
          <t>صرف مواد للإنتاج – مزرعة الرياض</t>
        </is>
      </c>
      <c r="D148" s="3" t="inlineStr">
        <is>
          <t>RNO-2817</t>
        </is>
      </c>
      <c r="E148" s="20" t="n">
        <v>45970</v>
      </c>
      <c r="F148" s="3" t="inlineStr">
        <is>
          <t>OPERATION RIYADH NURSERY</t>
        </is>
      </c>
      <c r="G148" s="3" t="n"/>
      <c r="H148" s="4" t="n">
        <v>460</v>
      </c>
      <c r="I148" s="3" t="inlineStr">
        <is>
          <t>النظام القديم</t>
        </is>
      </c>
      <c r="J148" s="3" t="inlineStr">
        <is>
          <t>نعم</t>
        </is>
      </c>
      <c r="K148" s="3" t="inlineStr">
        <is>
          <t>بدون تفصيل بنود في السجل</t>
        </is>
      </c>
    </row>
    <row r="149">
      <c r="A149" s="3" t="n">
        <v>148</v>
      </c>
      <c r="B149" s="3" t="inlineStr">
        <is>
          <t>RNO</t>
        </is>
      </c>
      <c r="C149" s="3" t="inlineStr">
        <is>
          <t>صرف مواد للإنتاج – مزرعة الرياض</t>
        </is>
      </c>
      <c r="D149" s="3" t="inlineStr">
        <is>
          <t>RNO-2820</t>
        </is>
      </c>
      <c r="E149" s="20" t="n">
        <v>45970</v>
      </c>
      <c r="F149" s="3" t="inlineStr">
        <is>
          <t>OPERATION RIYADH NURSERY</t>
        </is>
      </c>
      <c r="G149" s="3" t="n"/>
      <c r="H149" s="4" t="n">
        <v>106593.5</v>
      </c>
      <c r="I149" s="3" t="inlineStr">
        <is>
          <t>النظام القديم</t>
        </is>
      </c>
      <c r="J149" s="3" t="inlineStr">
        <is>
          <t>نعم</t>
        </is>
      </c>
      <c r="K149" s="3" t="inlineStr">
        <is>
          <t>بدون تفصيل بنود في السجل</t>
        </is>
      </c>
    </row>
    <row r="150">
      <c r="A150" s="3" t="n">
        <v>149</v>
      </c>
      <c r="B150" s="3" t="inlineStr">
        <is>
          <t>RNO</t>
        </is>
      </c>
      <c r="C150" s="3" t="inlineStr">
        <is>
          <t>صرف مواد للإنتاج – مزرعة الرياض</t>
        </is>
      </c>
      <c r="D150" s="3" t="inlineStr">
        <is>
          <t>RNO-2831</t>
        </is>
      </c>
      <c r="E150" s="20" t="n">
        <v>45971</v>
      </c>
      <c r="F150" s="3" t="inlineStr">
        <is>
          <t>OPERATION RIYADH NURSERY</t>
        </is>
      </c>
      <c r="G150" s="3" t="n"/>
      <c r="H150" s="4" t="n">
        <v>2658.23</v>
      </c>
      <c r="I150" s="3" t="inlineStr">
        <is>
          <t>النظام القديم</t>
        </is>
      </c>
      <c r="J150" s="3" t="inlineStr">
        <is>
          <t>نعم</t>
        </is>
      </c>
      <c r="K150" s="3" t="inlineStr">
        <is>
          <t>بدون تفصيل بنود في السجل</t>
        </is>
      </c>
    </row>
    <row r="151">
      <c r="A151" s="3" t="n">
        <v>150</v>
      </c>
      <c r="B151" s="3" t="inlineStr">
        <is>
          <t>RNO</t>
        </is>
      </c>
      <c r="C151" s="3" t="inlineStr">
        <is>
          <t>صرف مواد للإنتاج – مزرعة الرياض</t>
        </is>
      </c>
      <c r="D151" s="3" t="inlineStr">
        <is>
          <t>RNO-2851</t>
        </is>
      </c>
      <c r="E151" s="20" t="n">
        <v>45972</v>
      </c>
      <c r="F151" s="3" t="inlineStr">
        <is>
          <t>OPERATION RIYADH NURSERY</t>
        </is>
      </c>
      <c r="G151" s="3" t="n"/>
      <c r="H151" s="4" t="n">
        <v>14145</v>
      </c>
      <c r="I151" s="3" t="inlineStr">
        <is>
          <t>النظام القديم</t>
        </is>
      </c>
      <c r="J151" s="3" t="inlineStr">
        <is>
          <t>نعم</t>
        </is>
      </c>
      <c r="K151" s="3" t="inlineStr">
        <is>
          <t>بدون تفصيل بنود في السجل</t>
        </is>
      </c>
    </row>
    <row r="152">
      <c r="A152" s="3" t="n">
        <v>151</v>
      </c>
      <c r="B152" s="3" t="inlineStr">
        <is>
          <t>RNO</t>
        </is>
      </c>
      <c r="C152" s="3" t="inlineStr">
        <is>
          <t>صرف مواد للإنتاج – مزرعة الرياض</t>
        </is>
      </c>
      <c r="D152" s="3" t="inlineStr">
        <is>
          <t>RNO-2866</t>
        </is>
      </c>
      <c r="E152" s="20" t="n">
        <v>45973</v>
      </c>
      <c r="F152" s="3" t="inlineStr">
        <is>
          <t>OPERATION RIYADH NURSERY</t>
        </is>
      </c>
      <c r="G152" s="3" t="n"/>
      <c r="H152" s="4" t="n">
        <v>5618.9</v>
      </c>
      <c r="I152" s="3" t="inlineStr">
        <is>
          <t>النظام القديم</t>
        </is>
      </c>
      <c r="J152" s="3" t="inlineStr">
        <is>
          <t>نعم</t>
        </is>
      </c>
      <c r="K152" s="3" t="inlineStr">
        <is>
          <t>بدون تفصيل بنود في السجل</t>
        </is>
      </c>
    </row>
    <row r="153">
      <c r="A153" s="3" t="n">
        <v>152</v>
      </c>
      <c r="B153" s="3" t="inlineStr">
        <is>
          <t>RNO</t>
        </is>
      </c>
      <c r="C153" s="3" t="inlineStr">
        <is>
          <t>صرف مواد للإنتاج – مزرعة الرياض</t>
        </is>
      </c>
      <c r="D153" s="3" t="inlineStr">
        <is>
          <t>RNO-2879</t>
        </is>
      </c>
      <c r="E153" s="20" t="n">
        <v>45974</v>
      </c>
      <c r="F153" s="3" t="inlineStr">
        <is>
          <t>OPERATION RIYADH NURSERY</t>
        </is>
      </c>
      <c r="G153" s="3" t="n"/>
      <c r="H153" s="4" t="n">
        <v>15444.5</v>
      </c>
      <c r="I153" s="3" t="inlineStr">
        <is>
          <t>النظام القديم</t>
        </is>
      </c>
      <c r="J153" s="3" t="inlineStr">
        <is>
          <t>نعم</t>
        </is>
      </c>
      <c r="K153" s="3" t="inlineStr">
        <is>
          <t>بدون تفصيل بنود في السجل</t>
        </is>
      </c>
    </row>
    <row r="154">
      <c r="A154" s="3" t="n">
        <v>153</v>
      </c>
      <c r="B154" s="3" t="inlineStr">
        <is>
          <t>RNO</t>
        </is>
      </c>
      <c r="C154" s="3" t="inlineStr">
        <is>
          <t>صرف مواد للإنتاج – مزرعة الرياض</t>
        </is>
      </c>
      <c r="D154" s="3" t="inlineStr">
        <is>
          <t>RNO-2886</t>
        </is>
      </c>
      <c r="E154" s="20" t="n">
        <v>45976</v>
      </c>
      <c r="F154" s="3" t="inlineStr">
        <is>
          <t>OPERATION RIYADH NURSERY</t>
        </is>
      </c>
      <c r="G154" s="3" t="n"/>
      <c r="H154" s="4" t="n">
        <v>3121.1</v>
      </c>
      <c r="I154" s="3" t="inlineStr">
        <is>
          <t>النظام القديم</t>
        </is>
      </c>
      <c r="J154" s="3" t="inlineStr">
        <is>
          <t>نعم</t>
        </is>
      </c>
      <c r="K154" s="3" t="inlineStr">
        <is>
          <t>بدون تفصيل بنود في السجل</t>
        </is>
      </c>
    </row>
    <row r="155">
      <c r="A155" s="3" t="n">
        <v>154</v>
      </c>
      <c r="B155" s="3" t="inlineStr">
        <is>
          <t>RNO</t>
        </is>
      </c>
      <c r="C155" s="3" t="inlineStr">
        <is>
          <t>صرف مواد للإنتاج – مزرعة الرياض</t>
        </is>
      </c>
      <c r="D155" s="3" t="inlineStr">
        <is>
          <t>RNO-2895</t>
        </is>
      </c>
      <c r="E155" s="20" t="n">
        <v>45977</v>
      </c>
      <c r="F155" s="3" t="inlineStr">
        <is>
          <t>OPERATION RIYADH NURSERY</t>
        </is>
      </c>
      <c r="G155" s="3" t="n"/>
      <c r="H155" s="4" t="n">
        <v>1162.65</v>
      </c>
      <c r="I155" s="3" t="inlineStr">
        <is>
          <t>النظام القديم</t>
        </is>
      </c>
      <c r="J155" s="3" t="inlineStr">
        <is>
          <t>نعم</t>
        </is>
      </c>
      <c r="K155" s="3" t="inlineStr">
        <is>
          <t>بدون تفصيل بنود في السجل</t>
        </is>
      </c>
    </row>
    <row r="156">
      <c r="A156" s="3" t="n">
        <v>155</v>
      </c>
      <c r="B156" s="3" t="inlineStr">
        <is>
          <t>RNO</t>
        </is>
      </c>
      <c r="C156" s="3" t="inlineStr">
        <is>
          <t>صرف مواد للإنتاج – مزرعة الرياض</t>
        </is>
      </c>
      <c r="D156" s="3" t="inlineStr">
        <is>
          <t>RNO-2910</t>
        </is>
      </c>
      <c r="E156" s="20" t="n">
        <v>45978</v>
      </c>
      <c r="F156" s="3" t="inlineStr">
        <is>
          <t>OPERATION RIYADH NURSERY</t>
        </is>
      </c>
      <c r="G156" s="3" t="n"/>
      <c r="H156" s="4" t="n">
        <v>6645.85</v>
      </c>
      <c r="I156" s="3" t="inlineStr">
        <is>
          <t>النظام القديم</t>
        </is>
      </c>
      <c r="J156" s="3" t="inlineStr">
        <is>
          <t>نعم</t>
        </is>
      </c>
      <c r="K156" s="3" t="inlineStr">
        <is>
          <t>بدون تفصيل بنود في السجل</t>
        </is>
      </c>
    </row>
    <row r="157">
      <c r="A157" s="3" t="n">
        <v>156</v>
      </c>
      <c r="B157" s="3" t="inlineStr">
        <is>
          <t>RNO</t>
        </is>
      </c>
      <c r="C157" s="3" t="inlineStr">
        <is>
          <t>صرف مواد للإنتاج – مزرعة الرياض</t>
        </is>
      </c>
      <c r="D157" s="3" t="inlineStr">
        <is>
          <t>RNO-2966</t>
        </is>
      </c>
      <c r="E157" s="20" t="n">
        <v>45983</v>
      </c>
      <c r="F157" s="3" t="inlineStr">
        <is>
          <t>OPERATION RIYADH NURSERY</t>
        </is>
      </c>
      <c r="G157" s="3" t="n"/>
      <c r="H157" s="4" t="n">
        <v>4674.75</v>
      </c>
      <c r="I157" s="3" t="inlineStr">
        <is>
          <t>النظام القديم</t>
        </is>
      </c>
      <c r="J157" s="3" t="inlineStr">
        <is>
          <t>نعم</t>
        </is>
      </c>
      <c r="K157" s="3" t="inlineStr">
        <is>
          <t>بدون تفصيل بنود في السجل</t>
        </is>
      </c>
    </row>
    <row r="158">
      <c r="A158" s="3" t="n">
        <v>157</v>
      </c>
      <c r="B158" s="3" t="inlineStr">
        <is>
          <t>RNO</t>
        </is>
      </c>
      <c r="C158" s="3" t="inlineStr">
        <is>
          <t>صرف مواد للإنتاج – مزرعة الرياض</t>
        </is>
      </c>
      <c r="D158" s="3" t="inlineStr">
        <is>
          <t>RNO-2978</t>
        </is>
      </c>
      <c r="E158" s="20" t="n">
        <v>45984</v>
      </c>
      <c r="F158" s="3" t="inlineStr">
        <is>
          <t>OPERATION RIYADH NURSERY</t>
        </is>
      </c>
      <c r="G158" s="3" t="n"/>
      <c r="H158" s="4" t="n">
        <v>16836.58</v>
      </c>
      <c r="I158" s="3" t="inlineStr">
        <is>
          <t>النظام القديم</t>
        </is>
      </c>
      <c r="J158" s="3" t="inlineStr">
        <is>
          <t>نعم</t>
        </is>
      </c>
      <c r="K158" s="3" t="inlineStr">
        <is>
          <t>بدون تفصيل بنود في السجل</t>
        </is>
      </c>
    </row>
    <row r="159">
      <c r="A159" s="3" t="n">
        <v>158</v>
      </c>
      <c r="B159" s="3" t="inlineStr">
        <is>
          <t>RNO</t>
        </is>
      </c>
      <c r="C159" s="3" t="inlineStr">
        <is>
          <t>صرف مواد للإنتاج – مزرعة الرياض</t>
        </is>
      </c>
      <c r="D159" s="3" t="inlineStr">
        <is>
          <t>RNO-2993</t>
        </is>
      </c>
      <c r="E159" s="20" t="n">
        <v>45985</v>
      </c>
      <c r="F159" s="3" t="inlineStr">
        <is>
          <t>OPERATION RIYADH NURSERY</t>
        </is>
      </c>
      <c r="G159" s="3" t="n"/>
      <c r="H159" s="4" t="n">
        <v>3673.1</v>
      </c>
      <c r="I159" s="3" t="inlineStr">
        <is>
          <t>النظام القديم</t>
        </is>
      </c>
      <c r="J159" s="3" t="inlineStr">
        <is>
          <t>نعم</t>
        </is>
      </c>
      <c r="K159" s="3" t="inlineStr">
        <is>
          <t>بدون تفصيل بنود في السجل</t>
        </is>
      </c>
    </row>
    <row r="160">
      <c r="A160" s="3" t="n">
        <v>159</v>
      </c>
      <c r="B160" s="3" t="inlineStr">
        <is>
          <t>RNO</t>
        </is>
      </c>
      <c r="C160" s="3" t="inlineStr">
        <is>
          <t>صرف مواد للإنتاج – مزرعة الرياض</t>
        </is>
      </c>
      <c r="D160" s="3" t="inlineStr">
        <is>
          <t>RNO-3003</t>
        </is>
      </c>
      <c r="E160" s="20" t="n">
        <v>45986</v>
      </c>
      <c r="F160" s="3" t="inlineStr">
        <is>
          <t>OPERATION RIYADH NURSERY</t>
        </is>
      </c>
      <c r="G160" s="3" t="n"/>
      <c r="H160" s="4" t="n">
        <v>12351</v>
      </c>
      <c r="I160" s="3" t="inlineStr">
        <is>
          <t>النظام القديم</t>
        </is>
      </c>
      <c r="J160" s="3" t="inlineStr">
        <is>
          <t>نعم</t>
        </is>
      </c>
      <c r="K160" s="3" t="inlineStr">
        <is>
          <t>بدون تفصيل بنود في السجل</t>
        </is>
      </c>
    </row>
    <row r="161">
      <c r="A161" s="3" t="n">
        <v>160</v>
      </c>
      <c r="B161" s="3" t="inlineStr">
        <is>
          <t>RNO</t>
        </is>
      </c>
      <c r="C161" s="3" t="inlineStr">
        <is>
          <t>صرف مواد للإنتاج – مزرعة الرياض</t>
        </is>
      </c>
      <c r="D161" s="3" t="inlineStr">
        <is>
          <t>RNO-3026</t>
        </is>
      </c>
      <c r="E161" s="20" t="n">
        <v>45987</v>
      </c>
      <c r="F161" s="3" t="inlineStr">
        <is>
          <t>OPERATION RIYADH NURSERY</t>
        </is>
      </c>
      <c r="G161" s="3" t="n"/>
      <c r="H161" s="4" t="n">
        <v>6295.68</v>
      </c>
      <c r="I161" s="3" t="inlineStr">
        <is>
          <t>النظام القديم</t>
        </is>
      </c>
      <c r="J161" s="3" t="inlineStr">
        <is>
          <t>نعم</t>
        </is>
      </c>
      <c r="K161" s="3" t="inlineStr">
        <is>
          <t>بدون تفصيل بنود في السجل</t>
        </is>
      </c>
    </row>
    <row r="162">
      <c r="A162" s="3" t="n">
        <v>161</v>
      </c>
      <c r="B162" s="3" t="inlineStr">
        <is>
          <t>RNO</t>
        </is>
      </c>
      <c r="C162" s="3" t="inlineStr">
        <is>
          <t>صرف مواد للإنتاج – مزرعة الرياض</t>
        </is>
      </c>
      <c r="D162" s="3" t="inlineStr">
        <is>
          <t>RNO-3037</t>
        </is>
      </c>
      <c r="E162" s="20" t="n">
        <v>45988</v>
      </c>
      <c r="F162" s="3" t="inlineStr">
        <is>
          <t>OPERATION RIYADH NURSERY</t>
        </is>
      </c>
      <c r="G162" s="3" t="n"/>
      <c r="H162" s="4" t="n">
        <v>8245.5</v>
      </c>
      <c r="I162" s="3" t="inlineStr">
        <is>
          <t>النظام القديم</t>
        </is>
      </c>
      <c r="J162" s="3" t="inlineStr">
        <is>
          <t>نعم</t>
        </is>
      </c>
      <c r="K162" s="3" t="inlineStr">
        <is>
          <t>بدون تفصيل بنود في السجل</t>
        </is>
      </c>
    </row>
    <row r="163">
      <c r="A163" s="3" t="n">
        <v>162</v>
      </c>
      <c r="B163" s="3" t="inlineStr">
        <is>
          <t>RNO</t>
        </is>
      </c>
      <c r="C163" s="3" t="inlineStr">
        <is>
          <t>صرف مواد للإنتاج – مزرعة الرياض</t>
        </is>
      </c>
      <c r="D163" s="3" t="inlineStr">
        <is>
          <t>RNO-3043</t>
        </is>
      </c>
      <c r="E163" s="20" t="n">
        <v>45990</v>
      </c>
      <c r="F163" s="3" t="inlineStr">
        <is>
          <t>OPERATION RIYADH NURSERY</t>
        </is>
      </c>
      <c r="G163" s="3" t="n"/>
      <c r="H163" s="4" t="n">
        <v>6268.65</v>
      </c>
      <c r="I163" s="3" t="inlineStr">
        <is>
          <t>النظام القديم</t>
        </is>
      </c>
      <c r="J163" s="3" t="inlineStr">
        <is>
          <t>نعم</t>
        </is>
      </c>
      <c r="K163" s="3" t="inlineStr">
        <is>
          <t>بدون تفصيل بنود في السجل</t>
        </is>
      </c>
    </row>
    <row r="164">
      <c r="A164" s="3" t="n">
        <v>163</v>
      </c>
      <c r="B164" s="3" t="inlineStr">
        <is>
          <t>RNO</t>
        </is>
      </c>
      <c r="C164" s="3" t="inlineStr">
        <is>
          <t>صرف مواد للإنتاج – مزرعة الرياض</t>
        </is>
      </c>
      <c r="D164" s="3" t="inlineStr">
        <is>
          <t>RNO-3071</t>
        </is>
      </c>
      <c r="E164" s="20" t="n">
        <v>45991</v>
      </c>
      <c r="F164" s="3" t="inlineStr">
        <is>
          <t>OPERATION RIYADH NURSERY</t>
        </is>
      </c>
      <c r="G164" s="3" t="n"/>
      <c r="H164" s="4" t="n">
        <v>2749.65</v>
      </c>
      <c r="I164" s="3" t="inlineStr">
        <is>
          <t>النظام القديم</t>
        </is>
      </c>
      <c r="J164" s="3" t="inlineStr">
        <is>
          <t>نعم</t>
        </is>
      </c>
      <c r="K164" s="3" t="inlineStr">
        <is>
          <t>بدون تفصيل بنود في السجل</t>
        </is>
      </c>
    </row>
    <row r="165">
      <c r="A165" s="3" t="n">
        <v>164</v>
      </c>
      <c r="B165" s="3" t="inlineStr">
        <is>
          <t>RNO</t>
        </is>
      </c>
      <c r="C165" s="3" t="inlineStr">
        <is>
          <t>صرف مواد للإنتاج – مزرعة الرياض</t>
        </is>
      </c>
      <c r="D165" s="3" t="inlineStr">
        <is>
          <t>RNO-3086</t>
        </is>
      </c>
      <c r="E165" s="20" t="n">
        <v>45992</v>
      </c>
      <c r="F165" s="3" t="inlineStr">
        <is>
          <t>OPERATION RIYADH NURSERY</t>
        </is>
      </c>
      <c r="G165" s="3" t="n"/>
      <c r="H165" s="4" t="n">
        <v>529</v>
      </c>
      <c r="I165" s="3" t="inlineStr">
        <is>
          <t>النظام القديم</t>
        </is>
      </c>
      <c r="J165" s="3" t="inlineStr">
        <is>
          <t>نعم</t>
        </is>
      </c>
      <c r="K165" s="3" t="inlineStr">
        <is>
          <t>بدون تفصيل بنود في السجل</t>
        </is>
      </c>
    </row>
    <row r="166">
      <c r="A166" s="3" t="n">
        <v>165</v>
      </c>
      <c r="B166" s="3" t="inlineStr">
        <is>
          <t>RNO</t>
        </is>
      </c>
      <c r="C166" s="3" t="inlineStr">
        <is>
          <t>صرف مواد للإنتاج – مزرعة الرياض</t>
        </is>
      </c>
      <c r="D166" s="3" t="inlineStr">
        <is>
          <t>RNO-3099</t>
        </is>
      </c>
      <c r="E166" s="20" t="n">
        <v>45993</v>
      </c>
      <c r="F166" s="3" t="inlineStr">
        <is>
          <t>OPERATION RIYADH NURSERY</t>
        </is>
      </c>
      <c r="G166" s="3" t="n"/>
      <c r="H166" s="4" t="n">
        <v>3475.88</v>
      </c>
      <c r="I166" s="3" t="inlineStr">
        <is>
          <t>النظام القديم</t>
        </is>
      </c>
      <c r="J166" s="3" t="inlineStr">
        <is>
          <t>نعم</t>
        </is>
      </c>
      <c r="K166" s="3" t="inlineStr">
        <is>
          <t>بدون تفصيل بنود في السجل</t>
        </is>
      </c>
    </row>
    <row r="167">
      <c r="A167" s="3" t="n">
        <v>166</v>
      </c>
      <c r="B167" s="3" t="inlineStr">
        <is>
          <t>RNO</t>
        </is>
      </c>
      <c r="C167" s="3" t="inlineStr">
        <is>
          <t>صرف مواد للإنتاج – مزرعة الرياض</t>
        </is>
      </c>
      <c r="D167" s="3" t="inlineStr">
        <is>
          <t>RNO-3118</t>
        </is>
      </c>
      <c r="E167" s="20" t="n">
        <v>45995</v>
      </c>
      <c r="F167" s="3" t="inlineStr">
        <is>
          <t>OPERATION RIYADH NURSERY</t>
        </is>
      </c>
      <c r="G167" s="3" t="n"/>
      <c r="H167" s="4" t="n">
        <v>9660</v>
      </c>
      <c r="I167" s="3" t="inlineStr">
        <is>
          <t>النظام القديم</t>
        </is>
      </c>
      <c r="J167" s="3" t="inlineStr">
        <is>
          <t>نعم</t>
        </is>
      </c>
      <c r="K167" s="3" t="inlineStr">
        <is>
          <t>بدون تفصيل بنود في السجل</t>
        </is>
      </c>
    </row>
    <row r="168">
      <c r="A168" s="3" t="n">
        <v>167</v>
      </c>
      <c r="B168" s="3" t="inlineStr">
        <is>
          <t>RNO</t>
        </is>
      </c>
      <c r="C168" s="3" t="inlineStr">
        <is>
          <t>صرف مواد للإنتاج – مزرعة الرياض</t>
        </is>
      </c>
      <c r="D168" s="3" t="inlineStr">
        <is>
          <t>RNO-3145</t>
        </is>
      </c>
      <c r="E168" s="20" t="n">
        <v>45997</v>
      </c>
      <c r="F168" s="3" t="inlineStr">
        <is>
          <t>OPERATION RIYADH NURSERY</t>
        </is>
      </c>
      <c r="G168" s="3" t="n"/>
      <c r="H168" s="4" t="n">
        <v>4122.75</v>
      </c>
      <c r="I168" s="3" t="inlineStr">
        <is>
          <t>النظام القديم</t>
        </is>
      </c>
      <c r="J168" s="3" t="inlineStr">
        <is>
          <t>نعم</t>
        </is>
      </c>
      <c r="K168" s="3" t="inlineStr">
        <is>
          <t>بدون تفصيل بنود في السجل</t>
        </is>
      </c>
    </row>
    <row r="169">
      <c r="A169" s="3" t="n">
        <v>168</v>
      </c>
      <c r="B169" s="3" t="inlineStr">
        <is>
          <t>RNO</t>
        </is>
      </c>
      <c r="C169" s="3" t="inlineStr">
        <is>
          <t>صرف مواد للإنتاج – مزرعة الرياض</t>
        </is>
      </c>
      <c r="D169" s="3" t="inlineStr">
        <is>
          <t>RNO-3158</t>
        </is>
      </c>
      <c r="E169" s="20" t="n">
        <v>45998</v>
      </c>
      <c r="F169" s="3" t="inlineStr">
        <is>
          <t>OPERATION RIYADH NURSERY</t>
        </is>
      </c>
      <c r="G169" s="3" t="n"/>
      <c r="H169" s="4" t="n">
        <v>2866.38</v>
      </c>
      <c r="I169" s="3" t="inlineStr">
        <is>
          <t>النظام القديم</t>
        </is>
      </c>
      <c r="J169" s="3" t="inlineStr">
        <is>
          <t>نعم</t>
        </is>
      </c>
      <c r="K169" s="3" t="inlineStr">
        <is>
          <t>بدون تفصيل بنود في السجل</t>
        </is>
      </c>
    </row>
    <row r="170">
      <c r="A170" s="3" t="n">
        <v>169</v>
      </c>
      <c r="B170" s="3" t="inlineStr">
        <is>
          <t>RNO</t>
        </is>
      </c>
      <c r="C170" s="3" t="inlineStr">
        <is>
          <t>صرف مواد للإنتاج – مزرعة الرياض</t>
        </is>
      </c>
      <c r="D170" s="3" t="inlineStr">
        <is>
          <t>RNO-3171</t>
        </is>
      </c>
      <c r="E170" s="20" t="n">
        <v>45999</v>
      </c>
      <c r="F170" s="3" t="inlineStr">
        <is>
          <t>OPERATION RIYADH NURSERY</t>
        </is>
      </c>
      <c r="G170" s="3" t="n"/>
      <c r="H170" s="4" t="n">
        <v>2434.55</v>
      </c>
      <c r="I170" s="3" t="inlineStr">
        <is>
          <t>النظام القديم</t>
        </is>
      </c>
      <c r="J170" s="3" t="inlineStr">
        <is>
          <t>نعم</t>
        </is>
      </c>
      <c r="K170" s="3" t="inlineStr">
        <is>
          <t>بدون تفصيل بنود في السجل</t>
        </is>
      </c>
    </row>
    <row r="171">
      <c r="A171" s="3" t="n">
        <v>170</v>
      </c>
      <c r="B171" s="3" t="inlineStr">
        <is>
          <t>RNO</t>
        </is>
      </c>
      <c r="C171" s="3" t="inlineStr">
        <is>
          <t>صرف مواد للإنتاج – مزرعة الرياض</t>
        </is>
      </c>
      <c r="D171" s="3" t="inlineStr">
        <is>
          <t>RNO-3195</t>
        </is>
      </c>
      <c r="E171" s="20" t="n">
        <v>46000</v>
      </c>
      <c r="F171" s="3" t="inlineStr">
        <is>
          <t>OPERATION RIYADH NURSERY</t>
        </is>
      </c>
      <c r="G171" s="3" t="n"/>
      <c r="H171" s="4" t="n">
        <v>8691.129999999999</v>
      </c>
      <c r="I171" s="3" t="inlineStr">
        <is>
          <t>النظام القديم</t>
        </is>
      </c>
      <c r="J171" s="3" t="inlineStr">
        <is>
          <t>نعم</t>
        </is>
      </c>
      <c r="K171" s="3" t="inlineStr">
        <is>
          <t>بدون تفصيل بنود في السجل</t>
        </is>
      </c>
    </row>
    <row r="172">
      <c r="A172" s="3" t="n">
        <v>171</v>
      </c>
      <c r="B172" s="3" t="inlineStr">
        <is>
          <t>RNO</t>
        </is>
      </c>
      <c r="C172" s="3" t="inlineStr">
        <is>
          <t>صرف مواد للإنتاج – مزرعة الرياض</t>
        </is>
      </c>
      <c r="D172" s="3" t="inlineStr">
        <is>
          <t>RNO-3205</t>
        </is>
      </c>
      <c r="E172" s="20" t="n">
        <v>46001</v>
      </c>
      <c r="F172" s="3" t="inlineStr">
        <is>
          <t>OPERATION RIYADH NURSERY</t>
        </is>
      </c>
      <c r="G172" s="3" t="n"/>
      <c r="H172" s="4" t="n">
        <v>8366.25</v>
      </c>
      <c r="I172" s="3" t="inlineStr">
        <is>
          <t>النظام القديم</t>
        </is>
      </c>
      <c r="J172" s="3" t="inlineStr">
        <is>
          <t>نعم</t>
        </is>
      </c>
      <c r="K172" s="3" t="inlineStr">
        <is>
          <t>بدون تفصيل بنود في السجل</t>
        </is>
      </c>
    </row>
    <row r="173">
      <c r="A173" s="3" t="n">
        <v>172</v>
      </c>
      <c r="B173" s="3" t="inlineStr">
        <is>
          <t>RNO</t>
        </is>
      </c>
      <c r="C173" s="3" t="inlineStr">
        <is>
          <t>صرف مواد للإنتاج – مزرعة الرياض</t>
        </is>
      </c>
      <c r="D173" s="3" t="inlineStr">
        <is>
          <t>RNO-3213</t>
        </is>
      </c>
      <c r="E173" s="20" t="n">
        <v>46002</v>
      </c>
      <c r="F173" s="3" t="inlineStr">
        <is>
          <t>OPERATION RIYADH NURSERY</t>
        </is>
      </c>
      <c r="G173" s="3" t="n"/>
      <c r="H173" s="4" t="n">
        <v>4479.25</v>
      </c>
      <c r="I173" s="3" t="inlineStr">
        <is>
          <t>النظام القديم</t>
        </is>
      </c>
      <c r="J173" s="3" t="inlineStr">
        <is>
          <t>نعم</t>
        </is>
      </c>
      <c r="K173" s="3" t="inlineStr">
        <is>
          <t>بدون تفصيل بنود في السجل</t>
        </is>
      </c>
    </row>
    <row r="174">
      <c r="A174" s="3" t="n">
        <v>173</v>
      </c>
      <c r="B174" s="3" t="inlineStr">
        <is>
          <t>RNO</t>
        </is>
      </c>
      <c r="C174" s="3" t="inlineStr">
        <is>
          <t>صرف مواد للإنتاج – مزرعة الرياض</t>
        </is>
      </c>
      <c r="D174" s="3" t="inlineStr">
        <is>
          <t>RNO-3223</t>
        </is>
      </c>
      <c r="E174" s="20" t="n">
        <v>46004</v>
      </c>
      <c r="F174" s="3" t="inlineStr">
        <is>
          <t>OPERATION RIYADH NURSERY</t>
        </is>
      </c>
      <c r="G174" s="3" t="n"/>
      <c r="H174" s="4" t="n">
        <v>4230.85</v>
      </c>
      <c r="I174" s="3" t="inlineStr">
        <is>
          <t>النظام القديم</t>
        </is>
      </c>
      <c r="J174" s="3" t="inlineStr">
        <is>
          <t>نعم</t>
        </is>
      </c>
      <c r="K174" s="3" t="inlineStr">
        <is>
          <t>بدون تفصيل بنود في السجل</t>
        </is>
      </c>
    </row>
    <row r="175">
      <c r="A175" s="3" t="n">
        <v>174</v>
      </c>
      <c r="B175" s="3" t="inlineStr">
        <is>
          <t>RNO</t>
        </is>
      </c>
      <c r="C175" s="3" t="inlineStr">
        <is>
          <t>صرف مواد للإنتاج – مزرعة الرياض</t>
        </is>
      </c>
      <c r="D175" s="3" t="inlineStr">
        <is>
          <t>RNO-3239</t>
        </is>
      </c>
      <c r="E175" s="20" t="n">
        <v>46005</v>
      </c>
      <c r="F175" s="3" t="inlineStr">
        <is>
          <t>OPERATION RIYADH NURSERY</t>
        </is>
      </c>
      <c r="G175" s="3" t="n"/>
      <c r="H175" s="4" t="n">
        <v>982.1</v>
      </c>
      <c r="I175" s="3" t="inlineStr">
        <is>
          <t>النظام القديم</t>
        </is>
      </c>
      <c r="J175" s="3" t="inlineStr">
        <is>
          <t>نعم</t>
        </is>
      </c>
      <c r="K175" s="3" t="inlineStr">
        <is>
          <t>بدون تفصيل بنود في السجل</t>
        </is>
      </c>
    </row>
    <row r="176">
      <c r="A176" s="3" t="n">
        <v>175</v>
      </c>
      <c r="B176" s="3" t="inlineStr">
        <is>
          <t>RNO</t>
        </is>
      </c>
      <c r="C176" s="3" t="inlineStr">
        <is>
          <t>صرف مواد للإنتاج – مزرعة الرياض</t>
        </is>
      </c>
      <c r="D176" s="3" t="inlineStr">
        <is>
          <t>RNO-3251</t>
        </is>
      </c>
      <c r="E176" s="20" t="n">
        <v>46006</v>
      </c>
      <c r="F176" s="3" t="inlineStr">
        <is>
          <t>OPERATION RIYADH NURSERY</t>
        </is>
      </c>
      <c r="G176" s="3" t="n"/>
      <c r="H176" s="4" t="n">
        <v>6804.55</v>
      </c>
      <c r="I176" s="3" t="inlineStr">
        <is>
          <t>النظام القديم</t>
        </is>
      </c>
      <c r="J176" s="3" t="inlineStr">
        <is>
          <t>نعم</t>
        </is>
      </c>
      <c r="K176" s="3" t="inlineStr">
        <is>
          <t>بدون تفصيل بنود في السجل</t>
        </is>
      </c>
    </row>
    <row r="177">
      <c r="A177" s="3" t="n">
        <v>176</v>
      </c>
      <c r="B177" s="3" t="inlineStr">
        <is>
          <t>RNO</t>
        </is>
      </c>
      <c r="C177" s="3" t="inlineStr">
        <is>
          <t>صرف مواد للإنتاج – مزرعة الرياض</t>
        </is>
      </c>
      <c r="D177" s="3" t="inlineStr">
        <is>
          <t>RNO-3263</t>
        </is>
      </c>
      <c r="E177" s="20" t="n">
        <v>46007</v>
      </c>
      <c r="F177" s="3" t="inlineStr">
        <is>
          <t>OPERATION RIYADH NURSERY</t>
        </is>
      </c>
      <c r="G177" s="3" t="n"/>
      <c r="H177" s="4" t="n">
        <v>529</v>
      </c>
      <c r="I177" s="3" t="inlineStr">
        <is>
          <t>النظام القديم</t>
        </is>
      </c>
      <c r="J177" s="3" t="inlineStr">
        <is>
          <t>نعم</t>
        </is>
      </c>
      <c r="K177" s="3" t="inlineStr">
        <is>
          <t>بدون تفصيل بنود في السجل</t>
        </is>
      </c>
    </row>
    <row r="178">
      <c r="A178" s="3" t="n">
        <v>177</v>
      </c>
      <c r="B178" s="3" t="inlineStr">
        <is>
          <t>RNO</t>
        </is>
      </c>
      <c r="C178" s="3" t="inlineStr">
        <is>
          <t>صرف مواد للإنتاج – مزرعة الرياض</t>
        </is>
      </c>
      <c r="D178" s="3" t="inlineStr">
        <is>
          <t>RNO-3268</t>
        </is>
      </c>
      <c r="E178" s="20" t="n">
        <v>46008</v>
      </c>
      <c r="F178" s="3" t="inlineStr">
        <is>
          <t>OPERATION RIYADH NURSERY</t>
        </is>
      </c>
      <c r="G178" s="3" t="n"/>
      <c r="H178" s="4" t="n">
        <v>4745.48</v>
      </c>
      <c r="I178" s="3" t="inlineStr">
        <is>
          <t>النظام القديم</t>
        </is>
      </c>
      <c r="J178" s="3" t="inlineStr">
        <is>
          <t>نعم</t>
        </is>
      </c>
      <c r="K178" s="3" t="inlineStr">
        <is>
          <t>بدون تفصيل بنود في السجل</t>
        </is>
      </c>
    </row>
    <row r="179">
      <c r="A179" s="3" t="n">
        <v>178</v>
      </c>
      <c r="B179" s="3" t="inlineStr">
        <is>
          <t>RNO</t>
        </is>
      </c>
      <c r="C179" s="3" t="inlineStr">
        <is>
          <t>صرف مواد للإنتاج – مزرعة الرياض</t>
        </is>
      </c>
      <c r="D179" s="3" t="inlineStr">
        <is>
          <t>RNO-3275</t>
        </is>
      </c>
      <c r="E179" s="20" t="n">
        <v>46009</v>
      </c>
      <c r="F179" s="3" t="inlineStr">
        <is>
          <t>OPERATION RIYADH NURSERY</t>
        </is>
      </c>
      <c r="G179" s="3" t="n"/>
      <c r="H179" s="4" t="n">
        <v>2309.2</v>
      </c>
      <c r="I179" s="3" t="inlineStr">
        <is>
          <t>النظام القديم</t>
        </is>
      </c>
      <c r="J179" s="3" t="inlineStr">
        <is>
          <t>نعم</t>
        </is>
      </c>
      <c r="K179" s="3" t="inlineStr">
        <is>
          <t>بدون تفصيل بنود في السجل</t>
        </is>
      </c>
    </row>
    <row r="180">
      <c r="A180" s="3" t="n">
        <v>179</v>
      </c>
      <c r="B180" s="3" t="inlineStr">
        <is>
          <t>RNO</t>
        </is>
      </c>
      <c r="C180" s="3" t="inlineStr">
        <is>
          <t>صرف مواد للإنتاج – مزرعة الرياض</t>
        </is>
      </c>
      <c r="D180" s="3" t="inlineStr">
        <is>
          <t>RNO-3297</t>
        </is>
      </c>
      <c r="E180" s="20" t="n">
        <v>46012</v>
      </c>
      <c r="F180" s="3" t="inlineStr">
        <is>
          <t>OPERATION RIYADH NURSERY</t>
        </is>
      </c>
      <c r="G180" s="3" t="n"/>
      <c r="H180" s="4" t="n">
        <v>1351.83</v>
      </c>
      <c r="I180" s="3" t="inlineStr">
        <is>
          <t>النظام القديم</t>
        </is>
      </c>
      <c r="J180" s="3" t="inlineStr">
        <is>
          <t>نعم</t>
        </is>
      </c>
      <c r="K180" s="3" t="inlineStr">
        <is>
          <t>بدون تفصيل بنود في السجل</t>
        </is>
      </c>
    </row>
    <row r="181">
      <c r="A181" s="3" t="n">
        <v>180</v>
      </c>
      <c r="B181" s="3" t="inlineStr">
        <is>
          <t>RNO</t>
        </is>
      </c>
      <c r="C181" s="3" t="inlineStr">
        <is>
          <t>صرف مواد للإنتاج – مزرعة الرياض</t>
        </is>
      </c>
      <c r="D181" s="3" t="inlineStr">
        <is>
          <t>RNO-3317</t>
        </is>
      </c>
      <c r="E181" s="20" t="n">
        <v>46014</v>
      </c>
      <c r="F181" s="3" t="inlineStr">
        <is>
          <t>OPERATION RIYADH NURSERY</t>
        </is>
      </c>
      <c r="G181" s="3" t="n"/>
      <c r="H181" s="4" t="n">
        <v>5698.83</v>
      </c>
      <c r="I181" s="3" t="inlineStr">
        <is>
          <t>النظام القديم</t>
        </is>
      </c>
      <c r="J181" s="3" t="inlineStr">
        <is>
          <t>نعم</t>
        </is>
      </c>
      <c r="K181" s="3" t="inlineStr">
        <is>
          <t>بدون تفصيل بنود في السجل</t>
        </is>
      </c>
    </row>
    <row r="182">
      <c r="A182" s="3" t="n">
        <v>181</v>
      </c>
      <c r="B182" s="3" t="inlineStr">
        <is>
          <t>RNO</t>
        </is>
      </c>
      <c r="C182" s="3" t="inlineStr">
        <is>
          <t>صرف مواد للإنتاج – مزرعة الرياض</t>
        </is>
      </c>
      <c r="D182" s="3" t="inlineStr">
        <is>
          <t>RNO-3347</t>
        </is>
      </c>
      <c r="E182" s="20" t="n">
        <v>46016</v>
      </c>
      <c r="F182" s="3" t="inlineStr">
        <is>
          <t>OPERATION RIYADH NURSERY</t>
        </is>
      </c>
      <c r="G182" s="3" t="n"/>
      <c r="H182" s="4" t="n">
        <v>2521.38</v>
      </c>
      <c r="I182" s="3" t="inlineStr">
        <is>
          <t>النظام القديم</t>
        </is>
      </c>
      <c r="J182" s="3" t="inlineStr">
        <is>
          <t>نعم</t>
        </is>
      </c>
      <c r="K182" s="3" t="inlineStr">
        <is>
          <t>بدون تفصيل بنود في السجل</t>
        </is>
      </c>
    </row>
    <row r="183">
      <c r="A183" s="3" t="n">
        <v>182</v>
      </c>
      <c r="B183" s="3" t="inlineStr">
        <is>
          <t>RNO</t>
        </is>
      </c>
      <c r="C183" s="3" t="inlineStr">
        <is>
          <t>صرف مواد للإنتاج – مزرعة الرياض</t>
        </is>
      </c>
      <c r="D183" s="3" t="inlineStr">
        <is>
          <t>RNO-3353</t>
        </is>
      </c>
      <c r="E183" s="20" t="n">
        <v>46018</v>
      </c>
      <c r="F183" s="3" t="inlineStr">
        <is>
          <t>OPERATION RIYADH NURSERY</t>
        </is>
      </c>
      <c r="G183" s="3" t="n"/>
      <c r="H183" s="4" t="n">
        <v>7453.73</v>
      </c>
      <c r="I183" s="3" t="inlineStr">
        <is>
          <t>النظام القديم</t>
        </is>
      </c>
      <c r="J183" s="3" t="inlineStr">
        <is>
          <t>نعم</t>
        </is>
      </c>
      <c r="K183" s="3" t="inlineStr">
        <is>
          <t>بدون تفصيل بنود في السجل</t>
        </is>
      </c>
    </row>
    <row r="184">
      <c r="A184" s="3" t="n">
        <v>183</v>
      </c>
      <c r="B184" s="3" t="inlineStr">
        <is>
          <t>RNO</t>
        </is>
      </c>
      <c r="C184" s="3" t="inlineStr">
        <is>
          <t>صرف مواد للإنتاج – مزرعة الرياض</t>
        </is>
      </c>
      <c r="D184" s="3" t="inlineStr">
        <is>
          <t>RNO-3492</t>
        </is>
      </c>
      <c r="E184" s="20" t="n">
        <v>46029</v>
      </c>
      <c r="F184" s="3" t="inlineStr">
        <is>
          <t>OPERATION RIYADH NURSERY</t>
        </is>
      </c>
      <c r="G184" s="3" t="n"/>
      <c r="H184" s="4" t="n">
        <v>529</v>
      </c>
      <c r="I184" s="3" t="inlineStr">
        <is>
          <t>النظام القديم</t>
        </is>
      </c>
      <c r="J184" s="3" t="inlineStr">
        <is>
          <t>نعم</t>
        </is>
      </c>
      <c r="K184" s="3" t="inlineStr">
        <is>
          <t>بدون تفصيل بنود في السجل</t>
        </is>
      </c>
    </row>
    <row r="185">
      <c r="A185" s="3" t="n">
        <v>184</v>
      </c>
      <c r="B185" s="3" t="inlineStr">
        <is>
          <t>RNO</t>
        </is>
      </c>
      <c r="C185" s="3" t="inlineStr">
        <is>
          <t>صرف مواد للإنتاج – مزرعة الرياض</t>
        </is>
      </c>
      <c r="D185" s="3" t="inlineStr">
        <is>
          <t>RNO-3525</t>
        </is>
      </c>
      <c r="E185" s="20" t="n">
        <v>46033</v>
      </c>
      <c r="F185" s="3" t="inlineStr">
        <is>
          <t>OPERATION RIYADH NURSERY</t>
        </is>
      </c>
      <c r="G185" s="3" t="n">
        <v>2</v>
      </c>
      <c r="H185" s="4" t="n">
        <v>1069.5</v>
      </c>
      <c r="I185" s="3" t="inlineStr">
        <is>
          <t>النظام القديم</t>
        </is>
      </c>
      <c r="J185" s="3" t="inlineStr">
        <is>
          <t>نعم</t>
        </is>
      </c>
      <c r="K185" s="3" t="inlineStr"/>
    </row>
    <row r="186">
      <c r="A186" s="3" t="n">
        <v>185</v>
      </c>
      <c r="B186" s="3" t="inlineStr">
        <is>
          <t>RNO</t>
        </is>
      </c>
      <c r="C186" s="3" t="inlineStr">
        <is>
          <t>صرف مواد للإنتاج – مزرعة الرياض</t>
        </is>
      </c>
      <c r="D186" s="3" t="inlineStr">
        <is>
          <t>RNO-3558</t>
        </is>
      </c>
      <c r="E186" s="20" t="n">
        <v>46036</v>
      </c>
      <c r="F186" s="3" t="inlineStr">
        <is>
          <t>OPERATION RIYADH NURSERY</t>
        </is>
      </c>
      <c r="G186" s="3" t="n">
        <v>2</v>
      </c>
      <c r="H186" s="4" t="n">
        <v>1909</v>
      </c>
      <c r="I186" s="3" t="inlineStr">
        <is>
          <t>النظام القديم</t>
        </is>
      </c>
      <c r="J186" s="3" t="inlineStr">
        <is>
          <t>نعم</t>
        </is>
      </c>
      <c r="K186" s="3" t="inlineStr"/>
    </row>
    <row r="187">
      <c r="A187" s="3" t="n">
        <v>186</v>
      </c>
      <c r="B187" s="3" t="inlineStr">
        <is>
          <t>RNO</t>
        </is>
      </c>
      <c r="C187" s="3" t="inlineStr">
        <is>
          <t>صرف مواد للإنتاج – مزرعة الرياض</t>
        </is>
      </c>
      <c r="D187" s="3" t="inlineStr">
        <is>
          <t>RNO-3624</t>
        </is>
      </c>
      <c r="E187" s="20" t="n">
        <v>46046</v>
      </c>
      <c r="F187" s="3" t="inlineStr">
        <is>
          <t>OPERATION RIYADH NURSERY</t>
        </is>
      </c>
      <c r="G187" s="3" t="n">
        <v>2</v>
      </c>
      <c r="H187" s="4" t="n">
        <v>5359</v>
      </c>
      <c r="I187" s="3" t="inlineStr">
        <is>
          <t>النظام القديم</t>
        </is>
      </c>
      <c r="J187" s="3" t="inlineStr">
        <is>
          <t>نعم</t>
        </is>
      </c>
      <c r="K187" s="3" t="inlineStr"/>
    </row>
    <row r="188">
      <c r="A188" s="3" t="n">
        <v>187</v>
      </c>
      <c r="B188" s="3" t="inlineStr">
        <is>
          <t>RNO</t>
        </is>
      </c>
      <c r="C188" s="3" t="inlineStr">
        <is>
          <t>صرف مواد للإنتاج – مزرعة الرياض</t>
        </is>
      </c>
      <c r="D188" s="3" t="inlineStr">
        <is>
          <t>RNO-3637</t>
        </is>
      </c>
      <c r="E188" s="20" t="n">
        <v>46048</v>
      </c>
      <c r="F188" s="3" t="inlineStr">
        <is>
          <t>OPERATION RIYADH NURSERY</t>
        </is>
      </c>
      <c r="G188" s="3" t="n">
        <v>2</v>
      </c>
      <c r="H188" s="4" t="n">
        <v>1230.5</v>
      </c>
      <c r="I188" s="3" t="inlineStr">
        <is>
          <t>النظام القديم</t>
        </is>
      </c>
      <c r="J188" s="3" t="inlineStr">
        <is>
          <t>نعم</t>
        </is>
      </c>
      <c r="K188" s="3" t="inlineStr"/>
    </row>
    <row r="189">
      <c r="A189" s="3" t="n">
        <v>188</v>
      </c>
      <c r="B189" s="3" t="inlineStr">
        <is>
          <t>RNO</t>
        </is>
      </c>
      <c r="C189" s="3" t="inlineStr">
        <is>
          <t>صرف مواد للإنتاج – مزرعة الرياض</t>
        </is>
      </c>
      <c r="D189" s="3" t="inlineStr">
        <is>
          <t>RNO-3673</t>
        </is>
      </c>
      <c r="E189" s="20" t="n">
        <v>46049</v>
      </c>
      <c r="F189" s="3" t="inlineStr">
        <is>
          <t>OPERATION RIYADH NURSERY</t>
        </is>
      </c>
      <c r="G189" s="3" t="n">
        <v>2</v>
      </c>
      <c r="H189" s="4" t="n">
        <v>2603.6</v>
      </c>
      <c r="I189" s="3" t="inlineStr">
        <is>
          <t>النظام القديم</t>
        </is>
      </c>
      <c r="J189" s="3" t="inlineStr">
        <is>
          <t>نعم</t>
        </is>
      </c>
      <c r="K189" s="3" t="inlineStr"/>
    </row>
    <row r="190">
      <c r="A190" s="3" t="n">
        <v>189</v>
      </c>
      <c r="B190" s="3" t="inlineStr">
        <is>
          <t>RNO</t>
        </is>
      </c>
      <c r="C190" s="3" t="inlineStr">
        <is>
          <t>صرف مواد للإنتاج – مزرعة الرياض</t>
        </is>
      </c>
      <c r="D190" s="3" t="inlineStr">
        <is>
          <t>RNO-3684</t>
        </is>
      </c>
      <c r="E190" s="20" t="n">
        <v>46050</v>
      </c>
      <c r="F190" s="3" t="inlineStr">
        <is>
          <t>OPERATION RIYADH NURSERY</t>
        </is>
      </c>
      <c r="G190" s="3" t="n">
        <v>9</v>
      </c>
      <c r="H190" s="4" t="n">
        <v>5577.5</v>
      </c>
      <c r="I190" s="3" t="inlineStr">
        <is>
          <t>النظام القديم</t>
        </is>
      </c>
      <c r="J190" s="3" t="inlineStr">
        <is>
          <t>نعم</t>
        </is>
      </c>
      <c r="K190" s="3" t="inlineStr"/>
    </row>
    <row r="191">
      <c r="A191" s="3" t="n">
        <v>190</v>
      </c>
      <c r="B191" s="3" t="inlineStr">
        <is>
          <t>RNO</t>
        </is>
      </c>
      <c r="C191" s="3" t="inlineStr">
        <is>
          <t>صرف مواد للإنتاج – مزرعة الرياض</t>
        </is>
      </c>
      <c r="D191" s="3" t="inlineStr">
        <is>
          <t>RNO-3695</t>
        </is>
      </c>
      <c r="E191" s="20" t="n">
        <v>46051</v>
      </c>
      <c r="F191" s="3" t="inlineStr">
        <is>
          <t>OPERATION RIYADH NURSERY</t>
        </is>
      </c>
      <c r="G191" s="3" t="n"/>
      <c r="H191" s="4" t="n">
        <v>1679</v>
      </c>
      <c r="I191" s="3" t="inlineStr">
        <is>
          <t>النظام القديم</t>
        </is>
      </c>
      <c r="J191" s="3" t="inlineStr">
        <is>
          <t>نعم</t>
        </is>
      </c>
      <c r="K191" s="3" t="inlineStr">
        <is>
          <t>بدون تفصيل بنود في السجل</t>
        </is>
      </c>
    </row>
    <row r="192">
      <c r="A192" s="3" t="n">
        <v>191</v>
      </c>
      <c r="B192" s="3" t="inlineStr">
        <is>
          <t>RNO</t>
        </is>
      </c>
      <c r="C192" s="3" t="inlineStr">
        <is>
          <t>صرف مواد للإنتاج – مزرعة الرياض</t>
        </is>
      </c>
      <c r="D192" s="3" t="inlineStr">
        <is>
          <t>RNO-3707</t>
        </is>
      </c>
      <c r="E192" s="20" t="n">
        <v>46054</v>
      </c>
      <c r="F192" s="3" t="inlineStr">
        <is>
          <t>OPERATION RIYADH NURSERY</t>
        </is>
      </c>
      <c r="G192" s="3" t="n">
        <v>16</v>
      </c>
      <c r="H192" s="4" t="n">
        <v>12882.3</v>
      </c>
      <c r="I192" s="3" t="inlineStr">
        <is>
          <t>النظام القديم</t>
        </is>
      </c>
      <c r="J192" s="3" t="inlineStr">
        <is>
          <t>نعم</t>
        </is>
      </c>
      <c r="K192" s="3" t="inlineStr"/>
    </row>
    <row r="193">
      <c r="A193" s="3" t="n">
        <v>192</v>
      </c>
      <c r="B193" s="3" t="inlineStr">
        <is>
          <t>RNO</t>
        </is>
      </c>
      <c r="C193" s="3" t="inlineStr">
        <is>
          <t>صرف مواد للإنتاج – مزرعة الرياض</t>
        </is>
      </c>
      <c r="D193" s="3" t="inlineStr">
        <is>
          <t>RNO-3762</t>
        </is>
      </c>
      <c r="E193" s="20" t="n">
        <v>46058</v>
      </c>
      <c r="F193" s="3" t="inlineStr">
        <is>
          <t>OPERATION RIYADH NURSERY</t>
        </is>
      </c>
      <c r="G193" s="3" t="n">
        <v>3</v>
      </c>
      <c r="H193" s="4" t="n">
        <v>26234.38</v>
      </c>
      <c r="I193" s="3" t="inlineStr">
        <is>
          <t>النظام القديم</t>
        </is>
      </c>
      <c r="J193" s="3" t="inlineStr">
        <is>
          <t>نعم</t>
        </is>
      </c>
      <c r="K193" s="3" t="inlineStr"/>
    </row>
    <row r="194">
      <c r="A194" s="3" t="n">
        <v>193</v>
      </c>
      <c r="B194" s="3" t="inlineStr">
        <is>
          <t>RNO</t>
        </is>
      </c>
      <c r="C194" s="3" t="inlineStr">
        <is>
          <t>صرف مواد للإنتاج – مزرعة الرياض</t>
        </is>
      </c>
      <c r="D194" s="3" t="inlineStr">
        <is>
          <t>RNO-3777</t>
        </is>
      </c>
      <c r="E194" s="20" t="n">
        <v>46061</v>
      </c>
      <c r="F194" s="3" t="inlineStr">
        <is>
          <t>OPERATION RIYADH NURSERY</t>
        </is>
      </c>
      <c r="G194" s="3" t="n">
        <v>7</v>
      </c>
      <c r="H194" s="4" t="n">
        <v>9674.379999999999</v>
      </c>
      <c r="I194" s="3" t="inlineStr">
        <is>
          <t>النظام القديم</t>
        </is>
      </c>
      <c r="J194" s="3" t="inlineStr">
        <is>
          <t>نعم</t>
        </is>
      </c>
      <c r="K194" s="3" t="inlineStr"/>
    </row>
    <row r="195">
      <c r="A195" s="3" t="n">
        <v>194</v>
      </c>
      <c r="B195" s="3" t="inlineStr">
        <is>
          <t>RNO</t>
        </is>
      </c>
      <c r="C195" s="3" t="inlineStr">
        <is>
          <t>صرف مواد للإنتاج – مزرعة الرياض</t>
        </is>
      </c>
      <c r="D195" s="3" t="inlineStr">
        <is>
          <t>RNO-3800</t>
        </is>
      </c>
      <c r="E195" s="20" t="n">
        <v>46063</v>
      </c>
      <c r="F195" s="3" t="inlineStr">
        <is>
          <t>OPERATION RIYADH NURSERY</t>
        </is>
      </c>
      <c r="G195" s="3" t="n">
        <v>11</v>
      </c>
      <c r="H195" s="4" t="n">
        <v>6039.8</v>
      </c>
      <c r="I195" s="3" t="inlineStr">
        <is>
          <t>النظام القديم</t>
        </is>
      </c>
      <c r="J195" s="3" t="inlineStr">
        <is>
          <t>نعم</t>
        </is>
      </c>
      <c r="K195" s="3" t="inlineStr"/>
    </row>
    <row r="196">
      <c r="A196" s="3" t="n">
        <v>195</v>
      </c>
      <c r="B196" s="3" t="inlineStr">
        <is>
          <t>RNO</t>
        </is>
      </c>
      <c r="C196" s="3" t="inlineStr">
        <is>
          <t>صرف مواد للإنتاج – مزرعة الرياض</t>
        </is>
      </c>
      <c r="D196" s="3" t="inlineStr">
        <is>
          <t>RNO-3829</t>
        </is>
      </c>
      <c r="E196" s="20" t="n">
        <v>46065</v>
      </c>
      <c r="F196" s="3" t="inlineStr">
        <is>
          <t>OPERATION RIYADH NURSERY</t>
        </is>
      </c>
      <c r="G196" s="3" t="n">
        <v>4</v>
      </c>
      <c r="H196" s="4" t="n">
        <v>5417.08</v>
      </c>
      <c r="I196" s="3" t="inlineStr">
        <is>
          <t>النظام القديم</t>
        </is>
      </c>
      <c r="J196" s="3" t="inlineStr">
        <is>
          <t>نعم</t>
        </is>
      </c>
      <c r="K196" s="3" t="inlineStr"/>
    </row>
    <row r="197">
      <c r="A197" s="8" t="n">
        <v>196</v>
      </c>
      <c r="B197" s="8" t="inlineStr">
        <is>
          <t>RNO</t>
        </is>
      </c>
      <c r="C197" s="8" t="inlineStr">
        <is>
          <t>صرف مواد للإنتاج – مزرعة الرياض</t>
        </is>
      </c>
      <c r="D197" s="8" t="inlineStr">
        <is>
          <t>RNO-3832</t>
        </is>
      </c>
      <c r="E197" s="21" t="n">
        <v>46066</v>
      </c>
      <c r="F197" s="8" t="inlineStr">
        <is>
          <t>OPERATION RIYADH NURSERY</t>
        </is>
      </c>
      <c r="G197" s="8" t="n">
        <v>4</v>
      </c>
      <c r="H197" s="10" t="n">
        <v>5550.48</v>
      </c>
      <c r="I197" s="8" t="inlineStr">
        <is>
          <t>النظام القديم</t>
        </is>
      </c>
      <c r="J197" s="8" t="inlineStr">
        <is>
          <t>نعم</t>
        </is>
      </c>
      <c r="K197" s="8" t="inlineStr">
        <is>
          <t>⚠ مجموع البنود 5,274.48 لا يساوي إجمالي العقد 5,550.48 (فرق 276.00)</t>
        </is>
      </c>
    </row>
    <row r="198">
      <c r="A198" s="3" t="n">
        <v>197</v>
      </c>
      <c r="B198" s="3" t="inlineStr">
        <is>
          <t>RNO</t>
        </is>
      </c>
      <c r="C198" s="3" t="inlineStr">
        <is>
          <t>صرف مواد للإنتاج – مزرعة الرياض</t>
        </is>
      </c>
      <c r="D198" s="3" t="inlineStr">
        <is>
          <t>RNO-3848</t>
        </is>
      </c>
      <c r="E198" s="20" t="n">
        <v>46068</v>
      </c>
      <c r="F198" s="3" t="inlineStr">
        <is>
          <t>OPERATION RIYADH NURSERY</t>
        </is>
      </c>
      <c r="G198" s="3" t="n">
        <v>2</v>
      </c>
      <c r="H198" s="4" t="n">
        <v>2133.83</v>
      </c>
      <c r="I198" s="3" t="inlineStr">
        <is>
          <t>النظام القديم</t>
        </is>
      </c>
      <c r="J198" s="3" t="inlineStr">
        <is>
          <t>نعم</t>
        </is>
      </c>
      <c r="K198" s="3" t="inlineStr"/>
    </row>
    <row r="199">
      <c r="A199" s="3" t="n">
        <v>198</v>
      </c>
      <c r="B199" s="3" t="inlineStr">
        <is>
          <t>RNO</t>
        </is>
      </c>
      <c r="C199" s="3" t="inlineStr">
        <is>
          <t>صرف مواد للإنتاج – مزرعة الرياض</t>
        </is>
      </c>
      <c r="D199" s="3" t="inlineStr">
        <is>
          <t>RNO-3853</t>
        </is>
      </c>
      <c r="E199" s="20" t="n">
        <v>46069</v>
      </c>
      <c r="F199" s="3" t="inlineStr">
        <is>
          <t>OPERATION RIYADH NURSERY</t>
        </is>
      </c>
      <c r="G199" s="3" t="n">
        <v>1</v>
      </c>
      <c r="H199" s="4" t="n">
        <v>69</v>
      </c>
      <c r="I199" s="3" t="inlineStr">
        <is>
          <t>النظام القديم</t>
        </is>
      </c>
      <c r="J199" s="3" t="inlineStr">
        <is>
          <t>نعم</t>
        </is>
      </c>
      <c r="K199" s="3" t="inlineStr"/>
    </row>
    <row r="200">
      <c r="A200" s="3" t="n">
        <v>199</v>
      </c>
      <c r="B200" s="3" t="inlineStr">
        <is>
          <t>RNO</t>
        </is>
      </c>
      <c r="C200" s="3" t="inlineStr">
        <is>
          <t>صرف مواد للإنتاج – مزرعة الرياض</t>
        </is>
      </c>
      <c r="D200" s="3" t="inlineStr">
        <is>
          <t>RNO-3862</t>
        </is>
      </c>
      <c r="E200" s="20" t="n">
        <v>46070</v>
      </c>
      <c r="F200" s="3" t="inlineStr">
        <is>
          <t>OPERATION RIYADH NURSERY</t>
        </is>
      </c>
      <c r="G200" s="3" t="n">
        <v>16</v>
      </c>
      <c r="H200" s="4" t="n">
        <v>6766.03</v>
      </c>
      <c r="I200" s="3" t="inlineStr">
        <is>
          <t>النظام القديم</t>
        </is>
      </c>
      <c r="J200" s="3" t="inlineStr">
        <is>
          <t>نعم</t>
        </is>
      </c>
      <c r="K200" s="3" t="inlineStr"/>
    </row>
    <row r="201">
      <c r="A201" s="3" t="n">
        <v>200</v>
      </c>
      <c r="B201" s="3" t="inlineStr">
        <is>
          <t>RNO</t>
        </is>
      </c>
      <c r="C201" s="3" t="inlineStr">
        <is>
          <t>صرف مواد للإنتاج – مزرعة الرياض</t>
        </is>
      </c>
      <c r="D201" s="3" t="inlineStr">
        <is>
          <t>RNO-3879</t>
        </is>
      </c>
      <c r="E201" s="20" t="n">
        <v>46072</v>
      </c>
      <c r="F201" s="3" t="inlineStr">
        <is>
          <t>OPERATION RIYADH NURSERY</t>
        </is>
      </c>
      <c r="G201" s="3" t="n">
        <v>1</v>
      </c>
      <c r="H201" s="4" t="n">
        <v>6555</v>
      </c>
      <c r="I201" s="3" t="inlineStr">
        <is>
          <t>النظام القديم</t>
        </is>
      </c>
      <c r="J201" s="3" t="inlineStr">
        <is>
          <t>نعم</t>
        </is>
      </c>
      <c r="K201" s="3" t="inlineStr"/>
    </row>
    <row r="202">
      <c r="A202" s="3" t="n">
        <v>201</v>
      </c>
      <c r="B202" s="3" t="inlineStr">
        <is>
          <t>RNO</t>
        </is>
      </c>
      <c r="C202" s="3" t="inlineStr">
        <is>
          <t>صرف مواد للإنتاج – مزرعة الرياض</t>
        </is>
      </c>
      <c r="D202" s="3" t="inlineStr">
        <is>
          <t>RNO-3906</t>
        </is>
      </c>
      <c r="E202" s="20" t="n">
        <v>46075</v>
      </c>
      <c r="F202" s="3" t="inlineStr">
        <is>
          <t>OPERATION RIYADH NURSERY</t>
        </is>
      </c>
      <c r="G202" s="3" t="n">
        <v>5</v>
      </c>
      <c r="H202" s="4" t="n">
        <v>11440.78</v>
      </c>
      <c r="I202" s="3" t="inlineStr">
        <is>
          <t>النظام القديم</t>
        </is>
      </c>
      <c r="J202" s="3" t="inlineStr">
        <is>
          <t>نعم</t>
        </is>
      </c>
      <c r="K202" s="3" t="inlineStr"/>
    </row>
    <row r="203">
      <c r="A203" s="14" t="n">
        <v>202</v>
      </c>
      <c r="B203" s="14" t="inlineStr">
        <is>
          <t>RNO</t>
        </is>
      </c>
      <c r="C203" s="14" t="inlineStr">
        <is>
          <t>صرف مواد للإنتاج – مزرعة الرياض</t>
        </is>
      </c>
      <c r="D203" s="14" t="inlineStr">
        <is>
          <t>ISV-0002</t>
        </is>
      </c>
      <c r="E203" s="23" t="n">
        <v>46186</v>
      </c>
      <c r="F203" s="14" t="inlineStr">
        <is>
          <t>PRODUCTION OPERATION-RN</t>
        </is>
      </c>
      <c r="G203" s="14" t="n">
        <v>2</v>
      </c>
      <c r="H203" s="16" t="n">
        <v>161.5</v>
      </c>
      <c r="I203" s="14" t="inlineStr">
        <is>
          <t>النظام الجديد</t>
        </is>
      </c>
      <c r="J203" s="14" t="inlineStr">
        <is>
          <t>نعم</t>
        </is>
      </c>
      <c r="K203" s="14" t="inlineStr">
        <is>
          <t>مرجع الطلب: RNPR-0012</t>
        </is>
      </c>
    </row>
    <row r="204">
      <c r="A204" s="14" t="n">
        <v>203</v>
      </c>
      <c r="B204" s="14" t="inlineStr">
        <is>
          <t>RNO</t>
        </is>
      </c>
      <c r="C204" s="14" t="inlineStr">
        <is>
          <t>صرف مواد للإنتاج – مزرعة الرياض</t>
        </is>
      </c>
      <c r="D204" s="14" t="inlineStr">
        <is>
          <t>ISV-0003</t>
        </is>
      </c>
      <c r="E204" s="23" t="n">
        <v>46186</v>
      </c>
      <c r="F204" s="14" t="inlineStr">
        <is>
          <t>PRODUCTION OPERATION-RN</t>
        </is>
      </c>
      <c r="G204" s="14" t="n">
        <v>1</v>
      </c>
      <c r="H204" s="16" t="n">
        <v>310.5</v>
      </c>
      <c r="I204" s="14" t="inlineStr">
        <is>
          <t>النظام الجديد</t>
        </is>
      </c>
      <c r="J204" s="14" t="inlineStr">
        <is>
          <t>نعم</t>
        </is>
      </c>
      <c r="K204" s="14" t="inlineStr">
        <is>
          <t>مرجع الطلب: RNPR-0013</t>
        </is>
      </c>
    </row>
    <row r="205">
      <c r="A205" s="14" t="n">
        <v>204</v>
      </c>
      <c r="B205" s="14" t="inlineStr">
        <is>
          <t>RNO</t>
        </is>
      </c>
      <c r="C205" s="14" t="inlineStr">
        <is>
          <t>صرف مواد للإنتاج – مزرعة الرياض</t>
        </is>
      </c>
      <c r="D205" s="14" t="inlineStr">
        <is>
          <t>ISV-0008</t>
        </is>
      </c>
      <c r="E205" s="23" t="n">
        <v>46187</v>
      </c>
      <c r="F205" s="14" t="inlineStr">
        <is>
          <t>PRODUCTION OPERATION-RN</t>
        </is>
      </c>
      <c r="G205" s="14" t="n">
        <v>5</v>
      </c>
      <c r="H205" s="16" t="n">
        <v>2796</v>
      </c>
      <c r="I205" s="14" t="inlineStr">
        <is>
          <t>النظام الجديد</t>
        </is>
      </c>
      <c r="J205" s="14" t="inlineStr">
        <is>
          <t>نعم</t>
        </is>
      </c>
      <c r="K205" s="14" t="inlineStr">
        <is>
          <t>مرجع الطلب: RNPR-0014</t>
        </is>
      </c>
    </row>
    <row r="206">
      <c r="A206" s="14" t="n">
        <v>205</v>
      </c>
      <c r="B206" s="14" t="inlineStr">
        <is>
          <t>RNO</t>
        </is>
      </c>
      <c r="C206" s="14" t="inlineStr">
        <is>
          <t>صرف مواد للإنتاج – مزرعة الرياض</t>
        </is>
      </c>
      <c r="D206" s="14" t="inlineStr">
        <is>
          <t>ISV-0018</t>
        </is>
      </c>
      <c r="E206" s="23" t="n">
        <v>46190</v>
      </c>
      <c r="F206" s="14" t="inlineStr">
        <is>
          <t>PRODUCTION OPERATION-RN</t>
        </is>
      </c>
      <c r="G206" s="14" t="n">
        <v>3</v>
      </c>
      <c r="H206" s="16" t="n">
        <v>3028</v>
      </c>
      <c r="I206" s="14" t="inlineStr">
        <is>
          <t>النظام الجديد</t>
        </is>
      </c>
      <c r="J206" s="14" t="inlineStr">
        <is>
          <t>نعم</t>
        </is>
      </c>
      <c r="K206" s="14" t="inlineStr">
        <is>
          <t>مرجع الطلب: RNPR-0016</t>
        </is>
      </c>
    </row>
    <row r="207">
      <c r="A207" s="14" t="n">
        <v>206</v>
      </c>
      <c r="B207" s="14" t="inlineStr">
        <is>
          <t>RNO</t>
        </is>
      </c>
      <c r="C207" s="14" t="inlineStr">
        <is>
          <t>صرف مواد للإنتاج – مزرعة الرياض</t>
        </is>
      </c>
      <c r="D207" s="14" t="inlineStr">
        <is>
          <t>ISV-0023</t>
        </is>
      </c>
      <c r="E207" s="23" t="n">
        <v>46194</v>
      </c>
      <c r="F207" s="14" t="inlineStr">
        <is>
          <t>PRODUCTION OPERATION-RN</t>
        </is>
      </c>
      <c r="G207" s="14" t="n">
        <v>2</v>
      </c>
      <c r="H207" s="16" t="n">
        <v>643.5</v>
      </c>
      <c r="I207" s="14" t="inlineStr">
        <is>
          <t>النظام الجديد</t>
        </is>
      </c>
      <c r="J207" s="14" t="inlineStr">
        <is>
          <t>نعم</t>
        </is>
      </c>
      <c r="K207" s="14" t="inlineStr">
        <is>
          <t>مرجع الطلب: RNPR-0017</t>
        </is>
      </c>
    </row>
    <row r="208">
      <c r="A208" s="14" t="n">
        <v>207</v>
      </c>
      <c r="B208" s="14" t="inlineStr">
        <is>
          <t>RNO</t>
        </is>
      </c>
      <c r="C208" s="14" t="inlineStr">
        <is>
          <t>صرف مواد للإنتاج – مزرعة الرياض</t>
        </is>
      </c>
      <c r="D208" s="14" t="inlineStr">
        <is>
          <t>ISV-0042</t>
        </is>
      </c>
      <c r="E208" s="23" t="n">
        <v>46198</v>
      </c>
      <c r="F208" s="14" t="inlineStr">
        <is>
          <t>PRODUCTION OPERATION-RN</t>
        </is>
      </c>
      <c r="G208" s="14" t="n">
        <v>3</v>
      </c>
      <c r="H208" s="16" t="n">
        <v>2125.5</v>
      </c>
      <c r="I208" s="14" t="inlineStr">
        <is>
          <t>النظام الجديد</t>
        </is>
      </c>
      <c r="J208" s="14" t="inlineStr">
        <is>
          <t>نعم</t>
        </is>
      </c>
      <c r="K208" s="14" t="inlineStr">
        <is>
          <t>مرجع الطلب: ORD-20260625090652</t>
        </is>
      </c>
    </row>
    <row r="209">
      <c r="A209" s="14" t="n">
        <v>208</v>
      </c>
      <c r="B209" s="14" t="inlineStr">
        <is>
          <t>RNO</t>
        </is>
      </c>
      <c r="C209" s="14" t="inlineStr">
        <is>
          <t>صرف مواد للإنتاج – مزرعة الرياض</t>
        </is>
      </c>
      <c r="D209" s="14" t="inlineStr">
        <is>
          <t>ISV-0046</t>
        </is>
      </c>
      <c r="E209" s="23" t="n">
        <v>46200</v>
      </c>
      <c r="F209" s="14" t="inlineStr">
        <is>
          <t>PRODUCTION OPERATION-RN</t>
        </is>
      </c>
      <c r="G209" s="14" t="n">
        <v>3</v>
      </c>
      <c r="H209" s="16" t="n">
        <v>895.5</v>
      </c>
      <c r="I209" s="14" t="inlineStr">
        <is>
          <t>النظام الجديد</t>
        </is>
      </c>
      <c r="J209" s="14" t="inlineStr">
        <is>
          <t>نعم</t>
        </is>
      </c>
      <c r="K209" s="14" t="inlineStr">
        <is>
          <t>مرجع الطلب: RNPR-0018</t>
        </is>
      </c>
    </row>
    <row r="210">
      <c r="A210" s="14" t="n">
        <v>209</v>
      </c>
      <c r="B210" s="14" t="inlineStr">
        <is>
          <t>RNO</t>
        </is>
      </c>
      <c r="C210" s="14" t="inlineStr">
        <is>
          <t>صرف مواد للإنتاج – مزرعة الرياض</t>
        </is>
      </c>
      <c r="D210" s="14" t="inlineStr">
        <is>
          <t>ISV-0047</t>
        </is>
      </c>
      <c r="E210" s="23" t="n">
        <v>46200</v>
      </c>
      <c r="F210" s="14" t="inlineStr">
        <is>
          <t>PRODUCTION OPERATION-RN</t>
        </is>
      </c>
      <c r="G210" s="14" t="n">
        <v>1</v>
      </c>
      <c r="H210" s="16" t="n">
        <v>19584</v>
      </c>
      <c r="I210" s="14" t="inlineStr">
        <is>
          <t>النظام الجديد</t>
        </is>
      </c>
      <c r="J210" s="14" t="inlineStr">
        <is>
          <t>نعم</t>
        </is>
      </c>
      <c r="K210" s="14" t="inlineStr">
        <is>
          <t>مرجع الطلب: RNPR-0019</t>
        </is>
      </c>
    </row>
    <row r="211">
      <c r="A211" s="14" t="n">
        <v>210</v>
      </c>
      <c r="B211" s="14" t="inlineStr">
        <is>
          <t>RNO</t>
        </is>
      </c>
      <c r="C211" s="14" t="inlineStr">
        <is>
          <t>صرف مواد للإنتاج – مزرعة الرياض</t>
        </is>
      </c>
      <c r="D211" s="14" t="inlineStr">
        <is>
          <t>ISV-0053</t>
        </is>
      </c>
      <c r="E211" s="23" t="n">
        <v>46201</v>
      </c>
      <c r="F211" s="14" t="inlineStr">
        <is>
          <t>PRODUCTION OPERATION-RN</t>
        </is>
      </c>
      <c r="G211" s="14" t="n">
        <v>1</v>
      </c>
      <c r="H211" s="16" t="n">
        <v>13392</v>
      </c>
      <c r="I211" s="14" t="inlineStr">
        <is>
          <t>النظام الجديد</t>
        </is>
      </c>
      <c r="J211" s="14" t="inlineStr">
        <is>
          <t>نعم</t>
        </is>
      </c>
      <c r="K211" s="14" t="inlineStr">
        <is>
          <t>مرجع الطلب: ORD-20260628102531</t>
        </is>
      </c>
    </row>
    <row r="212">
      <c r="A212" s="14" t="n">
        <v>211</v>
      </c>
      <c r="B212" s="14" t="inlineStr">
        <is>
          <t>RNO</t>
        </is>
      </c>
      <c r="C212" s="14" t="inlineStr">
        <is>
          <t>صرف مواد للإنتاج – مزرعة الرياض</t>
        </is>
      </c>
      <c r="D212" s="14" t="inlineStr">
        <is>
          <t>ISV-0061</t>
        </is>
      </c>
      <c r="E212" s="23" t="n">
        <v>46202</v>
      </c>
      <c r="F212" s="14" t="inlineStr">
        <is>
          <t>PRODUCTION OPERATION-RN</t>
        </is>
      </c>
      <c r="G212" s="14" t="n">
        <v>3</v>
      </c>
      <c r="H212" s="16" t="n">
        <v>3217.5</v>
      </c>
      <c r="I212" s="14" t="inlineStr">
        <is>
          <t>النظام الجديد</t>
        </is>
      </c>
      <c r="J212" s="14" t="inlineStr">
        <is>
          <t>نعم</t>
        </is>
      </c>
      <c r="K212" s="14" t="inlineStr">
        <is>
          <t>مرجع الطلب: ORD-20260629092656 | حالته بالنظام: مرتجع جزئي – التفصيل لا يوضح الكمية المرتجعة</t>
        </is>
      </c>
    </row>
    <row r="213">
      <c r="A213" s="14" t="n">
        <v>212</v>
      </c>
      <c r="B213" s="14" t="inlineStr">
        <is>
          <t>RNO</t>
        </is>
      </c>
      <c r="C213" s="14" t="inlineStr">
        <is>
          <t>صرف مواد للإنتاج – مزرعة الرياض</t>
        </is>
      </c>
      <c r="D213" s="14" t="inlineStr">
        <is>
          <t>ISV-0062</t>
        </is>
      </c>
      <c r="E213" s="23" t="n">
        <v>46203</v>
      </c>
      <c r="F213" s="14" t="inlineStr">
        <is>
          <t>PRODUCTION OPERATION-RN</t>
        </is>
      </c>
      <c r="G213" s="14" t="n">
        <v>4</v>
      </c>
      <c r="H213" s="16" t="n">
        <v>1068.5</v>
      </c>
      <c r="I213" s="14" t="inlineStr">
        <is>
          <t>النظام الجديد</t>
        </is>
      </c>
      <c r="J213" s="14" t="inlineStr">
        <is>
          <t>نعم</t>
        </is>
      </c>
      <c r="K213" s="14" t="inlineStr">
        <is>
          <t>مرجع الطلب: RNPR-0020</t>
        </is>
      </c>
    </row>
    <row r="214">
      <c r="A214" s="14" t="n">
        <v>213</v>
      </c>
      <c r="B214" s="14" t="inlineStr">
        <is>
          <t>RNO</t>
        </is>
      </c>
      <c r="C214" s="14" t="inlineStr">
        <is>
          <t>صرف مواد للإنتاج – مزرعة الرياض</t>
        </is>
      </c>
      <c r="D214" s="14" t="inlineStr">
        <is>
          <t>ISV-0063</t>
        </is>
      </c>
      <c r="E214" s="23" t="n">
        <v>46203</v>
      </c>
      <c r="F214" s="14" t="inlineStr">
        <is>
          <t>PRODUCTION OPERATION-RN</t>
        </is>
      </c>
      <c r="G214" s="14" t="n">
        <v>1</v>
      </c>
      <c r="H214" s="16" t="n">
        <v>1500</v>
      </c>
      <c r="I214" s="14" t="inlineStr">
        <is>
          <t>النظام الجديد</t>
        </is>
      </c>
      <c r="J214" s="14" t="inlineStr">
        <is>
          <t>نعم</t>
        </is>
      </c>
      <c r="K214" s="14" t="inlineStr">
        <is>
          <t>مرجع الطلب: RNPR-0021</t>
        </is>
      </c>
    </row>
    <row r="215">
      <c r="A215" s="14" t="n">
        <v>214</v>
      </c>
      <c r="B215" s="14" t="inlineStr">
        <is>
          <t>RNO</t>
        </is>
      </c>
      <c r="C215" s="14" t="inlineStr">
        <is>
          <t>صرف مواد للإنتاج – مزرعة الرياض</t>
        </is>
      </c>
      <c r="D215" s="14" t="inlineStr">
        <is>
          <t>ISV-0072</t>
        </is>
      </c>
      <c r="E215" s="23" t="n">
        <v>46205</v>
      </c>
      <c r="F215" s="14" t="inlineStr">
        <is>
          <t>PRODUCTION OPERATION-RN</t>
        </is>
      </c>
      <c r="G215" s="14" t="n">
        <v>1</v>
      </c>
      <c r="H215" s="16" t="n">
        <v>2568</v>
      </c>
      <c r="I215" s="14" t="inlineStr">
        <is>
          <t>النظام الجديد</t>
        </is>
      </c>
      <c r="J215" s="14" t="inlineStr">
        <is>
          <t>نعم</t>
        </is>
      </c>
      <c r="K215" s="14" t="inlineStr">
        <is>
          <t>مرجع الطلب: RNPR-0023</t>
        </is>
      </c>
    </row>
    <row r="216">
      <c r="A216" s="14" t="n">
        <v>215</v>
      </c>
      <c r="B216" s="14" t="inlineStr">
        <is>
          <t>RNO</t>
        </is>
      </c>
      <c r="C216" s="14" t="inlineStr">
        <is>
          <t>صرف مواد للإنتاج – مزرعة الرياض</t>
        </is>
      </c>
      <c r="D216" s="14" t="inlineStr">
        <is>
          <t>ISV-0079</t>
        </is>
      </c>
      <c r="E216" s="23" t="n">
        <v>46208</v>
      </c>
      <c r="F216" s="14" t="inlineStr">
        <is>
          <t>PRODUCTION OPERATION-RN</t>
        </is>
      </c>
      <c r="G216" s="14" t="n">
        <v>1</v>
      </c>
      <c r="H216" s="16" t="n">
        <v>1116.5</v>
      </c>
      <c r="I216" s="14" t="inlineStr">
        <is>
          <t>النظام الجديد</t>
        </is>
      </c>
      <c r="J216" s="14" t="inlineStr">
        <is>
          <t>نعم</t>
        </is>
      </c>
      <c r="K216" s="14" t="inlineStr">
        <is>
          <t>مرجع الطلب: ORD-20260705163839</t>
        </is>
      </c>
    </row>
    <row r="217">
      <c r="A217" s="14" t="n">
        <v>216</v>
      </c>
      <c r="B217" s="14" t="inlineStr">
        <is>
          <t>RNO</t>
        </is>
      </c>
      <c r="C217" s="14" t="inlineStr">
        <is>
          <t>صرف مواد للإنتاج – مزرعة الرياض</t>
        </is>
      </c>
      <c r="D217" s="14" t="inlineStr">
        <is>
          <t>ISV-0099</t>
        </is>
      </c>
      <c r="E217" s="23" t="n">
        <v>46215</v>
      </c>
      <c r="F217" s="14" t="inlineStr">
        <is>
          <t>PRODUCTION OPERATION-RN</t>
        </is>
      </c>
      <c r="G217" s="14" t="n">
        <v>1</v>
      </c>
      <c r="H217" s="16" t="n">
        <v>2144</v>
      </c>
      <c r="I217" s="14" t="inlineStr">
        <is>
          <t>النظام الجديد</t>
        </is>
      </c>
      <c r="J217" s="14" t="inlineStr">
        <is>
          <t>نعم</t>
        </is>
      </c>
      <c r="K217" s="14" t="inlineStr">
        <is>
          <t>مرجع الطلب: RNPR-0024</t>
        </is>
      </c>
    </row>
    <row r="218">
      <c r="A218" s="14" t="n">
        <v>217</v>
      </c>
      <c r="B218" s="14" t="inlineStr">
        <is>
          <t>RNO</t>
        </is>
      </c>
      <c r="C218" s="14" t="inlineStr">
        <is>
          <t>صرف مواد للإنتاج – مزرعة الرياض</t>
        </is>
      </c>
      <c r="D218" s="14" t="inlineStr">
        <is>
          <t>ISV-0110</t>
        </is>
      </c>
      <c r="E218" s="23" t="n">
        <v>46223</v>
      </c>
      <c r="F218" s="14" t="inlineStr">
        <is>
          <t>PRODUCTION OPERATION-RN</t>
        </is>
      </c>
      <c r="G218" s="14" t="n">
        <v>1</v>
      </c>
      <c r="H218" s="16" t="n">
        <v>832</v>
      </c>
      <c r="I218" s="14" t="inlineStr">
        <is>
          <t>النظام الجديد</t>
        </is>
      </c>
      <c r="J218" s="14" t="inlineStr">
        <is>
          <t>نعم</t>
        </is>
      </c>
      <c r="K218" s="14" t="inlineStr">
        <is>
          <t>مرجع الطلب: RNPR-0027</t>
        </is>
      </c>
    </row>
    <row r="219">
      <c r="A219" s="14" t="n">
        <v>218</v>
      </c>
      <c r="B219" s="14" t="inlineStr">
        <is>
          <t>RNO</t>
        </is>
      </c>
      <c r="C219" s="14" t="inlineStr">
        <is>
          <t>صرف مواد للإنتاج – مزرعة الرياض</t>
        </is>
      </c>
      <c r="D219" s="14" t="inlineStr">
        <is>
          <t>ISV-0129</t>
        </is>
      </c>
      <c r="E219" s="23" t="n">
        <v>46229</v>
      </c>
      <c r="F219" s="14" t="inlineStr">
        <is>
          <t>PRODUCTION OPERATION-RN</t>
        </is>
      </c>
      <c r="G219" s="14" t="n">
        <v>2</v>
      </c>
      <c r="H219" s="16" t="n">
        <v>564</v>
      </c>
      <c r="I219" s="14" t="inlineStr">
        <is>
          <t>النظام الجديد</t>
        </is>
      </c>
      <c r="J219" s="14" t="inlineStr">
        <is>
          <t>نعم</t>
        </is>
      </c>
      <c r="K219" s="14" t="inlineStr">
        <is>
          <t>مرجع الطلب: ORD-20260726105808</t>
        </is>
      </c>
    </row>
    <row r="220">
      <c r="A220" s="14" t="n">
        <v>219</v>
      </c>
      <c r="B220" s="14" t="inlineStr">
        <is>
          <t>RNO</t>
        </is>
      </c>
      <c r="C220" s="14" t="inlineStr">
        <is>
          <t>صرف مواد للإنتاج – مزرعة الرياض</t>
        </is>
      </c>
      <c r="D220" s="14" t="inlineStr">
        <is>
          <t>ISV-0135</t>
        </is>
      </c>
      <c r="E220" s="23" t="n">
        <v>46230</v>
      </c>
      <c r="F220" s="14" t="inlineStr">
        <is>
          <t>PRODUCTION OPERATION-RN</t>
        </is>
      </c>
      <c r="G220" s="14" t="n">
        <v>2</v>
      </c>
      <c r="H220" s="16" t="n">
        <v>886</v>
      </c>
      <c r="I220" s="14" t="inlineStr">
        <is>
          <t>النظام الجديد</t>
        </is>
      </c>
      <c r="J220" s="14" t="inlineStr">
        <is>
          <t>نعم</t>
        </is>
      </c>
      <c r="K220" s="14" t="inlineStr">
        <is>
          <t>مرجع الطلب: RNPR-0031</t>
        </is>
      </c>
    </row>
    <row r="221">
      <c r="A221" s="14" t="n">
        <v>220</v>
      </c>
      <c r="B221" s="14" t="inlineStr">
        <is>
          <t>RNO</t>
        </is>
      </c>
      <c r="C221" s="14" t="inlineStr">
        <is>
          <t>صرف مواد للإنتاج – مزرعة الرياض</t>
        </is>
      </c>
      <c r="D221" s="14" t="inlineStr">
        <is>
          <t>ISV-0139</t>
        </is>
      </c>
      <c r="E221" s="23" t="n">
        <v>46231</v>
      </c>
      <c r="F221" s="14" t="inlineStr">
        <is>
          <t>PRODUCTION OPERATION-RN</t>
        </is>
      </c>
      <c r="G221" s="14" t="n">
        <v>1</v>
      </c>
      <c r="H221" s="16" t="n">
        <v>1796</v>
      </c>
      <c r="I221" s="14" t="inlineStr">
        <is>
          <t>النظام الجديد</t>
        </is>
      </c>
      <c r="J221" s="14" t="inlineStr">
        <is>
          <t>نعم</t>
        </is>
      </c>
      <c r="K221" s="14" t="inlineStr">
        <is>
          <t>مرجع الطلب: RNPR-0032</t>
        </is>
      </c>
    </row>
    <row r="222">
      <c r="A222" s="14" t="n">
        <v>221</v>
      </c>
      <c r="B222" s="14" t="inlineStr">
        <is>
          <t>RNO</t>
        </is>
      </c>
      <c r="C222" s="14" t="inlineStr">
        <is>
          <t>صرف مواد للإنتاج – مزرعة الرياض</t>
        </is>
      </c>
      <c r="D222" s="14" t="inlineStr">
        <is>
          <t>ISV-0145</t>
        </is>
      </c>
      <c r="E222" s="23" t="n">
        <v>46233</v>
      </c>
      <c r="F222" s="14" t="inlineStr">
        <is>
          <t>PRODUCTION OPERATION-RN</t>
        </is>
      </c>
      <c r="G222" s="14" t="n">
        <v>1</v>
      </c>
      <c r="H222" s="16" t="n">
        <v>350</v>
      </c>
      <c r="I222" s="14" t="inlineStr">
        <is>
          <t>النظام الجديد</t>
        </is>
      </c>
      <c r="J222" s="14" t="inlineStr">
        <is>
          <t>نعم</t>
        </is>
      </c>
      <c r="K222" s="14" t="inlineStr">
        <is>
          <t>مرجع الطلب: ORD-20260730084717</t>
        </is>
      </c>
    </row>
    <row r="223">
      <c r="A223" s="3" t="n">
        <v>222</v>
      </c>
      <c r="B223" s="3" t="inlineStr">
        <is>
          <t>RNL</t>
        </is>
      </c>
      <c r="C223" s="3" t="inlineStr">
        <is>
          <t>كميات هالكة ومفقودة</t>
        </is>
      </c>
      <c r="D223" s="3" t="inlineStr">
        <is>
          <t>RNL-2165</t>
        </is>
      </c>
      <c r="E223" s="20" t="n">
        <v>45924</v>
      </c>
      <c r="F223" s="3" t="inlineStr">
        <is>
          <t>LOSSES AND WASTE-RIYADH NURSERY</t>
        </is>
      </c>
      <c r="G223" s="3" t="n"/>
      <c r="H223" s="4" t="n">
        <v>10649</v>
      </c>
      <c r="I223" s="3" t="inlineStr">
        <is>
          <t>النظام القديم</t>
        </is>
      </c>
      <c r="J223" s="3" t="inlineStr">
        <is>
          <t>نعم</t>
        </is>
      </c>
      <c r="K223" s="3" t="inlineStr">
        <is>
          <t>بدون تفصيل بنود في السجل</t>
        </is>
      </c>
    </row>
    <row r="224">
      <c r="A224" s="3" t="n">
        <v>223</v>
      </c>
      <c r="B224" s="3" t="inlineStr">
        <is>
          <t>RNL</t>
        </is>
      </c>
      <c r="C224" s="3" t="inlineStr">
        <is>
          <t>كميات هالكة ومفقودة</t>
        </is>
      </c>
      <c r="D224" s="3" t="inlineStr">
        <is>
          <t>RNL-2356</t>
        </is>
      </c>
      <c r="E224" s="20" t="n">
        <v>45930</v>
      </c>
      <c r="F224" s="3" t="inlineStr">
        <is>
          <t>LOSSES AND WASTE-RIYADH NURSERY</t>
        </is>
      </c>
      <c r="G224" s="3" t="n"/>
      <c r="H224" s="4" t="n">
        <v>695.75</v>
      </c>
      <c r="I224" s="3" t="inlineStr">
        <is>
          <t>النظام القديم</t>
        </is>
      </c>
      <c r="J224" s="3" t="inlineStr">
        <is>
          <t>نعم</t>
        </is>
      </c>
      <c r="K224" s="3" t="inlineStr">
        <is>
          <t>بدون تفصيل بنود في السجل</t>
        </is>
      </c>
    </row>
    <row r="225">
      <c r="A225" s="3" t="n">
        <v>224</v>
      </c>
      <c r="B225" s="3" t="inlineStr">
        <is>
          <t>RNL</t>
        </is>
      </c>
      <c r="C225" s="3" t="inlineStr">
        <is>
          <t>كميات هالكة ومفقودة</t>
        </is>
      </c>
      <c r="D225" s="3" t="inlineStr">
        <is>
          <t>RNL-2418</t>
        </is>
      </c>
      <c r="E225" s="20" t="n">
        <v>45939</v>
      </c>
      <c r="F225" s="3" t="inlineStr">
        <is>
          <t>LOSSES AND WASTE-RIYADH NURSERY</t>
        </is>
      </c>
      <c r="G225" s="3" t="n"/>
      <c r="H225" s="4" t="n">
        <v>1834.25</v>
      </c>
      <c r="I225" s="3" t="inlineStr">
        <is>
          <t>النظام القديم</t>
        </is>
      </c>
      <c r="J225" s="3" t="inlineStr">
        <is>
          <t>نعم</t>
        </is>
      </c>
      <c r="K225" s="3" t="inlineStr">
        <is>
          <t>بدون تفصيل بنود في السجل</t>
        </is>
      </c>
    </row>
    <row r="226">
      <c r="A226" s="3" t="n">
        <v>225</v>
      </c>
      <c r="B226" s="3" t="inlineStr">
        <is>
          <t>RNL</t>
        </is>
      </c>
      <c r="C226" s="3" t="inlineStr">
        <is>
          <t>كميات هالكة ومفقودة</t>
        </is>
      </c>
      <c r="D226" s="3" t="inlineStr">
        <is>
          <t>RNL-2506</t>
        </is>
      </c>
      <c r="E226" s="20" t="n">
        <v>45946</v>
      </c>
      <c r="F226" s="3" t="inlineStr">
        <is>
          <t>LOSSES AND WASTE-RIYADH NURSERY</t>
        </is>
      </c>
      <c r="G226" s="3" t="n"/>
      <c r="H226" s="4" t="n">
        <v>2362.68</v>
      </c>
      <c r="I226" s="3" t="inlineStr">
        <is>
          <t>النظام القديم</t>
        </is>
      </c>
      <c r="J226" s="3" t="inlineStr">
        <is>
          <t>نعم</t>
        </is>
      </c>
      <c r="K226" s="3" t="inlineStr">
        <is>
          <t>بدون تفصيل بنود في السجل</t>
        </is>
      </c>
    </row>
    <row r="227">
      <c r="A227" s="3" t="n">
        <v>226</v>
      </c>
      <c r="B227" s="3" t="inlineStr">
        <is>
          <t>RNL</t>
        </is>
      </c>
      <c r="C227" s="3" t="inlineStr">
        <is>
          <t>كميات هالكة ومفقودة</t>
        </is>
      </c>
      <c r="D227" s="3" t="inlineStr">
        <is>
          <t>RNL-2610</t>
        </is>
      </c>
      <c r="E227" s="20" t="n">
        <v>45954</v>
      </c>
      <c r="F227" s="3" t="inlineStr">
        <is>
          <t>LOSSES AND WASTE-RIYADH NURSERY</t>
        </is>
      </c>
      <c r="G227" s="3" t="n"/>
      <c r="H227" s="4" t="n">
        <v>1897.5</v>
      </c>
      <c r="I227" s="3" t="inlineStr">
        <is>
          <t>النظام القديم</t>
        </is>
      </c>
      <c r="J227" s="3" t="inlineStr">
        <is>
          <t>نعم</t>
        </is>
      </c>
      <c r="K227" s="3" t="inlineStr">
        <is>
          <t>بدون تفصيل بنود في السجل</t>
        </is>
      </c>
    </row>
    <row r="228">
      <c r="A228" s="3" t="n">
        <v>227</v>
      </c>
      <c r="B228" s="3" t="inlineStr">
        <is>
          <t>RNL</t>
        </is>
      </c>
      <c r="C228" s="3" t="inlineStr">
        <is>
          <t>كميات هالكة ومفقودة</t>
        </is>
      </c>
      <c r="D228" s="3" t="inlineStr">
        <is>
          <t>RNL-2669</t>
        </is>
      </c>
      <c r="E228" s="20" t="n">
        <v>45958</v>
      </c>
      <c r="F228" s="3" t="inlineStr">
        <is>
          <t>LOSSES AND WASTE-RIYADH NURSERY</t>
        </is>
      </c>
      <c r="G228" s="3" t="n"/>
      <c r="H228" s="4" t="n">
        <v>23363.69</v>
      </c>
      <c r="I228" s="3" t="inlineStr">
        <is>
          <t>النظام القديم</t>
        </is>
      </c>
      <c r="J228" s="3" t="inlineStr">
        <is>
          <t>نعم</t>
        </is>
      </c>
      <c r="K228" s="3" t="inlineStr">
        <is>
          <t>بدون تفصيل بنود في السجل</t>
        </is>
      </c>
    </row>
    <row r="229">
      <c r="A229" s="3" t="n">
        <v>228</v>
      </c>
      <c r="B229" s="3" t="inlineStr">
        <is>
          <t>RNL</t>
        </is>
      </c>
      <c r="C229" s="3" t="inlineStr">
        <is>
          <t>كميات هالكة ومفقودة</t>
        </is>
      </c>
      <c r="D229" s="3" t="inlineStr">
        <is>
          <t>RNL-2982</t>
        </is>
      </c>
      <c r="E229" s="20" t="n">
        <v>45985</v>
      </c>
      <c r="F229" s="3" t="inlineStr">
        <is>
          <t>LOSSES AND WASTE-RIYADH NURSERY</t>
        </is>
      </c>
      <c r="G229" s="3" t="n"/>
      <c r="H229" s="4" t="n">
        <v>6296.25</v>
      </c>
      <c r="I229" s="3" t="inlineStr">
        <is>
          <t>النظام القديم</t>
        </is>
      </c>
      <c r="J229" s="3" t="inlineStr">
        <is>
          <t>نعم</t>
        </is>
      </c>
      <c r="K229" s="3" t="inlineStr">
        <is>
          <t>بدون تفصيل بنود في السجل</t>
        </is>
      </c>
    </row>
    <row r="230">
      <c r="A230" s="3" t="n">
        <v>229</v>
      </c>
      <c r="B230" s="3" t="inlineStr">
        <is>
          <t>RNL</t>
        </is>
      </c>
      <c r="C230" s="3" t="inlineStr">
        <is>
          <t>كميات هالكة ومفقودة</t>
        </is>
      </c>
      <c r="D230" s="3" t="inlineStr">
        <is>
          <t>RNL-3072</t>
        </is>
      </c>
      <c r="E230" s="20" t="n">
        <v>45991</v>
      </c>
      <c r="F230" s="3" t="inlineStr">
        <is>
          <t>LOSSES AND WASTE-RIYADH NURSERY</t>
        </is>
      </c>
      <c r="G230" s="3" t="n"/>
      <c r="H230" s="4" t="n">
        <v>1776.75</v>
      </c>
      <c r="I230" s="3" t="inlineStr">
        <is>
          <t>النظام القديم</t>
        </is>
      </c>
      <c r="J230" s="3" t="inlineStr">
        <is>
          <t>نعم</t>
        </is>
      </c>
      <c r="K230" s="3" t="inlineStr">
        <is>
          <t>بدون تفصيل بنود في السجل</t>
        </is>
      </c>
    </row>
    <row r="231">
      <c r="A231" s="3" t="n">
        <v>230</v>
      </c>
      <c r="B231" s="3" t="inlineStr">
        <is>
          <t>RNL</t>
        </is>
      </c>
      <c r="C231" s="3" t="inlineStr">
        <is>
          <t>كميات هالكة ومفقودة</t>
        </is>
      </c>
      <c r="D231" s="3" t="inlineStr">
        <is>
          <t>RNL-3136</t>
        </is>
      </c>
      <c r="E231" s="20" t="n">
        <v>45995</v>
      </c>
      <c r="F231" s="3" t="inlineStr">
        <is>
          <t>LOSSES AND WASTE-RIYADH NURSERY</t>
        </is>
      </c>
      <c r="G231" s="3" t="n"/>
      <c r="H231" s="4" t="n">
        <v>1600.23</v>
      </c>
      <c r="I231" s="3" t="inlineStr">
        <is>
          <t>النظام القديم</t>
        </is>
      </c>
      <c r="J231" s="3" t="inlineStr">
        <is>
          <t>نعم</t>
        </is>
      </c>
      <c r="K231" s="3" t="inlineStr">
        <is>
          <t>بدون تفصيل بنود في السجل</t>
        </is>
      </c>
    </row>
    <row r="232">
      <c r="A232" s="3" t="n">
        <v>231</v>
      </c>
      <c r="B232" s="3" t="inlineStr">
        <is>
          <t>RNL</t>
        </is>
      </c>
      <c r="C232" s="3" t="inlineStr">
        <is>
          <t>كميات هالكة ومفقودة</t>
        </is>
      </c>
      <c r="D232" s="3" t="inlineStr">
        <is>
          <t>RNL-3159</t>
        </is>
      </c>
      <c r="E232" s="20" t="n">
        <v>45998</v>
      </c>
      <c r="F232" s="3" t="inlineStr">
        <is>
          <t>LOSSES AND WASTE-RIYADH NURSERY</t>
        </is>
      </c>
      <c r="G232" s="3" t="n"/>
      <c r="H232" s="4" t="n">
        <v>2613.95</v>
      </c>
      <c r="I232" s="3" t="inlineStr">
        <is>
          <t>النظام القديم</t>
        </is>
      </c>
      <c r="J232" s="3" t="inlineStr">
        <is>
          <t>نعم</t>
        </is>
      </c>
      <c r="K232" s="3" t="inlineStr">
        <is>
          <t>بدون تفصيل بنود في السجل</t>
        </is>
      </c>
    </row>
    <row r="233">
      <c r="A233" s="3" t="n">
        <v>232</v>
      </c>
      <c r="B233" s="3" t="inlineStr">
        <is>
          <t>RNL</t>
        </is>
      </c>
      <c r="C233" s="3" t="inlineStr">
        <is>
          <t>كميات هالكة ومفقودة</t>
        </is>
      </c>
      <c r="D233" s="3" t="inlineStr">
        <is>
          <t>RNL-3206</t>
        </is>
      </c>
      <c r="E233" s="20" t="n">
        <v>46001</v>
      </c>
      <c r="F233" s="3" t="inlineStr">
        <is>
          <t>LOSSES AND WASTE-RIYADH NURSERY</t>
        </is>
      </c>
      <c r="G233" s="3" t="n"/>
      <c r="H233" s="4" t="n">
        <v>2064.25</v>
      </c>
      <c r="I233" s="3" t="inlineStr">
        <is>
          <t>النظام القديم</t>
        </is>
      </c>
      <c r="J233" s="3" t="inlineStr">
        <is>
          <t>نعم</t>
        </is>
      </c>
      <c r="K233" s="3" t="inlineStr">
        <is>
          <t>بدون تفصيل بنود في السجل</t>
        </is>
      </c>
    </row>
    <row r="234">
      <c r="A234" s="3" t="n">
        <v>233</v>
      </c>
      <c r="B234" s="3" t="inlineStr">
        <is>
          <t>RNL</t>
        </is>
      </c>
      <c r="C234" s="3" t="inlineStr">
        <is>
          <t>كميات هالكة ومفقودة</t>
        </is>
      </c>
      <c r="D234" s="3" t="inlineStr">
        <is>
          <t>RNL-3308</t>
        </is>
      </c>
      <c r="E234" s="20" t="n">
        <v>46013</v>
      </c>
      <c r="F234" s="3" t="inlineStr">
        <is>
          <t>LOSSES AND WASTE-RIYADH NURSERY</t>
        </is>
      </c>
      <c r="G234" s="3" t="n"/>
      <c r="H234" s="4" t="n">
        <v>7144.95</v>
      </c>
      <c r="I234" s="3" t="inlineStr">
        <is>
          <t>النظام القديم</t>
        </is>
      </c>
      <c r="J234" s="3" t="inlineStr">
        <is>
          <t>نعم</t>
        </is>
      </c>
      <c r="K234" s="3" t="inlineStr">
        <is>
          <t>بدون تفصيل بنود في السجل</t>
        </is>
      </c>
    </row>
    <row r="235">
      <c r="A235" s="3" t="n">
        <v>234</v>
      </c>
      <c r="B235" s="3" t="inlineStr">
        <is>
          <t>RNL</t>
        </is>
      </c>
      <c r="C235" s="3" t="inlineStr">
        <is>
          <t>كميات هالكة ومفقودة</t>
        </is>
      </c>
      <c r="D235" s="3" t="inlineStr">
        <is>
          <t>RNL-3320</t>
        </is>
      </c>
      <c r="E235" s="20" t="n">
        <v>46014</v>
      </c>
      <c r="F235" s="3" t="inlineStr">
        <is>
          <t>LOSSES AND WASTE-RIYADH NURSERY</t>
        </is>
      </c>
      <c r="G235" s="3" t="n"/>
      <c r="H235" s="4" t="n">
        <v>14912.34</v>
      </c>
      <c r="I235" s="3" t="inlineStr">
        <is>
          <t>النظام القديم</t>
        </is>
      </c>
      <c r="J235" s="3" t="inlineStr">
        <is>
          <t>نعم</t>
        </is>
      </c>
      <c r="K235" s="3" t="inlineStr">
        <is>
          <t>بدون تفصيل بنود في السجل</t>
        </is>
      </c>
    </row>
    <row r="236">
      <c r="A236" s="3" t="n">
        <v>235</v>
      </c>
      <c r="B236" s="3" t="inlineStr">
        <is>
          <t>RNL</t>
        </is>
      </c>
      <c r="C236" s="3" t="inlineStr">
        <is>
          <t>كميات هالكة ومفقودة</t>
        </is>
      </c>
      <c r="D236" s="3" t="inlineStr">
        <is>
          <t>RNL-3493</t>
        </is>
      </c>
      <c r="E236" s="20" t="n">
        <v>46029</v>
      </c>
      <c r="F236" s="3" t="inlineStr">
        <is>
          <t>LOSSES AND WASTE-RIYADH NURSERY</t>
        </is>
      </c>
      <c r="G236" s="3" t="n">
        <v>2</v>
      </c>
      <c r="H236" s="4" t="n">
        <v>2213.75</v>
      </c>
      <c r="I236" s="3" t="inlineStr">
        <is>
          <t>النظام القديم</t>
        </is>
      </c>
      <c r="J236" s="3" t="inlineStr">
        <is>
          <t>نعم</t>
        </is>
      </c>
      <c r="K236" s="3" t="inlineStr"/>
    </row>
    <row r="237">
      <c r="A237" s="3" t="n">
        <v>236</v>
      </c>
      <c r="B237" s="3" t="inlineStr">
        <is>
          <t>RNL</t>
        </is>
      </c>
      <c r="C237" s="3" t="inlineStr">
        <is>
          <t>كميات هالكة ومفقودة</t>
        </is>
      </c>
      <c r="D237" s="3" t="inlineStr">
        <is>
          <t>RNL-3497</t>
        </is>
      </c>
      <c r="E237" s="20" t="n">
        <v>46030</v>
      </c>
      <c r="F237" s="3" t="inlineStr">
        <is>
          <t>LOSSES AND WASTE-RIYADH NURSERY</t>
        </is>
      </c>
      <c r="G237" s="3" t="n">
        <v>2</v>
      </c>
      <c r="H237" s="4" t="n">
        <v>1644.5</v>
      </c>
      <c r="I237" s="3" t="inlineStr">
        <is>
          <t>النظام القديم</t>
        </is>
      </c>
      <c r="J237" s="3" t="inlineStr">
        <is>
          <t>نعم</t>
        </is>
      </c>
      <c r="K237" s="3" t="inlineStr"/>
    </row>
    <row r="238">
      <c r="A238" s="3" t="n">
        <v>237</v>
      </c>
      <c r="B238" s="3" t="inlineStr">
        <is>
          <t>RNL</t>
        </is>
      </c>
      <c r="C238" s="3" t="inlineStr">
        <is>
          <t>كميات هالكة ومفقودة</t>
        </is>
      </c>
      <c r="D238" s="3" t="inlineStr">
        <is>
          <t>RNL-3524</t>
        </is>
      </c>
      <c r="E238" s="20" t="n">
        <v>46033</v>
      </c>
      <c r="F238" s="3" t="inlineStr">
        <is>
          <t>LOSSES AND WASTE-RIYADH NURSERY</t>
        </is>
      </c>
      <c r="G238" s="3" t="n">
        <v>5</v>
      </c>
      <c r="H238" s="4" t="n">
        <v>2906.63</v>
      </c>
      <c r="I238" s="3" t="inlineStr">
        <is>
          <t>النظام القديم</t>
        </is>
      </c>
      <c r="J238" s="3" t="inlineStr">
        <is>
          <t>نعم</t>
        </is>
      </c>
      <c r="K238" s="3" t="inlineStr"/>
    </row>
    <row r="239">
      <c r="A239" s="3" t="n">
        <v>238</v>
      </c>
      <c r="B239" s="3" t="inlineStr">
        <is>
          <t>RNL</t>
        </is>
      </c>
      <c r="C239" s="3" t="inlineStr">
        <is>
          <t>كميات هالكة ومفقودة</t>
        </is>
      </c>
      <c r="D239" s="3" t="inlineStr">
        <is>
          <t>RNL-3625</t>
        </is>
      </c>
      <c r="E239" s="20" t="n">
        <v>46046</v>
      </c>
      <c r="F239" s="3" t="inlineStr">
        <is>
          <t>LOSSES AND WASTE-RIYADH NURSERY</t>
        </is>
      </c>
      <c r="G239" s="3" t="n">
        <v>1</v>
      </c>
      <c r="H239" s="4" t="n">
        <v>948.75</v>
      </c>
      <c r="I239" s="3" t="inlineStr">
        <is>
          <t>النظام القديم</t>
        </is>
      </c>
      <c r="J239" s="3" t="inlineStr">
        <is>
          <t>نعم</t>
        </is>
      </c>
      <c r="K239" s="3" t="inlineStr"/>
    </row>
    <row r="240">
      <c r="A240" s="3" t="n">
        <v>239</v>
      </c>
      <c r="B240" s="3" t="inlineStr">
        <is>
          <t>RNL</t>
        </is>
      </c>
      <c r="C240" s="3" t="inlineStr">
        <is>
          <t>كميات هالكة ومفقودة</t>
        </is>
      </c>
      <c r="D240" s="3" t="inlineStr">
        <is>
          <t>RNL-3718</t>
        </is>
      </c>
      <c r="E240" s="20" t="n">
        <v>46054</v>
      </c>
      <c r="F240" s="3" t="inlineStr">
        <is>
          <t>LOSSES AND WASTE-RIYADH NURSERY</t>
        </is>
      </c>
      <c r="G240" s="3" t="n">
        <v>1</v>
      </c>
      <c r="H240" s="4" t="n">
        <v>316.25</v>
      </c>
      <c r="I240" s="3" t="inlineStr">
        <is>
          <t>النظام القديم</t>
        </is>
      </c>
      <c r="J240" s="3" t="inlineStr">
        <is>
          <t>نعم</t>
        </is>
      </c>
      <c r="K240" s="3" t="inlineStr"/>
    </row>
    <row r="241">
      <c r="A241" s="3" t="n">
        <v>240</v>
      </c>
      <c r="B241" s="3" t="inlineStr">
        <is>
          <t>RNL</t>
        </is>
      </c>
      <c r="C241" s="3" t="inlineStr">
        <is>
          <t>كميات هالكة ومفقودة</t>
        </is>
      </c>
      <c r="D241" s="3" t="inlineStr">
        <is>
          <t>RNL-3740</t>
        </is>
      </c>
      <c r="E241" s="20" t="n">
        <v>46056</v>
      </c>
      <c r="F241" s="3" t="inlineStr">
        <is>
          <t>LOSSES AND WASTE-RIYADH NURSERY</t>
        </is>
      </c>
      <c r="G241" s="3" t="n">
        <v>1</v>
      </c>
      <c r="H241" s="4" t="n">
        <v>442.75</v>
      </c>
      <c r="I241" s="3" t="inlineStr">
        <is>
          <t>النظام القديم</t>
        </is>
      </c>
      <c r="J241" s="3" t="inlineStr">
        <is>
          <t>نعم</t>
        </is>
      </c>
      <c r="K241" s="3" t="inlineStr"/>
    </row>
    <row r="242">
      <c r="A242" s="3" t="n">
        <v>241</v>
      </c>
      <c r="B242" s="3" t="inlineStr">
        <is>
          <t>RNL</t>
        </is>
      </c>
      <c r="C242" s="3" t="inlineStr">
        <is>
          <t>كميات هالكة ومفقودة</t>
        </is>
      </c>
      <c r="D242" s="3" t="inlineStr">
        <is>
          <t>RNL-3778</t>
        </is>
      </c>
      <c r="E242" s="20" t="n">
        <v>46061</v>
      </c>
      <c r="F242" s="3" t="inlineStr">
        <is>
          <t>LOSSES AND WASTE-RIYADH NURSERY</t>
        </is>
      </c>
      <c r="G242" s="3" t="n">
        <v>2</v>
      </c>
      <c r="H242" s="4" t="n">
        <v>1454.75</v>
      </c>
      <c r="I242" s="3" t="inlineStr">
        <is>
          <t>النظام القديم</t>
        </is>
      </c>
      <c r="J242" s="3" t="inlineStr">
        <is>
          <t>نعم</t>
        </is>
      </c>
      <c r="K242" s="3" t="inlineStr"/>
    </row>
    <row r="243">
      <c r="A243" s="3" t="n">
        <v>242</v>
      </c>
      <c r="B243" s="3" t="inlineStr">
        <is>
          <t>RNL</t>
        </is>
      </c>
      <c r="C243" s="3" t="inlineStr">
        <is>
          <t>كميات هالكة ومفقودة</t>
        </is>
      </c>
      <c r="D243" s="3" t="inlineStr">
        <is>
          <t>RNL-3852</t>
        </is>
      </c>
      <c r="E243" s="20" t="n">
        <v>46069</v>
      </c>
      <c r="F243" s="3" t="inlineStr">
        <is>
          <t>LOSSES AND WASTE-RIYADH NURSERY</t>
        </is>
      </c>
      <c r="G243" s="3" t="n">
        <v>3</v>
      </c>
      <c r="H243" s="4" t="n">
        <v>280.31</v>
      </c>
      <c r="I243" s="3" t="inlineStr">
        <is>
          <t>النظام القديم</t>
        </is>
      </c>
      <c r="J243" s="3" t="inlineStr">
        <is>
          <t>نعم</t>
        </is>
      </c>
      <c r="K243" s="3" t="inlineStr"/>
    </row>
    <row r="244">
      <c r="A244" s="14" t="n">
        <v>243</v>
      </c>
      <c r="B244" s="14" t="inlineStr">
        <is>
          <t>RNL</t>
        </is>
      </c>
      <c r="C244" s="14" t="inlineStr">
        <is>
          <t>كميات هالكة ومفقودة</t>
        </is>
      </c>
      <c r="D244" s="14" t="inlineStr">
        <is>
          <t>ISV-0001</t>
        </is>
      </c>
      <c r="E244" s="23" t="n">
        <v>46186</v>
      </c>
      <c r="F244" s="14" t="inlineStr">
        <is>
          <t>PRODUCTION WASTE-RN</t>
        </is>
      </c>
      <c r="G244" s="14" t="n">
        <v>10</v>
      </c>
      <c r="H244" s="16" t="n">
        <v>1842.5</v>
      </c>
      <c r="I244" s="14" t="inlineStr">
        <is>
          <t>النظام الجديد</t>
        </is>
      </c>
      <c r="J244" s="14" t="inlineStr">
        <is>
          <t>نعم</t>
        </is>
      </c>
      <c r="K244" s="14" t="inlineStr">
        <is>
          <t>مرجع الطلب: RNPR-0011</t>
        </is>
      </c>
    </row>
    <row r="245">
      <c r="A245" s="14" t="n">
        <v>244</v>
      </c>
      <c r="B245" s="14" t="inlineStr">
        <is>
          <t>RNL</t>
        </is>
      </c>
      <c r="C245" s="14" t="inlineStr">
        <is>
          <t>كميات هالكة ومفقودة</t>
        </is>
      </c>
      <c r="D245" s="14" t="inlineStr">
        <is>
          <t>ISV-0009</t>
        </is>
      </c>
      <c r="E245" s="23" t="n">
        <v>46187</v>
      </c>
      <c r="F245" s="14" t="inlineStr">
        <is>
          <t>PRODUCTION WASTE-RN</t>
        </is>
      </c>
      <c r="G245" s="14" t="n">
        <v>7</v>
      </c>
      <c r="H245" s="16" t="n">
        <v>1952.5</v>
      </c>
      <c r="I245" s="14" t="inlineStr">
        <is>
          <t>النظام الجديد</t>
        </is>
      </c>
      <c r="J245" s="14" t="inlineStr">
        <is>
          <t>نعم</t>
        </is>
      </c>
      <c r="K245" s="14" t="inlineStr">
        <is>
          <t>مرجع الطلب: RNPR-0015</t>
        </is>
      </c>
    </row>
    <row r="246">
      <c r="A246" s="14" t="n">
        <v>245</v>
      </c>
      <c r="B246" s="14" t="inlineStr">
        <is>
          <t>RNL</t>
        </is>
      </c>
      <c r="C246" s="14" t="inlineStr">
        <is>
          <t>كميات هالكة ومفقودة</t>
        </is>
      </c>
      <c r="D246" s="14" t="inlineStr">
        <is>
          <t>ISV-0045</t>
        </is>
      </c>
      <c r="E246" s="23" t="n">
        <v>46198</v>
      </c>
      <c r="F246" s="14" t="inlineStr">
        <is>
          <t>PRODUCTION WASTE-RN</t>
        </is>
      </c>
      <c r="G246" s="14" t="n">
        <v>6</v>
      </c>
      <c r="H246" s="16" t="n">
        <v>2406.25</v>
      </c>
      <c r="I246" s="14" t="inlineStr">
        <is>
          <t>النظام الجديد</t>
        </is>
      </c>
      <c r="J246" s="14" t="inlineStr">
        <is>
          <t>نعم</t>
        </is>
      </c>
      <c r="K246" s="14" t="inlineStr">
        <is>
          <t>مرجع الطلب: ORD-20260625172714</t>
        </is>
      </c>
    </row>
    <row r="247">
      <c r="A247" s="14" t="n">
        <v>246</v>
      </c>
      <c r="B247" s="14" t="inlineStr">
        <is>
          <t>RNL</t>
        </is>
      </c>
      <c r="C247" s="14" t="inlineStr">
        <is>
          <t>كميات هالكة ومفقودة</t>
        </is>
      </c>
      <c r="D247" s="14" t="inlineStr">
        <is>
          <t>ISV-0068</t>
        </is>
      </c>
      <c r="E247" s="23" t="n">
        <v>46204</v>
      </c>
      <c r="F247" s="14" t="inlineStr">
        <is>
          <t>PRODUCTION WASTE-RN</t>
        </is>
      </c>
      <c r="G247" s="14" t="n">
        <v>9</v>
      </c>
      <c r="H247" s="16" t="n">
        <v>1773.75</v>
      </c>
      <c r="I247" s="14" t="inlineStr">
        <is>
          <t>النظام الجديد</t>
        </is>
      </c>
      <c r="J247" s="14" t="inlineStr">
        <is>
          <t>نعم</t>
        </is>
      </c>
      <c r="K247" s="14" t="inlineStr">
        <is>
          <t>مرجع الطلب: RNPR-0022</t>
        </is>
      </c>
    </row>
    <row r="248">
      <c r="A248" s="14" t="n">
        <v>247</v>
      </c>
      <c r="B248" s="14" t="inlineStr">
        <is>
          <t>RNL</t>
        </is>
      </c>
      <c r="C248" s="14" t="inlineStr">
        <is>
          <t>كميات هالكة ومفقودة</t>
        </is>
      </c>
      <c r="D248" s="14" t="inlineStr">
        <is>
          <t>ISV-0089</t>
        </is>
      </c>
      <c r="E248" s="23" t="n">
        <v>46214</v>
      </c>
      <c r="F248" s="14" t="inlineStr">
        <is>
          <t>PRODUCTION WASTE-RN</t>
        </is>
      </c>
      <c r="G248" s="14" t="n">
        <v>5</v>
      </c>
      <c r="H248" s="16" t="n">
        <v>3767.5</v>
      </c>
      <c r="I248" s="14" t="inlineStr">
        <is>
          <t>النظام الجديد</t>
        </is>
      </c>
      <c r="J248" s="14" t="inlineStr">
        <is>
          <t>نعم</t>
        </is>
      </c>
      <c r="K248" s="14" t="inlineStr">
        <is>
          <t>مرجع الطلب: ORD-20260711141538</t>
        </is>
      </c>
    </row>
    <row r="249">
      <c r="A249" s="14" t="n">
        <v>248</v>
      </c>
      <c r="B249" s="14" t="inlineStr">
        <is>
          <t>RNL</t>
        </is>
      </c>
      <c r="C249" s="14" t="inlineStr">
        <is>
          <t>كميات هالكة ومفقودة</t>
        </is>
      </c>
      <c r="D249" s="14" t="inlineStr">
        <is>
          <t>ISV-0103</t>
        </is>
      </c>
      <c r="E249" s="23" t="n">
        <v>46218</v>
      </c>
      <c r="F249" s="14" t="inlineStr">
        <is>
          <t>PRODUCTION WASTE-RN</t>
        </is>
      </c>
      <c r="G249" s="14" t="n">
        <v>8</v>
      </c>
      <c r="H249" s="16" t="n">
        <v>1993.75</v>
      </c>
      <c r="I249" s="14" t="inlineStr">
        <is>
          <t>النظام الجديد</t>
        </is>
      </c>
      <c r="J249" s="14" t="inlineStr">
        <is>
          <t>نعم</t>
        </is>
      </c>
      <c r="K249" s="14" t="inlineStr">
        <is>
          <t>مرجع الطلب: ORD-20260715152019</t>
        </is>
      </c>
    </row>
    <row r="250">
      <c r="A250" s="14" t="n">
        <v>249</v>
      </c>
      <c r="B250" s="14" t="inlineStr">
        <is>
          <t>RNL</t>
        </is>
      </c>
      <c r="C250" s="14" t="inlineStr">
        <is>
          <t>كميات هالكة ومفقودة</t>
        </is>
      </c>
      <c r="D250" s="14" t="inlineStr">
        <is>
          <t>ISV-0104</t>
        </is>
      </c>
      <c r="E250" s="23" t="n">
        <v>46218</v>
      </c>
      <c r="F250" s="14" t="inlineStr">
        <is>
          <t>PRODUCTION WASTE-RN</t>
        </is>
      </c>
      <c r="G250" s="14" t="n">
        <v>4</v>
      </c>
      <c r="H250" s="16" t="n">
        <v>2942.5</v>
      </c>
      <c r="I250" s="14" t="inlineStr">
        <is>
          <t>النظام الجديد</t>
        </is>
      </c>
      <c r="J250" s="14" t="inlineStr">
        <is>
          <t>نعم</t>
        </is>
      </c>
      <c r="K250" s="14" t="inlineStr">
        <is>
          <t>مرجع الطلب: RNPR-0025</t>
        </is>
      </c>
    </row>
    <row r="251">
      <c r="A251" s="14" t="n">
        <v>250</v>
      </c>
      <c r="B251" s="14" t="inlineStr">
        <is>
          <t>RNL</t>
        </is>
      </c>
      <c r="C251" s="14" t="inlineStr">
        <is>
          <t>كميات هالكة ومفقودة</t>
        </is>
      </c>
      <c r="D251" s="14" t="inlineStr">
        <is>
          <t>ISV-0109</t>
        </is>
      </c>
      <c r="E251" s="23" t="n">
        <v>46222</v>
      </c>
      <c r="F251" s="14" t="inlineStr">
        <is>
          <t>PRODUCTION WASTE-RN</t>
        </is>
      </c>
      <c r="G251" s="14" t="n">
        <v>5</v>
      </c>
      <c r="H251" s="16" t="n">
        <v>3613.5</v>
      </c>
      <c r="I251" s="14" t="inlineStr">
        <is>
          <t>النظام الجديد</t>
        </is>
      </c>
      <c r="J251" s="14" t="inlineStr">
        <is>
          <t>نعم</t>
        </is>
      </c>
      <c r="K251" s="14" t="inlineStr">
        <is>
          <t>مرجع الطلب: RNPR-0026</t>
        </is>
      </c>
    </row>
    <row r="252">
      <c r="A252" s="14" t="n">
        <v>251</v>
      </c>
      <c r="B252" s="14" t="inlineStr">
        <is>
          <t>RNL</t>
        </is>
      </c>
      <c r="C252" s="14" t="inlineStr">
        <is>
          <t>كميات هالكة ومفقودة</t>
        </is>
      </c>
      <c r="D252" s="14" t="inlineStr">
        <is>
          <t>ISV-0121</t>
        </is>
      </c>
      <c r="E252" s="23" t="n">
        <v>46226</v>
      </c>
      <c r="F252" s="14" t="inlineStr">
        <is>
          <t>PRODUCTION WASTE-RN</t>
        </is>
      </c>
      <c r="G252" s="14" t="n">
        <v>1</v>
      </c>
      <c r="H252" s="16" t="n">
        <v>3586.25</v>
      </c>
      <c r="I252" s="14" t="inlineStr">
        <is>
          <t>النظام الجديد</t>
        </is>
      </c>
      <c r="J252" s="14" t="inlineStr">
        <is>
          <t>نعم</t>
        </is>
      </c>
      <c r="K252" s="14" t="inlineStr">
        <is>
          <t>مرجع الطلب: RNPR-0028</t>
        </is>
      </c>
    </row>
    <row r="253">
      <c r="A253" s="14" t="n">
        <v>252</v>
      </c>
      <c r="B253" s="14" t="inlineStr">
        <is>
          <t>RNL</t>
        </is>
      </c>
      <c r="C253" s="14" t="inlineStr">
        <is>
          <t>كميات هالكة ومفقودة</t>
        </is>
      </c>
      <c r="D253" s="14" t="inlineStr">
        <is>
          <t>ISV-0124</t>
        </is>
      </c>
      <c r="E253" s="23" t="n">
        <v>46228</v>
      </c>
      <c r="F253" s="14" t="inlineStr">
        <is>
          <t>PRODUCTION WASTE-RN</t>
        </is>
      </c>
      <c r="G253" s="14" t="n">
        <v>1</v>
      </c>
      <c r="H253" s="16" t="n">
        <v>3150</v>
      </c>
      <c r="I253" s="14" t="inlineStr">
        <is>
          <t>النظام الجديد</t>
        </is>
      </c>
      <c r="J253" s="14" t="inlineStr">
        <is>
          <t>نعم</t>
        </is>
      </c>
      <c r="K253" s="14" t="inlineStr">
        <is>
          <t>مرجع الطلب: RNPR-0029</t>
        </is>
      </c>
    </row>
    <row r="254">
      <c r="A254" s="14" t="n">
        <v>253</v>
      </c>
      <c r="B254" s="14" t="inlineStr">
        <is>
          <t>RNL</t>
        </is>
      </c>
      <c r="C254" s="14" t="inlineStr">
        <is>
          <t>كميات هالكة ومفقودة</t>
        </is>
      </c>
      <c r="D254" s="14" t="inlineStr">
        <is>
          <t>ISV-0125</t>
        </is>
      </c>
      <c r="E254" s="23" t="n">
        <v>46228</v>
      </c>
      <c r="F254" s="14" t="inlineStr">
        <is>
          <t>PRODUCTION WASTE-RN</t>
        </is>
      </c>
      <c r="G254" s="14" t="n">
        <v>4</v>
      </c>
      <c r="H254" s="16" t="n">
        <v>3080</v>
      </c>
      <c r="I254" s="14" t="inlineStr">
        <is>
          <t>النظام الجديد</t>
        </is>
      </c>
      <c r="J254" s="14" t="inlineStr">
        <is>
          <t>نعم</t>
        </is>
      </c>
      <c r="K254" s="14" t="inlineStr">
        <is>
          <t>مرجع الطلب: RNPR-0030</t>
        </is>
      </c>
    </row>
    <row r="255">
      <c r="A255" s="14" t="n">
        <v>254</v>
      </c>
      <c r="B255" s="14" t="inlineStr">
        <is>
          <t>RNL</t>
        </is>
      </c>
      <c r="C255" s="14" t="inlineStr">
        <is>
          <t>كميات هالكة ومفقودة</t>
        </is>
      </c>
      <c r="D255" s="14" t="inlineStr">
        <is>
          <t>ISV-0140</t>
        </is>
      </c>
      <c r="E255" s="23" t="n">
        <v>46231</v>
      </c>
      <c r="F255" s="14" t="inlineStr">
        <is>
          <t>PRODUCTION WASTE-RN</t>
        </is>
      </c>
      <c r="G255" s="14" t="n">
        <v>4</v>
      </c>
      <c r="H255" s="16" t="n">
        <v>1787.5</v>
      </c>
      <c r="I255" s="14" t="inlineStr">
        <is>
          <t>النظام الجديد</t>
        </is>
      </c>
      <c r="J255" s="14" t="inlineStr">
        <is>
          <t>نعم</t>
        </is>
      </c>
      <c r="K255" s="14" t="inlineStr">
        <is>
          <t>مرجع الطلب: ORD-20260728174700</t>
        </is>
      </c>
    </row>
  </sheetData>
  <autoFilter ref="A1:K2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4" customWidth="1" min="4" max="4"/>
    <col width="13" customWidth="1" min="5" max="5"/>
    <col width="42" customWidth="1" min="6" max="6"/>
    <col width="11" customWidth="1" min="7" max="7"/>
    <col width="7" customWidth="1" min="8" max="8"/>
    <col width="11" customWidth="1" min="9" max="9"/>
    <col width="16" customWidth="1" min="10" max="10"/>
  </cols>
  <sheetData>
    <row r="1">
      <c r="A1" s="2" t="inlineStr">
        <is>
          <t>نوع الحركة</t>
        </is>
      </c>
      <c r="B1" s="2" t="inlineStr">
        <is>
          <t>رقم العقد</t>
        </is>
      </c>
      <c r="C1" s="2" t="inlineStr">
        <is>
          <t>التاريخ</t>
        </is>
      </c>
      <c r="D1" s="2" t="inlineStr">
        <is>
          <t>المصدر</t>
        </is>
      </c>
      <c r="E1" s="2" t="inlineStr">
        <is>
          <t>كود الصنف</t>
        </is>
      </c>
      <c r="F1" s="2" t="inlineStr">
        <is>
          <t>اسم الصنف</t>
        </is>
      </c>
      <c r="G1" s="2" t="inlineStr">
        <is>
          <t>الكمية</t>
        </is>
      </c>
      <c r="H1" s="2" t="inlineStr">
        <is>
          <t>الوحدة</t>
        </is>
      </c>
      <c r="I1" s="2" t="inlineStr">
        <is>
          <t>سعر الوحدة</t>
        </is>
      </c>
      <c r="J1" s="2" t="inlineStr">
        <is>
          <t>الإجمالي</t>
        </is>
      </c>
    </row>
    <row r="2">
      <c r="A2" s="3" t="inlineStr">
        <is>
          <t>TNR</t>
        </is>
      </c>
      <c r="B2" s="3" t="inlineStr">
        <is>
          <t>TNR-3441</t>
        </is>
      </c>
      <c r="C2" s="20" t="n">
        <v>46023</v>
      </c>
      <c r="D2" s="3" t="inlineStr">
        <is>
          <t>النظام القديم</t>
        </is>
      </c>
      <c r="E2" s="3" t="inlineStr">
        <is>
          <t>TN-OD456</t>
        </is>
      </c>
      <c r="F2" s="3" t="inlineStr">
        <is>
          <t>دورانتا أخضر</t>
        </is>
      </c>
      <c r="G2" s="3" t="n">
        <v>1200</v>
      </c>
      <c r="H2" s="3" t="inlineStr">
        <is>
          <t>EA</t>
        </is>
      </c>
      <c r="I2" s="4" t="n">
        <v>2.5</v>
      </c>
      <c r="J2" s="4" t="n">
        <v>3450</v>
      </c>
    </row>
    <row r="3">
      <c r="A3" s="3" t="inlineStr">
        <is>
          <t>TNR</t>
        </is>
      </c>
      <c r="B3" s="3" t="inlineStr">
        <is>
          <t>TNR-3441</t>
        </is>
      </c>
      <c r="C3" s="20" t="n">
        <v>46023</v>
      </c>
      <c r="D3" s="3" t="inlineStr">
        <is>
          <t>النظام القديم</t>
        </is>
      </c>
      <c r="E3" s="3" t="inlineStr">
        <is>
          <t>TN-OD454</t>
        </is>
      </c>
      <c r="F3" s="3" t="inlineStr">
        <is>
          <t>تيكوماريا 50 سم</t>
        </is>
      </c>
      <c r="G3" s="3" t="n">
        <v>740</v>
      </c>
      <c r="H3" s="3" t="inlineStr">
        <is>
          <t>EA</t>
        </is>
      </c>
      <c r="I3" s="4" t="n">
        <v>2.5</v>
      </c>
      <c r="J3" s="4" t="n">
        <v>2127.5</v>
      </c>
    </row>
    <row r="4">
      <c r="A4" s="3" t="inlineStr">
        <is>
          <t>TNR</t>
        </is>
      </c>
      <c r="B4" s="3" t="inlineStr">
        <is>
          <t>TNR-3441</t>
        </is>
      </c>
      <c r="C4" s="20" t="n">
        <v>46023</v>
      </c>
      <c r="D4" s="3" t="inlineStr">
        <is>
          <t>النظام القديم</t>
        </is>
      </c>
      <c r="E4" s="3" t="inlineStr">
        <is>
          <t>TN-OD458</t>
        </is>
      </c>
      <c r="F4" s="3" t="inlineStr">
        <is>
          <t>اكاليفا</t>
        </is>
      </c>
      <c r="G4" s="3" t="n">
        <v>6</v>
      </c>
      <c r="H4" s="3" t="inlineStr">
        <is>
          <t>EA</t>
        </is>
      </c>
      <c r="I4" s="4" t="n">
        <v>25</v>
      </c>
      <c r="J4" s="4" t="n">
        <v>172.5</v>
      </c>
    </row>
    <row r="5">
      <c r="A5" s="3" t="inlineStr">
        <is>
          <t>TNR</t>
        </is>
      </c>
      <c r="B5" s="3" t="inlineStr">
        <is>
          <t>TNR-3441</t>
        </is>
      </c>
      <c r="C5" s="20" t="n">
        <v>46023</v>
      </c>
      <c r="D5" s="3" t="inlineStr">
        <is>
          <t>النظام القديم</t>
        </is>
      </c>
      <c r="E5" s="3" t="inlineStr">
        <is>
          <t>TN-NPB</t>
        </is>
      </c>
      <c r="F5" s="3" t="inlineStr">
        <is>
          <t>حجر ديكورى ابيض مطفى :35 سم - 10 كجم</t>
        </is>
      </c>
      <c r="G5" s="3" t="n">
        <v>200</v>
      </c>
      <c r="H5" s="3" t="inlineStr">
        <is>
          <t>EA</t>
        </is>
      </c>
      <c r="I5" s="4" t="n">
        <v>11.5</v>
      </c>
      <c r="J5" s="4" t="n">
        <v>2645</v>
      </c>
    </row>
    <row r="6">
      <c r="A6" s="5" t="inlineStr"/>
      <c r="B6" s="5" t="inlineStr">
        <is>
          <t>إجمالي TNR-3441</t>
        </is>
      </c>
      <c r="C6" s="5" t="inlineStr"/>
      <c r="D6" s="5" t="inlineStr"/>
      <c r="E6" s="5" t="inlineStr"/>
      <c r="F6" s="5" t="inlineStr"/>
      <c r="G6" s="5">
        <f>SUM(G2:G5)</f>
        <v/>
      </c>
      <c r="H6" s="5" t="inlineStr"/>
      <c r="I6" s="5" t="inlineStr"/>
      <c r="J6" s="6">
        <f>SUM(J2:J5)</f>
        <v/>
      </c>
    </row>
    <row r="7">
      <c r="A7" s="3" t="inlineStr">
        <is>
          <t>TNR</t>
        </is>
      </c>
      <c r="B7" s="3" t="inlineStr">
        <is>
          <t>TRF-0120</t>
        </is>
      </c>
      <c r="C7" s="20" t="n">
        <v>46217</v>
      </c>
      <c r="D7" s="3" t="inlineStr">
        <is>
          <t>النظام الجديد</t>
        </is>
      </c>
      <c r="E7" s="3" t="inlineStr">
        <is>
          <t>OD373</t>
        </is>
      </c>
      <c r="F7" s="3" t="inlineStr">
        <is>
          <t>سيسبانيا 1-2 متر</t>
        </is>
      </c>
      <c r="G7" s="3" t="n">
        <v>250</v>
      </c>
      <c r="H7" s="3" t="inlineStr">
        <is>
          <t>EA</t>
        </is>
      </c>
      <c r="I7" s="4" t="n">
        <v>25.5</v>
      </c>
      <c r="J7" s="4" t="n">
        <v>7331.25</v>
      </c>
    </row>
    <row r="8">
      <c r="A8" s="5" t="inlineStr"/>
      <c r="B8" s="5" t="inlineStr">
        <is>
          <t>إجمالي TRF-0120</t>
        </is>
      </c>
      <c r="C8" s="5" t="inlineStr"/>
      <c r="D8" s="5" t="inlineStr"/>
      <c r="E8" s="5" t="inlineStr"/>
      <c r="F8" s="5" t="inlineStr"/>
      <c r="G8" s="5">
        <f>SUM(G7:G7)</f>
        <v/>
      </c>
      <c r="H8" s="5" t="inlineStr"/>
      <c r="I8" s="5" t="inlineStr"/>
      <c r="J8" s="6">
        <f>SUM(J7:J7)</f>
        <v/>
      </c>
    </row>
    <row r="9">
      <c r="A9" s="3" t="inlineStr">
        <is>
          <t>TNR</t>
        </is>
      </c>
      <c r="B9" s="3" t="inlineStr">
        <is>
          <t>TRF-0188</t>
        </is>
      </c>
      <c r="C9" s="20" t="n">
        <v>46231</v>
      </c>
      <c r="D9" s="3" t="inlineStr">
        <is>
          <t>النظام الجديد</t>
        </is>
      </c>
      <c r="E9" s="3" t="inlineStr">
        <is>
          <t>FR368</t>
        </is>
      </c>
      <c r="F9" s="3" t="inlineStr">
        <is>
          <t>بيرلايت 100 لتر</t>
        </is>
      </c>
      <c r="G9" s="3" t="n">
        <v>25</v>
      </c>
      <c r="H9" s="3" t="inlineStr">
        <is>
          <t>EA</t>
        </is>
      </c>
      <c r="I9" s="4" t="n">
        <v>32.5</v>
      </c>
      <c r="J9" s="4" t="n">
        <v>934.37</v>
      </c>
    </row>
    <row r="10">
      <c r="A10" s="5" t="inlineStr"/>
      <c r="B10" s="5" t="inlineStr">
        <is>
          <t>إجمالي TRF-0188</t>
        </is>
      </c>
      <c r="C10" s="5" t="inlineStr"/>
      <c r="D10" s="5" t="inlineStr"/>
      <c r="E10" s="5" t="inlineStr"/>
      <c r="F10" s="5" t="inlineStr"/>
      <c r="G10" s="5">
        <f>SUM(G9:G9)</f>
        <v/>
      </c>
      <c r="H10" s="5" t="inlineStr"/>
      <c r="I10" s="5" t="inlineStr"/>
      <c r="J10" s="6">
        <f>SUM(J9:J9)</f>
        <v/>
      </c>
    </row>
    <row r="11">
      <c r="A11" s="3" t="inlineStr">
        <is>
          <t>RNT</t>
        </is>
      </c>
      <c r="B11" s="3" t="inlineStr">
        <is>
          <t>RNT-3434</t>
        </is>
      </c>
      <c r="C11" s="20" t="n">
        <v>46026</v>
      </c>
      <c r="D11" s="3" t="inlineStr">
        <is>
          <t>النظام القديم</t>
        </is>
      </c>
      <c r="E11" s="3" t="inlineStr">
        <is>
          <t>RN-OD561</t>
        </is>
      </c>
      <c r="F11" s="3" t="inlineStr">
        <is>
          <t>زهور مارى جولد</t>
        </is>
      </c>
      <c r="G11" s="3" t="n">
        <v>2000</v>
      </c>
      <c r="H11" s="3" t="inlineStr">
        <is>
          <t>EA</t>
        </is>
      </c>
      <c r="I11" s="4" t="n">
        <v>0.6</v>
      </c>
      <c r="J11" s="4" t="n">
        <v>1380</v>
      </c>
    </row>
    <row r="12">
      <c r="A12" s="5" t="inlineStr"/>
      <c r="B12" s="5" t="inlineStr">
        <is>
          <t>إجمالي RNT-3434</t>
        </is>
      </c>
      <c r="C12" s="5" t="inlineStr"/>
      <c r="D12" s="5" t="inlineStr"/>
      <c r="E12" s="5" t="inlineStr"/>
      <c r="F12" s="5" t="inlineStr"/>
      <c r="G12" s="5">
        <f>SUM(G11:G11)</f>
        <v/>
      </c>
      <c r="H12" s="5" t="inlineStr"/>
      <c r="I12" s="5" t="inlineStr"/>
      <c r="J12" s="6">
        <f>SUM(J11:J11)</f>
        <v/>
      </c>
    </row>
    <row r="13">
      <c r="A13" s="3" t="inlineStr">
        <is>
          <t>RNT</t>
        </is>
      </c>
      <c r="B13" s="3" t="inlineStr">
        <is>
          <t>RNT-3604</t>
        </is>
      </c>
      <c r="C13" s="20" t="n">
        <v>46042</v>
      </c>
      <c r="D13" s="3" t="inlineStr">
        <is>
          <t>النظام القديم</t>
        </is>
      </c>
      <c r="E13" s="3" t="inlineStr">
        <is>
          <t>RN-ID1501</t>
        </is>
      </c>
      <c r="F13" s="3" t="inlineStr">
        <is>
          <t>ترادسكانتيا ان اس مركن19 سم عالقى</t>
        </is>
      </c>
      <c r="G13" s="3" t="n">
        <v>270</v>
      </c>
      <c r="H13" s="3" t="inlineStr">
        <is>
          <t>EA</t>
        </is>
      </c>
      <c r="I13" s="4" t="n">
        <v>8.5</v>
      </c>
      <c r="J13" s="4" t="n">
        <v>2639.25</v>
      </c>
    </row>
    <row r="14">
      <c r="A14" s="3" t="inlineStr">
        <is>
          <t>RNT</t>
        </is>
      </c>
      <c r="B14" s="3" t="inlineStr">
        <is>
          <t>RNT-3604</t>
        </is>
      </c>
      <c r="C14" s="20" t="n">
        <v>46042</v>
      </c>
      <c r="D14" s="3" t="inlineStr">
        <is>
          <t>النظام القديم</t>
        </is>
      </c>
      <c r="E14" s="3" t="inlineStr">
        <is>
          <t>RN-OD694</t>
        </is>
      </c>
      <c r="F14" s="3" t="inlineStr">
        <is>
          <t>كالنشو هولندى مركن12 سم</t>
        </is>
      </c>
      <c r="G14" s="3" t="n">
        <v>1500</v>
      </c>
      <c r="H14" s="3" t="inlineStr">
        <is>
          <t>EA</t>
        </is>
      </c>
      <c r="I14" s="4" t="n">
        <v>3</v>
      </c>
      <c r="J14" s="4" t="n">
        <v>5175</v>
      </c>
    </row>
    <row r="15">
      <c r="A15" s="3" t="inlineStr">
        <is>
          <t>RNT</t>
        </is>
      </c>
      <c r="B15" s="3" t="inlineStr">
        <is>
          <t>RNT-3604</t>
        </is>
      </c>
      <c r="C15" s="20" t="n">
        <v>46042</v>
      </c>
      <c r="D15" s="3" t="inlineStr">
        <is>
          <t>النظام القديم</t>
        </is>
      </c>
      <c r="E15" s="3" t="inlineStr">
        <is>
          <t>RN-OD641</t>
        </is>
      </c>
      <c r="F15" s="3" t="inlineStr">
        <is>
          <t>زهور قرنفل صيني مركن9 سم</t>
        </is>
      </c>
      <c r="G15" s="3" t="n">
        <v>1000</v>
      </c>
      <c r="H15" s="3" t="inlineStr">
        <is>
          <t>EA</t>
        </is>
      </c>
      <c r="I15" s="4" t="n">
        <v>0.6</v>
      </c>
      <c r="J15" s="4" t="n">
        <v>690</v>
      </c>
    </row>
    <row r="16">
      <c r="A16" s="5" t="inlineStr"/>
      <c r="B16" s="5" t="inlineStr">
        <is>
          <t>إجمالي RNT-3604</t>
        </is>
      </c>
      <c r="C16" s="5" t="inlineStr"/>
      <c r="D16" s="5" t="inlineStr"/>
      <c r="E16" s="5" t="inlineStr"/>
      <c r="F16" s="5" t="inlineStr"/>
      <c r="G16" s="5">
        <f>SUM(G13:G15)</f>
        <v/>
      </c>
      <c r="H16" s="5" t="inlineStr"/>
      <c r="I16" s="5" t="inlineStr"/>
      <c r="J16" s="6">
        <f>SUM(J13:J15)</f>
        <v/>
      </c>
    </row>
    <row r="17">
      <c r="A17" s="3" t="inlineStr">
        <is>
          <t>RNT</t>
        </is>
      </c>
      <c r="B17" s="3" t="inlineStr">
        <is>
          <t>RNT-3805</t>
        </is>
      </c>
      <c r="C17" s="20" t="n">
        <v>46064</v>
      </c>
      <c r="D17" s="3" t="inlineStr">
        <is>
          <t>النظام القديم</t>
        </is>
      </c>
      <c r="E17" s="3" t="inlineStr">
        <is>
          <t>RN-OD696</t>
        </is>
      </c>
      <c r="F17" s="3" t="inlineStr">
        <is>
          <t>زهور اقحوان افريقي مركن9 سم</t>
        </is>
      </c>
      <c r="G17" s="3" t="n">
        <v>150</v>
      </c>
      <c r="H17" s="3" t="inlineStr">
        <is>
          <t>EA</t>
        </is>
      </c>
      <c r="I17" s="4" t="n">
        <v>1.5</v>
      </c>
      <c r="J17" s="4" t="n">
        <v>258.75</v>
      </c>
    </row>
    <row r="18">
      <c r="A18" s="3" t="inlineStr">
        <is>
          <t>RNT</t>
        </is>
      </c>
      <c r="B18" s="3" t="inlineStr">
        <is>
          <t>RNT-3805</t>
        </is>
      </c>
      <c r="C18" s="20" t="n">
        <v>46064</v>
      </c>
      <c r="D18" s="3" t="inlineStr">
        <is>
          <t>النظام القديم</t>
        </is>
      </c>
      <c r="E18" s="3" t="inlineStr">
        <is>
          <t>RN-OD695</t>
        </is>
      </c>
      <c r="F18" s="3" t="inlineStr">
        <is>
          <t>زهور اقحوان افريقي هولندى مركن12 سم</t>
        </is>
      </c>
      <c r="G18" s="3" t="n">
        <v>90</v>
      </c>
      <c r="H18" s="3" t="inlineStr">
        <is>
          <t>EA</t>
        </is>
      </c>
      <c r="I18" s="4" t="n">
        <v>3</v>
      </c>
      <c r="J18" s="4" t="n">
        <v>310.5</v>
      </c>
    </row>
    <row r="19">
      <c r="A19" s="3" t="inlineStr">
        <is>
          <t>RNT</t>
        </is>
      </c>
      <c r="B19" s="3" t="inlineStr">
        <is>
          <t>RNT-3805</t>
        </is>
      </c>
      <c r="C19" s="20" t="n">
        <v>46064</v>
      </c>
      <c r="D19" s="3" t="inlineStr">
        <is>
          <t>النظام القديم</t>
        </is>
      </c>
      <c r="E19" s="3" t="inlineStr">
        <is>
          <t>RN-OD636</t>
        </is>
      </c>
      <c r="F19" s="3" t="inlineStr">
        <is>
          <t>زهور منثور مركن9 سم</t>
        </is>
      </c>
      <c r="G19" s="3" t="n">
        <v>150</v>
      </c>
      <c r="H19" s="3" t="inlineStr">
        <is>
          <t>EA</t>
        </is>
      </c>
      <c r="I19" s="4" t="n">
        <v>0.55</v>
      </c>
      <c r="J19" s="4" t="n">
        <v>94.875</v>
      </c>
    </row>
    <row r="20">
      <c r="A20" s="3" t="inlineStr">
        <is>
          <t>RNT</t>
        </is>
      </c>
      <c r="B20" s="3" t="inlineStr">
        <is>
          <t>RNT-3805</t>
        </is>
      </c>
      <c r="C20" s="20" t="n">
        <v>46064</v>
      </c>
      <c r="D20" s="3" t="inlineStr">
        <is>
          <t>النظام القديم</t>
        </is>
      </c>
      <c r="E20" s="3" t="inlineStr">
        <is>
          <t>RN-OD693</t>
        </is>
      </c>
      <c r="F20" s="3" t="inlineStr">
        <is>
          <t>زهور جيرانيوم هولندى مركن12 سم</t>
        </is>
      </c>
      <c r="G20" s="3" t="n">
        <v>180</v>
      </c>
      <c r="H20" s="3" t="inlineStr">
        <is>
          <t>EA</t>
        </is>
      </c>
      <c r="I20" s="4" t="n">
        <v>3</v>
      </c>
      <c r="J20" s="4" t="n">
        <v>621</v>
      </c>
    </row>
    <row r="21">
      <c r="A21" s="3" t="inlineStr">
        <is>
          <t>RNT</t>
        </is>
      </c>
      <c r="B21" s="3" t="inlineStr">
        <is>
          <t>RNT-3805</t>
        </is>
      </c>
      <c r="C21" s="20" t="n">
        <v>46064</v>
      </c>
      <c r="D21" s="3" t="inlineStr">
        <is>
          <t>النظام القديم</t>
        </is>
      </c>
      <c r="E21" s="3" t="inlineStr">
        <is>
          <t>RN-OD639</t>
        </is>
      </c>
      <c r="F21" s="3" t="inlineStr">
        <is>
          <t>زهور قرنفل امريكي مركن12 سم</t>
        </is>
      </c>
      <c r="G21" s="3" t="n">
        <v>90</v>
      </c>
      <c r="H21" s="3" t="inlineStr">
        <is>
          <t>EA</t>
        </is>
      </c>
      <c r="I21" s="4" t="n">
        <v>2.5</v>
      </c>
      <c r="J21" s="4" t="n">
        <v>258.75</v>
      </c>
    </row>
    <row r="22">
      <c r="A22" s="3" t="inlineStr">
        <is>
          <t>RNT</t>
        </is>
      </c>
      <c r="B22" s="3" t="inlineStr">
        <is>
          <t>RNT-3805</t>
        </is>
      </c>
      <c r="C22" s="20" t="n">
        <v>46064</v>
      </c>
      <c r="D22" s="3" t="inlineStr">
        <is>
          <t>النظام القديم</t>
        </is>
      </c>
      <c r="E22" s="3" t="inlineStr">
        <is>
          <t>RN-OD643</t>
        </is>
      </c>
      <c r="F22" s="3" t="inlineStr">
        <is>
          <t>زهور سينيراريا مركن12 سم</t>
        </is>
      </c>
      <c r="G22" s="3" t="n">
        <v>48</v>
      </c>
      <c r="H22" s="3" t="inlineStr">
        <is>
          <t>EA</t>
        </is>
      </c>
      <c r="I22" s="4" t="n">
        <v>2.5</v>
      </c>
      <c r="J22" s="4" t="n">
        <v>138</v>
      </c>
    </row>
    <row r="23">
      <c r="A23" s="5" t="inlineStr"/>
      <c r="B23" s="5" t="inlineStr">
        <is>
          <t>إجمالي RNT-3805</t>
        </is>
      </c>
      <c r="C23" s="5" t="inlineStr"/>
      <c r="D23" s="5" t="inlineStr"/>
      <c r="E23" s="5" t="inlineStr"/>
      <c r="F23" s="5" t="inlineStr"/>
      <c r="G23" s="5">
        <f>SUM(G17:G22)</f>
        <v/>
      </c>
      <c r="H23" s="5" t="inlineStr"/>
      <c r="I23" s="5" t="inlineStr"/>
      <c r="J23" s="6">
        <f>SUM(J17:J22)</f>
        <v/>
      </c>
    </row>
    <row r="24">
      <c r="A24" s="3" t="inlineStr">
        <is>
          <t>RNT</t>
        </is>
      </c>
      <c r="B24" s="3" t="inlineStr">
        <is>
          <t>TRF-0107</t>
        </is>
      </c>
      <c r="C24" s="20" t="n">
        <v>46214</v>
      </c>
      <c r="D24" s="3" t="inlineStr">
        <is>
          <t>النظام الجديد</t>
        </is>
      </c>
      <c r="E24" s="3" t="inlineStr">
        <is>
          <t>ID1500</t>
        </is>
      </c>
      <c r="F24" s="3" t="inlineStr">
        <is>
          <t>سكندابسس ان اس مركن 19 سم علاقي</t>
        </is>
      </c>
      <c r="G24" s="3" t="n">
        <v>300</v>
      </c>
      <c r="H24" s="3" t="inlineStr">
        <is>
          <t>EA</t>
        </is>
      </c>
      <c r="I24" s="4" t="n">
        <v>9.5</v>
      </c>
      <c r="J24" s="4" t="n">
        <v>3277.5</v>
      </c>
    </row>
    <row r="25">
      <c r="A25" s="3" t="inlineStr">
        <is>
          <t>RNT</t>
        </is>
      </c>
      <c r="B25" s="3" t="inlineStr">
        <is>
          <t>TRF-0107</t>
        </is>
      </c>
      <c r="C25" s="20" t="n">
        <v>46214</v>
      </c>
      <c r="D25" s="3" t="inlineStr">
        <is>
          <t>النظام الجديد</t>
        </is>
      </c>
      <c r="E25" s="3" t="inlineStr">
        <is>
          <t>ID1504</t>
        </is>
      </c>
      <c r="F25" s="3" t="inlineStr">
        <is>
          <t>هيدرا علاقي ان اس مركن 19 سم</t>
        </is>
      </c>
      <c r="G25" s="3" t="n">
        <v>100</v>
      </c>
      <c r="H25" s="3" t="inlineStr">
        <is>
          <t>EA</t>
        </is>
      </c>
      <c r="I25" s="4" t="n">
        <v>7</v>
      </c>
      <c r="J25" s="4" t="n">
        <v>805</v>
      </c>
    </row>
    <row r="26">
      <c r="A26" s="3" t="inlineStr">
        <is>
          <t>RNT</t>
        </is>
      </c>
      <c r="B26" s="3" t="inlineStr">
        <is>
          <t>TRF-0107</t>
        </is>
      </c>
      <c r="C26" s="20" t="n">
        <v>46214</v>
      </c>
      <c r="D26" s="3" t="inlineStr">
        <is>
          <t>النظام الجديد</t>
        </is>
      </c>
      <c r="E26" s="3" t="inlineStr">
        <is>
          <t>OD373</t>
        </is>
      </c>
      <c r="F26" s="3" t="inlineStr">
        <is>
          <t>سيسبانيا 1-2 متر</t>
        </is>
      </c>
      <c r="G26" s="3" t="n">
        <v>250</v>
      </c>
      <c r="H26" s="3" t="inlineStr">
        <is>
          <t>EA</t>
        </is>
      </c>
      <c r="I26" s="4" t="n">
        <v>25.5</v>
      </c>
      <c r="J26" s="4" t="n">
        <v>7331.25</v>
      </c>
    </row>
    <row r="27">
      <c r="A27" s="3" t="inlineStr">
        <is>
          <t>RNT</t>
        </is>
      </c>
      <c r="B27" s="3" t="inlineStr">
        <is>
          <t>TRF-0107</t>
        </is>
      </c>
      <c r="C27" s="20" t="n">
        <v>46214</v>
      </c>
      <c r="D27" s="3" t="inlineStr">
        <is>
          <t>النظام الجديد</t>
        </is>
      </c>
      <c r="E27" s="3" t="inlineStr">
        <is>
          <t>OD456</t>
        </is>
      </c>
      <c r="F27" s="3" t="inlineStr">
        <is>
          <t>دورانتا أخضر</t>
        </is>
      </c>
      <c r="G27" s="3" t="n">
        <v>1290</v>
      </c>
      <c r="H27" s="3" t="inlineStr">
        <is>
          <t>EA</t>
        </is>
      </c>
      <c r="I27" s="4" t="n">
        <v>2.5</v>
      </c>
      <c r="J27" s="4" t="n">
        <v>3708.75</v>
      </c>
    </row>
    <row r="28">
      <c r="A28" s="3" t="inlineStr">
        <is>
          <t>RNT</t>
        </is>
      </c>
      <c r="B28" s="3" t="inlineStr">
        <is>
          <t>TRF-0107</t>
        </is>
      </c>
      <c r="C28" s="20" t="n">
        <v>46214</v>
      </c>
      <c r="D28" s="3" t="inlineStr">
        <is>
          <t>النظام الجديد</t>
        </is>
      </c>
      <c r="E28" s="3" t="inlineStr">
        <is>
          <t>OD458</t>
        </is>
      </c>
      <c r="F28" s="3" t="inlineStr">
        <is>
          <t>اكاليفا</t>
        </is>
      </c>
      <c r="G28" s="3" t="n">
        <v>60</v>
      </c>
      <c r="H28" s="3" t="inlineStr">
        <is>
          <t>EA</t>
        </is>
      </c>
      <c r="I28" s="4" t="n">
        <v>2.5</v>
      </c>
      <c r="J28" s="4" t="n">
        <v>172.5</v>
      </c>
    </row>
    <row r="29">
      <c r="A29" s="3" t="inlineStr">
        <is>
          <t>RNT</t>
        </is>
      </c>
      <c r="B29" s="3" t="inlineStr">
        <is>
          <t>TRF-0107</t>
        </is>
      </c>
      <c r="C29" s="20" t="n">
        <v>46214</v>
      </c>
      <c r="D29" s="3" t="inlineStr">
        <is>
          <t>النظام الجديد</t>
        </is>
      </c>
      <c r="E29" s="3" t="inlineStr">
        <is>
          <t>OD467</t>
        </is>
      </c>
      <c r="F29" s="3" t="inlineStr">
        <is>
          <t>فل بلدي</t>
        </is>
      </c>
      <c r="G29" s="3" t="n">
        <v>450</v>
      </c>
      <c r="H29" s="3" t="inlineStr">
        <is>
          <t>EA</t>
        </is>
      </c>
      <c r="I29" s="4" t="n">
        <v>2.5</v>
      </c>
      <c r="J29" s="4" t="n">
        <v>1293.75</v>
      </c>
    </row>
    <row r="30">
      <c r="A30" s="3" t="inlineStr">
        <is>
          <t>RNT</t>
        </is>
      </c>
      <c r="B30" s="3" t="inlineStr">
        <is>
          <t>TRF-0107</t>
        </is>
      </c>
      <c r="C30" s="20" t="n">
        <v>46214</v>
      </c>
      <c r="D30" s="3" t="inlineStr">
        <is>
          <t>النظام الجديد</t>
        </is>
      </c>
      <c r="E30" s="3" t="inlineStr">
        <is>
          <t>OD454</t>
        </is>
      </c>
      <c r="F30" s="3" t="inlineStr">
        <is>
          <t>تيكوماريا 50 سم</t>
        </is>
      </c>
      <c r="G30" s="3" t="n">
        <v>2384</v>
      </c>
      <c r="H30" s="3" t="inlineStr">
        <is>
          <t>EA</t>
        </is>
      </c>
      <c r="I30" s="4" t="n">
        <v>2.5</v>
      </c>
      <c r="J30" s="4" t="n">
        <v>6854</v>
      </c>
    </row>
    <row r="31">
      <c r="A31" s="3" t="inlineStr">
        <is>
          <t>RNT</t>
        </is>
      </c>
      <c r="B31" s="3" t="inlineStr">
        <is>
          <t>TRF-0107</t>
        </is>
      </c>
      <c r="C31" s="20" t="n">
        <v>46214</v>
      </c>
      <c r="D31" s="3" t="inlineStr">
        <is>
          <t>النظام الجديد</t>
        </is>
      </c>
      <c r="E31" s="3" t="inlineStr">
        <is>
          <t>OD491</t>
        </is>
      </c>
      <c r="F31" s="3" t="inlineStr">
        <is>
          <t>ياسمين أزرق</t>
        </is>
      </c>
      <c r="G31" s="3" t="n">
        <v>580</v>
      </c>
      <c r="H31" s="3" t="inlineStr">
        <is>
          <t>EA</t>
        </is>
      </c>
      <c r="I31" s="4" t="n">
        <v>2.5</v>
      </c>
      <c r="J31" s="4" t="n">
        <v>1667.5</v>
      </c>
    </row>
    <row r="32">
      <c r="A32" s="3" t="inlineStr">
        <is>
          <t>RNT</t>
        </is>
      </c>
      <c r="B32" s="3" t="inlineStr">
        <is>
          <t>TRF-0107</t>
        </is>
      </c>
      <c r="C32" s="20" t="n">
        <v>46214</v>
      </c>
      <c r="D32" s="3" t="inlineStr">
        <is>
          <t>النظام الجديد</t>
        </is>
      </c>
      <c r="E32" s="3" t="inlineStr">
        <is>
          <t>OD703</t>
        </is>
      </c>
      <c r="F32" s="3" t="inlineStr">
        <is>
          <t>تجيل كروي مركن 9 سم</t>
        </is>
      </c>
      <c r="G32" s="3" t="n">
        <v>2400</v>
      </c>
      <c r="H32" s="3" t="inlineStr">
        <is>
          <t>EA</t>
        </is>
      </c>
      <c r="I32" s="4" t="n">
        <v>1.1</v>
      </c>
      <c r="J32" s="4" t="n">
        <v>3036</v>
      </c>
    </row>
    <row r="33">
      <c r="A33" s="5" t="inlineStr"/>
      <c r="B33" s="5" t="inlineStr">
        <is>
          <t>إجمالي TRF-0107</t>
        </is>
      </c>
      <c r="C33" s="5" t="inlineStr"/>
      <c r="D33" s="5" t="inlineStr"/>
      <c r="E33" s="5" t="inlineStr"/>
      <c r="F33" s="5" t="inlineStr"/>
      <c r="G33" s="5">
        <f>SUM(G24:G32)</f>
        <v/>
      </c>
      <c r="H33" s="5" t="inlineStr"/>
      <c r="I33" s="5" t="inlineStr"/>
      <c r="J33" s="6">
        <f>SUM(J24:J32)</f>
        <v/>
      </c>
    </row>
    <row r="34">
      <c r="A34" s="3" t="inlineStr">
        <is>
          <t>RNT</t>
        </is>
      </c>
      <c r="B34" s="3" t="inlineStr">
        <is>
          <t>TRF-0122</t>
        </is>
      </c>
      <c r="C34" s="20" t="n">
        <v>46217</v>
      </c>
      <c r="D34" s="3" t="inlineStr">
        <is>
          <t>النظام الجديد</t>
        </is>
      </c>
      <c r="E34" s="3" t="inlineStr">
        <is>
          <t>OD373</t>
        </is>
      </c>
      <c r="F34" s="3" t="inlineStr">
        <is>
          <t>سيسبانيا 1-2 متر</t>
        </is>
      </c>
      <c r="G34" s="3" t="n">
        <v>240</v>
      </c>
      <c r="H34" s="3" t="inlineStr">
        <is>
          <t>EA</t>
        </is>
      </c>
      <c r="I34" s="4" t="n">
        <v>25.5</v>
      </c>
      <c r="J34" s="4" t="n">
        <v>7038</v>
      </c>
    </row>
    <row r="35">
      <c r="A35" s="5" t="inlineStr"/>
      <c r="B35" s="5" t="inlineStr">
        <is>
          <t>إجمالي TRF-0122</t>
        </is>
      </c>
      <c r="C35" s="5" t="inlineStr"/>
      <c r="D35" s="5" t="inlineStr"/>
      <c r="E35" s="5" t="inlineStr"/>
      <c r="F35" s="5" t="inlineStr"/>
      <c r="G35" s="5">
        <f>SUM(G34:G34)</f>
        <v/>
      </c>
      <c r="H35" s="5" t="inlineStr"/>
      <c r="I35" s="5" t="inlineStr"/>
      <c r="J35" s="6">
        <f>SUM(J34:J34)</f>
        <v/>
      </c>
    </row>
    <row r="36">
      <c r="A36" s="3" t="inlineStr">
        <is>
          <t>RNP</t>
        </is>
      </c>
      <c r="B36" s="3" t="inlineStr">
        <is>
          <t>RNP-3432</t>
        </is>
      </c>
      <c r="C36" s="20" t="n">
        <v>46026</v>
      </c>
      <c r="D36" s="3" t="inlineStr">
        <is>
          <t>النظام القديم</t>
        </is>
      </c>
      <c r="E36" s="3" t="inlineStr">
        <is>
          <t>RN-OD620</t>
        </is>
      </c>
      <c r="F36" s="3" t="inlineStr">
        <is>
          <t>زهور جيرانيوم مركن12 سم</t>
        </is>
      </c>
      <c r="G36" s="3" t="n">
        <v>17900</v>
      </c>
      <c r="H36" s="3" t="inlineStr">
        <is>
          <t>EA</t>
        </is>
      </c>
      <c r="I36" s="4" t="n">
        <v>2</v>
      </c>
      <c r="J36" s="4" t="n">
        <v>41170</v>
      </c>
    </row>
    <row r="37">
      <c r="A37" s="3" t="inlineStr">
        <is>
          <t>RNP</t>
        </is>
      </c>
      <c r="B37" s="3" t="inlineStr">
        <is>
          <t>RNP-3432</t>
        </is>
      </c>
      <c r="C37" s="20" t="n">
        <v>46026</v>
      </c>
      <c r="D37" s="3" t="inlineStr">
        <is>
          <t>النظام القديم</t>
        </is>
      </c>
      <c r="E37" s="3" t="inlineStr">
        <is>
          <t>RN-OD642</t>
        </is>
      </c>
      <c r="F37" s="3" t="inlineStr">
        <is>
          <t>زهور اليسوم مركن9 سم</t>
        </is>
      </c>
      <c r="G37" s="3" t="n">
        <v>2000</v>
      </c>
      <c r="H37" s="3" t="inlineStr">
        <is>
          <t>EA</t>
        </is>
      </c>
      <c r="I37" s="4" t="n">
        <v>0.55</v>
      </c>
      <c r="J37" s="4" t="n">
        <v>1265</v>
      </c>
    </row>
    <row r="38">
      <c r="A38" s="5" t="inlineStr"/>
      <c r="B38" s="5" t="inlineStr">
        <is>
          <t>إجمالي RNP-3432</t>
        </is>
      </c>
      <c r="C38" s="5" t="inlineStr"/>
      <c r="D38" s="5" t="inlineStr"/>
      <c r="E38" s="5" t="inlineStr"/>
      <c r="F38" s="5" t="inlineStr"/>
      <c r="G38" s="5">
        <f>SUM(G36:G37)</f>
        <v/>
      </c>
      <c r="H38" s="5" t="inlineStr"/>
      <c r="I38" s="5" t="inlineStr"/>
      <c r="J38" s="6">
        <f>SUM(J36:J37)</f>
        <v/>
      </c>
    </row>
    <row r="39">
      <c r="A39" s="3" t="inlineStr">
        <is>
          <t>RNP</t>
        </is>
      </c>
      <c r="B39" s="3" t="inlineStr">
        <is>
          <t>RNP-3433</t>
        </is>
      </c>
      <c r="C39" s="20" t="n">
        <v>46026</v>
      </c>
      <c r="D39" s="3" t="inlineStr">
        <is>
          <t>النظام القديم</t>
        </is>
      </c>
      <c r="E39" s="3" t="inlineStr">
        <is>
          <t>RN-OD603</t>
        </is>
      </c>
      <c r="F39" s="3" t="inlineStr">
        <is>
          <t>زهور جرانيوم مركن9 سم</t>
        </is>
      </c>
      <c r="G39" s="3" t="n">
        <v>1400</v>
      </c>
      <c r="H39" s="3" t="inlineStr">
        <is>
          <t>EA</t>
        </is>
      </c>
      <c r="I39" s="4" t="n">
        <v>0.9</v>
      </c>
      <c r="J39" s="4" t="n">
        <v>1449</v>
      </c>
    </row>
    <row r="40">
      <c r="A40" s="3" t="inlineStr">
        <is>
          <t>RNP</t>
        </is>
      </c>
      <c r="B40" s="3" t="inlineStr">
        <is>
          <t>RNP-3433</t>
        </is>
      </c>
      <c r="C40" s="20" t="n">
        <v>46026</v>
      </c>
      <c r="D40" s="3" t="inlineStr">
        <is>
          <t>النظام القديم</t>
        </is>
      </c>
      <c r="E40" s="3" t="inlineStr">
        <is>
          <t>RN-OD560</t>
        </is>
      </c>
      <c r="F40" s="3" t="inlineStr">
        <is>
          <t>زهور بيتونيا</t>
        </is>
      </c>
      <c r="G40" s="3" t="n">
        <v>1000</v>
      </c>
      <c r="H40" s="3" t="inlineStr">
        <is>
          <t>EA</t>
        </is>
      </c>
      <c r="I40" s="4" t="n">
        <v>0.55</v>
      </c>
      <c r="J40" s="4" t="n">
        <v>632.5</v>
      </c>
    </row>
    <row r="41">
      <c r="A41" s="3" t="inlineStr">
        <is>
          <t>RNP</t>
        </is>
      </c>
      <c r="B41" s="3" t="inlineStr">
        <is>
          <t>RNP-3433</t>
        </is>
      </c>
      <c r="C41" s="20" t="n">
        <v>46026</v>
      </c>
      <c r="D41" s="3" t="inlineStr">
        <is>
          <t>النظام القديم</t>
        </is>
      </c>
      <c r="E41" s="3" t="inlineStr">
        <is>
          <t>RN-OD561</t>
        </is>
      </c>
      <c r="F41" s="3" t="inlineStr">
        <is>
          <t>زهور مارى جولد</t>
        </is>
      </c>
      <c r="G41" s="3" t="n">
        <v>600</v>
      </c>
      <c r="H41" s="3" t="inlineStr">
        <is>
          <t>EA</t>
        </is>
      </c>
      <c r="I41" s="4" t="n">
        <v>0.6</v>
      </c>
      <c r="J41" s="4" t="n">
        <v>414</v>
      </c>
    </row>
    <row r="42">
      <c r="A42" s="3" t="inlineStr">
        <is>
          <t>RNP</t>
        </is>
      </c>
      <c r="B42" s="3" t="inlineStr">
        <is>
          <t>RNP-3433</t>
        </is>
      </c>
      <c r="C42" s="20" t="n">
        <v>46026</v>
      </c>
      <c r="D42" s="3" t="inlineStr">
        <is>
          <t>النظام القديم</t>
        </is>
      </c>
      <c r="E42" s="3" t="inlineStr">
        <is>
          <t>RN-OD642</t>
        </is>
      </c>
      <c r="F42" s="3" t="inlineStr">
        <is>
          <t>زهور اليسوم مركن9 سم</t>
        </is>
      </c>
      <c r="G42" s="3" t="n">
        <v>2000</v>
      </c>
      <c r="H42" s="3" t="inlineStr">
        <is>
          <t>EA</t>
        </is>
      </c>
      <c r="I42" s="4" t="n">
        <v>0.55</v>
      </c>
      <c r="J42" s="4" t="n">
        <v>1265</v>
      </c>
    </row>
    <row r="43">
      <c r="A43" s="5" t="inlineStr"/>
      <c r="B43" s="5" t="inlineStr">
        <is>
          <t>إجمالي RNP-3433</t>
        </is>
      </c>
      <c r="C43" s="5" t="inlineStr"/>
      <c r="D43" s="5" t="inlineStr"/>
      <c r="E43" s="5" t="inlineStr"/>
      <c r="F43" s="5" t="inlineStr"/>
      <c r="G43" s="5">
        <f>SUM(G39:G42)</f>
        <v/>
      </c>
      <c r="H43" s="5" t="inlineStr"/>
      <c r="I43" s="5" t="inlineStr"/>
      <c r="J43" s="6">
        <f>SUM(J39:J42)</f>
        <v/>
      </c>
    </row>
    <row r="44">
      <c r="A44" s="3" t="inlineStr">
        <is>
          <t>RNP</t>
        </is>
      </c>
      <c r="B44" s="3" t="inlineStr">
        <is>
          <t>RNP-3491</t>
        </is>
      </c>
      <c r="C44" s="20" t="n">
        <v>46029</v>
      </c>
      <c r="D44" s="3" t="inlineStr">
        <is>
          <t>النظام القديم</t>
        </is>
      </c>
      <c r="E44" s="3" t="inlineStr">
        <is>
          <t>RN-OD560</t>
        </is>
      </c>
      <c r="F44" s="3" t="inlineStr">
        <is>
          <t>زهور بيتونيا</t>
        </is>
      </c>
      <c r="G44" s="3" t="n">
        <v>2200</v>
      </c>
      <c r="H44" s="3" t="inlineStr">
        <is>
          <t>EA</t>
        </is>
      </c>
      <c r="I44" s="4" t="n">
        <v>0.55</v>
      </c>
      <c r="J44" s="4" t="n">
        <v>1391.5</v>
      </c>
    </row>
    <row r="45">
      <c r="A45" s="3" t="inlineStr">
        <is>
          <t>RNP</t>
        </is>
      </c>
      <c r="B45" s="3" t="inlineStr">
        <is>
          <t>RNP-3491</t>
        </is>
      </c>
      <c r="C45" s="20" t="n">
        <v>46029</v>
      </c>
      <c r="D45" s="3" t="inlineStr">
        <is>
          <t>النظام القديم</t>
        </is>
      </c>
      <c r="E45" s="3" t="inlineStr">
        <is>
          <t>RN-OD642</t>
        </is>
      </c>
      <c r="F45" s="3" t="inlineStr">
        <is>
          <t>زهور اليسوم مركن9 سم</t>
        </is>
      </c>
      <c r="G45" s="3" t="n">
        <v>700</v>
      </c>
      <c r="H45" s="3" t="inlineStr">
        <is>
          <t>EA</t>
        </is>
      </c>
      <c r="I45" s="4" t="n">
        <v>0.55</v>
      </c>
      <c r="J45" s="4" t="n">
        <v>442.75</v>
      </c>
    </row>
    <row r="46">
      <c r="A46" s="3" t="inlineStr">
        <is>
          <t>RNP</t>
        </is>
      </c>
      <c r="B46" s="3" t="inlineStr">
        <is>
          <t>RNP-3491</t>
        </is>
      </c>
      <c r="C46" s="20" t="n">
        <v>46029</v>
      </c>
      <c r="D46" s="3" t="inlineStr">
        <is>
          <t>النظام القديم</t>
        </is>
      </c>
      <c r="E46" s="3" t="inlineStr">
        <is>
          <t>RN-OD456</t>
        </is>
      </c>
      <c r="F46" s="3" t="inlineStr">
        <is>
          <t>دورانتا اخضر</t>
        </is>
      </c>
      <c r="G46" s="3" t="n">
        <v>1200</v>
      </c>
      <c r="H46" s="3" t="inlineStr">
        <is>
          <t>EA</t>
        </is>
      </c>
      <c r="I46" s="4" t="n">
        <v>2.5</v>
      </c>
      <c r="J46" s="4" t="n">
        <v>3450</v>
      </c>
    </row>
    <row r="47">
      <c r="A47" s="5" t="inlineStr"/>
      <c r="B47" s="5" t="inlineStr">
        <is>
          <t>إجمالي RNP-3491</t>
        </is>
      </c>
      <c r="C47" s="5" t="inlineStr"/>
      <c r="D47" s="5" t="inlineStr"/>
      <c r="E47" s="5" t="inlineStr"/>
      <c r="F47" s="5" t="inlineStr"/>
      <c r="G47" s="5">
        <f>SUM(G44:G46)</f>
        <v/>
      </c>
      <c r="H47" s="5" t="inlineStr"/>
      <c r="I47" s="5" t="inlineStr"/>
      <c r="J47" s="6">
        <f>SUM(J44:J46)</f>
        <v/>
      </c>
    </row>
    <row r="48">
      <c r="A48" s="3" t="inlineStr">
        <is>
          <t>RNP</t>
        </is>
      </c>
      <c r="B48" s="3" t="inlineStr">
        <is>
          <t>RNP-3520</t>
        </is>
      </c>
      <c r="C48" s="20" t="n">
        <v>46033</v>
      </c>
      <c r="D48" s="3" t="inlineStr">
        <is>
          <t>النظام القديم</t>
        </is>
      </c>
      <c r="E48" s="3" t="inlineStr">
        <is>
          <t>RN-OD560</t>
        </is>
      </c>
      <c r="F48" s="3" t="inlineStr">
        <is>
          <t>زهور بيتونيا</t>
        </is>
      </c>
      <c r="G48" s="3" t="n">
        <v>6000</v>
      </c>
      <c r="H48" s="3" t="inlineStr">
        <is>
          <t>EA</t>
        </is>
      </c>
      <c r="I48" s="4" t="n">
        <v>0.55</v>
      </c>
      <c r="J48" s="4" t="n">
        <v>3795</v>
      </c>
    </row>
    <row r="49">
      <c r="A49" s="5" t="inlineStr"/>
      <c r="B49" s="5" t="inlineStr">
        <is>
          <t>إجمالي RNP-3520</t>
        </is>
      </c>
      <c r="C49" s="5" t="inlineStr"/>
      <c r="D49" s="5" t="inlineStr"/>
      <c r="E49" s="5" t="inlineStr"/>
      <c r="F49" s="5" t="inlineStr"/>
      <c r="G49" s="5">
        <f>SUM(G48:G48)</f>
        <v/>
      </c>
      <c r="H49" s="5" t="inlineStr"/>
      <c r="I49" s="5" t="inlineStr"/>
      <c r="J49" s="6">
        <f>SUM(J48:J48)</f>
        <v/>
      </c>
    </row>
    <row r="50">
      <c r="A50" s="3" t="inlineStr">
        <is>
          <t>RNP</t>
        </is>
      </c>
      <c r="B50" s="3" t="inlineStr">
        <is>
          <t>RNP-3756</t>
        </is>
      </c>
      <c r="C50" s="20" t="n">
        <v>46057</v>
      </c>
      <c r="D50" s="3" t="inlineStr">
        <is>
          <t>النظام القديم</t>
        </is>
      </c>
      <c r="E50" s="3" t="inlineStr">
        <is>
          <t>RN-OD411</t>
        </is>
      </c>
      <c r="F50" s="3" t="inlineStr">
        <is>
          <t>ياسمين هندي كبير</t>
        </is>
      </c>
      <c r="G50" s="3" t="n">
        <v>20</v>
      </c>
      <c r="H50" s="3" t="inlineStr">
        <is>
          <t>EA</t>
        </is>
      </c>
      <c r="I50" s="4" t="n">
        <v>32.5</v>
      </c>
      <c r="J50" s="4" t="n">
        <v>747.5</v>
      </c>
    </row>
    <row r="51">
      <c r="A51" s="5" t="inlineStr"/>
      <c r="B51" s="5" t="inlineStr">
        <is>
          <t>إجمالي RNP-3756</t>
        </is>
      </c>
      <c r="C51" s="5" t="inlineStr"/>
      <c r="D51" s="5" t="inlineStr"/>
      <c r="E51" s="5" t="inlineStr"/>
      <c r="F51" s="5" t="inlineStr"/>
      <c r="G51" s="5">
        <f>SUM(G50:G50)</f>
        <v/>
      </c>
      <c r="H51" s="5" t="inlineStr"/>
      <c r="I51" s="5" t="inlineStr"/>
      <c r="J51" s="6">
        <f>SUM(J50:J50)</f>
        <v/>
      </c>
    </row>
    <row r="52">
      <c r="A52" s="3" t="inlineStr">
        <is>
          <t>RNP</t>
        </is>
      </c>
      <c r="B52" s="3" t="inlineStr">
        <is>
          <t>RNP-3767</t>
        </is>
      </c>
      <c r="C52" s="20" t="n">
        <v>46059</v>
      </c>
      <c r="D52" s="3" t="inlineStr">
        <is>
          <t>النظام القديم</t>
        </is>
      </c>
      <c r="E52" s="3" t="inlineStr">
        <is>
          <t>RN-OD695</t>
        </is>
      </c>
      <c r="F52" s="3" t="inlineStr">
        <is>
          <t>زهور اقحوان افريقي هولندى مركن12 سم</t>
        </is>
      </c>
      <c r="G52" s="3" t="n">
        <v>1785</v>
      </c>
      <c r="H52" s="3" t="inlineStr">
        <is>
          <t>EA</t>
        </is>
      </c>
      <c r="I52" s="4" t="n">
        <v>3</v>
      </c>
      <c r="J52" s="4" t="n">
        <v>6158.25</v>
      </c>
    </row>
    <row r="53">
      <c r="A53" s="3" t="inlineStr">
        <is>
          <t>RNP</t>
        </is>
      </c>
      <c r="B53" s="3" t="inlineStr">
        <is>
          <t>RNP-3767</t>
        </is>
      </c>
      <c r="C53" s="20" t="n">
        <v>46059</v>
      </c>
      <c r="D53" s="3" t="inlineStr">
        <is>
          <t>النظام القديم</t>
        </is>
      </c>
      <c r="E53" s="3" t="inlineStr">
        <is>
          <t>RN-OD634</t>
        </is>
      </c>
      <c r="F53" s="3" t="inlineStr">
        <is>
          <t>زهور ملفوف براسيكا مركن9 سم</t>
        </is>
      </c>
      <c r="G53" s="3" t="n">
        <v>2000</v>
      </c>
      <c r="H53" s="3" t="inlineStr">
        <is>
          <t>EA</t>
        </is>
      </c>
      <c r="I53" s="4" t="n">
        <v>0.55</v>
      </c>
      <c r="J53" s="4" t="n">
        <v>1265</v>
      </c>
    </row>
    <row r="54">
      <c r="A54" s="5" t="inlineStr"/>
      <c r="B54" s="5" t="inlineStr">
        <is>
          <t>إجمالي RNP-3767</t>
        </is>
      </c>
      <c r="C54" s="5" t="inlineStr"/>
      <c r="D54" s="5" t="inlineStr"/>
      <c r="E54" s="5" t="inlineStr"/>
      <c r="F54" s="5" t="inlineStr"/>
      <c r="G54" s="5">
        <f>SUM(G52:G53)</f>
        <v/>
      </c>
      <c r="H54" s="5" t="inlineStr"/>
      <c r="I54" s="5" t="inlineStr"/>
      <c r="J54" s="6">
        <f>SUM(J52:J53)</f>
        <v/>
      </c>
    </row>
    <row r="55">
      <c r="A55" s="3" t="inlineStr">
        <is>
          <t>RNP</t>
        </is>
      </c>
      <c r="B55" s="3" t="inlineStr">
        <is>
          <t>RNP-3839</t>
        </is>
      </c>
      <c r="C55" s="20" t="n">
        <v>46068</v>
      </c>
      <c r="D55" s="3" t="inlineStr">
        <is>
          <t>النظام القديم</t>
        </is>
      </c>
      <c r="E55" s="3" t="inlineStr">
        <is>
          <t>RN-OD560</t>
        </is>
      </c>
      <c r="F55" s="3" t="inlineStr">
        <is>
          <t>زهور بيتونيا</t>
        </is>
      </c>
      <c r="G55" s="3" t="n">
        <v>312</v>
      </c>
      <c r="H55" s="3" t="inlineStr">
        <is>
          <t>EA</t>
        </is>
      </c>
      <c r="I55" s="4" t="n">
        <v>0.55</v>
      </c>
      <c r="J55" s="4" t="n">
        <v>197.34</v>
      </c>
    </row>
    <row r="56">
      <c r="A56" s="3" t="inlineStr">
        <is>
          <t>RNP</t>
        </is>
      </c>
      <c r="B56" s="3" t="inlineStr">
        <is>
          <t>RNP-3839</t>
        </is>
      </c>
      <c r="C56" s="20" t="n">
        <v>46068</v>
      </c>
      <c r="D56" s="3" t="inlineStr">
        <is>
          <t>النظام القديم</t>
        </is>
      </c>
      <c r="E56" s="3" t="inlineStr">
        <is>
          <t>RN-OD636</t>
        </is>
      </c>
      <c r="F56" s="3" t="inlineStr">
        <is>
          <t>زهور منثور مركن9 سم</t>
        </is>
      </c>
      <c r="G56" s="3" t="n">
        <v>312</v>
      </c>
      <c r="H56" s="3" t="inlineStr">
        <is>
          <t>EA</t>
        </is>
      </c>
      <c r="I56" s="4" t="n">
        <v>0.55</v>
      </c>
      <c r="J56" s="4" t="n">
        <v>197.34</v>
      </c>
    </row>
    <row r="57">
      <c r="A57" s="3" t="inlineStr">
        <is>
          <t>RNP</t>
        </is>
      </c>
      <c r="B57" s="3" t="inlineStr">
        <is>
          <t>RNP-3839</t>
        </is>
      </c>
      <c r="C57" s="20" t="n">
        <v>46068</v>
      </c>
      <c r="D57" s="3" t="inlineStr">
        <is>
          <t>النظام القديم</t>
        </is>
      </c>
      <c r="E57" s="3" t="inlineStr">
        <is>
          <t>RN-OD637</t>
        </is>
      </c>
      <c r="F57" s="3" t="inlineStr">
        <is>
          <t>زهور سالفيا مركن9 سم</t>
        </is>
      </c>
      <c r="G57" s="3" t="n">
        <v>312</v>
      </c>
      <c r="H57" s="3" t="inlineStr">
        <is>
          <t>EA</t>
        </is>
      </c>
      <c r="I57" s="4" t="n">
        <v>0.55</v>
      </c>
      <c r="J57" s="4" t="n">
        <v>197.34</v>
      </c>
    </row>
    <row r="58">
      <c r="A58" s="3" t="inlineStr">
        <is>
          <t>RNP</t>
        </is>
      </c>
      <c r="B58" s="3" t="inlineStr">
        <is>
          <t>RNP-3839</t>
        </is>
      </c>
      <c r="C58" s="20" t="n">
        <v>46068</v>
      </c>
      <c r="D58" s="3" t="inlineStr">
        <is>
          <t>النظام القديم</t>
        </is>
      </c>
      <c r="E58" s="3" t="inlineStr">
        <is>
          <t>RN-OD634</t>
        </is>
      </c>
      <c r="F58" s="3" t="inlineStr">
        <is>
          <t>زهور ملفوف براسيكا مركن9 سم</t>
        </is>
      </c>
      <c r="G58" s="3" t="n">
        <v>312</v>
      </c>
      <c r="H58" s="3" t="inlineStr">
        <is>
          <t>EA</t>
        </is>
      </c>
      <c r="I58" s="4" t="n">
        <v>0.55</v>
      </c>
      <c r="J58" s="4" t="n">
        <v>197.34</v>
      </c>
    </row>
    <row r="59">
      <c r="A59" s="5" t="inlineStr"/>
      <c r="B59" s="5" t="inlineStr">
        <is>
          <t>إجمالي RNP-3839</t>
        </is>
      </c>
      <c r="C59" s="5" t="inlineStr"/>
      <c r="D59" s="5" t="inlineStr"/>
      <c r="E59" s="5" t="inlineStr"/>
      <c r="F59" s="5" t="inlineStr"/>
      <c r="G59" s="5">
        <f>SUM(G55:G58)</f>
        <v/>
      </c>
      <c r="H59" s="5" t="inlineStr"/>
      <c r="I59" s="5" t="inlineStr"/>
      <c r="J59" s="6">
        <f>SUM(J55:J58)</f>
        <v/>
      </c>
    </row>
    <row r="60">
      <c r="A60" s="3" t="inlineStr">
        <is>
          <t>RNP</t>
        </is>
      </c>
      <c r="B60" s="3" t="inlineStr">
        <is>
          <t>ISV-0004</t>
        </is>
      </c>
      <c r="C60" s="20" t="n">
        <v>46186</v>
      </c>
      <c r="D60" s="3" t="inlineStr">
        <is>
          <t>النظام الجديد</t>
        </is>
      </c>
      <c r="E60" s="3" t="inlineStr">
        <is>
          <t>SF144</t>
        </is>
      </c>
      <c r="F60" s="3" t="inlineStr">
        <is>
          <t>زهور امرانتس مركن 9 سم أحمر</t>
        </is>
      </c>
      <c r="G60" s="3" t="n">
        <v>500</v>
      </c>
      <c r="H60" s="3" t="inlineStr">
        <is>
          <t>EA</t>
        </is>
      </c>
      <c r="I60" s="4" t="n">
        <v>0.55</v>
      </c>
      <c r="J60" s="4" t="n">
        <v>275</v>
      </c>
    </row>
    <row r="61">
      <c r="A61" s="3" t="inlineStr">
        <is>
          <t>RNP</t>
        </is>
      </c>
      <c r="B61" s="3" t="inlineStr">
        <is>
          <t>ISV-0004</t>
        </is>
      </c>
      <c r="C61" s="20" t="n">
        <v>46186</v>
      </c>
      <c r="D61" s="3" t="inlineStr">
        <is>
          <t>النظام الجديد</t>
        </is>
      </c>
      <c r="E61" s="3" t="inlineStr">
        <is>
          <t>SF149</t>
        </is>
      </c>
      <c r="F61" s="3" t="inlineStr">
        <is>
          <t>زهور فضية مركن 9 سم فضي</t>
        </is>
      </c>
      <c r="G61" s="3" t="n">
        <v>300</v>
      </c>
      <c r="H61" s="3" t="inlineStr">
        <is>
          <t>EA</t>
        </is>
      </c>
      <c r="I61" s="4" t="n">
        <v>0.55</v>
      </c>
      <c r="J61" s="4" t="n">
        <v>165</v>
      </c>
    </row>
    <row r="62">
      <c r="A62" s="3" t="inlineStr">
        <is>
          <t>RNP</t>
        </is>
      </c>
      <c r="B62" s="3" t="inlineStr">
        <is>
          <t>ISV-0004</t>
        </is>
      </c>
      <c r="C62" s="20" t="n">
        <v>46186</v>
      </c>
      <c r="D62" s="3" t="inlineStr">
        <is>
          <t>النظام الجديد</t>
        </is>
      </c>
      <c r="E62" s="3" t="inlineStr">
        <is>
          <t>SF123</t>
        </is>
      </c>
      <c r="F62" s="3" t="inlineStr">
        <is>
          <t>زهور زينيا سنجل مركن 9 سم أبيض</t>
        </is>
      </c>
      <c r="G62" s="3" t="n">
        <v>400</v>
      </c>
      <c r="H62" s="3" t="inlineStr">
        <is>
          <t>EA</t>
        </is>
      </c>
      <c r="I62" s="4" t="n">
        <v>0.55</v>
      </c>
      <c r="J62" s="4" t="n">
        <v>220</v>
      </c>
    </row>
    <row r="63">
      <c r="A63" s="3" t="inlineStr">
        <is>
          <t>RNP</t>
        </is>
      </c>
      <c r="B63" s="3" t="inlineStr">
        <is>
          <t>ISV-0004</t>
        </is>
      </c>
      <c r="C63" s="20" t="n">
        <v>46186</v>
      </c>
      <c r="D63" s="3" t="inlineStr">
        <is>
          <t>النظام الجديد</t>
        </is>
      </c>
      <c r="E63" s="3" t="inlineStr">
        <is>
          <t>SF125</t>
        </is>
      </c>
      <c r="F63" s="3" t="inlineStr">
        <is>
          <t>زهور زينيا سنجل مركن 9 سم أصفر</t>
        </is>
      </c>
      <c r="G63" s="3" t="n">
        <v>400</v>
      </c>
      <c r="H63" s="3" t="inlineStr">
        <is>
          <t>EA</t>
        </is>
      </c>
      <c r="I63" s="4" t="n">
        <v>0.55</v>
      </c>
      <c r="J63" s="4" t="n">
        <v>220</v>
      </c>
    </row>
    <row r="64">
      <c r="A64" s="3" t="inlineStr">
        <is>
          <t>RNP</t>
        </is>
      </c>
      <c r="B64" s="3" t="inlineStr">
        <is>
          <t>ISV-0004</t>
        </is>
      </c>
      <c r="C64" s="20" t="n">
        <v>46186</v>
      </c>
      <c r="D64" s="3" t="inlineStr">
        <is>
          <t>النظام الجديد</t>
        </is>
      </c>
      <c r="E64" s="3" t="inlineStr">
        <is>
          <t>SF124</t>
        </is>
      </c>
      <c r="F64" s="3" t="inlineStr">
        <is>
          <t>زهور زينيا سنجل مركن 9 سم أحمر</t>
        </is>
      </c>
      <c r="G64" s="3" t="n">
        <v>400</v>
      </c>
      <c r="H64" s="3" t="inlineStr">
        <is>
          <t>EA</t>
        </is>
      </c>
      <c r="I64" s="4" t="n">
        <v>0.55</v>
      </c>
      <c r="J64" s="4" t="n">
        <v>220</v>
      </c>
    </row>
    <row r="65">
      <c r="A65" s="5" t="inlineStr"/>
      <c r="B65" s="5" t="inlineStr">
        <is>
          <t>إجمالي ISV-0004</t>
        </is>
      </c>
      <c r="C65" s="5" t="inlineStr"/>
      <c r="D65" s="5" t="inlineStr"/>
      <c r="E65" s="5" t="inlineStr"/>
      <c r="F65" s="5" t="inlineStr"/>
      <c r="G65" s="5">
        <f>SUM(G60:G64)</f>
        <v/>
      </c>
      <c r="H65" s="5" t="inlineStr"/>
      <c r="I65" s="5" t="inlineStr"/>
      <c r="J65" s="6">
        <f>SUM(J60:J64)</f>
        <v/>
      </c>
    </row>
    <row r="66">
      <c r="A66" s="3" t="inlineStr">
        <is>
          <t>RNP</t>
        </is>
      </c>
      <c r="B66" s="3" t="inlineStr">
        <is>
          <t>ISV-0005</t>
        </is>
      </c>
      <c r="C66" s="20" t="n">
        <v>46186</v>
      </c>
      <c r="D66" s="3" t="inlineStr">
        <is>
          <t>النظام الجديد</t>
        </is>
      </c>
      <c r="E66" s="3" t="inlineStr">
        <is>
          <t>SF97</t>
        </is>
      </c>
      <c r="F66" s="3" t="inlineStr">
        <is>
          <t>فينكا روزا مركن 9 سم أبيض</t>
        </is>
      </c>
      <c r="G66" s="3" t="n">
        <v>650</v>
      </c>
      <c r="H66" s="3" t="inlineStr">
        <is>
          <t>EA</t>
        </is>
      </c>
      <c r="I66" s="4" t="n">
        <v>0.55</v>
      </c>
      <c r="J66" s="4" t="n">
        <v>357.5</v>
      </c>
    </row>
    <row r="67">
      <c r="A67" s="3" t="inlineStr">
        <is>
          <t>RNP</t>
        </is>
      </c>
      <c r="B67" s="3" t="inlineStr">
        <is>
          <t>ISV-0005</t>
        </is>
      </c>
      <c r="C67" s="20" t="n">
        <v>46186</v>
      </c>
      <c r="D67" s="3" t="inlineStr">
        <is>
          <t>النظام الجديد</t>
        </is>
      </c>
      <c r="E67" s="3" t="inlineStr">
        <is>
          <t>SF98</t>
        </is>
      </c>
      <c r="F67" s="3" t="inlineStr">
        <is>
          <t>فينكا روزا مركن 9 سم أحمر</t>
        </is>
      </c>
      <c r="G67" s="3" t="n">
        <v>650</v>
      </c>
      <c r="H67" s="3" t="inlineStr">
        <is>
          <t>EA</t>
        </is>
      </c>
      <c r="I67" s="4" t="n">
        <v>0.55</v>
      </c>
      <c r="J67" s="4" t="n">
        <v>357.5</v>
      </c>
    </row>
    <row r="68">
      <c r="A68" s="3" t="inlineStr">
        <is>
          <t>RNP</t>
        </is>
      </c>
      <c r="B68" s="3" t="inlineStr">
        <is>
          <t>ISV-0005</t>
        </is>
      </c>
      <c r="C68" s="20" t="n">
        <v>46186</v>
      </c>
      <c r="D68" s="3" t="inlineStr">
        <is>
          <t>النظام الجديد</t>
        </is>
      </c>
      <c r="E68" s="3" t="inlineStr">
        <is>
          <t>SF99</t>
        </is>
      </c>
      <c r="F68" s="3" t="inlineStr">
        <is>
          <t>فينكا روزا مركن 9 سم أحمر نقطة بيضاء</t>
        </is>
      </c>
      <c r="G68" s="3" t="n">
        <v>650</v>
      </c>
      <c r="H68" s="3" t="inlineStr">
        <is>
          <t>EA</t>
        </is>
      </c>
      <c r="I68" s="4" t="n">
        <v>0.55</v>
      </c>
      <c r="J68" s="4" t="n">
        <v>357.5</v>
      </c>
    </row>
    <row r="69">
      <c r="A69" s="3" t="inlineStr">
        <is>
          <t>RNP</t>
        </is>
      </c>
      <c r="B69" s="3" t="inlineStr">
        <is>
          <t>ISV-0005</t>
        </is>
      </c>
      <c r="C69" s="20" t="n">
        <v>46186</v>
      </c>
      <c r="D69" s="3" t="inlineStr">
        <is>
          <t>النظام الجديد</t>
        </is>
      </c>
      <c r="E69" s="3" t="inlineStr">
        <is>
          <t>SF100</t>
        </is>
      </c>
      <c r="F69" s="3" t="inlineStr">
        <is>
          <t>فينكا روزا مركن 9 سم أبيض نقطة حمراء</t>
        </is>
      </c>
      <c r="G69" s="3" t="n">
        <v>650</v>
      </c>
      <c r="H69" s="3" t="inlineStr">
        <is>
          <t>EA</t>
        </is>
      </c>
      <c r="I69" s="4" t="n">
        <v>0.55</v>
      </c>
      <c r="J69" s="4" t="n">
        <v>357.5</v>
      </c>
    </row>
    <row r="70">
      <c r="A70" s="3" t="inlineStr">
        <is>
          <t>RNP</t>
        </is>
      </c>
      <c r="B70" s="3" t="inlineStr">
        <is>
          <t>ISV-0005</t>
        </is>
      </c>
      <c r="C70" s="20" t="n">
        <v>46186</v>
      </c>
      <c r="D70" s="3" t="inlineStr">
        <is>
          <t>النظام الجديد</t>
        </is>
      </c>
      <c r="E70" s="3" t="inlineStr">
        <is>
          <t>SF105</t>
        </is>
      </c>
      <c r="F70" s="3" t="inlineStr">
        <is>
          <t>فينكا روزا مركن 9 سم برغندي</t>
        </is>
      </c>
      <c r="G70" s="3" t="n">
        <v>750</v>
      </c>
      <c r="H70" s="3" t="inlineStr">
        <is>
          <t>EA</t>
        </is>
      </c>
      <c r="I70" s="4" t="n">
        <v>0.55</v>
      </c>
      <c r="J70" s="4" t="n">
        <v>412.5</v>
      </c>
    </row>
    <row r="71">
      <c r="A71" s="3" t="inlineStr">
        <is>
          <t>RNP</t>
        </is>
      </c>
      <c r="B71" s="3" t="inlineStr">
        <is>
          <t>ISV-0005</t>
        </is>
      </c>
      <c r="C71" s="20" t="n">
        <v>46186</v>
      </c>
      <c r="D71" s="3" t="inlineStr">
        <is>
          <t>النظام الجديد</t>
        </is>
      </c>
      <c r="E71" s="3" t="inlineStr">
        <is>
          <t>SF106</t>
        </is>
      </c>
      <c r="F71" s="3" t="inlineStr">
        <is>
          <t>فينكا روزا مركن 9 سم برغندي هالو</t>
        </is>
      </c>
      <c r="G71" s="3" t="n">
        <v>650</v>
      </c>
      <c r="H71" s="3" t="inlineStr">
        <is>
          <t>EA</t>
        </is>
      </c>
      <c r="I71" s="4" t="n">
        <v>0.55</v>
      </c>
      <c r="J71" s="4" t="n">
        <v>357.5</v>
      </c>
    </row>
    <row r="72">
      <c r="A72" s="5" t="inlineStr"/>
      <c r="B72" s="5" t="inlineStr">
        <is>
          <t>إجمالي ISV-0005</t>
        </is>
      </c>
      <c r="C72" s="5" t="inlineStr"/>
      <c r="D72" s="5" t="inlineStr"/>
      <c r="E72" s="5" t="inlineStr"/>
      <c r="F72" s="5" t="inlineStr"/>
      <c r="G72" s="5">
        <f>SUM(G66:G71)</f>
        <v/>
      </c>
      <c r="H72" s="5" t="inlineStr"/>
      <c r="I72" s="5" t="inlineStr"/>
      <c r="J72" s="6">
        <f>SUM(J66:J71)</f>
        <v/>
      </c>
    </row>
    <row r="73">
      <c r="A73" s="3" t="inlineStr">
        <is>
          <t>RNP</t>
        </is>
      </c>
      <c r="B73" s="3" t="inlineStr">
        <is>
          <t>ISV-0010</t>
        </is>
      </c>
      <c r="C73" s="20" t="n">
        <v>46187</v>
      </c>
      <c r="D73" s="3" t="inlineStr">
        <is>
          <t>النظام الجديد</t>
        </is>
      </c>
      <c r="E73" s="3" t="inlineStr">
        <is>
          <t>SF126</t>
        </is>
      </c>
      <c r="F73" s="3" t="inlineStr">
        <is>
          <t>زهور زينيا سنجل مركن 9 سم برتقالي</t>
        </is>
      </c>
      <c r="G73" s="3" t="n">
        <v>700</v>
      </c>
      <c r="H73" s="3" t="inlineStr">
        <is>
          <t>EA</t>
        </is>
      </c>
      <c r="I73" s="4" t="n">
        <v>0.55</v>
      </c>
      <c r="J73" s="4" t="n">
        <v>385</v>
      </c>
    </row>
    <row r="74">
      <c r="A74" s="3" t="inlineStr">
        <is>
          <t>RNP</t>
        </is>
      </c>
      <c r="B74" s="3" t="inlineStr">
        <is>
          <t>ISV-0010</t>
        </is>
      </c>
      <c r="C74" s="20" t="n">
        <v>46187</v>
      </c>
      <c r="D74" s="3" t="inlineStr">
        <is>
          <t>النظام الجديد</t>
        </is>
      </c>
      <c r="E74" s="3" t="inlineStr">
        <is>
          <t>SF128</t>
        </is>
      </c>
      <c r="F74" s="3" t="inlineStr">
        <is>
          <t>زهور زينيا سنجل مركن 9 سم ليموني</t>
        </is>
      </c>
      <c r="G74" s="3" t="n">
        <v>700</v>
      </c>
      <c r="H74" s="3" t="inlineStr">
        <is>
          <t>EA</t>
        </is>
      </c>
      <c r="I74" s="4" t="n">
        <v>0.55</v>
      </c>
      <c r="J74" s="4" t="n">
        <v>385</v>
      </c>
    </row>
    <row r="75">
      <c r="A75" s="3" t="inlineStr">
        <is>
          <t>RNP</t>
        </is>
      </c>
      <c r="B75" s="3" t="inlineStr">
        <is>
          <t>ISV-0010</t>
        </is>
      </c>
      <c r="C75" s="20" t="n">
        <v>46187</v>
      </c>
      <c r="D75" s="3" t="inlineStr">
        <is>
          <t>النظام الجديد</t>
        </is>
      </c>
      <c r="E75" s="3" t="inlineStr">
        <is>
          <t>SF129</t>
        </is>
      </c>
      <c r="F75" s="3" t="inlineStr">
        <is>
          <t>زهور زينيا سنجل مركن 9 سم كرزي</t>
        </is>
      </c>
      <c r="G75" s="3" t="n">
        <v>700</v>
      </c>
      <c r="H75" s="3" t="inlineStr">
        <is>
          <t>EA</t>
        </is>
      </c>
      <c r="I75" s="4" t="n">
        <v>0.55</v>
      </c>
      <c r="J75" s="4" t="n">
        <v>385</v>
      </c>
    </row>
    <row r="76">
      <c r="A76" s="3" t="inlineStr">
        <is>
          <t>RNP</t>
        </is>
      </c>
      <c r="B76" s="3" t="inlineStr">
        <is>
          <t>ISV-0010</t>
        </is>
      </c>
      <c r="C76" s="20" t="n">
        <v>46187</v>
      </c>
      <c r="D76" s="3" t="inlineStr">
        <is>
          <t>النظام الجديد</t>
        </is>
      </c>
      <c r="E76" s="3" t="inlineStr">
        <is>
          <t>SF123</t>
        </is>
      </c>
      <c r="F76" s="3" t="inlineStr">
        <is>
          <t>زهور زينيا سنجل مركن 9 سم أبيض</t>
        </is>
      </c>
      <c r="G76" s="3" t="n">
        <v>900</v>
      </c>
      <c r="H76" s="3" t="inlineStr">
        <is>
          <t>EA</t>
        </is>
      </c>
      <c r="I76" s="4" t="n">
        <v>0.55</v>
      </c>
      <c r="J76" s="4" t="n">
        <v>495</v>
      </c>
    </row>
    <row r="77">
      <c r="A77" s="3" t="inlineStr">
        <is>
          <t>RNP</t>
        </is>
      </c>
      <c r="B77" s="3" t="inlineStr">
        <is>
          <t>ISV-0010</t>
        </is>
      </c>
      <c r="C77" s="20" t="n">
        <v>46187</v>
      </c>
      <c r="D77" s="3" t="inlineStr">
        <is>
          <t>النظام الجديد</t>
        </is>
      </c>
      <c r="E77" s="3" t="inlineStr">
        <is>
          <t>SF124</t>
        </is>
      </c>
      <c r="F77" s="3" t="inlineStr">
        <is>
          <t>زهور زينيا سنجل مركن 9 سم أحمر</t>
        </is>
      </c>
      <c r="G77" s="3" t="n">
        <v>500</v>
      </c>
      <c r="H77" s="3" t="inlineStr">
        <is>
          <t>EA</t>
        </is>
      </c>
      <c r="I77" s="4" t="n">
        <v>0.55</v>
      </c>
      <c r="J77" s="4" t="n">
        <v>275</v>
      </c>
    </row>
    <row r="78">
      <c r="A78" s="3" t="inlineStr">
        <is>
          <t>RNP</t>
        </is>
      </c>
      <c r="B78" s="3" t="inlineStr">
        <is>
          <t>ISV-0010</t>
        </is>
      </c>
      <c r="C78" s="20" t="n">
        <v>46187</v>
      </c>
      <c r="D78" s="3" t="inlineStr">
        <is>
          <t>النظام الجديد</t>
        </is>
      </c>
      <c r="E78" s="3" t="inlineStr">
        <is>
          <t>SF108</t>
        </is>
      </c>
      <c r="F78" s="3" t="inlineStr">
        <is>
          <t>فينكا روزا مركن 9 سم أوركيد عميق</t>
        </is>
      </c>
      <c r="G78" s="3" t="n">
        <v>2500</v>
      </c>
      <c r="H78" s="3" t="inlineStr">
        <is>
          <t>EA</t>
        </is>
      </c>
      <c r="I78" s="4" t="n">
        <v>0.55</v>
      </c>
      <c r="J78" s="4" t="n">
        <v>1375</v>
      </c>
    </row>
    <row r="79">
      <c r="A79" s="3" t="inlineStr">
        <is>
          <t>RNP</t>
        </is>
      </c>
      <c r="B79" s="3" t="inlineStr">
        <is>
          <t>ISV-0010</t>
        </is>
      </c>
      <c r="C79" s="20" t="n">
        <v>46187</v>
      </c>
      <c r="D79" s="3" t="inlineStr">
        <is>
          <t>النظام الجديد</t>
        </is>
      </c>
      <c r="E79" s="3" t="inlineStr">
        <is>
          <t>SF102</t>
        </is>
      </c>
      <c r="F79" s="3" t="inlineStr">
        <is>
          <t>فينكا روزا مركن 9 سم مشمشي</t>
        </is>
      </c>
      <c r="G79" s="3" t="n">
        <v>1000</v>
      </c>
      <c r="H79" s="3" t="inlineStr">
        <is>
          <t>EA</t>
        </is>
      </c>
      <c r="I79" s="4" t="n">
        <v>0.55</v>
      </c>
      <c r="J79" s="4" t="n">
        <v>550</v>
      </c>
    </row>
    <row r="80">
      <c r="A80" s="3" t="inlineStr">
        <is>
          <t>RNP</t>
        </is>
      </c>
      <c r="B80" s="3" t="inlineStr">
        <is>
          <t>ISV-0010</t>
        </is>
      </c>
      <c r="C80" s="20" t="n">
        <v>46187</v>
      </c>
      <c r="D80" s="3" t="inlineStr">
        <is>
          <t>النظام الجديد</t>
        </is>
      </c>
      <c r="E80" s="3" t="inlineStr">
        <is>
          <t>OD462</t>
        </is>
      </c>
      <c r="F80" s="3" t="inlineStr">
        <is>
          <t>رويليا</t>
        </is>
      </c>
      <c r="G80" s="3" t="n">
        <v>94</v>
      </c>
      <c r="H80" s="3" t="inlineStr">
        <is>
          <t>EA</t>
        </is>
      </c>
      <c r="I80" s="4" t="n">
        <v>2.5</v>
      </c>
      <c r="J80" s="4" t="n">
        <v>235</v>
      </c>
    </row>
    <row r="81">
      <c r="A81" s="3" t="inlineStr">
        <is>
          <t>RNP</t>
        </is>
      </c>
      <c r="B81" s="3" t="inlineStr">
        <is>
          <t>ISV-0010</t>
        </is>
      </c>
      <c r="C81" s="20" t="n">
        <v>46187</v>
      </c>
      <c r="D81" s="3" t="inlineStr">
        <is>
          <t>النظام الجديد</t>
        </is>
      </c>
      <c r="E81" s="3" t="inlineStr">
        <is>
          <t>OD371</t>
        </is>
      </c>
      <c r="F81" s="3" t="inlineStr">
        <is>
          <t>اكاسيا جلوكا 1-2 متر</t>
        </is>
      </c>
      <c r="G81" s="3" t="n">
        <v>6</v>
      </c>
      <c r="H81" s="3" t="inlineStr">
        <is>
          <t>EA</t>
        </is>
      </c>
      <c r="I81" s="4" t="n">
        <v>25.5</v>
      </c>
      <c r="J81" s="4" t="n">
        <v>153</v>
      </c>
    </row>
    <row r="82">
      <c r="A82" s="3" t="inlineStr">
        <is>
          <t>RNP</t>
        </is>
      </c>
      <c r="B82" s="3" t="inlineStr">
        <is>
          <t>ISV-0010</t>
        </is>
      </c>
      <c r="C82" s="20" t="n">
        <v>46187</v>
      </c>
      <c r="D82" s="3" t="inlineStr">
        <is>
          <t>النظام الجديد</t>
        </is>
      </c>
      <c r="E82" s="3" t="inlineStr">
        <is>
          <t>OD630</t>
        </is>
      </c>
      <c r="F82" s="3" t="inlineStr">
        <is>
          <t>كف مريم 1.5 : 2 م</t>
        </is>
      </c>
      <c r="G82" s="3" t="n">
        <v>6</v>
      </c>
      <c r="H82" s="3" t="inlineStr">
        <is>
          <t>EA</t>
        </is>
      </c>
      <c r="I82" s="4" t="n">
        <v>5.5</v>
      </c>
      <c r="J82" s="4" t="n">
        <v>33</v>
      </c>
    </row>
    <row r="83">
      <c r="A83" s="5" t="inlineStr"/>
      <c r="B83" s="5" t="inlineStr">
        <is>
          <t>إجمالي ISV-0010</t>
        </is>
      </c>
      <c r="C83" s="5" t="inlineStr"/>
      <c r="D83" s="5" t="inlineStr"/>
      <c r="E83" s="5" t="inlineStr"/>
      <c r="F83" s="5" t="inlineStr"/>
      <c r="G83" s="5">
        <f>SUM(G73:G82)</f>
        <v/>
      </c>
      <c r="H83" s="5" t="inlineStr"/>
      <c r="I83" s="5" t="inlineStr"/>
      <c r="J83" s="6">
        <f>SUM(J73:J82)</f>
        <v/>
      </c>
    </row>
    <row r="84">
      <c r="A84" s="3" t="inlineStr">
        <is>
          <t>RNP</t>
        </is>
      </c>
      <c r="B84" s="3" t="inlineStr">
        <is>
          <t>ISV-0011</t>
        </is>
      </c>
      <c r="C84" s="20" t="n">
        <v>46187</v>
      </c>
      <c r="D84" s="3" t="inlineStr">
        <is>
          <t>النظام الجديد</t>
        </is>
      </c>
      <c r="E84" s="3" t="inlineStr">
        <is>
          <t>SF131</t>
        </is>
      </c>
      <c r="F84" s="3" t="inlineStr">
        <is>
          <t>زهور زينيا سنجل مركن 9 سم أحمر وأصفر ثنائي</t>
        </is>
      </c>
      <c r="G84" s="3" t="n">
        <v>2000</v>
      </c>
      <c r="H84" s="3" t="inlineStr">
        <is>
          <t>EA</t>
        </is>
      </c>
      <c r="I84" s="4" t="n">
        <v>0.55</v>
      </c>
      <c r="J84" s="4" t="n">
        <v>1100</v>
      </c>
    </row>
    <row r="85">
      <c r="A85" s="5" t="inlineStr"/>
      <c r="B85" s="5" t="inlineStr">
        <is>
          <t>إجمالي ISV-0011</t>
        </is>
      </c>
      <c r="C85" s="5" t="inlineStr"/>
      <c r="D85" s="5" t="inlineStr"/>
      <c r="E85" s="5" t="inlineStr"/>
      <c r="F85" s="5" t="inlineStr"/>
      <c r="G85" s="5">
        <f>SUM(G84:G84)</f>
        <v/>
      </c>
      <c r="H85" s="5" t="inlineStr"/>
      <c r="I85" s="5" t="inlineStr"/>
      <c r="J85" s="6">
        <f>SUM(J84:J84)</f>
        <v/>
      </c>
    </row>
    <row r="86">
      <c r="A86" s="3" t="inlineStr">
        <is>
          <t>RNP</t>
        </is>
      </c>
      <c r="B86" s="3" t="inlineStr">
        <is>
          <t>ISV-0016</t>
        </is>
      </c>
      <c r="C86" s="20" t="n">
        <v>46190</v>
      </c>
      <c r="D86" s="3" t="inlineStr">
        <is>
          <t>النظام الجديد</t>
        </is>
      </c>
      <c r="E86" s="3" t="inlineStr">
        <is>
          <t>SF131</t>
        </is>
      </c>
      <c r="F86" s="3" t="inlineStr">
        <is>
          <t>زهور زينيا سنجل مركن 9 سم أحمر وأصفر ثنائي</t>
        </is>
      </c>
      <c r="G86" s="3" t="n">
        <v>1500</v>
      </c>
      <c r="H86" s="3" t="inlineStr">
        <is>
          <t>EA</t>
        </is>
      </c>
      <c r="I86" s="4" t="n">
        <v>0.55</v>
      </c>
      <c r="J86" s="4" t="n">
        <v>825</v>
      </c>
    </row>
    <row r="87">
      <c r="A87" s="5" t="inlineStr"/>
      <c r="B87" s="5" t="inlineStr">
        <is>
          <t>إجمالي ISV-0016</t>
        </is>
      </c>
      <c r="C87" s="5" t="inlineStr"/>
      <c r="D87" s="5" t="inlineStr"/>
      <c r="E87" s="5" t="inlineStr"/>
      <c r="F87" s="5" t="inlineStr"/>
      <c r="G87" s="5">
        <f>SUM(G86:G86)</f>
        <v/>
      </c>
      <c r="H87" s="5" t="inlineStr"/>
      <c r="I87" s="5" t="inlineStr"/>
      <c r="J87" s="6">
        <f>SUM(J86:J86)</f>
        <v/>
      </c>
    </row>
    <row r="88">
      <c r="A88" s="3" t="inlineStr">
        <is>
          <t>RNP</t>
        </is>
      </c>
      <c r="B88" s="3" t="inlineStr">
        <is>
          <t>ISV-0017</t>
        </is>
      </c>
      <c r="C88" s="20" t="n">
        <v>46190</v>
      </c>
      <c r="D88" s="3" t="inlineStr">
        <is>
          <t>النظام الجديد</t>
        </is>
      </c>
      <c r="E88" s="3" t="inlineStr">
        <is>
          <t>OD486</t>
        </is>
      </c>
      <c r="F88" s="3" t="inlineStr">
        <is>
          <t>جهنمية كروية تايلندى صغير</t>
        </is>
      </c>
      <c r="G88" s="3" t="n">
        <v>2</v>
      </c>
      <c r="H88" s="3" t="inlineStr">
        <is>
          <t>EA</t>
        </is>
      </c>
      <c r="I88" s="4" t="n">
        <v>231.5</v>
      </c>
      <c r="J88" s="4" t="n">
        <v>463</v>
      </c>
    </row>
    <row r="89">
      <c r="A89" s="5" t="inlineStr"/>
      <c r="B89" s="5" t="inlineStr">
        <is>
          <t>إجمالي ISV-0017</t>
        </is>
      </c>
      <c r="C89" s="5" t="inlineStr"/>
      <c r="D89" s="5" t="inlineStr"/>
      <c r="E89" s="5" t="inlineStr"/>
      <c r="F89" s="5" t="inlineStr"/>
      <c r="G89" s="5">
        <f>SUM(G88:G88)</f>
        <v/>
      </c>
      <c r="H89" s="5" t="inlineStr"/>
      <c r="I89" s="5" t="inlineStr"/>
      <c r="J89" s="6">
        <f>SUM(J88:J88)</f>
        <v/>
      </c>
    </row>
    <row r="90">
      <c r="A90" s="3" t="inlineStr">
        <is>
          <t>RNP</t>
        </is>
      </c>
      <c r="B90" s="3" t="inlineStr">
        <is>
          <t>ISV-0026</t>
        </is>
      </c>
      <c r="C90" s="20" t="n">
        <v>46195</v>
      </c>
      <c r="D90" s="3" t="inlineStr">
        <is>
          <t>النظام الجديد</t>
        </is>
      </c>
      <c r="E90" s="3" t="inlineStr">
        <is>
          <t>OD371</t>
        </is>
      </c>
      <c r="F90" s="3" t="inlineStr">
        <is>
          <t>اكاسيا جلوكا 1-2 متر</t>
        </is>
      </c>
      <c r="G90" s="3" t="n">
        <v>150</v>
      </c>
      <c r="H90" s="3" t="inlineStr">
        <is>
          <t>EA</t>
        </is>
      </c>
      <c r="I90" s="4" t="n">
        <v>25.5</v>
      </c>
      <c r="J90" s="4" t="n">
        <v>3825</v>
      </c>
    </row>
    <row r="91">
      <c r="A91" s="5" t="inlineStr"/>
      <c r="B91" s="5" t="inlineStr">
        <is>
          <t>إجمالي ISV-0026</t>
        </is>
      </c>
      <c r="C91" s="5" t="inlineStr"/>
      <c r="D91" s="5" t="inlineStr"/>
      <c r="E91" s="5" t="inlineStr"/>
      <c r="F91" s="5" t="inlineStr"/>
      <c r="G91" s="5">
        <f>SUM(G90:G90)</f>
        <v/>
      </c>
      <c r="H91" s="5" t="inlineStr"/>
      <c r="I91" s="5" t="inlineStr"/>
      <c r="J91" s="6">
        <f>SUM(J90:J90)</f>
        <v/>
      </c>
    </row>
    <row r="92">
      <c r="A92" s="3" t="inlineStr">
        <is>
          <t>RNP</t>
        </is>
      </c>
      <c r="B92" s="3" t="inlineStr">
        <is>
          <t>ISV-0038</t>
        </is>
      </c>
      <c r="C92" s="20" t="n">
        <v>46197</v>
      </c>
      <c r="D92" s="3" t="inlineStr">
        <is>
          <t>النظام الجديد</t>
        </is>
      </c>
      <c r="E92" s="3" t="inlineStr">
        <is>
          <t>OD487</t>
        </is>
      </c>
      <c r="F92" s="3" t="inlineStr">
        <is>
          <t>جهنمية كروية تايلندى كبير</t>
        </is>
      </c>
      <c r="G92" s="3" t="n">
        <v>5</v>
      </c>
      <c r="H92" s="3" t="inlineStr">
        <is>
          <t>EA</t>
        </is>
      </c>
      <c r="I92" s="4" t="n">
        <v>262.5</v>
      </c>
      <c r="J92" s="4" t="n">
        <v>1312.5</v>
      </c>
    </row>
    <row r="93">
      <c r="A93" s="5" t="inlineStr"/>
      <c r="B93" s="5" t="inlineStr">
        <is>
          <t>إجمالي ISV-0038</t>
        </is>
      </c>
      <c r="C93" s="5" t="inlineStr"/>
      <c r="D93" s="5" t="inlineStr"/>
      <c r="E93" s="5" t="inlineStr"/>
      <c r="F93" s="5" t="inlineStr"/>
      <c r="G93" s="5">
        <f>SUM(G92:G92)</f>
        <v/>
      </c>
      <c r="H93" s="5" t="inlineStr"/>
      <c r="I93" s="5" t="inlineStr"/>
      <c r="J93" s="6">
        <f>SUM(J92:J92)</f>
        <v/>
      </c>
    </row>
    <row r="94">
      <c r="A94" s="3" t="inlineStr">
        <is>
          <t>RNP</t>
        </is>
      </c>
      <c r="B94" s="3" t="inlineStr">
        <is>
          <t>ISV-0048</t>
        </is>
      </c>
      <c r="C94" s="20" t="n">
        <v>46200</v>
      </c>
      <c r="D94" s="3" t="inlineStr">
        <is>
          <t>النظام الجديد</t>
        </is>
      </c>
      <c r="E94" s="3" t="inlineStr">
        <is>
          <t>SF98</t>
        </is>
      </c>
      <c r="F94" s="3" t="inlineStr">
        <is>
          <t>فينكا روزا مركن 9 سم أحمر</t>
        </is>
      </c>
      <c r="G94" s="3" t="n">
        <v>4000</v>
      </c>
      <c r="H94" s="3" t="inlineStr">
        <is>
          <t>EA</t>
        </is>
      </c>
      <c r="I94" s="4" t="n">
        <v>0.55</v>
      </c>
      <c r="J94" s="4" t="n">
        <v>2200</v>
      </c>
    </row>
    <row r="95">
      <c r="A95" s="3" t="inlineStr">
        <is>
          <t>RNP</t>
        </is>
      </c>
      <c r="B95" s="3" t="inlineStr">
        <is>
          <t>ISV-0048</t>
        </is>
      </c>
      <c r="C95" s="20" t="n">
        <v>46200</v>
      </c>
      <c r="D95" s="3" t="inlineStr">
        <is>
          <t>النظام الجديد</t>
        </is>
      </c>
      <c r="E95" s="3" t="inlineStr">
        <is>
          <t>SF97</t>
        </is>
      </c>
      <c r="F95" s="3" t="inlineStr">
        <is>
          <t>فينكا روزا مركن 9 سم أبيض</t>
        </is>
      </c>
      <c r="G95" s="3" t="n">
        <v>4000</v>
      </c>
      <c r="H95" s="3" t="inlineStr">
        <is>
          <t>EA</t>
        </is>
      </c>
      <c r="I95" s="4" t="n">
        <v>0.55</v>
      </c>
      <c r="J95" s="4" t="n">
        <v>2200</v>
      </c>
    </row>
    <row r="96">
      <c r="A96" s="5" t="inlineStr"/>
      <c r="B96" s="5" t="inlineStr">
        <is>
          <t>إجمالي ISV-0048</t>
        </is>
      </c>
      <c r="C96" s="5" t="inlineStr"/>
      <c r="D96" s="5" t="inlineStr"/>
      <c r="E96" s="5" t="inlineStr"/>
      <c r="F96" s="5" t="inlineStr"/>
      <c r="G96" s="5">
        <f>SUM(G94:G95)</f>
        <v/>
      </c>
      <c r="H96" s="5" t="inlineStr"/>
      <c r="I96" s="5" t="inlineStr"/>
      <c r="J96" s="6">
        <f>SUM(J94:J95)</f>
        <v/>
      </c>
    </row>
    <row r="97">
      <c r="A97" s="3" t="inlineStr">
        <is>
          <t>RNP</t>
        </is>
      </c>
      <c r="B97" s="3" t="inlineStr">
        <is>
          <t>ISV-0054</t>
        </is>
      </c>
      <c r="C97" s="20" t="n">
        <v>46201</v>
      </c>
      <c r="D97" s="3" t="inlineStr">
        <is>
          <t>النظام الجديد</t>
        </is>
      </c>
      <c r="E97" s="3" t="inlineStr">
        <is>
          <t>SF97</t>
        </is>
      </c>
      <c r="F97" s="3" t="inlineStr">
        <is>
          <t>فينكا روزا مركن 9 سم أبيض</t>
        </is>
      </c>
      <c r="G97" s="3" t="n">
        <v>15000</v>
      </c>
      <c r="H97" s="3" t="inlineStr">
        <is>
          <t>EA</t>
        </is>
      </c>
      <c r="I97" s="4" t="n">
        <v>0.55</v>
      </c>
      <c r="J97" s="4" t="n">
        <v>8250</v>
      </c>
    </row>
    <row r="98">
      <c r="A98" s="3" t="inlineStr">
        <is>
          <t>RNP</t>
        </is>
      </c>
      <c r="B98" s="3" t="inlineStr">
        <is>
          <t>ISV-0054</t>
        </is>
      </c>
      <c r="C98" s="20" t="n">
        <v>46201</v>
      </c>
      <c r="D98" s="3" t="inlineStr">
        <is>
          <t>النظام الجديد</t>
        </is>
      </c>
      <c r="E98" s="3" t="inlineStr">
        <is>
          <t>SF108</t>
        </is>
      </c>
      <c r="F98" s="3" t="inlineStr">
        <is>
          <t>فينكا روزا مركن 9 سم أوركيد عميق</t>
        </is>
      </c>
      <c r="G98" s="3" t="n">
        <v>15000</v>
      </c>
      <c r="H98" s="3" t="inlineStr">
        <is>
          <t>EA</t>
        </is>
      </c>
      <c r="I98" s="4" t="n">
        <v>0.55</v>
      </c>
      <c r="J98" s="4" t="n">
        <v>8250</v>
      </c>
    </row>
    <row r="99">
      <c r="A99" s="3" t="inlineStr">
        <is>
          <t>RNP</t>
        </is>
      </c>
      <c r="B99" s="3" t="inlineStr">
        <is>
          <t>ISV-0054</t>
        </is>
      </c>
      <c r="C99" s="20" t="n">
        <v>46201</v>
      </c>
      <c r="D99" s="3" t="inlineStr">
        <is>
          <t>النظام الجديد</t>
        </is>
      </c>
      <c r="E99" s="3" t="inlineStr">
        <is>
          <t>SF105</t>
        </is>
      </c>
      <c r="F99" s="3" t="inlineStr">
        <is>
          <t>فينكا روزا مركن 9 سم برغندي</t>
        </is>
      </c>
      <c r="G99" s="3" t="n">
        <v>5500</v>
      </c>
      <c r="H99" s="3" t="inlineStr">
        <is>
          <t>EA</t>
        </is>
      </c>
      <c r="I99" s="4" t="n">
        <v>0.55</v>
      </c>
      <c r="J99" s="4" t="n">
        <v>3025</v>
      </c>
    </row>
    <row r="100">
      <c r="A100" s="5" t="inlineStr"/>
      <c r="B100" s="5" t="inlineStr">
        <is>
          <t>إجمالي ISV-0054</t>
        </is>
      </c>
      <c r="C100" s="5" t="inlineStr"/>
      <c r="D100" s="5" t="inlineStr"/>
      <c r="E100" s="5" t="inlineStr"/>
      <c r="F100" s="5" t="inlineStr"/>
      <c r="G100" s="5">
        <f>SUM(G97:G99)</f>
        <v/>
      </c>
      <c r="H100" s="5" t="inlineStr"/>
      <c r="I100" s="5" t="inlineStr"/>
      <c r="J100" s="6">
        <f>SUM(J97:J99)</f>
        <v/>
      </c>
    </row>
    <row r="101">
      <c r="A101" s="3" t="inlineStr">
        <is>
          <t>RNP</t>
        </is>
      </c>
      <c r="B101" s="3" t="inlineStr">
        <is>
          <t>ISV-0066</t>
        </is>
      </c>
      <c r="C101" s="20" t="n">
        <v>46203</v>
      </c>
      <c r="D101" s="3" t="inlineStr">
        <is>
          <t>النظام الجديد</t>
        </is>
      </c>
      <c r="E101" s="3" t="inlineStr">
        <is>
          <t>SF100</t>
        </is>
      </c>
      <c r="F101" s="3" t="inlineStr">
        <is>
          <t>فينكا روزا مركن 9 سم أبيض نقطة حمراء</t>
        </is>
      </c>
      <c r="G101" s="3" t="n">
        <v>21500</v>
      </c>
      <c r="H101" s="3" t="inlineStr">
        <is>
          <t>EA</t>
        </is>
      </c>
      <c r="I101" s="4" t="n">
        <v>0.55</v>
      </c>
      <c r="J101" s="4" t="n">
        <v>11825</v>
      </c>
    </row>
    <row r="102">
      <c r="A102" s="3" t="inlineStr">
        <is>
          <t>RNP</t>
        </is>
      </c>
      <c r="B102" s="3" t="inlineStr">
        <is>
          <t>ISV-0066</t>
        </is>
      </c>
      <c r="C102" s="20" t="n">
        <v>46203</v>
      </c>
      <c r="D102" s="3" t="inlineStr">
        <is>
          <t>النظام الجديد</t>
        </is>
      </c>
      <c r="E102" s="3" t="inlineStr">
        <is>
          <t>SF98</t>
        </is>
      </c>
      <c r="F102" s="3" t="inlineStr">
        <is>
          <t>فينكا روزا مركن 9 سم أحمر</t>
        </is>
      </c>
      <c r="G102" s="3" t="n">
        <v>18500</v>
      </c>
      <c r="H102" s="3" t="inlineStr">
        <is>
          <t>EA</t>
        </is>
      </c>
      <c r="I102" s="4" t="n">
        <v>0.55</v>
      </c>
      <c r="J102" s="4" t="n">
        <v>10175</v>
      </c>
    </row>
    <row r="103">
      <c r="A103" s="5" t="inlineStr"/>
      <c r="B103" s="5" t="inlineStr">
        <is>
          <t>إجمالي ISV-0066</t>
        </is>
      </c>
      <c r="C103" s="5" t="inlineStr"/>
      <c r="D103" s="5" t="inlineStr"/>
      <c r="E103" s="5" t="inlineStr"/>
      <c r="F103" s="5" t="inlineStr"/>
      <c r="G103" s="5">
        <f>SUM(G101:G102)</f>
        <v/>
      </c>
      <c r="H103" s="5" t="inlineStr"/>
      <c r="I103" s="5" t="inlineStr"/>
      <c r="J103" s="6">
        <f>SUM(J101:J102)</f>
        <v/>
      </c>
    </row>
    <row r="104">
      <c r="A104" s="3" t="inlineStr">
        <is>
          <t>RNP</t>
        </is>
      </c>
      <c r="B104" s="3" t="inlineStr">
        <is>
          <t>ISV-0073</t>
        </is>
      </c>
      <c r="C104" s="20" t="n">
        <v>46205</v>
      </c>
      <c r="D104" s="3" t="inlineStr">
        <is>
          <t>النظام الجديد</t>
        </is>
      </c>
      <c r="E104" s="3" t="inlineStr">
        <is>
          <t>SF97</t>
        </is>
      </c>
      <c r="F104" s="3" t="inlineStr">
        <is>
          <t>فينكا روزا مركن 9 سم أبيض</t>
        </is>
      </c>
      <c r="G104" s="3" t="n">
        <v>6000</v>
      </c>
      <c r="H104" s="3" t="inlineStr">
        <is>
          <t>EA</t>
        </is>
      </c>
      <c r="I104" s="4" t="n">
        <v>0.55</v>
      </c>
      <c r="J104" s="4" t="n">
        <v>3300</v>
      </c>
    </row>
    <row r="105">
      <c r="A105" s="3" t="inlineStr">
        <is>
          <t>RNP</t>
        </is>
      </c>
      <c r="B105" s="3" t="inlineStr">
        <is>
          <t>ISV-0073</t>
        </is>
      </c>
      <c r="C105" s="20" t="n">
        <v>46205</v>
      </c>
      <c r="D105" s="3" t="inlineStr">
        <is>
          <t>النظام الجديد</t>
        </is>
      </c>
      <c r="E105" s="3" t="inlineStr">
        <is>
          <t>SF98</t>
        </is>
      </c>
      <c r="F105" s="3" t="inlineStr">
        <is>
          <t>فينكا روزا مركن 9 سم أحمر</t>
        </is>
      </c>
      <c r="G105" s="3" t="n">
        <v>4000</v>
      </c>
      <c r="H105" s="3" t="inlineStr">
        <is>
          <t>EA</t>
        </is>
      </c>
      <c r="I105" s="4" t="n">
        <v>0.55</v>
      </c>
      <c r="J105" s="4" t="n">
        <v>2200</v>
      </c>
    </row>
    <row r="106">
      <c r="A106" s="5" t="inlineStr"/>
      <c r="B106" s="5" t="inlineStr">
        <is>
          <t>إجمالي ISV-0073</t>
        </is>
      </c>
      <c r="C106" s="5" t="inlineStr"/>
      <c r="D106" s="5" t="inlineStr"/>
      <c r="E106" s="5" t="inlineStr"/>
      <c r="F106" s="5" t="inlineStr"/>
      <c r="G106" s="5">
        <f>SUM(G104:G105)</f>
        <v/>
      </c>
      <c r="H106" s="5" t="inlineStr"/>
      <c r="I106" s="5" t="inlineStr"/>
      <c r="J106" s="6">
        <f>SUM(J104:J105)</f>
        <v/>
      </c>
    </row>
    <row r="107">
      <c r="A107" s="3" t="inlineStr">
        <is>
          <t>RNP</t>
        </is>
      </c>
      <c r="B107" s="3" t="inlineStr">
        <is>
          <t>ISV-0081</t>
        </is>
      </c>
      <c r="C107" s="20" t="n">
        <v>46209</v>
      </c>
      <c r="D107" s="3" t="inlineStr">
        <is>
          <t>النظام الجديد</t>
        </is>
      </c>
      <c r="E107" s="3" t="inlineStr">
        <is>
          <t>SF108</t>
        </is>
      </c>
      <c r="F107" s="3" t="inlineStr">
        <is>
          <t>فينكا روزا مركن 9 سم أوركيد عميق</t>
        </is>
      </c>
      <c r="G107" s="3" t="n">
        <v>400</v>
      </c>
      <c r="H107" s="3" t="inlineStr">
        <is>
          <t>EA</t>
        </is>
      </c>
      <c r="I107" s="4" t="n">
        <v>0.55</v>
      </c>
      <c r="J107" s="4" t="n">
        <v>220</v>
      </c>
    </row>
    <row r="108">
      <c r="A108" s="3" t="inlineStr">
        <is>
          <t>RNP</t>
        </is>
      </c>
      <c r="B108" s="3" t="inlineStr">
        <is>
          <t>ISV-0081</t>
        </is>
      </c>
      <c r="C108" s="20" t="n">
        <v>46209</v>
      </c>
      <c r="D108" s="3" t="inlineStr">
        <is>
          <t>النظام الجديد</t>
        </is>
      </c>
      <c r="E108" s="3" t="inlineStr">
        <is>
          <t>SF102</t>
        </is>
      </c>
      <c r="F108" s="3" t="inlineStr">
        <is>
          <t>فينكا روزا مركن 9 سم مشمشي</t>
        </is>
      </c>
      <c r="G108" s="3" t="n">
        <v>250</v>
      </c>
      <c r="H108" s="3" t="inlineStr">
        <is>
          <t>EA</t>
        </is>
      </c>
      <c r="I108" s="4" t="n">
        <v>0.55</v>
      </c>
      <c r="J108" s="4" t="n">
        <v>137.5</v>
      </c>
    </row>
    <row r="109">
      <c r="A109" s="3" t="inlineStr">
        <is>
          <t>RNP</t>
        </is>
      </c>
      <c r="B109" s="3" t="inlineStr">
        <is>
          <t>ISV-0081</t>
        </is>
      </c>
      <c r="C109" s="20" t="n">
        <v>46209</v>
      </c>
      <c r="D109" s="3" t="inlineStr">
        <is>
          <t>النظام الجديد</t>
        </is>
      </c>
      <c r="E109" s="3" t="inlineStr">
        <is>
          <t>SF106</t>
        </is>
      </c>
      <c r="F109" s="3" t="inlineStr">
        <is>
          <t>فينكا روزا مركن 9 سم برغندي هالو</t>
        </is>
      </c>
      <c r="G109" s="3" t="n">
        <v>250</v>
      </c>
      <c r="H109" s="3" t="inlineStr">
        <is>
          <t>EA</t>
        </is>
      </c>
      <c r="I109" s="4" t="n">
        <v>0.55</v>
      </c>
      <c r="J109" s="4" t="n">
        <v>137.5</v>
      </c>
    </row>
    <row r="110">
      <c r="A110" s="3" t="inlineStr">
        <is>
          <t>RNP</t>
        </is>
      </c>
      <c r="B110" s="3" t="inlineStr">
        <is>
          <t>ISV-0081</t>
        </is>
      </c>
      <c r="C110" s="20" t="n">
        <v>46209</v>
      </c>
      <c r="D110" s="3" t="inlineStr">
        <is>
          <t>النظام الجديد</t>
        </is>
      </c>
      <c r="E110" s="3" t="inlineStr">
        <is>
          <t>SF100</t>
        </is>
      </c>
      <c r="F110" s="3" t="inlineStr">
        <is>
          <t>فينكا روزا مركن 9 سم أبيض نقطة حمراء</t>
        </is>
      </c>
      <c r="G110" s="3" t="n">
        <v>200</v>
      </c>
      <c r="H110" s="3" t="inlineStr">
        <is>
          <t>EA</t>
        </is>
      </c>
      <c r="I110" s="4" t="n">
        <v>0.55</v>
      </c>
      <c r="J110" s="4" t="n">
        <v>110</v>
      </c>
    </row>
    <row r="111">
      <c r="A111" s="3" t="inlineStr">
        <is>
          <t>RNP</t>
        </is>
      </c>
      <c r="B111" s="3" t="inlineStr">
        <is>
          <t>ISV-0081</t>
        </is>
      </c>
      <c r="C111" s="20" t="n">
        <v>46209</v>
      </c>
      <c r="D111" s="3" t="inlineStr">
        <is>
          <t>النظام الجديد</t>
        </is>
      </c>
      <c r="E111" s="3" t="inlineStr">
        <is>
          <t>SF99</t>
        </is>
      </c>
      <c r="F111" s="3" t="inlineStr">
        <is>
          <t>فينكا روزا مركن 9 سم أحمر نقطة بيضاء</t>
        </is>
      </c>
      <c r="G111" s="3" t="n">
        <v>200</v>
      </c>
      <c r="H111" s="3" t="inlineStr">
        <is>
          <t>EA</t>
        </is>
      </c>
      <c r="I111" s="4" t="n">
        <v>0.55</v>
      </c>
      <c r="J111" s="4" t="n">
        <v>110</v>
      </c>
    </row>
    <row r="112">
      <c r="A112" s="3" t="inlineStr">
        <is>
          <t>RNP</t>
        </is>
      </c>
      <c r="B112" s="3" t="inlineStr">
        <is>
          <t>ISV-0081</t>
        </is>
      </c>
      <c r="C112" s="20" t="n">
        <v>46209</v>
      </c>
      <c r="D112" s="3" t="inlineStr">
        <is>
          <t>النظام الجديد</t>
        </is>
      </c>
      <c r="E112" s="3" t="inlineStr">
        <is>
          <t>OD454</t>
        </is>
      </c>
      <c r="F112" s="3" t="inlineStr">
        <is>
          <t>تيكوماريا 50 سم</t>
        </is>
      </c>
      <c r="G112" s="3" t="n">
        <v>250</v>
      </c>
      <c r="H112" s="3" t="inlineStr">
        <is>
          <t>EA</t>
        </is>
      </c>
      <c r="I112" s="4" t="n">
        <v>2.5</v>
      </c>
      <c r="J112" s="4" t="n">
        <v>625</v>
      </c>
    </row>
    <row r="113">
      <c r="A113" s="3" t="inlineStr">
        <is>
          <t>RNP</t>
        </is>
      </c>
      <c r="B113" s="3" t="inlineStr">
        <is>
          <t>ISV-0081</t>
        </is>
      </c>
      <c r="C113" s="20" t="n">
        <v>46209</v>
      </c>
      <c r="D113" s="3" t="inlineStr">
        <is>
          <t>النظام الجديد</t>
        </is>
      </c>
      <c r="E113" s="3" t="inlineStr">
        <is>
          <t>ID1501</t>
        </is>
      </c>
      <c r="F113" s="3" t="inlineStr">
        <is>
          <t>ترادسكانتيا ان اس مركن 19 سم علاقى</t>
        </is>
      </c>
      <c r="G113" s="3" t="n">
        <v>25</v>
      </c>
      <c r="H113" s="3" t="inlineStr">
        <is>
          <t>EA</t>
        </is>
      </c>
      <c r="I113" s="4" t="n">
        <v>9.5</v>
      </c>
      <c r="J113" s="4" t="n">
        <v>237.5</v>
      </c>
    </row>
    <row r="114">
      <c r="A114" s="3" t="inlineStr">
        <is>
          <t>RNP</t>
        </is>
      </c>
      <c r="B114" s="3" t="inlineStr">
        <is>
          <t>ISV-0081</t>
        </is>
      </c>
      <c r="C114" s="20" t="n">
        <v>46209</v>
      </c>
      <c r="D114" s="3" t="inlineStr">
        <is>
          <t>النظام الجديد</t>
        </is>
      </c>
      <c r="E114" s="3" t="inlineStr">
        <is>
          <t>OD501</t>
        </is>
      </c>
      <c r="F114" s="3" t="inlineStr">
        <is>
          <t>نخيل سايكس 40 سم</t>
        </is>
      </c>
      <c r="G114" s="3" t="n">
        <v>3</v>
      </c>
      <c r="H114" s="3" t="inlineStr">
        <is>
          <t>EA</t>
        </is>
      </c>
      <c r="I114" s="4" t="n">
        <v>397</v>
      </c>
      <c r="J114" s="4" t="n">
        <v>1191</v>
      </c>
    </row>
    <row r="115">
      <c r="A115" s="5" t="inlineStr"/>
      <c r="B115" s="5" t="inlineStr">
        <is>
          <t>إجمالي ISV-0081</t>
        </is>
      </c>
      <c r="C115" s="5" t="inlineStr"/>
      <c r="D115" s="5" t="inlineStr"/>
      <c r="E115" s="5" t="inlineStr"/>
      <c r="F115" s="5" t="inlineStr"/>
      <c r="G115" s="5">
        <f>SUM(G107:G114)</f>
        <v/>
      </c>
      <c r="H115" s="5" t="inlineStr"/>
      <c r="I115" s="5" t="inlineStr"/>
      <c r="J115" s="6">
        <f>SUM(J107:J114)</f>
        <v/>
      </c>
    </row>
    <row r="116">
      <c r="A116" s="3" t="inlineStr">
        <is>
          <t>RNP</t>
        </is>
      </c>
      <c r="B116" s="3" t="inlineStr">
        <is>
          <t>ISV-0090</t>
        </is>
      </c>
      <c r="C116" s="20" t="n">
        <v>46214</v>
      </c>
      <c r="D116" s="3" t="inlineStr">
        <is>
          <t>النظام الجديد</t>
        </is>
      </c>
      <c r="E116" s="3" t="inlineStr">
        <is>
          <t>SF98</t>
        </is>
      </c>
      <c r="F116" s="3" t="inlineStr">
        <is>
          <t>فينكا روزا مركن 9 سم أحمر</t>
        </is>
      </c>
      <c r="G116" s="3" t="n">
        <v>450</v>
      </c>
      <c r="H116" s="3" t="inlineStr">
        <is>
          <t>EA</t>
        </is>
      </c>
      <c r="I116" s="4" t="n">
        <v>0.55</v>
      </c>
      <c r="J116" s="4" t="n">
        <v>247.5</v>
      </c>
    </row>
    <row r="117">
      <c r="A117" s="3" t="inlineStr">
        <is>
          <t>RNP</t>
        </is>
      </c>
      <c r="B117" s="3" t="inlineStr">
        <is>
          <t>ISV-0090</t>
        </is>
      </c>
      <c r="C117" s="20" t="n">
        <v>46214</v>
      </c>
      <c r="D117" s="3" t="inlineStr">
        <is>
          <t>النظام الجديد</t>
        </is>
      </c>
      <c r="E117" s="3" t="inlineStr">
        <is>
          <t>SF105</t>
        </is>
      </c>
      <c r="F117" s="3" t="inlineStr">
        <is>
          <t>فينكا روزا مركن 9 سم برغندي</t>
        </is>
      </c>
      <c r="G117" s="3" t="n">
        <v>450</v>
      </c>
      <c r="H117" s="3" t="inlineStr">
        <is>
          <t>EA</t>
        </is>
      </c>
      <c r="I117" s="4" t="n">
        <v>0.55</v>
      </c>
      <c r="J117" s="4" t="n">
        <v>247.5</v>
      </c>
    </row>
    <row r="118">
      <c r="A118" s="3" t="inlineStr">
        <is>
          <t>RNP</t>
        </is>
      </c>
      <c r="B118" s="3" t="inlineStr">
        <is>
          <t>ISV-0090</t>
        </is>
      </c>
      <c r="C118" s="20" t="n">
        <v>46214</v>
      </c>
      <c r="D118" s="3" t="inlineStr">
        <is>
          <t>النظام الجديد</t>
        </is>
      </c>
      <c r="E118" s="3" t="inlineStr">
        <is>
          <t>SF108</t>
        </is>
      </c>
      <c r="F118" s="3" t="inlineStr">
        <is>
          <t>فينكا روزا مركن 9 سم أوركيد عميق</t>
        </is>
      </c>
      <c r="G118" s="3" t="n">
        <v>450</v>
      </c>
      <c r="H118" s="3" t="inlineStr">
        <is>
          <t>EA</t>
        </is>
      </c>
      <c r="I118" s="4" t="n">
        <v>0.55</v>
      </c>
      <c r="J118" s="4" t="n">
        <v>247.5</v>
      </c>
    </row>
    <row r="119">
      <c r="A119" s="3" t="inlineStr">
        <is>
          <t>RNP</t>
        </is>
      </c>
      <c r="B119" s="3" t="inlineStr">
        <is>
          <t>ISV-0090</t>
        </is>
      </c>
      <c r="C119" s="20" t="n">
        <v>46214</v>
      </c>
      <c r="D119" s="3" t="inlineStr">
        <is>
          <t>النظام الجديد</t>
        </is>
      </c>
      <c r="E119" s="3" t="inlineStr">
        <is>
          <t>SF102</t>
        </is>
      </c>
      <c r="F119" s="3" t="inlineStr">
        <is>
          <t>فينكا روزا مركن 9 سم مشمشي</t>
        </is>
      </c>
      <c r="G119" s="3" t="n">
        <v>450</v>
      </c>
      <c r="H119" s="3" t="inlineStr">
        <is>
          <t>EA</t>
        </is>
      </c>
      <c r="I119" s="4" t="n">
        <v>0.55</v>
      </c>
      <c r="J119" s="4" t="n">
        <v>247.5</v>
      </c>
    </row>
    <row r="120">
      <c r="A120" s="5" t="inlineStr"/>
      <c r="B120" s="5" t="inlineStr">
        <is>
          <t>إجمالي ISV-0090</t>
        </is>
      </c>
      <c r="C120" s="5" t="inlineStr"/>
      <c r="D120" s="5" t="inlineStr"/>
      <c r="E120" s="5" t="inlineStr"/>
      <c r="F120" s="5" t="inlineStr"/>
      <c r="G120" s="5">
        <f>SUM(G116:G119)</f>
        <v/>
      </c>
      <c r="H120" s="5" t="inlineStr"/>
      <c r="I120" s="5" t="inlineStr"/>
      <c r="J120" s="6">
        <f>SUM(J116:J119)</f>
        <v/>
      </c>
    </row>
    <row r="121">
      <c r="A121" s="3" t="inlineStr">
        <is>
          <t>RNP</t>
        </is>
      </c>
      <c r="B121" s="3" t="inlineStr">
        <is>
          <t>ISV-0091</t>
        </is>
      </c>
      <c r="C121" s="20" t="n">
        <v>46214</v>
      </c>
      <c r="D121" s="3" t="inlineStr">
        <is>
          <t>النظام الجديد</t>
        </is>
      </c>
      <c r="E121" s="3" t="inlineStr">
        <is>
          <t>SF98</t>
        </is>
      </c>
      <c r="F121" s="3" t="inlineStr">
        <is>
          <t>فينكا روزا مركن 9 سم أحمر</t>
        </is>
      </c>
      <c r="G121" s="3" t="n">
        <v>150</v>
      </c>
      <c r="H121" s="3" t="inlineStr">
        <is>
          <t>EA</t>
        </is>
      </c>
      <c r="I121" s="4" t="n">
        <v>0.55</v>
      </c>
      <c r="J121" s="4" t="n">
        <v>82.5</v>
      </c>
    </row>
    <row r="122">
      <c r="A122" s="3" t="inlineStr">
        <is>
          <t>RNP</t>
        </is>
      </c>
      <c r="B122" s="3" t="inlineStr">
        <is>
          <t>ISV-0091</t>
        </is>
      </c>
      <c r="C122" s="20" t="n">
        <v>46214</v>
      </c>
      <c r="D122" s="3" t="inlineStr">
        <is>
          <t>النظام الجديد</t>
        </is>
      </c>
      <c r="E122" s="3" t="inlineStr">
        <is>
          <t>SF105</t>
        </is>
      </c>
      <c r="F122" s="3" t="inlineStr">
        <is>
          <t>فينكا روزا مركن 9 سم برغندي</t>
        </is>
      </c>
      <c r="G122" s="3" t="n">
        <v>150</v>
      </c>
      <c r="H122" s="3" t="inlineStr">
        <is>
          <t>EA</t>
        </is>
      </c>
      <c r="I122" s="4" t="n">
        <v>0.55</v>
      </c>
      <c r="J122" s="4" t="n">
        <v>82.5</v>
      </c>
    </row>
    <row r="123">
      <c r="A123" s="3" t="inlineStr">
        <is>
          <t>RNP</t>
        </is>
      </c>
      <c r="B123" s="3" t="inlineStr">
        <is>
          <t>ISV-0091</t>
        </is>
      </c>
      <c r="C123" s="20" t="n">
        <v>46214</v>
      </c>
      <c r="D123" s="3" t="inlineStr">
        <is>
          <t>النظام الجديد</t>
        </is>
      </c>
      <c r="E123" s="3" t="inlineStr">
        <is>
          <t>SF102</t>
        </is>
      </c>
      <c r="F123" s="3" t="inlineStr">
        <is>
          <t>فينكا روزا مركن 9 سم مشمشي</t>
        </is>
      </c>
      <c r="G123" s="3" t="n">
        <v>150</v>
      </c>
      <c r="H123" s="3" t="inlineStr">
        <is>
          <t>EA</t>
        </is>
      </c>
      <c r="I123" s="4" t="n">
        <v>0.55</v>
      </c>
      <c r="J123" s="4" t="n">
        <v>82.5</v>
      </c>
    </row>
    <row r="124">
      <c r="A124" s="3" t="inlineStr">
        <is>
          <t>RNP</t>
        </is>
      </c>
      <c r="B124" s="3" t="inlineStr">
        <is>
          <t>ISV-0091</t>
        </is>
      </c>
      <c r="C124" s="20" t="n">
        <v>46214</v>
      </c>
      <c r="D124" s="3" t="inlineStr">
        <is>
          <t>النظام الجديد</t>
        </is>
      </c>
      <c r="E124" s="3" t="inlineStr">
        <is>
          <t>SF108</t>
        </is>
      </c>
      <c r="F124" s="3" t="inlineStr">
        <is>
          <t>فينكا روزا مركن 9 سم أوركيد عميق</t>
        </is>
      </c>
      <c r="G124" s="3" t="n">
        <v>150</v>
      </c>
      <c r="H124" s="3" t="inlineStr">
        <is>
          <t>EA</t>
        </is>
      </c>
      <c r="I124" s="4" t="n">
        <v>0.55</v>
      </c>
      <c r="J124" s="4" t="n">
        <v>82.5</v>
      </c>
    </row>
    <row r="125">
      <c r="A125" s="5" t="inlineStr"/>
      <c r="B125" s="5" t="inlineStr">
        <is>
          <t>إجمالي ISV-0091</t>
        </is>
      </c>
      <c r="C125" s="5" t="inlineStr"/>
      <c r="D125" s="5" t="inlineStr"/>
      <c r="E125" s="5" t="inlineStr"/>
      <c r="F125" s="5" t="inlineStr"/>
      <c r="G125" s="5">
        <f>SUM(G121:G124)</f>
        <v/>
      </c>
      <c r="H125" s="5" t="inlineStr"/>
      <c r="I125" s="5" t="inlineStr"/>
      <c r="J125" s="6">
        <f>SUM(J121:J124)</f>
        <v/>
      </c>
    </row>
    <row r="126">
      <c r="A126" s="3" t="inlineStr">
        <is>
          <t>RNP</t>
        </is>
      </c>
      <c r="B126" s="3" t="inlineStr">
        <is>
          <t>ISV-0092</t>
        </is>
      </c>
      <c r="C126" s="20" t="n">
        <v>46214</v>
      </c>
      <c r="D126" s="3" t="inlineStr">
        <is>
          <t>النظام الجديد</t>
        </is>
      </c>
      <c r="E126" s="3" t="inlineStr">
        <is>
          <t>SF100</t>
        </is>
      </c>
      <c r="F126" s="3" t="inlineStr">
        <is>
          <t>فينكا روزا مركن 9 سم أبيض نقطة حمراء</t>
        </is>
      </c>
      <c r="G126" s="3" t="n">
        <v>1500</v>
      </c>
      <c r="H126" s="3" t="inlineStr">
        <is>
          <t>EA</t>
        </is>
      </c>
      <c r="I126" s="4" t="n">
        <v>0.55</v>
      </c>
      <c r="J126" s="4" t="n">
        <v>825</v>
      </c>
    </row>
    <row r="127">
      <c r="A127" s="5" t="inlineStr"/>
      <c r="B127" s="5" t="inlineStr">
        <is>
          <t>إجمالي ISV-0092</t>
        </is>
      </c>
      <c r="C127" s="5" t="inlineStr"/>
      <c r="D127" s="5" t="inlineStr"/>
      <c r="E127" s="5" t="inlineStr"/>
      <c r="F127" s="5" t="inlineStr"/>
      <c r="G127" s="5">
        <f>SUM(G126:G126)</f>
        <v/>
      </c>
      <c r="H127" s="5" t="inlineStr"/>
      <c r="I127" s="5" t="inlineStr"/>
      <c r="J127" s="6">
        <f>SUM(J126:J126)</f>
        <v/>
      </c>
    </row>
    <row r="128">
      <c r="A128" s="3" t="inlineStr">
        <is>
          <t>RNP</t>
        </is>
      </c>
      <c r="B128" s="3" t="inlineStr">
        <is>
          <t>ISV-0127</t>
        </is>
      </c>
      <c r="C128" s="20" t="n">
        <v>46229</v>
      </c>
      <c r="D128" s="3" t="inlineStr">
        <is>
          <t>النظام الجديد</t>
        </is>
      </c>
      <c r="E128" s="3" t="inlineStr">
        <is>
          <t>SF100</t>
        </is>
      </c>
      <c r="F128" s="3" t="inlineStr">
        <is>
          <t>فينكا روزا مركن 9 سم أبيض نقطة حمراء</t>
        </is>
      </c>
      <c r="G128" s="3" t="n">
        <v>400</v>
      </c>
      <c r="H128" s="3" t="inlineStr">
        <is>
          <t>EA</t>
        </is>
      </c>
      <c r="I128" s="4" t="n">
        <v>0.55</v>
      </c>
      <c r="J128" s="4" t="n">
        <v>220</v>
      </c>
    </row>
    <row r="129">
      <c r="A129" s="3" t="inlineStr">
        <is>
          <t>RNP</t>
        </is>
      </c>
      <c r="B129" s="3" t="inlineStr">
        <is>
          <t>ISV-0127</t>
        </is>
      </c>
      <c r="C129" s="20" t="n">
        <v>46229</v>
      </c>
      <c r="D129" s="3" t="inlineStr">
        <is>
          <t>النظام الجديد</t>
        </is>
      </c>
      <c r="E129" s="3" t="inlineStr">
        <is>
          <t>SF105</t>
        </is>
      </c>
      <c r="F129" s="3" t="inlineStr">
        <is>
          <t>فينكا روزا مركن 9 سم برغندي</t>
        </is>
      </c>
      <c r="G129" s="3" t="n">
        <v>600</v>
      </c>
      <c r="H129" s="3" t="inlineStr">
        <is>
          <t>EA</t>
        </is>
      </c>
      <c r="I129" s="4" t="n">
        <v>0.55</v>
      </c>
      <c r="J129" s="4" t="n">
        <v>330</v>
      </c>
    </row>
    <row r="130">
      <c r="A130" s="3" t="inlineStr">
        <is>
          <t>RNP</t>
        </is>
      </c>
      <c r="B130" s="3" t="inlineStr">
        <is>
          <t>ISV-0127</t>
        </is>
      </c>
      <c r="C130" s="20" t="n">
        <v>46229</v>
      </c>
      <c r="D130" s="3" t="inlineStr">
        <is>
          <t>النظام الجديد</t>
        </is>
      </c>
      <c r="E130" s="3" t="inlineStr">
        <is>
          <t>SF108</t>
        </is>
      </c>
      <c r="F130" s="3" t="inlineStr">
        <is>
          <t>فينكا روزا مركن 9 سم أوركيد عميق</t>
        </is>
      </c>
      <c r="G130" s="3" t="n">
        <v>720</v>
      </c>
      <c r="H130" s="3" t="inlineStr">
        <is>
          <t>EA</t>
        </is>
      </c>
      <c r="I130" s="4" t="n">
        <v>0.55</v>
      </c>
      <c r="J130" s="4" t="n">
        <v>396</v>
      </c>
    </row>
    <row r="131">
      <c r="A131" s="3" t="inlineStr">
        <is>
          <t>RNP</t>
        </is>
      </c>
      <c r="B131" s="3" t="inlineStr">
        <is>
          <t>ISV-0127</t>
        </is>
      </c>
      <c r="C131" s="20" t="n">
        <v>46229</v>
      </c>
      <c r="D131" s="3" t="inlineStr">
        <is>
          <t>النظام الجديد</t>
        </is>
      </c>
      <c r="E131" s="3" t="inlineStr">
        <is>
          <t>SF99</t>
        </is>
      </c>
      <c r="F131" s="3" t="inlineStr">
        <is>
          <t>فينكا روزا مركن 9 سم أحمر نقطة بيضاء</t>
        </is>
      </c>
      <c r="G131" s="3" t="n">
        <v>500</v>
      </c>
      <c r="H131" s="3" t="inlineStr">
        <is>
          <t>EA</t>
        </is>
      </c>
      <c r="I131" s="4" t="n">
        <v>0.55</v>
      </c>
      <c r="J131" s="4" t="n">
        <v>275</v>
      </c>
    </row>
    <row r="132">
      <c r="A132" s="3" t="inlineStr">
        <is>
          <t>RNP</t>
        </is>
      </c>
      <c r="B132" s="3" t="inlineStr">
        <is>
          <t>ISV-0127</t>
        </is>
      </c>
      <c r="C132" s="20" t="n">
        <v>46229</v>
      </c>
      <c r="D132" s="3" t="inlineStr">
        <is>
          <t>النظام الجديد</t>
        </is>
      </c>
      <c r="E132" s="3" t="inlineStr">
        <is>
          <t>SF106</t>
        </is>
      </c>
      <c r="F132" s="3" t="inlineStr">
        <is>
          <t>فينكا روزا مركن 9 سم برغندي هالو</t>
        </is>
      </c>
      <c r="G132" s="3" t="n">
        <v>500</v>
      </c>
      <c r="H132" s="3" t="inlineStr">
        <is>
          <t>EA</t>
        </is>
      </c>
      <c r="I132" s="4" t="n">
        <v>0.55</v>
      </c>
      <c r="J132" s="4" t="n">
        <v>275</v>
      </c>
    </row>
    <row r="133">
      <c r="A133" s="5" t="inlineStr"/>
      <c r="B133" s="5" t="inlineStr">
        <is>
          <t>إجمالي ISV-0127</t>
        </is>
      </c>
      <c r="C133" s="5" t="inlineStr"/>
      <c r="D133" s="5" t="inlineStr"/>
      <c r="E133" s="5" t="inlineStr"/>
      <c r="F133" s="5" t="inlineStr"/>
      <c r="G133" s="5">
        <f>SUM(G128:G132)</f>
        <v/>
      </c>
      <c r="H133" s="5" t="inlineStr"/>
      <c r="I133" s="5" t="inlineStr"/>
      <c r="J133" s="6">
        <f>SUM(J128:J132)</f>
        <v/>
      </c>
    </row>
    <row r="134">
      <c r="A134" s="3" t="inlineStr">
        <is>
          <t>RNP</t>
        </is>
      </c>
      <c r="B134" s="3" t="inlineStr">
        <is>
          <t>ISV-0128</t>
        </is>
      </c>
      <c r="C134" s="20" t="n">
        <v>46229</v>
      </c>
      <c r="D134" s="3" t="inlineStr">
        <is>
          <t>النظام الجديد</t>
        </is>
      </c>
      <c r="E134" s="3" t="inlineStr">
        <is>
          <t>SF100</t>
        </is>
      </c>
      <c r="F134" s="3" t="inlineStr">
        <is>
          <t>فينكا روزا مركن 9 سم أبيض نقطة حمراء</t>
        </is>
      </c>
      <c r="G134" s="3" t="n">
        <v>500</v>
      </c>
      <c r="H134" s="3" t="inlineStr">
        <is>
          <t>EA</t>
        </is>
      </c>
      <c r="I134" s="4" t="n">
        <v>0.55</v>
      </c>
      <c r="J134" s="4" t="n">
        <v>275</v>
      </c>
    </row>
    <row r="135">
      <c r="A135" s="3" t="inlineStr">
        <is>
          <t>RNP</t>
        </is>
      </c>
      <c r="B135" s="3" t="inlineStr">
        <is>
          <t>ISV-0128</t>
        </is>
      </c>
      <c r="C135" s="20" t="n">
        <v>46229</v>
      </c>
      <c r="D135" s="3" t="inlineStr">
        <is>
          <t>النظام الجديد</t>
        </is>
      </c>
      <c r="E135" s="3" t="inlineStr">
        <is>
          <t>SF105</t>
        </is>
      </c>
      <c r="F135" s="3" t="inlineStr">
        <is>
          <t>فينكا روزا مركن 9 سم برغندي</t>
        </is>
      </c>
      <c r="G135" s="3" t="n">
        <v>900</v>
      </c>
      <c r="H135" s="3" t="inlineStr">
        <is>
          <t>EA</t>
        </is>
      </c>
      <c r="I135" s="4" t="n">
        <v>0.55</v>
      </c>
      <c r="J135" s="4" t="n">
        <v>495</v>
      </c>
    </row>
    <row r="136">
      <c r="A136" s="3" t="inlineStr">
        <is>
          <t>RNP</t>
        </is>
      </c>
      <c r="B136" s="3" t="inlineStr">
        <is>
          <t>ISV-0128</t>
        </is>
      </c>
      <c r="C136" s="20" t="n">
        <v>46229</v>
      </c>
      <c r="D136" s="3" t="inlineStr">
        <is>
          <t>النظام الجديد</t>
        </is>
      </c>
      <c r="E136" s="3" t="inlineStr">
        <is>
          <t>SF106</t>
        </is>
      </c>
      <c r="F136" s="3" t="inlineStr">
        <is>
          <t>فينكا روزا مركن 9 سم برغندي هالو</t>
        </is>
      </c>
      <c r="G136" s="3" t="n">
        <v>500</v>
      </c>
      <c r="H136" s="3" t="inlineStr">
        <is>
          <t>EA</t>
        </is>
      </c>
      <c r="I136" s="4" t="n">
        <v>0.55</v>
      </c>
      <c r="J136" s="4" t="n">
        <v>275</v>
      </c>
    </row>
    <row r="137">
      <c r="A137" s="3" t="inlineStr">
        <is>
          <t>RNP</t>
        </is>
      </c>
      <c r="B137" s="3" t="inlineStr">
        <is>
          <t>ISV-0128</t>
        </is>
      </c>
      <c r="C137" s="20" t="n">
        <v>46229</v>
      </c>
      <c r="D137" s="3" t="inlineStr">
        <is>
          <t>النظام الجديد</t>
        </is>
      </c>
      <c r="E137" s="3" t="inlineStr">
        <is>
          <t>SF99</t>
        </is>
      </c>
      <c r="F137" s="3" t="inlineStr">
        <is>
          <t>فينكا روزا مركن 9 سم أحمر نقطة بيضاء</t>
        </is>
      </c>
      <c r="G137" s="3" t="n">
        <v>1100</v>
      </c>
      <c r="H137" s="3" t="inlineStr">
        <is>
          <t>EA</t>
        </is>
      </c>
      <c r="I137" s="4" t="n">
        <v>0.55</v>
      </c>
      <c r="J137" s="4" t="n">
        <v>605</v>
      </c>
    </row>
    <row r="138">
      <c r="A138" s="3" t="inlineStr">
        <is>
          <t>RNP</t>
        </is>
      </c>
      <c r="B138" s="3" t="inlineStr">
        <is>
          <t>ISV-0128</t>
        </is>
      </c>
      <c r="C138" s="20" t="n">
        <v>46229</v>
      </c>
      <c r="D138" s="3" t="inlineStr">
        <is>
          <t>النظام الجديد</t>
        </is>
      </c>
      <c r="E138" s="3" t="inlineStr">
        <is>
          <t>SF108</t>
        </is>
      </c>
      <c r="F138" s="3" t="inlineStr">
        <is>
          <t>فينكا روزا مركن 9 سم أوركيد عميق</t>
        </is>
      </c>
      <c r="G138" s="3" t="n">
        <v>1700</v>
      </c>
      <c r="H138" s="3" t="inlineStr">
        <is>
          <t>EA</t>
        </is>
      </c>
      <c r="I138" s="4" t="n">
        <v>0.55</v>
      </c>
      <c r="J138" s="4" t="n">
        <v>935</v>
      </c>
    </row>
    <row r="139">
      <c r="A139" s="3" t="inlineStr">
        <is>
          <t>RNP</t>
        </is>
      </c>
      <c r="B139" s="3" t="inlineStr">
        <is>
          <t>ISV-0128</t>
        </is>
      </c>
      <c r="C139" s="20" t="n">
        <v>46229</v>
      </c>
      <c r="D139" s="3" t="inlineStr">
        <is>
          <t>النظام الجديد</t>
        </is>
      </c>
      <c r="E139" s="3" t="inlineStr">
        <is>
          <t>OD479</t>
        </is>
      </c>
      <c r="F139" s="3" t="inlineStr">
        <is>
          <t>جهنمية بلدى واحد عود 1 متر</t>
        </is>
      </c>
      <c r="G139" s="3" t="n">
        <v>10</v>
      </c>
      <c r="H139" s="3" t="inlineStr">
        <is>
          <t>EA</t>
        </is>
      </c>
      <c r="I139" s="4" t="n">
        <v>6</v>
      </c>
      <c r="J139" s="4" t="n">
        <v>60</v>
      </c>
    </row>
    <row r="140">
      <c r="A140" s="3" t="inlineStr">
        <is>
          <t>RNP</t>
        </is>
      </c>
      <c r="B140" s="3" t="inlineStr">
        <is>
          <t>ISV-0128</t>
        </is>
      </c>
      <c r="C140" s="20" t="n">
        <v>46229</v>
      </c>
      <c r="D140" s="3" t="inlineStr">
        <is>
          <t>النظام الجديد</t>
        </is>
      </c>
      <c r="E140" s="3" t="inlineStr">
        <is>
          <t>OD404</t>
        </is>
      </c>
      <c r="F140" s="3" t="inlineStr">
        <is>
          <t>فيكس بندا 50 سم</t>
        </is>
      </c>
      <c r="G140" s="3" t="n">
        <v>10</v>
      </c>
      <c r="H140" s="3" t="inlineStr">
        <is>
          <t>EA</t>
        </is>
      </c>
      <c r="I140" s="4" t="n">
        <v>2.5</v>
      </c>
      <c r="J140" s="4" t="n">
        <v>25</v>
      </c>
    </row>
    <row r="141">
      <c r="A141" s="5" t="inlineStr"/>
      <c r="B141" s="5" t="inlineStr">
        <is>
          <t>إجمالي ISV-0128</t>
        </is>
      </c>
      <c r="C141" s="5" t="inlineStr"/>
      <c r="D141" s="5" t="inlineStr"/>
      <c r="E141" s="5" t="inlineStr"/>
      <c r="F141" s="5" t="inlineStr"/>
      <c r="G141" s="5">
        <f>SUM(G134:G140)</f>
        <v/>
      </c>
      <c r="H141" s="5" t="inlineStr"/>
      <c r="I141" s="5" t="inlineStr"/>
      <c r="J141" s="6">
        <f>SUM(J134:J140)</f>
        <v/>
      </c>
    </row>
    <row r="142">
      <c r="A142" s="3" t="inlineStr">
        <is>
          <t>RNO</t>
        </is>
      </c>
      <c r="B142" s="3" t="inlineStr">
        <is>
          <t>RNO-3525</t>
        </is>
      </c>
      <c r="C142" s="20" t="n">
        <v>46033</v>
      </c>
      <c r="D142" s="3" t="inlineStr">
        <is>
          <t>النظام القديم</t>
        </is>
      </c>
      <c r="E142" s="3" t="inlineStr">
        <is>
          <t>RN-PL1</t>
        </is>
      </c>
      <c r="F142" s="3" t="inlineStr">
        <is>
          <t>مركن زراعي خفيف ملون 9 سم</t>
        </is>
      </c>
      <c r="G142" s="3" t="n">
        <v>2000</v>
      </c>
      <c r="H142" s="3" t="inlineStr">
        <is>
          <t>EA</t>
        </is>
      </c>
      <c r="I142" s="4" t="n">
        <v>0.06</v>
      </c>
      <c r="J142" s="4" t="n">
        <v>138</v>
      </c>
    </row>
    <row r="143">
      <c r="A143" s="3" t="inlineStr">
        <is>
          <t>RNO</t>
        </is>
      </c>
      <c r="B143" s="3" t="inlineStr">
        <is>
          <t>RNO-3525</t>
        </is>
      </c>
      <c r="C143" s="20" t="n">
        <v>46033</v>
      </c>
      <c r="D143" s="3" t="inlineStr">
        <is>
          <t>النظام القديم</t>
        </is>
      </c>
      <c r="E143" s="3" t="inlineStr">
        <is>
          <t>RN-PL9</t>
        </is>
      </c>
      <c r="F143" s="3" t="inlineStr">
        <is>
          <t>مركن زراعي 40 سم</t>
        </is>
      </c>
      <c r="G143" s="3" t="n">
        <v>180</v>
      </c>
      <c r="H143" s="3" t="inlineStr">
        <is>
          <t>EA</t>
        </is>
      </c>
      <c r="I143" s="4" t="n">
        <v>4.5</v>
      </c>
      <c r="J143" s="4" t="n">
        <v>931.5</v>
      </c>
    </row>
    <row r="144">
      <c r="A144" s="5" t="inlineStr"/>
      <c r="B144" s="5" t="inlineStr">
        <is>
          <t>إجمالي RNO-3525</t>
        </is>
      </c>
      <c r="C144" s="5" t="inlineStr"/>
      <c r="D144" s="5" t="inlineStr"/>
      <c r="E144" s="5" t="inlineStr"/>
      <c r="F144" s="5" t="inlineStr"/>
      <c r="G144" s="5">
        <f>SUM(G142:G143)</f>
        <v/>
      </c>
      <c r="H144" s="5" t="inlineStr"/>
      <c r="I144" s="5" t="inlineStr"/>
      <c r="J144" s="6">
        <f>SUM(J142:J143)</f>
        <v/>
      </c>
    </row>
    <row r="145">
      <c r="A145" s="3" t="inlineStr">
        <is>
          <t>RNO</t>
        </is>
      </c>
      <c r="B145" s="3" t="inlineStr">
        <is>
          <t>RNO-3558</t>
        </is>
      </c>
      <c r="C145" s="20" t="n">
        <v>46036</v>
      </c>
      <c r="D145" s="3" t="inlineStr">
        <is>
          <t>النظام القديم</t>
        </is>
      </c>
      <c r="E145" s="3" t="inlineStr">
        <is>
          <t>RN-FR1004</t>
        </is>
      </c>
      <c r="F145" s="3" t="inlineStr">
        <is>
          <t>حديد مخلبي 16 كجم</t>
        </is>
      </c>
      <c r="G145" s="3" t="n">
        <v>1</v>
      </c>
      <c r="H145" s="3" t="inlineStr">
        <is>
          <t>EA</t>
        </is>
      </c>
      <c r="I145" s="4" t="n">
        <v>60</v>
      </c>
      <c r="J145" s="4" t="n">
        <v>69</v>
      </c>
    </row>
    <row r="146">
      <c r="A146" s="3" t="inlineStr">
        <is>
          <t>RNO</t>
        </is>
      </c>
      <c r="B146" s="3" t="inlineStr">
        <is>
          <t>RNO-3558</t>
        </is>
      </c>
      <c r="C146" s="20" t="n">
        <v>46036</v>
      </c>
      <c r="D146" s="3" t="inlineStr">
        <is>
          <t>النظام القديم</t>
        </is>
      </c>
      <c r="E146" s="3" t="inlineStr">
        <is>
          <t>RN-PL12</t>
        </is>
      </c>
      <c r="F146" s="3" t="inlineStr">
        <is>
          <t>صندوق - فلين للزهور</t>
        </is>
      </c>
      <c r="G146" s="3" t="n">
        <v>400</v>
      </c>
      <c r="H146" s="3" t="inlineStr">
        <is>
          <t>EA</t>
        </is>
      </c>
      <c r="I146" s="4" t="n">
        <v>4</v>
      </c>
      <c r="J146" s="4" t="n">
        <v>1840</v>
      </c>
    </row>
    <row r="147">
      <c r="A147" s="5" t="inlineStr"/>
      <c r="B147" s="5" t="inlineStr">
        <is>
          <t>إجمالي RNO-3558</t>
        </is>
      </c>
      <c r="C147" s="5" t="inlineStr"/>
      <c r="D147" s="5" t="inlineStr"/>
      <c r="E147" s="5" t="inlineStr"/>
      <c r="F147" s="5" t="inlineStr"/>
      <c r="G147" s="5">
        <f>SUM(G145:G146)</f>
        <v/>
      </c>
      <c r="H147" s="5" t="inlineStr"/>
      <c r="I147" s="5" t="inlineStr"/>
      <c r="J147" s="6">
        <f>SUM(J145:J146)</f>
        <v/>
      </c>
    </row>
    <row r="148">
      <c r="A148" s="3" t="inlineStr">
        <is>
          <t>RNO</t>
        </is>
      </c>
      <c r="B148" s="3" t="inlineStr">
        <is>
          <t>RNO-3624</t>
        </is>
      </c>
      <c r="C148" s="20" t="n">
        <v>46046</v>
      </c>
      <c r="D148" s="3" t="inlineStr">
        <is>
          <t>النظام القديم</t>
        </is>
      </c>
      <c r="E148" s="3" t="inlineStr">
        <is>
          <t>RN-FR1004</t>
        </is>
      </c>
      <c r="F148" s="3" t="inlineStr">
        <is>
          <t>حديد مخلبي 16 كجم</t>
        </is>
      </c>
      <c r="G148" s="3" t="n">
        <v>1</v>
      </c>
      <c r="H148" s="3" t="inlineStr">
        <is>
          <t>EA</t>
        </is>
      </c>
      <c r="I148" s="4" t="n">
        <v>60</v>
      </c>
      <c r="J148" s="4" t="n">
        <v>69</v>
      </c>
    </row>
    <row r="149">
      <c r="A149" s="3" t="inlineStr">
        <is>
          <t>RNO</t>
        </is>
      </c>
      <c r="B149" s="3" t="inlineStr">
        <is>
          <t>RNO-3624</t>
        </is>
      </c>
      <c r="C149" s="20" t="n">
        <v>46046</v>
      </c>
      <c r="D149" s="3" t="inlineStr">
        <is>
          <t>النظام القديم</t>
        </is>
      </c>
      <c r="E149" s="3" t="inlineStr">
        <is>
          <t>RN-PL12</t>
        </is>
      </c>
      <c r="F149" s="3" t="inlineStr">
        <is>
          <t>صندوق - فلين للزهور</t>
        </is>
      </c>
      <c r="G149" s="3" t="n">
        <v>1150</v>
      </c>
      <c r="H149" s="3" t="inlineStr">
        <is>
          <t>EA</t>
        </is>
      </c>
      <c r="I149" s="4" t="n">
        <v>4</v>
      </c>
      <c r="J149" s="4" t="n">
        <v>5290</v>
      </c>
    </row>
    <row r="150">
      <c r="A150" s="5" t="inlineStr"/>
      <c r="B150" s="5" t="inlineStr">
        <is>
          <t>إجمالي RNO-3624</t>
        </is>
      </c>
      <c r="C150" s="5" t="inlineStr"/>
      <c r="D150" s="5" t="inlineStr"/>
      <c r="E150" s="5" t="inlineStr"/>
      <c r="F150" s="5" t="inlineStr"/>
      <c r="G150" s="5">
        <f>SUM(G148:G149)</f>
        <v/>
      </c>
      <c r="H150" s="5" t="inlineStr"/>
      <c r="I150" s="5" t="inlineStr"/>
      <c r="J150" s="6">
        <f>SUM(J148:J149)</f>
        <v/>
      </c>
    </row>
    <row r="151">
      <c r="A151" s="3" t="inlineStr">
        <is>
          <t>RNO</t>
        </is>
      </c>
      <c r="B151" s="3" t="inlineStr">
        <is>
          <t>RNO-3637</t>
        </is>
      </c>
      <c r="C151" s="20" t="n">
        <v>46048</v>
      </c>
      <c r="D151" s="3" t="inlineStr">
        <is>
          <t>النظام القديم</t>
        </is>
      </c>
      <c r="E151" s="3" t="inlineStr">
        <is>
          <t>RN-FR1017</t>
        </is>
      </c>
      <c r="F151" s="3" t="inlineStr">
        <is>
          <t>بوتنج سويل 70 لتر (KLAS)</t>
        </is>
      </c>
      <c r="G151" s="3" t="n">
        <v>20</v>
      </c>
      <c r="H151" s="3" t="inlineStr">
        <is>
          <t>EA</t>
        </is>
      </c>
      <c r="I151" s="4" t="n">
        <v>46</v>
      </c>
      <c r="J151" s="4" t="n">
        <v>1058</v>
      </c>
    </row>
    <row r="152">
      <c r="A152" s="3" t="inlineStr">
        <is>
          <t>RNO</t>
        </is>
      </c>
      <c r="B152" s="3" t="inlineStr">
        <is>
          <t>RNO-3637</t>
        </is>
      </c>
      <c r="C152" s="20" t="n">
        <v>46048</v>
      </c>
      <c r="D152" s="3" t="inlineStr">
        <is>
          <t>النظام القديم</t>
        </is>
      </c>
      <c r="E152" s="3" t="inlineStr">
        <is>
          <t>RN-FR1018</t>
        </is>
      </c>
      <c r="F152" s="3" t="inlineStr">
        <is>
          <t>فيرموكلايت 100 لتر</t>
        </is>
      </c>
      <c r="G152" s="3" t="n">
        <v>2</v>
      </c>
      <c r="H152" s="3" t="inlineStr">
        <is>
          <t>EA</t>
        </is>
      </c>
      <c r="I152" s="4" t="n">
        <v>75</v>
      </c>
      <c r="J152" s="4" t="n">
        <v>172.5</v>
      </c>
    </row>
    <row r="153">
      <c r="A153" s="5" t="inlineStr"/>
      <c r="B153" s="5" t="inlineStr">
        <is>
          <t>إجمالي RNO-3637</t>
        </is>
      </c>
      <c r="C153" s="5" t="inlineStr"/>
      <c r="D153" s="5" t="inlineStr"/>
      <c r="E153" s="5" t="inlineStr"/>
      <c r="F153" s="5" t="inlineStr"/>
      <c r="G153" s="5">
        <f>SUM(G151:G152)</f>
        <v/>
      </c>
      <c r="H153" s="5" t="inlineStr"/>
      <c r="I153" s="5" t="inlineStr"/>
      <c r="J153" s="6">
        <f>SUM(J151:J152)</f>
        <v/>
      </c>
    </row>
    <row r="154">
      <c r="A154" s="3" t="inlineStr">
        <is>
          <t>RNO</t>
        </is>
      </c>
      <c r="B154" s="3" t="inlineStr">
        <is>
          <t>RNO-3673</t>
        </is>
      </c>
      <c r="C154" s="20" t="n">
        <v>46049</v>
      </c>
      <c r="D154" s="3" t="inlineStr">
        <is>
          <t>النظام القديم</t>
        </is>
      </c>
      <c r="E154" s="3" t="inlineStr">
        <is>
          <t>RN-FR1017</t>
        </is>
      </c>
      <c r="F154" s="3" t="inlineStr">
        <is>
          <t>بوتنج سويل 70 لتر (KLAS)</t>
        </is>
      </c>
      <c r="G154" s="3" t="n">
        <v>4</v>
      </c>
      <c r="H154" s="3" t="inlineStr">
        <is>
          <t>EA</t>
        </is>
      </c>
      <c r="I154" s="4" t="n">
        <v>46</v>
      </c>
      <c r="J154" s="4" t="n">
        <v>211.6</v>
      </c>
    </row>
    <row r="155">
      <c r="A155" s="3" t="inlineStr">
        <is>
          <t>RNO</t>
        </is>
      </c>
      <c r="B155" s="3" t="inlineStr">
        <is>
          <t>RNO-3673</t>
        </is>
      </c>
      <c r="C155" s="20" t="n">
        <v>46049</v>
      </c>
      <c r="D155" s="3" t="inlineStr">
        <is>
          <t>النظام القديم</t>
        </is>
      </c>
      <c r="E155" s="3" t="inlineStr">
        <is>
          <t>RN-PL12</t>
        </is>
      </c>
      <c r="F155" s="3" t="inlineStr">
        <is>
          <t>صندوق فلين للزهور</t>
        </is>
      </c>
      <c r="G155" s="3" t="n">
        <v>520</v>
      </c>
      <c r="H155" s="3" t="inlineStr">
        <is>
          <t>EA</t>
        </is>
      </c>
      <c r="I155" s="4" t="n">
        <v>4</v>
      </c>
      <c r="J155" s="4" t="n">
        <v>2392</v>
      </c>
    </row>
    <row r="156">
      <c r="A156" s="5" t="inlineStr"/>
      <c r="B156" s="5" t="inlineStr">
        <is>
          <t>إجمالي RNO-3673</t>
        </is>
      </c>
      <c r="C156" s="5" t="inlineStr"/>
      <c r="D156" s="5" t="inlineStr"/>
      <c r="E156" s="5" t="inlineStr"/>
      <c r="F156" s="5" t="inlineStr"/>
      <c r="G156" s="5">
        <f>SUM(G154:G155)</f>
        <v/>
      </c>
      <c r="H156" s="5" t="inlineStr"/>
      <c r="I156" s="5" t="inlineStr"/>
      <c r="J156" s="6">
        <f>SUM(J154:J155)</f>
        <v/>
      </c>
    </row>
    <row r="157">
      <c r="A157" s="3" t="inlineStr">
        <is>
          <t>RNO</t>
        </is>
      </c>
      <c r="B157" s="3" t="inlineStr">
        <is>
          <t>RNO-3684</t>
        </is>
      </c>
      <c r="C157" s="20" t="n">
        <v>46050</v>
      </c>
      <c r="D157" s="3" t="inlineStr">
        <is>
          <t>النظام القديم</t>
        </is>
      </c>
      <c r="E157" s="3" t="inlineStr">
        <is>
          <t>RN-SE100</t>
        </is>
      </c>
      <c r="F157" s="3" t="inlineStr">
        <is>
          <t>- بذور فينكا فيكتوري أبيض</t>
        </is>
      </c>
      <c r="G157" s="3" t="n">
        <v>30000</v>
      </c>
      <c r="H157" s="3" t="inlineStr">
        <is>
          <t>EA</t>
        </is>
      </c>
      <c r="I157" s="4" t="n">
        <v>0.035</v>
      </c>
      <c r="J157" s="4" t="n">
        <v>1207.5</v>
      </c>
    </row>
    <row r="158">
      <c r="A158" s="3" t="inlineStr">
        <is>
          <t>RNO</t>
        </is>
      </c>
      <c r="B158" s="3" t="inlineStr">
        <is>
          <t>RNO-3684</t>
        </is>
      </c>
      <c r="C158" s="20" t="n">
        <v>46050</v>
      </c>
      <c r="D158" s="3" t="inlineStr">
        <is>
          <t>النظام القديم</t>
        </is>
      </c>
      <c r="E158" s="3" t="inlineStr">
        <is>
          <t>RN-SE101</t>
        </is>
      </c>
      <c r="F158" s="3" t="inlineStr">
        <is>
          <t>جذور فينكا باسيفيكا أحمر داكن</t>
        </is>
      </c>
      <c r="G158" s="3" t="n">
        <v>30000</v>
      </c>
      <c r="H158" s="3" t="inlineStr">
        <is>
          <t>EA</t>
        </is>
      </c>
      <c r="I158" s="4" t="n">
        <v>0.035</v>
      </c>
      <c r="J158" s="4" t="n">
        <v>1207.5</v>
      </c>
    </row>
    <row r="159">
      <c r="A159" s="3" t="inlineStr">
        <is>
          <t>RNO</t>
        </is>
      </c>
      <c r="B159" s="3" t="inlineStr">
        <is>
          <t>RNO-3684</t>
        </is>
      </c>
      <c r="C159" s="20" t="n">
        <v>46050</v>
      </c>
      <c r="D159" s="3" t="inlineStr">
        <is>
          <t>النظام القديم</t>
        </is>
      </c>
      <c r="E159" s="3" t="inlineStr">
        <is>
          <t>RN-SE103</t>
        </is>
      </c>
      <c r="F159" s="3" t="inlineStr">
        <is>
          <t>جذور - فينكا باسيفيكا أوركيد عميق</t>
        </is>
      </c>
      <c r="G159" s="3" t="n">
        <v>20000</v>
      </c>
      <c r="H159" s="3" t="inlineStr">
        <is>
          <t>EA</t>
        </is>
      </c>
      <c r="I159" s="4" t="n">
        <v>0.035</v>
      </c>
      <c r="J159" s="4" t="n">
        <v>805</v>
      </c>
    </row>
    <row r="160">
      <c r="A160" s="3" t="inlineStr">
        <is>
          <t>RNO</t>
        </is>
      </c>
      <c r="B160" s="3" t="inlineStr">
        <is>
          <t>RNO-3684</t>
        </is>
      </c>
      <c r="C160" s="20" t="n">
        <v>46050</v>
      </c>
      <c r="D160" s="3" t="inlineStr">
        <is>
          <t>النظام القديم</t>
        </is>
      </c>
      <c r="E160" s="3" t="inlineStr">
        <is>
          <t>RN-SE104</t>
        </is>
      </c>
      <c r="F160" s="3" t="inlineStr">
        <is>
          <t>جذور فينكا باسيفيكا برغندي</t>
        </is>
      </c>
      <c r="G160" s="3" t="n">
        <v>10000</v>
      </c>
      <c r="H160" s="3" t="inlineStr">
        <is>
          <t>EA</t>
        </is>
      </c>
      <c r="I160" s="4" t="n">
        <v>0.035</v>
      </c>
      <c r="J160" s="4" t="n">
        <v>402.5</v>
      </c>
    </row>
    <row r="161">
      <c r="A161" s="3" t="inlineStr">
        <is>
          <t>RNO</t>
        </is>
      </c>
      <c r="B161" s="3" t="inlineStr">
        <is>
          <t>RNO-3684</t>
        </is>
      </c>
      <c r="C161" s="20" t="n">
        <v>46050</v>
      </c>
      <c r="D161" s="3" t="inlineStr">
        <is>
          <t>النظام القديم</t>
        </is>
      </c>
      <c r="E161" s="3" t="inlineStr">
        <is>
          <t>RN-SE105</t>
        </is>
      </c>
      <c r="F161" s="3" t="inlineStr">
        <is>
          <t>جذور فينكا باسيفيكا برغندي هالو</t>
        </is>
      </c>
      <c r="G161" s="3" t="n">
        <v>10000</v>
      </c>
      <c r="H161" s="3" t="inlineStr">
        <is>
          <t>EA</t>
        </is>
      </c>
      <c r="I161" s="4" t="n">
        <v>0.035</v>
      </c>
      <c r="J161" s="4" t="n">
        <v>402.5</v>
      </c>
    </row>
    <row r="162">
      <c r="A162" s="3" t="inlineStr">
        <is>
          <t>RNO</t>
        </is>
      </c>
      <c r="B162" s="3" t="inlineStr">
        <is>
          <t>RNO-3684</t>
        </is>
      </c>
      <c r="C162" s="20" t="n">
        <v>46050</v>
      </c>
      <c r="D162" s="3" t="inlineStr">
        <is>
          <t>النظام القديم</t>
        </is>
      </c>
      <c r="E162" s="3" t="inlineStr">
        <is>
          <t>RN-SE106</t>
        </is>
      </c>
      <c r="F162" s="3" t="inlineStr">
        <is>
          <t>- بذور فينكا باسيفيكا أحمر</t>
        </is>
      </c>
      <c r="G162" s="3" t="n">
        <v>10000</v>
      </c>
      <c r="H162" s="3" t="inlineStr">
        <is>
          <t>EA</t>
        </is>
      </c>
      <c r="I162" s="4" t="n">
        <v>0.035</v>
      </c>
      <c r="J162" s="4" t="n">
        <v>402.5</v>
      </c>
    </row>
    <row r="163">
      <c r="A163" s="3" t="inlineStr">
        <is>
          <t>RNO</t>
        </is>
      </c>
      <c r="B163" s="3" t="inlineStr">
        <is>
          <t>RNO-3684</t>
        </is>
      </c>
      <c r="C163" s="20" t="n">
        <v>46050</v>
      </c>
      <c r="D163" s="3" t="inlineStr">
        <is>
          <t>النظام القديم</t>
        </is>
      </c>
      <c r="E163" s="3" t="inlineStr">
        <is>
          <t>RN-SE107</t>
        </is>
      </c>
      <c r="F163" s="3" t="inlineStr">
        <is>
          <t>بذور فينكا باسيفيكا مشمشي</t>
        </is>
      </c>
      <c r="G163" s="3" t="n">
        <v>10000</v>
      </c>
      <c r="H163" s="3" t="inlineStr">
        <is>
          <t>EA</t>
        </is>
      </c>
      <c r="I163" s="4" t="n">
        <v>0.035</v>
      </c>
      <c r="J163" s="4" t="n">
        <v>402.5</v>
      </c>
    </row>
    <row r="164">
      <c r="A164" s="3" t="inlineStr">
        <is>
          <t>RNO</t>
        </is>
      </c>
      <c r="B164" s="3" t="inlineStr">
        <is>
          <t>RNO-3684</t>
        </is>
      </c>
      <c r="C164" s="20" t="n">
        <v>46050</v>
      </c>
      <c r="D164" s="3" t="inlineStr">
        <is>
          <t>النظام القديم</t>
        </is>
      </c>
      <c r="E164" s="3" t="inlineStr">
        <is>
          <t>RN-SE109</t>
        </is>
      </c>
      <c r="F164" s="3" t="inlineStr">
        <is>
          <t>جذور فينكا باسيفيكا بولكا دوت</t>
        </is>
      </c>
      <c r="G164" s="3" t="n">
        <v>10000</v>
      </c>
      <c r="H164" s="3" t="inlineStr">
        <is>
          <t>EA</t>
        </is>
      </c>
      <c r="I164" s="4" t="n">
        <v>0.035</v>
      </c>
      <c r="J164" s="4" t="n">
        <v>402.5</v>
      </c>
    </row>
    <row r="165">
      <c r="A165" s="3" t="inlineStr">
        <is>
          <t>RNO</t>
        </is>
      </c>
      <c r="B165" s="3" t="inlineStr">
        <is>
          <t>RNO-3684</t>
        </is>
      </c>
      <c r="C165" s="20" t="n">
        <v>46050</v>
      </c>
      <c r="D165" s="3" t="inlineStr">
        <is>
          <t>النظام القديم</t>
        </is>
      </c>
      <c r="E165" s="3" t="inlineStr">
        <is>
          <t>RN-SE20</t>
        </is>
      </c>
      <c r="F165" s="3" t="inlineStr">
        <is>
          <t>جذور فضية</t>
        </is>
      </c>
      <c r="G165" s="3" t="n">
        <v>20000</v>
      </c>
      <c r="H165" s="3" t="inlineStr">
        <is>
          <t>EA</t>
        </is>
      </c>
      <c r="I165" s="4" t="n">
        <v>0.015</v>
      </c>
      <c r="J165" s="4" t="n">
        <v>345</v>
      </c>
    </row>
    <row r="166">
      <c r="A166" s="5" t="inlineStr"/>
      <c r="B166" s="5" t="inlineStr">
        <is>
          <t>إجمالي RNO-3684</t>
        </is>
      </c>
      <c r="C166" s="5" t="inlineStr"/>
      <c r="D166" s="5" t="inlineStr"/>
      <c r="E166" s="5" t="inlineStr"/>
      <c r="F166" s="5" t="inlineStr"/>
      <c r="G166" s="5">
        <f>SUM(G157:G165)</f>
        <v/>
      </c>
      <c r="H166" s="5" t="inlineStr"/>
      <c r="I166" s="5" t="inlineStr"/>
      <c r="J166" s="6">
        <f>SUM(J157:J165)</f>
        <v/>
      </c>
    </row>
    <row r="167">
      <c r="A167" s="3" t="inlineStr">
        <is>
          <t>RNO</t>
        </is>
      </c>
      <c r="B167" s="3" t="inlineStr">
        <is>
          <t>RNO-3707</t>
        </is>
      </c>
      <c r="C167" s="20" t="n">
        <v>46054</v>
      </c>
      <c r="D167" s="3" t="inlineStr">
        <is>
          <t>النظام القديم</t>
        </is>
      </c>
      <c r="E167" s="3" t="inlineStr">
        <is>
          <t>RN-FR1017</t>
        </is>
      </c>
      <c r="F167" s="3" t="inlineStr">
        <is>
          <t>بوتنج سويل 70 لتر (KLAS)</t>
        </is>
      </c>
      <c r="G167" s="3" t="n">
        <v>12</v>
      </c>
      <c r="H167" s="3" t="inlineStr">
        <is>
          <t>EA</t>
        </is>
      </c>
      <c r="I167" s="4" t="n">
        <v>46</v>
      </c>
      <c r="J167" s="4" t="n">
        <v>634.8</v>
      </c>
    </row>
    <row r="168">
      <c r="A168" s="3" t="inlineStr">
        <is>
          <t>RNO</t>
        </is>
      </c>
      <c r="B168" s="3" t="inlineStr">
        <is>
          <t>RNO-3707</t>
        </is>
      </c>
      <c r="C168" s="20" t="n">
        <v>46054</v>
      </c>
      <c r="D168" s="3" t="inlineStr">
        <is>
          <t>النظام القديم</t>
        </is>
      </c>
      <c r="E168" s="3" t="inlineStr">
        <is>
          <t>RN-FR1018</t>
        </is>
      </c>
      <c r="F168" s="3" t="inlineStr">
        <is>
          <t>فيرموكلايت 100 لتر</t>
        </is>
      </c>
      <c r="G168" s="3" t="n">
        <v>2</v>
      </c>
      <c r="H168" s="3" t="inlineStr">
        <is>
          <t>EA</t>
        </is>
      </c>
      <c r="I168" s="4" t="n">
        <v>75</v>
      </c>
      <c r="J168" s="4" t="n">
        <v>172.5</v>
      </c>
    </row>
    <row r="169">
      <c r="A169" s="3" t="inlineStr">
        <is>
          <t>RNO</t>
        </is>
      </c>
      <c r="B169" s="3" t="inlineStr">
        <is>
          <t>RNO-3707</t>
        </is>
      </c>
      <c r="C169" s="20" t="n">
        <v>46054</v>
      </c>
      <c r="D169" s="3" t="inlineStr">
        <is>
          <t>النظام القديم</t>
        </is>
      </c>
      <c r="E169" s="3" t="inlineStr">
        <is>
          <t>RN-SE112</t>
        </is>
      </c>
      <c r="F169" s="3" t="inlineStr">
        <is>
          <t>بذور زينيا بروفيوجن أبيض</t>
        </is>
      </c>
      <c r="G169" s="3" t="n">
        <v>5000</v>
      </c>
      <c r="H169" s="3" t="inlineStr">
        <is>
          <t>EA</t>
        </is>
      </c>
      <c r="I169" s="4" t="n">
        <v>0.15</v>
      </c>
      <c r="J169" s="4" t="n">
        <v>862.5</v>
      </c>
    </row>
    <row r="170">
      <c r="A170" s="3" t="inlineStr">
        <is>
          <t>RNO</t>
        </is>
      </c>
      <c r="B170" s="3" t="inlineStr">
        <is>
          <t>RNO-3707</t>
        </is>
      </c>
      <c r="C170" s="20" t="n">
        <v>46054</v>
      </c>
      <c r="D170" s="3" t="inlineStr">
        <is>
          <t>النظام القديم</t>
        </is>
      </c>
      <c r="E170" s="3" t="inlineStr">
        <is>
          <t>RN-SE113</t>
        </is>
      </c>
      <c r="F170" s="3" t="inlineStr">
        <is>
          <t>بذور زينيا بروفيوجن أحمر</t>
        </is>
      </c>
      <c r="G170" s="3" t="n">
        <v>5000</v>
      </c>
      <c r="H170" s="3" t="inlineStr">
        <is>
          <t>EA</t>
        </is>
      </c>
      <c r="I170" s="4" t="n">
        <v>0.15</v>
      </c>
      <c r="J170" s="4" t="n">
        <v>862.5</v>
      </c>
    </row>
    <row r="171">
      <c r="A171" s="3" t="inlineStr">
        <is>
          <t>RNO</t>
        </is>
      </c>
      <c r="B171" s="3" t="inlineStr">
        <is>
          <t>RNO-3707</t>
        </is>
      </c>
      <c r="C171" s="20" t="n">
        <v>46054</v>
      </c>
      <c r="D171" s="3" t="inlineStr">
        <is>
          <t>النظام القديم</t>
        </is>
      </c>
      <c r="E171" s="3" t="inlineStr">
        <is>
          <t>RN-SE114</t>
        </is>
      </c>
      <c r="F171" s="3" t="inlineStr">
        <is>
          <t>بذور زينيا بروفيوجن أصفر</t>
        </is>
      </c>
      <c r="G171" s="3" t="n">
        <v>5000</v>
      </c>
      <c r="H171" s="3" t="inlineStr">
        <is>
          <t>EA</t>
        </is>
      </c>
      <c r="I171" s="4" t="n">
        <v>0.15</v>
      </c>
      <c r="J171" s="4" t="n">
        <v>862.5</v>
      </c>
    </row>
    <row r="172">
      <c r="A172" s="3" t="inlineStr">
        <is>
          <t>RNO</t>
        </is>
      </c>
      <c r="B172" s="3" t="inlineStr">
        <is>
          <t>RNO-3707</t>
        </is>
      </c>
      <c r="C172" s="20" t="n">
        <v>46054</v>
      </c>
      <c r="D172" s="3" t="inlineStr">
        <is>
          <t>النظام القديم</t>
        </is>
      </c>
      <c r="E172" s="3" t="inlineStr">
        <is>
          <t>RN-SE115</t>
        </is>
      </c>
      <c r="F172" s="3" t="inlineStr">
        <is>
          <t>- بذور زينيا بروفيوجن برتقالي</t>
        </is>
      </c>
      <c r="G172" s="3" t="n">
        <v>5000</v>
      </c>
      <c r="H172" s="3" t="inlineStr">
        <is>
          <t>EA</t>
        </is>
      </c>
      <c r="I172" s="4" t="n">
        <v>0.15</v>
      </c>
      <c r="J172" s="4" t="n">
        <v>862.5</v>
      </c>
    </row>
    <row r="173">
      <c r="A173" s="3" t="inlineStr">
        <is>
          <t>RNO</t>
        </is>
      </c>
      <c r="B173" s="3" t="inlineStr">
        <is>
          <t>RNO-3707</t>
        </is>
      </c>
      <c r="C173" s="20" t="n">
        <v>46054</v>
      </c>
      <c r="D173" s="3" t="inlineStr">
        <is>
          <t>النظام القديم</t>
        </is>
      </c>
      <c r="E173" s="3" t="inlineStr">
        <is>
          <t>RN-SE116</t>
        </is>
      </c>
      <c r="F173" s="3" t="inlineStr">
        <is>
          <t>بذور زينيا بروفيوجن ناري</t>
        </is>
      </c>
      <c r="G173" s="3" t="n">
        <v>5000</v>
      </c>
      <c r="H173" s="3" t="inlineStr">
        <is>
          <t>EA</t>
        </is>
      </c>
      <c r="I173" s="4" t="n">
        <v>0.15</v>
      </c>
      <c r="J173" s="4" t="n">
        <v>862.5</v>
      </c>
    </row>
    <row r="174">
      <c r="A174" s="3" t="inlineStr">
        <is>
          <t>RNO</t>
        </is>
      </c>
      <c r="B174" s="3" t="inlineStr">
        <is>
          <t>RNO-3707</t>
        </is>
      </c>
      <c r="C174" s="20" t="n">
        <v>46054</v>
      </c>
      <c r="D174" s="3" t="inlineStr">
        <is>
          <t>النظام القديم</t>
        </is>
      </c>
      <c r="E174" s="3" t="inlineStr">
        <is>
          <t>RN-SE117</t>
        </is>
      </c>
      <c r="F174" s="3" t="inlineStr">
        <is>
          <t>- بذور زينيا بروفيوجن ليموني</t>
        </is>
      </c>
      <c r="G174" s="3" t="n">
        <v>5000</v>
      </c>
      <c r="H174" s="3" t="inlineStr">
        <is>
          <t>EA</t>
        </is>
      </c>
      <c r="I174" s="4" t="n">
        <v>0.15</v>
      </c>
      <c r="J174" s="4" t="n">
        <v>862.5</v>
      </c>
    </row>
    <row r="175">
      <c r="A175" s="3" t="inlineStr">
        <is>
          <t>RNO</t>
        </is>
      </c>
      <c r="B175" s="3" t="inlineStr">
        <is>
          <t>RNO-3707</t>
        </is>
      </c>
      <c r="C175" s="20" t="n">
        <v>46054</v>
      </c>
      <c r="D175" s="3" t="inlineStr">
        <is>
          <t>النظام القديم</t>
        </is>
      </c>
      <c r="E175" s="3" t="inlineStr">
        <is>
          <t>RN-SE118</t>
        </is>
      </c>
      <c r="F175" s="3" t="inlineStr">
        <is>
          <t>بذور زينيا بروفيوجن كرزي</t>
        </is>
      </c>
      <c r="G175" s="3" t="n">
        <v>5000</v>
      </c>
      <c r="H175" s="3" t="inlineStr">
        <is>
          <t>EA</t>
        </is>
      </c>
      <c r="I175" s="4" t="n">
        <v>0.15</v>
      </c>
      <c r="J175" s="4" t="n">
        <v>862.5</v>
      </c>
    </row>
    <row r="176">
      <c r="A176" s="3" t="inlineStr">
        <is>
          <t>RNO</t>
        </is>
      </c>
      <c r="B176" s="3" t="inlineStr">
        <is>
          <t>RNO-3707</t>
        </is>
      </c>
      <c r="C176" s="20" t="n">
        <v>46054</v>
      </c>
      <c r="D176" s="3" t="inlineStr">
        <is>
          <t>النظام القديم</t>
        </is>
      </c>
      <c r="E176" s="3" t="inlineStr">
        <is>
          <t>RN-SE119</t>
        </is>
      </c>
      <c r="F176" s="3" t="inlineStr">
        <is>
          <t>- بذور زينيا بروفيوجن كرزي ثنائي اللون</t>
        </is>
      </c>
      <c r="G176" s="3" t="n">
        <v>5000</v>
      </c>
      <c r="H176" s="3" t="inlineStr">
        <is>
          <t>EA</t>
        </is>
      </c>
      <c r="I176" s="4" t="n">
        <v>0.15</v>
      </c>
      <c r="J176" s="4" t="n">
        <v>862.5</v>
      </c>
    </row>
    <row r="177">
      <c r="A177" s="3" t="inlineStr">
        <is>
          <t>RNO</t>
        </is>
      </c>
      <c r="B177" s="3" t="inlineStr">
        <is>
          <t>RNO-3707</t>
        </is>
      </c>
      <c r="C177" s="20" t="n">
        <v>46054</v>
      </c>
      <c r="D177" s="3" t="inlineStr">
        <is>
          <t>النظام القديم</t>
        </is>
      </c>
      <c r="E177" s="3" t="inlineStr">
        <is>
          <t>RN-SE120</t>
        </is>
      </c>
      <c r="F177" s="3" t="inlineStr">
        <is>
          <t>بذور زينيا بروفيوجن أحمر وأأصفر ثنائي اللون</t>
        </is>
      </c>
      <c r="G177" s="3" t="n">
        <v>5000</v>
      </c>
      <c r="H177" s="3" t="inlineStr">
        <is>
          <t>EA</t>
        </is>
      </c>
      <c r="I177" s="4" t="n">
        <v>0.15</v>
      </c>
      <c r="J177" s="4" t="n">
        <v>862.5</v>
      </c>
    </row>
    <row r="178">
      <c r="A178" s="3" t="inlineStr">
        <is>
          <t>RNO</t>
        </is>
      </c>
      <c r="B178" s="3" t="inlineStr">
        <is>
          <t>RNO-3707</t>
        </is>
      </c>
      <c r="C178" s="20" t="n">
        <v>46054</v>
      </c>
      <c r="D178" s="3" t="inlineStr">
        <is>
          <t>النظام القديم</t>
        </is>
      </c>
      <c r="E178" s="3" t="inlineStr">
        <is>
          <t>RN-SE121</t>
        </is>
      </c>
      <c r="F178" s="3" t="inlineStr">
        <is>
          <t>- بذور زينيا بروفيوجن مزدوج أبيض</t>
        </is>
      </c>
      <c r="G178" s="3" t="n">
        <v>5000</v>
      </c>
      <c r="H178" s="3" t="inlineStr">
        <is>
          <t>EA</t>
        </is>
      </c>
      <c r="I178" s="4" t="n">
        <v>0.15</v>
      </c>
      <c r="J178" s="4" t="n">
        <v>862.5</v>
      </c>
    </row>
    <row r="179">
      <c r="A179" s="3" t="inlineStr">
        <is>
          <t>RNO</t>
        </is>
      </c>
      <c r="B179" s="3" t="inlineStr">
        <is>
          <t>RNO-3707</t>
        </is>
      </c>
      <c r="C179" s="20" t="n">
        <v>46054</v>
      </c>
      <c r="D179" s="3" t="inlineStr">
        <is>
          <t>النظام القديم</t>
        </is>
      </c>
      <c r="E179" s="3" t="inlineStr">
        <is>
          <t>RN-SE122</t>
        </is>
      </c>
      <c r="F179" s="3" t="inlineStr">
        <is>
          <t>- بذور زينيا بروفيوجن مزدوج أحمر</t>
        </is>
      </c>
      <c r="G179" s="3" t="n">
        <v>5000</v>
      </c>
      <c r="H179" s="3" t="inlineStr">
        <is>
          <t>EA</t>
        </is>
      </c>
      <c r="I179" s="4" t="n">
        <v>0.15</v>
      </c>
      <c r="J179" s="4" t="n">
        <v>862.5</v>
      </c>
    </row>
    <row r="180">
      <c r="A180" s="3" t="inlineStr">
        <is>
          <t>RNO</t>
        </is>
      </c>
      <c r="B180" s="3" t="inlineStr">
        <is>
          <t>RNO-3707</t>
        </is>
      </c>
      <c r="C180" s="20" t="n">
        <v>46054</v>
      </c>
      <c r="D180" s="3" t="inlineStr">
        <is>
          <t>النظام القديم</t>
        </is>
      </c>
      <c r="E180" s="3" t="inlineStr">
        <is>
          <t>RN-SE123</t>
        </is>
      </c>
      <c r="F180" s="3" t="inlineStr">
        <is>
          <t>- بذور زينيا بروفيوجن مزدوج أصفر</t>
        </is>
      </c>
      <c r="G180" s="3" t="n">
        <v>5000</v>
      </c>
      <c r="H180" s="3" t="inlineStr">
        <is>
          <t>EA</t>
        </is>
      </c>
      <c r="I180" s="4" t="n">
        <v>0.15</v>
      </c>
      <c r="J180" s="4" t="n">
        <v>862.5</v>
      </c>
    </row>
    <row r="181">
      <c r="A181" s="3" t="inlineStr">
        <is>
          <t>RNO</t>
        </is>
      </c>
      <c r="B181" s="3" t="inlineStr">
        <is>
          <t>RNO-3707</t>
        </is>
      </c>
      <c r="C181" s="20" t="n">
        <v>46054</v>
      </c>
      <c r="D181" s="3" t="inlineStr">
        <is>
          <t>النظام القديم</t>
        </is>
      </c>
      <c r="E181" s="3" t="inlineStr">
        <is>
          <t>RN-SE124</t>
        </is>
      </c>
      <c r="F181" s="3" t="inlineStr">
        <is>
          <t>بذور زينيا بروفيوجن مزدوج ناري</t>
        </is>
      </c>
      <c r="G181" s="3" t="n">
        <v>5000</v>
      </c>
      <c r="H181" s="3" t="inlineStr">
        <is>
          <t>EA</t>
        </is>
      </c>
      <c r="I181" s="4" t="n">
        <v>0.15</v>
      </c>
      <c r="J181" s="4" t="n">
        <v>862.5</v>
      </c>
    </row>
    <row r="182">
      <c r="A182" s="3" t="inlineStr">
        <is>
          <t>RNO</t>
        </is>
      </c>
      <c r="B182" s="3" t="inlineStr">
        <is>
          <t>RNO-3707</t>
        </is>
      </c>
      <c r="C182" s="20" t="n">
        <v>46054</v>
      </c>
      <c r="D182" s="3" t="inlineStr">
        <is>
          <t>النظام القديم</t>
        </is>
      </c>
      <c r="E182" s="3" t="inlineStr">
        <is>
          <t>RN-SE125</t>
        </is>
      </c>
      <c r="F182" s="3" t="inlineStr">
        <is>
          <t>بذور زينيا بروفيوجن مزدوج كرزي حار</t>
        </is>
      </c>
      <c r="G182" s="3" t="n">
        <v>5000</v>
      </c>
      <c r="H182" s="3" t="inlineStr">
        <is>
          <t>EA</t>
        </is>
      </c>
      <c r="I182" s="4" t="n">
        <v>0.15</v>
      </c>
      <c r="J182" s="4" t="n">
        <v>862.5</v>
      </c>
    </row>
    <row r="183">
      <c r="A183" s="5" t="inlineStr"/>
      <c r="B183" s="5" t="inlineStr">
        <is>
          <t>إجمالي RNO-3707</t>
        </is>
      </c>
      <c r="C183" s="5" t="inlineStr"/>
      <c r="D183" s="5" t="inlineStr"/>
      <c r="E183" s="5" t="inlineStr"/>
      <c r="F183" s="5" t="inlineStr"/>
      <c r="G183" s="5">
        <f>SUM(G167:G182)</f>
        <v/>
      </c>
      <c r="H183" s="5" t="inlineStr"/>
      <c r="I183" s="5" t="inlineStr"/>
      <c r="J183" s="6">
        <f>SUM(J167:J182)</f>
        <v/>
      </c>
    </row>
    <row r="184">
      <c r="A184" s="3" t="inlineStr">
        <is>
          <t>RNO</t>
        </is>
      </c>
      <c r="B184" s="3" t="inlineStr">
        <is>
          <t>RNO-3762</t>
        </is>
      </c>
      <c r="C184" s="20" t="n">
        <v>46058</v>
      </c>
      <c r="D184" s="3" t="inlineStr">
        <is>
          <t>النظام القديم</t>
        </is>
      </c>
      <c r="E184" s="3" t="inlineStr">
        <is>
          <t>RN-FR1033</t>
        </is>
      </c>
      <c r="F184" s="3" t="inlineStr">
        <is>
          <t>بيتموس تي اس مخصب 210 لتر</t>
        </is>
      </c>
      <c r="G184" s="3" t="n">
        <v>5</v>
      </c>
      <c r="H184" s="3" t="inlineStr">
        <is>
          <t>EA</t>
        </is>
      </c>
      <c r="I184" s="4" t="n">
        <v>101.5</v>
      </c>
      <c r="J184" s="4" t="n">
        <v>583.625</v>
      </c>
    </row>
    <row r="185">
      <c r="A185" s="3" t="inlineStr">
        <is>
          <t>RNO</t>
        </is>
      </c>
      <c r="B185" s="3" t="inlineStr">
        <is>
          <t>RNO-3762</t>
        </is>
      </c>
      <c r="C185" s="20" t="n">
        <v>46058</v>
      </c>
      <c r="D185" s="3" t="inlineStr">
        <is>
          <t>النظام القديم</t>
        </is>
      </c>
      <c r="E185" s="3" t="inlineStr">
        <is>
          <t>RN-FR368</t>
        </is>
      </c>
      <c r="F185" s="3" t="inlineStr">
        <is>
          <t>بيرلايت 100 لتر</t>
        </is>
      </c>
      <c r="G185" s="3" t="n">
        <v>2</v>
      </c>
      <c r="H185" s="3" t="inlineStr">
        <is>
          <t>EA</t>
        </is>
      </c>
      <c r="I185" s="4" t="n">
        <v>32.5</v>
      </c>
      <c r="J185" s="4" t="n">
        <v>74.75</v>
      </c>
    </row>
    <row r="186">
      <c r="A186" s="3" t="inlineStr">
        <is>
          <t>RNO</t>
        </is>
      </c>
      <c r="B186" s="3" t="inlineStr">
        <is>
          <t>RNO-3762</t>
        </is>
      </c>
      <c r="C186" s="20" t="n">
        <v>46058</v>
      </c>
      <c r="D186" s="3" t="inlineStr">
        <is>
          <t>النظام القديم</t>
        </is>
      </c>
      <c r="E186" s="3" t="inlineStr">
        <is>
          <t>RN-PL12</t>
        </is>
      </c>
      <c r="F186" s="3" t="inlineStr">
        <is>
          <t>صندوق فلين للزهور</t>
        </is>
      </c>
      <c r="G186" s="3" t="n">
        <v>5560</v>
      </c>
      <c r="H186" s="3" t="inlineStr">
        <is>
          <t>EA</t>
        </is>
      </c>
      <c r="I186" s="4" t="n">
        <v>4</v>
      </c>
      <c r="J186" s="4" t="n">
        <v>25576</v>
      </c>
    </row>
    <row r="187">
      <c r="A187" s="5" t="inlineStr"/>
      <c r="B187" s="5" t="inlineStr">
        <is>
          <t>إجمالي RNO-3762</t>
        </is>
      </c>
      <c r="C187" s="5" t="inlineStr"/>
      <c r="D187" s="5" t="inlineStr"/>
      <c r="E187" s="5" t="inlineStr"/>
      <c r="F187" s="5" t="inlineStr"/>
      <c r="G187" s="5">
        <f>SUM(G184:G186)</f>
        <v/>
      </c>
      <c r="H187" s="5" t="inlineStr"/>
      <c r="I187" s="5" t="inlineStr"/>
      <c r="J187" s="6">
        <f>SUM(J184:J186)</f>
        <v/>
      </c>
    </row>
    <row r="188">
      <c r="A188" s="3" t="inlineStr">
        <is>
          <t>RNO</t>
        </is>
      </c>
      <c r="B188" s="3" t="inlineStr">
        <is>
          <t>RNO-3777</t>
        </is>
      </c>
      <c r="C188" s="20" t="n">
        <v>46061</v>
      </c>
      <c r="D188" s="3" t="inlineStr">
        <is>
          <t>النظام القديم</t>
        </is>
      </c>
      <c r="E188" s="3" t="inlineStr">
        <is>
          <t>RN-SE126</t>
        </is>
      </c>
      <c r="F188" s="3" t="inlineStr">
        <is>
          <t>جذور جازانيا كيس أبيض</t>
        </is>
      </c>
      <c r="G188" s="3" t="n">
        <v>5000</v>
      </c>
      <c r="H188" s="3" t="inlineStr">
        <is>
          <t>EA</t>
        </is>
      </c>
      <c r="I188" s="4" t="n">
        <v>0.095</v>
      </c>
      <c r="J188" s="4" t="n">
        <v>546.25</v>
      </c>
    </row>
    <row r="189">
      <c r="A189" s="3" t="inlineStr">
        <is>
          <t>RNO</t>
        </is>
      </c>
      <c r="B189" s="3" t="inlineStr">
        <is>
          <t>RNO-3777</t>
        </is>
      </c>
      <c r="C189" s="20" t="n">
        <v>46061</v>
      </c>
      <c r="D189" s="3" t="inlineStr">
        <is>
          <t>النظام القديم</t>
        </is>
      </c>
      <c r="E189" s="3" t="inlineStr">
        <is>
          <t>RN-SE127</t>
        </is>
      </c>
      <c r="F189" s="3" t="inlineStr">
        <is>
          <t>- بذور جازانيا كيس برتقالي</t>
        </is>
      </c>
      <c r="G189" s="3" t="n">
        <v>5000</v>
      </c>
      <c r="H189" s="3" t="inlineStr">
        <is>
          <t>EA</t>
        </is>
      </c>
      <c r="I189" s="4" t="n">
        <v>0.095</v>
      </c>
      <c r="J189" s="4" t="n">
        <v>546.25</v>
      </c>
    </row>
    <row r="190">
      <c r="A190" s="3" t="inlineStr">
        <is>
          <t>RNO</t>
        </is>
      </c>
      <c r="B190" s="3" t="inlineStr">
        <is>
          <t>RNO-3777</t>
        </is>
      </c>
      <c r="C190" s="20" t="n">
        <v>46061</v>
      </c>
      <c r="D190" s="3" t="inlineStr">
        <is>
          <t>النظام القديم</t>
        </is>
      </c>
      <c r="E190" s="3" t="inlineStr">
        <is>
          <t>RN-SE128</t>
        </is>
      </c>
      <c r="F190" s="3" t="inlineStr">
        <is>
          <t>- بذور جازانيا كيس أصفر</t>
        </is>
      </c>
      <c r="G190" s="3" t="n">
        <v>5000</v>
      </c>
      <c r="H190" s="3" t="inlineStr">
        <is>
          <t>EA</t>
        </is>
      </c>
      <c r="I190" s="4" t="n">
        <v>0.095</v>
      </c>
      <c r="J190" s="4" t="n">
        <v>546.25</v>
      </c>
    </row>
    <row r="191">
      <c r="A191" s="3" t="inlineStr">
        <is>
          <t>RNO</t>
        </is>
      </c>
      <c r="B191" s="3" t="inlineStr">
        <is>
          <t>RNO-3777</t>
        </is>
      </c>
      <c r="C191" s="20" t="n">
        <v>46061</v>
      </c>
      <c r="D191" s="3" t="inlineStr">
        <is>
          <t>النظام القديم</t>
        </is>
      </c>
      <c r="E191" s="3" t="inlineStr">
        <is>
          <t>RN-FR1033</t>
        </is>
      </c>
      <c r="F191" s="3" t="inlineStr">
        <is>
          <t>بيتموس تي اس مخصب 210 لتر</t>
        </is>
      </c>
      <c r="G191" s="3" t="n">
        <v>2</v>
      </c>
      <c r="H191" s="3" t="inlineStr">
        <is>
          <t>EA</t>
        </is>
      </c>
      <c r="I191" s="4" t="n">
        <v>101.5</v>
      </c>
      <c r="J191" s="4" t="n">
        <v>233.45</v>
      </c>
    </row>
    <row r="192">
      <c r="A192" s="3" t="inlineStr">
        <is>
          <t>RNO</t>
        </is>
      </c>
      <c r="B192" s="3" t="inlineStr">
        <is>
          <t>RNO-3777</t>
        </is>
      </c>
      <c r="C192" s="20" t="n">
        <v>46061</v>
      </c>
      <c r="D192" s="3" t="inlineStr">
        <is>
          <t>النظام القديم</t>
        </is>
      </c>
      <c r="E192" s="3" t="inlineStr">
        <is>
          <t>RN-FR368</t>
        </is>
      </c>
      <c r="F192" s="3" t="inlineStr">
        <is>
          <t>بيرلايت 100 لتر</t>
        </is>
      </c>
      <c r="G192" s="3" t="n">
        <v>1</v>
      </c>
      <c r="H192" s="3" t="inlineStr">
        <is>
          <t>EA</t>
        </is>
      </c>
      <c r="I192" s="4" t="n">
        <v>32.5</v>
      </c>
      <c r="J192" s="4" t="n">
        <v>37.375</v>
      </c>
    </row>
    <row r="193">
      <c r="A193" s="3" t="inlineStr">
        <is>
          <t>RNO</t>
        </is>
      </c>
      <c r="B193" s="3" t="inlineStr">
        <is>
          <t>RNO-3777</t>
        </is>
      </c>
      <c r="C193" s="20" t="n">
        <v>46061</v>
      </c>
      <c r="D193" s="3" t="inlineStr">
        <is>
          <t>النظام القديم</t>
        </is>
      </c>
      <c r="E193" s="3" t="inlineStr">
        <is>
          <t>RN-FR1017</t>
        </is>
      </c>
      <c r="F193" s="3" t="inlineStr">
        <is>
          <t>بوتنج سويل 70 لتر (KLAS)</t>
        </is>
      </c>
      <c r="G193" s="3" t="n">
        <v>12</v>
      </c>
      <c r="H193" s="3" t="inlineStr">
        <is>
          <t>EA</t>
        </is>
      </c>
      <c r="I193" s="4" t="n">
        <v>46</v>
      </c>
      <c r="J193" s="4" t="n">
        <v>634.8</v>
      </c>
    </row>
    <row r="194">
      <c r="A194" s="3" t="inlineStr">
        <is>
          <t>RNO</t>
        </is>
      </c>
      <c r="B194" s="3" t="inlineStr">
        <is>
          <t>RNO-3777</t>
        </is>
      </c>
      <c r="C194" s="20" t="n">
        <v>46061</v>
      </c>
      <c r="D194" s="3" t="inlineStr">
        <is>
          <t>النظام القديم</t>
        </is>
      </c>
      <c r="E194" s="3" t="inlineStr">
        <is>
          <t>RN-PL12</t>
        </is>
      </c>
      <c r="F194" s="3" t="inlineStr">
        <is>
          <t>صندوق فلين للزهور</t>
        </is>
      </c>
      <c r="G194" s="3" t="n">
        <v>1550</v>
      </c>
      <c r="H194" s="3" t="inlineStr">
        <is>
          <t>EA</t>
        </is>
      </c>
      <c r="I194" s="4" t="n">
        <v>4</v>
      </c>
      <c r="J194" s="4" t="n">
        <v>7130</v>
      </c>
    </row>
    <row r="195">
      <c r="A195" s="5" t="inlineStr"/>
      <c r="B195" s="5" t="inlineStr">
        <is>
          <t>إجمالي RNO-3777</t>
        </is>
      </c>
      <c r="C195" s="5" t="inlineStr"/>
      <c r="D195" s="5" t="inlineStr"/>
      <c r="E195" s="5" t="inlineStr"/>
      <c r="F195" s="5" t="inlineStr"/>
      <c r="G195" s="5">
        <f>SUM(G188:G194)</f>
        <v/>
      </c>
      <c r="H195" s="5" t="inlineStr"/>
      <c r="I195" s="5" t="inlineStr"/>
      <c r="J195" s="6">
        <f>SUM(J188:J194)</f>
        <v/>
      </c>
    </row>
    <row r="196">
      <c r="A196" s="3" t="inlineStr">
        <is>
          <t>RNO</t>
        </is>
      </c>
      <c r="B196" s="3" t="inlineStr">
        <is>
          <t>RNO-3800</t>
        </is>
      </c>
      <c r="C196" s="20" t="n">
        <v>46063</v>
      </c>
      <c r="D196" s="3" t="inlineStr">
        <is>
          <t>النظام القديم</t>
        </is>
      </c>
      <c r="E196" s="3" t="inlineStr">
        <is>
          <t>RN-SE100</t>
        </is>
      </c>
      <c r="F196" s="3" t="inlineStr">
        <is>
          <t>- بذور فينكا فيكتوري أبيض</t>
        </is>
      </c>
      <c r="G196" s="3" t="n">
        <v>30000</v>
      </c>
      <c r="H196" s="3" t="inlineStr">
        <is>
          <t>EA</t>
        </is>
      </c>
      <c r="I196" s="4" t="n">
        <v>0.035</v>
      </c>
      <c r="J196" s="4" t="n">
        <v>1207.5</v>
      </c>
    </row>
    <row r="197">
      <c r="A197" s="3" t="inlineStr">
        <is>
          <t>RNO</t>
        </is>
      </c>
      <c r="B197" s="3" t="inlineStr">
        <is>
          <t>RNO-3800</t>
        </is>
      </c>
      <c r="C197" s="20" t="n">
        <v>46063</v>
      </c>
      <c r="D197" s="3" t="inlineStr">
        <is>
          <t>النظام القديم</t>
        </is>
      </c>
      <c r="E197" s="3" t="inlineStr">
        <is>
          <t>RN-SE102</t>
        </is>
      </c>
      <c r="F197" s="3" t="inlineStr">
        <is>
          <t>جذور فينكا فيكتوري أحمر</t>
        </is>
      </c>
      <c r="G197" s="3" t="n">
        <v>30000</v>
      </c>
      <c r="H197" s="3" t="inlineStr">
        <is>
          <t>EA</t>
        </is>
      </c>
      <c r="I197" s="4" t="n">
        <v>0.035</v>
      </c>
      <c r="J197" s="4" t="n">
        <v>1207.5</v>
      </c>
    </row>
    <row r="198">
      <c r="A198" s="3" t="inlineStr">
        <is>
          <t>RNO</t>
        </is>
      </c>
      <c r="B198" s="3" t="inlineStr">
        <is>
          <t>RNO-3800</t>
        </is>
      </c>
      <c r="C198" s="20" t="n">
        <v>46063</v>
      </c>
      <c r="D198" s="3" t="inlineStr">
        <is>
          <t>النظام القديم</t>
        </is>
      </c>
      <c r="E198" s="3" t="inlineStr">
        <is>
          <t>RN-SE103</t>
        </is>
      </c>
      <c r="F198" s="3" t="inlineStr">
        <is>
          <t>- جذور فينكا باسيفيكا أوركيد عميق</t>
        </is>
      </c>
      <c r="G198" s="3" t="n">
        <v>20000</v>
      </c>
      <c r="H198" s="3" t="inlineStr">
        <is>
          <t>EA</t>
        </is>
      </c>
      <c r="I198" s="4" t="n">
        <v>0.035</v>
      </c>
      <c r="J198" s="4" t="n">
        <v>805</v>
      </c>
    </row>
    <row r="199">
      <c r="A199" s="3" t="inlineStr">
        <is>
          <t>RNO</t>
        </is>
      </c>
      <c r="B199" s="3" t="inlineStr">
        <is>
          <t>RNO-3800</t>
        </is>
      </c>
      <c r="C199" s="20" t="n">
        <v>46063</v>
      </c>
      <c r="D199" s="3" t="inlineStr">
        <is>
          <t>النظام القديم</t>
        </is>
      </c>
      <c r="E199" s="3" t="inlineStr">
        <is>
          <t>RN-SE104</t>
        </is>
      </c>
      <c r="F199" s="3" t="inlineStr">
        <is>
          <t>- جذور فينكا باسيفيكا برغندي</t>
        </is>
      </c>
      <c r="G199" s="3" t="n">
        <v>10000</v>
      </c>
      <c r="H199" s="3" t="inlineStr">
        <is>
          <t>EA</t>
        </is>
      </c>
      <c r="I199" s="4" t="n">
        <v>0.035</v>
      </c>
      <c r="J199" s="4" t="n">
        <v>402.5</v>
      </c>
    </row>
    <row r="200">
      <c r="A200" s="3" t="inlineStr">
        <is>
          <t>RNO</t>
        </is>
      </c>
      <c r="B200" s="3" t="inlineStr">
        <is>
          <t>RNO-3800</t>
        </is>
      </c>
      <c r="C200" s="20" t="n">
        <v>46063</v>
      </c>
      <c r="D200" s="3" t="inlineStr">
        <is>
          <t>النظام القديم</t>
        </is>
      </c>
      <c r="E200" s="3" t="inlineStr">
        <is>
          <t>RN-SE105</t>
        </is>
      </c>
      <c r="F200" s="3" t="inlineStr">
        <is>
          <t>جذور فينكا باسيفيكا برغندي هالو</t>
        </is>
      </c>
      <c r="G200" s="3" t="n">
        <v>10000</v>
      </c>
      <c r="H200" s="3" t="inlineStr">
        <is>
          <t>EA</t>
        </is>
      </c>
      <c r="I200" s="4" t="n">
        <v>0.035</v>
      </c>
      <c r="J200" s="4" t="n">
        <v>402.5</v>
      </c>
    </row>
    <row r="201">
      <c r="A201" s="3" t="inlineStr">
        <is>
          <t>RNO</t>
        </is>
      </c>
      <c r="B201" s="3" t="inlineStr">
        <is>
          <t>RNO-3800</t>
        </is>
      </c>
      <c r="C201" s="20" t="n">
        <v>46063</v>
      </c>
      <c r="D201" s="3" t="inlineStr">
        <is>
          <t>النظام القديم</t>
        </is>
      </c>
      <c r="E201" s="3" t="inlineStr">
        <is>
          <t>RN-SE106</t>
        </is>
      </c>
      <c r="F201" s="3" t="inlineStr">
        <is>
          <t>بذور فينكا باسيفيكا أحمر</t>
        </is>
      </c>
      <c r="G201" s="3" t="n">
        <v>10000</v>
      </c>
      <c r="H201" s="3" t="inlineStr">
        <is>
          <t>EA</t>
        </is>
      </c>
      <c r="I201" s="4" t="n">
        <v>0.035</v>
      </c>
      <c r="J201" s="4" t="n">
        <v>402.5</v>
      </c>
    </row>
    <row r="202">
      <c r="A202" s="3" t="inlineStr">
        <is>
          <t>RNO</t>
        </is>
      </c>
      <c r="B202" s="3" t="inlineStr">
        <is>
          <t>RNO-3800</t>
        </is>
      </c>
      <c r="C202" s="20" t="n">
        <v>46063</v>
      </c>
      <c r="D202" s="3" t="inlineStr">
        <is>
          <t>النظام القديم</t>
        </is>
      </c>
      <c r="E202" s="3" t="inlineStr">
        <is>
          <t>RN-SE107</t>
        </is>
      </c>
      <c r="F202" s="3" t="inlineStr">
        <is>
          <t>بذور فينكا باسيفيكا مشمشي</t>
        </is>
      </c>
      <c r="G202" s="3" t="n">
        <v>10000</v>
      </c>
      <c r="H202" s="3" t="inlineStr">
        <is>
          <t>EA</t>
        </is>
      </c>
      <c r="I202" s="4" t="n">
        <v>0.035</v>
      </c>
      <c r="J202" s="4" t="n">
        <v>402.5</v>
      </c>
    </row>
    <row r="203">
      <c r="A203" s="3" t="inlineStr">
        <is>
          <t>RNO</t>
        </is>
      </c>
      <c r="B203" s="3" t="inlineStr">
        <is>
          <t>RNO-3800</t>
        </is>
      </c>
      <c r="C203" s="20" t="n">
        <v>46063</v>
      </c>
      <c r="D203" s="3" t="inlineStr">
        <is>
          <t>النظام القديم</t>
        </is>
      </c>
      <c r="E203" s="3" t="inlineStr">
        <is>
          <t>RN-SE108</t>
        </is>
      </c>
      <c r="F203" s="3" t="inlineStr">
        <is>
          <t>- جذور فينكا من ستورم مشمشي</t>
        </is>
      </c>
      <c r="G203" s="3" t="n">
        <v>10000</v>
      </c>
      <c r="H203" s="3" t="inlineStr">
        <is>
          <t>EA</t>
        </is>
      </c>
      <c r="I203" s="4" t="n">
        <v>0.03</v>
      </c>
      <c r="J203" s="4" t="n">
        <v>345</v>
      </c>
    </row>
    <row r="204">
      <c r="A204" s="3" t="inlineStr">
        <is>
          <t>RNO</t>
        </is>
      </c>
      <c r="B204" s="3" t="inlineStr">
        <is>
          <t>RNO-3800</t>
        </is>
      </c>
      <c r="C204" s="20" t="n">
        <v>46063</v>
      </c>
      <c r="D204" s="3" t="inlineStr">
        <is>
          <t>النظام القديم</t>
        </is>
      </c>
      <c r="E204" s="3" t="inlineStr">
        <is>
          <t>RN-FR1017</t>
        </is>
      </c>
      <c r="F204" s="3" t="inlineStr">
        <is>
          <t>بوتنج سويل 70 لتر (KLAS)</t>
        </is>
      </c>
      <c r="G204" s="3" t="n">
        <v>7</v>
      </c>
      <c r="H204" s="3" t="inlineStr">
        <is>
          <t>EA</t>
        </is>
      </c>
      <c r="I204" s="4" t="n">
        <v>46</v>
      </c>
      <c r="J204" s="4" t="n">
        <v>370.3</v>
      </c>
    </row>
    <row r="205">
      <c r="A205" s="3" t="inlineStr">
        <is>
          <t>RNO</t>
        </is>
      </c>
      <c r="B205" s="3" t="inlineStr">
        <is>
          <t>RNO-3800</t>
        </is>
      </c>
      <c r="C205" s="20" t="n">
        <v>46063</v>
      </c>
      <c r="D205" s="3" t="inlineStr">
        <is>
          <t>النظام القديم</t>
        </is>
      </c>
      <c r="E205" s="3" t="inlineStr">
        <is>
          <t>RN-FR1018</t>
        </is>
      </c>
      <c r="F205" s="3" t="inlineStr">
        <is>
          <t>فيرموكلايت 100 لتر</t>
        </is>
      </c>
      <c r="G205" s="3" t="n">
        <v>2</v>
      </c>
      <c r="H205" s="3" t="inlineStr">
        <is>
          <t>EA</t>
        </is>
      </c>
      <c r="I205" s="4" t="n">
        <v>75</v>
      </c>
      <c r="J205" s="4" t="n">
        <v>172.5</v>
      </c>
    </row>
    <row r="206">
      <c r="A206" s="3" t="inlineStr">
        <is>
          <t>RNO</t>
        </is>
      </c>
      <c r="B206" s="3" t="inlineStr">
        <is>
          <t>RNO-3800</t>
        </is>
      </c>
      <c r="C206" s="20" t="n">
        <v>46063</v>
      </c>
      <c r="D206" s="3" t="inlineStr">
        <is>
          <t>النظام القديم</t>
        </is>
      </c>
      <c r="E206" s="3" t="inlineStr">
        <is>
          <t>RN-FR1023</t>
        </is>
      </c>
      <c r="F206" s="3" t="inlineStr">
        <is>
          <t>سماد سنجر 20-20-20 + ع ن (25 كجم)</t>
        </is>
      </c>
      <c r="G206" s="3" t="n">
        <v>1</v>
      </c>
      <c r="H206" s="3" t="inlineStr">
        <is>
          <t>EA</t>
        </is>
      </c>
      <c r="I206" s="4" t="n">
        <v>280</v>
      </c>
      <c r="J206" s="4" t="n">
        <v>322</v>
      </c>
    </row>
    <row r="207">
      <c r="A207" s="5" t="inlineStr"/>
      <c r="B207" s="5" t="inlineStr">
        <is>
          <t>إجمالي RNO-3800</t>
        </is>
      </c>
      <c r="C207" s="5" t="inlineStr"/>
      <c r="D207" s="5" t="inlineStr"/>
      <c r="E207" s="5" t="inlineStr"/>
      <c r="F207" s="5" t="inlineStr"/>
      <c r="G207" s="5">
        <f>SUM(G196:G206)</f>
        <v/>
      </c>
      <c r="H207" s="5" t="inlineStr"/>
      <c r="I207" s="5" t="inlineStr"/>
      <c r="J207" s="6">
        <f>SUM(J196:J206)</f>
        <v/>
      </c>
    </row>
    <row r="208">
      <c r="A208" s="3" t="inlineStr">
        <is>
          <t>RNO</t>
        </is>
      </c>
      <c r="B208" s="3" t="inlineStr">
        <is>
          <t>RNO-3829</t>
        </is>
      </c>
      <c r="C208" s="20" t="n">
        <v>46065</v>
      </c>
      <c r="D208" s="3" t="inlineStr">
        <is>
          <t>النظام القديم</t>
        </is>
      </c>
      <c r="E208" s="3" t="inlineStr">
        <is>
          <t>RN-FR1033</t>
        </is>
      </c>
      <c r="F208" s="3" t="inlineStr">
        <is>
          <t>بيتموس تي اس مخصب 210 لتر</t>
        </is>
      </c>
      <c r="G208" s="3" t="n">
        <v>2</v>
      </c>
      <c r="H208" s="3" t="inlineStr">
        <is>
          <t>EA</t>
        </is>
      </c>
      <c r="I208" s="4" t="n">
        <v>101.5</v>
      </c>
      <c r="J208" s="4" t="n">
        <v>233.45</v>
      </c>
    </row>
    <row r="209">
      <c r="A209" s="3" t="inlineStr">
        <is>
          <t>RNO</t>
        </is>
      </c>
      <c r="B209" s="3" t="inlineStr">
        <is>
          <t>RNO-3829</t>
        </is>
      </c>
      <c r="C209" s="20" t="n">
        <v>46065</v>
      </c>
      <c r="D209" s="3" t="inlineStr">
        <is>
          <t>النظام القديم</t>
        </is>
      </c>
      <c r="E209" s="3" t="inlineStr">
        <is>
          <t>RN-FR368</t>
        </is>
      </c>
      <c r="F209" s="3" t="inlineStr">
        <is>
          <t>بيرلايت 100 لتر</t>
        </is>
      </c>
      <c r="G209" s="3" t="n">
        <v>1</v>
      </c>
      <c r="H209" s="3" t="inlineStr">
        <is>
          <t>EA</t>
        </is>
      </c>
      <c r="I209" s="4" t="n">
        <v>32.5</v>
      </c>
      <c r="J209" s="4" t="n">
        <v>37.375</v>
      </c>
    </row>
    <row r="210">
      <c r="A210" s="3" t="inlineStr">
        <is>
          <t>RNO</t>
        </is>
      </c>
      <c r="B210" s="3" t="inlineStr">
        <is>
          <t>RNO-3829</t>
        </is>
      </c>
      <c r="C210" s="20" t="n">
        <v>46065</v>
      </c>
      <c r="D210" s="3" t="inlineStr">
        <is>
          <t>النظام القديم</t>
        </is>
      </c>
      <c r="E210" s="3" t="inlineStr">
        <is>
          <t>RN-PL14</t>
        </is>
      </c>
      <c r="F210" s="3" t="inlineStr">
        <is>
          <t>مركن زراعي علاقي 19 سم</t>
        </is>
      </c>
      <c r="G210" s="3" t="n">
        <v>750</v>
      </c>
      <c r="H210" s="3" t="inlineStr">
        <is>
          <t>EA</t>
        </is>
      </c>
      <c r="I210" s="4" t="n">
        <v>2.5</v>
      </c>
      <c r="J210" s="4" t="n">
        <v>2156.25</v>
      </c>
    </row>
    <row r="211">
      <c r="A211" s="3" t="inlineStr">
        <is>
          <t>RNO</t>
        </is>
      </c>
      <c r="B211" s="3" t="inlineStr">
        <is>
          <t>RNO-3829</t>
        </is>
      </c>
      <c r="C211" s="20" t="n">
        <v>46065</v>
      </c>
      <c r="D211" s="3" t="inlineStr">
        <is>
          <t>النظام القديم</t>
        </is>
      </c>
      <c r="E211" s="3" t="inlineStr">
        <is>
          <t>RN-PL12</t>
        </is>
      </c>
      <c r="F211" s="3" t="inlineStr">
        <is>
          <t>صندوق فلين للزهور</t>
        </is>
      </c>
      <c r="G211" s="3" t="n">
        <v>650</v>
      </c>
      <c r="H211" s="3" t="inlineStr">
        <is>
          <t>EA</t>
        </is>
      </c>
      <c r="I211" s="4" t="n">
        <v>4</v>
      </c>
      <c r="J211" s="4" t="n">
        <v>2990</v>
      </c>
    </row>
    <row r="212">
      <c r="A212" s="5" t="inlineStr"/>
      <c r="B212" s="5" t="inlineStr">
        <is>
          <t>إجمالي RNO-3829</t>
        </is>
      </c>
      <c r="C212" s="5" t="inlineStr"/>
      <c r="D212" s="5" t="inlineStr"/>
      <c r="E212" s="5" t="inlineStr"/>
      <c r="F212" s="5" t="inlineStr"/>
      <c r="G212" s="5">
        <f>SUM(G208:G211)</f>
        <v/>
      </c>
      <c r="H212" s="5" t="inlineStr"/>
      <c r="I212" s="5" t="inlineStr"/>
      <c r="J212" s="6">
        <f>SUM(J208:J211)</f>
        <v/>
      </c>
    </row>
    <row r="213">
      <c r="A213" s="3" t="inlineStr">
        <is>
          <t>RNO</t>
        </is>
      </c>
      <c r="B213" s="3" t="inlineStr">
        <is>
          <t>RNO-3832</t>
        </is>
      </c>
      <c r="C213" s="20" t="n">
        <v>46066</v>
      </c>
      <c r="D213" s="3" t="inlineStr">
        <is>
          <t>النظام القديم</t>
        </is>
      </c>
      <c r="E213" s="3" t="inlineStr">
        <is>
          <t>RN-FR1033</t>
        </is>
      </c>
      <c r="F213" s="3" t="inlineStr">
        <is>
          <t>بيتموس تي اس مخصب 210 لتر</t>
        </is>
      </c>
      <c r="G213" s="3" t="n">
        <v>21</v>
      </c>
      <c r="H213" s="3" t="inlineStr">
        <is>
          <t>EA</t>
        </is>
      </c>
      <c r="I213" s="4" t="n">
        <v>101.5</v>
      </c>
      <c r="J213" s="4" t="n">
        <v>2451.225</v>
      </c>
    </row>
    <row r="214">
      <c r="A214" s="3" t="inlineStr">
        <is>
          <t>RNO</t>
        </is>
      </c>
      <c r="B214" s="3" t="inlineStr">
        <is>
          <t>RNO-3832</t>
        </is>
      </c>
      <c r="C214" s="20" t="n">
        <v>46066</v>
      </c>
      <c r="D214" s="3" t="inlineStr">
        <is>
          <t>النظام القديم</t>
        </is>
      </c>
      <c r="E214" s="3" t="inlineStr">
        <is>
          <t>RN-FR368</t>
        </is>
      </c>
      <c r="F214" s="3" t="inlineStr">
        <is>
          <t>بيرلايت 100 لتر</t>
        </is>
      </c>
      <c r="G214" s="3" t="n">
        <v>6</v>
      </c>
      <c r="H214" s="3" t="inlineStr">
        <is>
          <t>EA</t>
        </is>
      </c>
      <c r="I214" s="4" t="n">
        <v>32.5</v>
      </c>
      <c r="J214" s="4" t="n">
        <v>224.25</v>
      </c>
    </row>
    <row r="215">
      <c r="A215" s="3" t="inlineStr">
        <is>
          <t>RNO</t>
        </is>
      </c>
      <c r="B215" s="3" t="inlineStr">
        <is>
          <t>RNO-3832</t>
        </is>
      </c>
      <c r="C215" s="20" t="n">
        <v>46066</v>
      </c>
      <c r="D215" s="3" t="inlineStr">
        <is>
          <t>النظام القديم</t>
        </is>
      </c>
      <c r="E215" s="3" t="inlineStr">
        <is>
          <t>RN-PL1</t>
        </is>
      </c>
      <c r="F215" s="3" t="inlineStr">
        <is>
          <t>مركن - زراعي خفيف ملون 9 سم</t>
        </is>
      </c>
      <c r="G215" s="3" t="n">
        <v>30000</v>
      </c>
      <c r="H215" s="3" t="inlineStr">
        <is>
          <t>EA</t>
        </is>
      </c>
      <c r="I215" s="4" t="n">
        <v>0.06</v>
      </c>
      <c r="J215" s="4" t="n">
        <v>1794</v>
      </c>
    </row>
    <row r="216">
      <c r="A216" s="3" t="inlineStr">
        <is>
          <t>RNO</t>
        </is>
      </c>
      <c r="B216" s="3" t="inlineStr">
        <is>
          <t>RNO-3832</t>
        </is>
      </c>
      <c r="C216" s="20" t="n">
        <v>46066</v>
      </c>
      <c r="D216" s="3" t="inlineStr">
        <is>
          <t>النظام القديم</t>
        </is>
      </c>
      <c r="E216" s="3" t="inlineStr">
        <is>
          <t>RN-ID1503</t>
        </is>
      </c>
      <c r="F216" s="3" t="inlineStr">
        <is>
          <t>هيدرا  ان اس مركن9 سم</t>
        </is>
      </c>
      <c r="G216" s="3" t="n">
        <v>350</v>
      </c>
      <c r="H216" s="3" t="inlineStr">
        <is>
          <t>EA</t>
        </is>
      </c>
      <c r="I216" s="4" t="n">
        <v>2</v>
      </c>
      <c r="J216" s="4" t="n">
        <v>805</v>
      </c>
    </row>
    <row r="217">
      <c r="A217" s="5" t="inlineStr"/>
      <c r="B217" s="5" t="inlineStr">
        <is>
          <t>إجمالي RNO-3832</t>
        </is>
      </c>
      <c r="C217" s="5" t="inlineStr"/>
      <c r="D217" s="5" t="inlineStr"/>
      <c r="E217" s="5" t="inlineStr"/>
      <c r="F217" s="5" t="inlineStr"/>
      <c r="G217" s="5">
        <f>SUM(G213:G216)</f>
        <v/>
      </c>
      <c r="H217" s="5" t="inlineStr"/>
      <c r="I217" s="5" t="inlineStr"/>
      <c r="J217" s="6">
        <f>SUM(J213:J216)</f>
        <v/>
      </c>
    </row>
    <row r="218">
      <c r="A218" s="3" t="inlineStr">
        <is>
          <t>RNO</t>
        </is>
      </c>
      <c r="B218" s="3" t="inlineStr">
        <is>
          <t>RNO-3848</t>
        </is>
      </c>
      <c r="C218" s="20" t="n">
        <v>46068</v>
      </c>
      <c r="D218" s="3" t="inlineStr">
        <is>
          <t>النظام القديم</t>
        </is>
      </c>
      <c r="E218" s="3" t="inlineStr">
        <is>
          <t>RN-FR1033</t>
        </is>
      </c>
      <c r="F218" s="3" t="inlineStr">
        <is>
          <t>بيتموس تي اس مخصب 210 لتر</t>
        </is>
      </c>
      <c r="G218" s="3" t="n">
        <v>17</v>
      </c>
      <c r="H218" s="3" t="inlineStr">
        <is>
          <t>EA</t>
        </is>
      </c>
      <c r="I218" s="4" t="n">
        <v>101.5</v>
      </c>
      <c r="J218" s="4" t="n">
        <v>1984.325</v>
      </c>
    </row>
    <row r="219">
      <c r="A219" s="3" t="inlineStr">
        <is>
          <t>RNO</t>
        </is>
      </c>
      <c r="B219" s="3" t="inlineStr">
        <is>
          <t>RNO-3848</t>
        </is>
      </c>
      <c r="C219" s="20" t="n">
        <v>46068</v>
      </c>
      <c r="D219" s="3" t="inlineStr">
        <is>
          <t>النظام القديم</t>
        </is>
      </c>
      <c r="E219" s="3" t="inlineStr">
        <is>
          <t>RN-FR368</t>
        </is>
      </c>
      <c r="F219" s="3" t="inlineStr">
        <is>
          <t>بيرلايت 100 لتر</t>
        </is>
      </c>
      <c r="G219" s="3" t="n">
        <v>4</v>
      </c>
      <c r="H219" s="3" t="inlineStr">
        <is>
          <t>EA</t>
        </is>
      </c>
      <c r="I219" s="4" t="n">
        <v>32.5</v>
      </c>
      <c r="J219" s="4" t="n">
        <v>149.5</v>
      </c>
    </row>
    <row r="220">
      <c r="A220" s="5" t="inlineStr"/>
      <c r="B220" s="5" t="inlineStr">
        <is>
          <t>إجمالي RNO-3848</t>
        </is>
      </c>
      <c r="C220" s="5" t="inlineStr"/>
      <c r="D220" s="5" t="inlineStr"/>
      <c r="E220" s="5" t="inlineStr"/>
      <c r="F220" s="5" t="inlineStr"/>
      <c r="G220" s="5">
        <f>SUM(G218:G219)</f>
        <v/>
      </c>
      <c r="H220" s="5" t="inlineStr"/>
      <c r="I220" s="5" t="inlineStr"/>
      <c r="J220" s="6">
        <f>SUM(J218:J219)</f>
        <v/>
      </c>
    </row>
    <row r="221">
      <c r="A221" s="3" t="inlineStr">
        <is>
          <t>RNO</t>
        </is>
      </c>
      <c r="B221" s="3" t="inlineStr">
        <is>
          <t>RNO-3853</t>
        </is>
      </c>
      <c r="C221" s="20" t="n">
        <v>46069</v>
      </c>
      <c r="D221" s="3" t="inlineStr">
        <is>
          <t>النظام القديم</t>
        </is>
      </c>
      <c r="E221" s="3" t="inlineStr">
        <is>
          <t>RN-FR1004</t>
        </is>
      </c>
      <c r="F221" s="3" t="inlineStr">
        <is>
          <t>حديد مخلبي 16 كجم</t>
        </is>
      </c>
      <c r="G221" s="3" t="n">
        <v>1</v>
      </c>
      <c r="H221" s="3" t="inlineStr">
        <is>
          <t>EA</t>
        </is>
      </c>
      <c r="I221" s="4" t="n">
        <v>60</v>
      </c>
      <c r="J221" s="4" t="n">
        <v>69</v>
      </c>
    </row>
    <row r="222">
      <c r="A222" s="5" t="inlineStr"/>
      <c r="B222" s="5" t="inlineStr">
        <is>
          <t>إجمالي RNO-3853</t>
        </is>
      </c>
      <c r="C222" s="5" t="inlineStr"/>
      <c r="D222" s="5" t="inlineStr"/>
      <c r="E222" s="5" t="inlineStr"/>
      <c r="F222" s="5" t="inlineStr"/>
      <c r="G222" s="5">
        <f>SUM(G221:G221)</f>
        <v/>
      </c>
      <c r="H222" s="5" t="inlineStr"/>
      <c r="I222" s="5" t="inlineStr"/>
      <c r="J222" s="6">
        <f>SUM(J221:J221)</f>
        <v/>
      </c>
    </row>
    <row r="223">
      <c r="A223" s="3" t="inlineStr">
        <is>
          <t>RNO</t>
        </is>
      </c>
      <c r="B223" s="3" t="inlineStr">
        <is>
          <t>RNO-3862</t>
        </is>
      </c>
      <c r="C223" s="20" t="n">
        <v>46070</v>
      </c>
      <c r="D223" s="3" t="inlineStr">
        <is>
          <t>النظام القديم</t>
        </is>
      </c>
      <c r="E223" s="3" t="inlineStr">
        <is>
          <t>RN-SE21</t>
        </is>
      </c>
      <c r="F223" s="3" t="inlineStr">
        <is>
          <t>جذور سيلوزيا احمر</t>
        </is>
      </c>
      <c r="G223" s="3" t="n">
        <v>5000</v>
      </c>
      <c r="H223" s="3" t="inlineStr">
        <is>
          <t>EA</t>
        </is>
      </c>
      <c r="I223" s="4" t="n">
        <v>0.025</v>
      </c>
      <c r="J223" s="4" t="n">
        <v>143.75</v>
      </c>
    </row>
    <row r="224">
      <c r="A224" s="3" t="inlineStr">
        <is>
          <t>RNO</t>
        </is>
      </c>
      <c r="B224" s="3" t="inlineStr">
        <is>
          <t>RNO-3862</t>
        </is>
      </c>
      <c r="C224" s="20" t="n">
        <v>46070</v>
      </c>
      <c r="D224" s="3" t="inlineStr">
        <is>
          <t>النظام القديم</t>
        </is>
      </c>
      <c r="E224" s="3" t="inlineStr">
        <is>
          <t>RN-SE22</t>
        </is>
      </c>
      <c r="F224" s="3" t="inlineStr">
        <is>
          <t>جذور سيلوزيا اصفر</t>
        </is>
      </c>
      <c r="G224" s="3" t="n">
        <v>5000</v>
      </c>
      <c r="H224" s="3" t="inlineStr">
        <is>
          <t>EA</t>
        </is>
      </c>
      <c r="I224" s="4" t="n">
        <v>0.025</v>
      </c>
      <c r="J224" s="4" t="n">
        <v>143.75</v>
      </c>
    </row>
    <row r="225">
      <c r="A225" s="3" t="inlineStr">
        <is>
          <t>RNO</t>
        </is>
      </c>
      <c r="B225" s="3" t="inlineStr">
        <is>
          <t>RNO-3862</t>
        </is>
      </c>
      <c r="C225" s="20" t="n">
        <v>46070</v>
      </c>
      <c r="D225" s="3" t="inlineStr">
        <is>
          <t>النظام القديم</t>
        </is>
      </c>
      <c r="E225" s="3" t="inlineStr">
        <is>
          <t>RN-SE23</t>
        </is>
      </c>
      <c r="F225" s="3" t="inlineStr">
        <is>
          <t>- بذور سيلوزيا برتقالي</t>
        </is>
      </c>
      <c r="G225" s="3" t="n">
        <v>5000</v>
      </c>
      <c r="H225" s="3" t="inlineStr">
        <is>
          <t>EA</t>
        </is>
      </c>
      <c r="I225" s="4" t="n">
        <v>0.025</v>
      </c>
      <c r="J225" s="4" t="n">
        <v>143.75</v>
      </c>
    </row>
    <row r="226">
      <c r="A226" s="3" t="inlineStr">
        <is>
          <t>RNO</t>
        </is>
      </c>
      <c r="B226" s="3" t="inlineStr">
        <is>
          <t>RNO-3862</t>
        </is>
      </c>
      <c r="C226" s="20" t="n">
        <v>46070</v>
      </c>
      <c r="D226" s="3" t="inlineStr">
        <is>
          <t>النظام القديم</t>
        </is>
      </c>
      <c r="E226" s="3" t="inlineStr">
        <is>
          <t>RN-SE131</t>
        </is>
      </c>
      <c r="F226" s="3" t="inlineStr">
        <is>
          <t>- بذور سيلوزيا قرمزي</t>
        </is>
      </c>
      <c r="G226" s="3" t="n">
        <v>5000</v>
      </c>
      <c r="H226" s="3" t="inlineStr">
        <is>
          <t>EA</t>
        </is>
      </c>
      <c r="I226" s="4" t="n">
        <v>0.03</v>
      </c>
      <c r="J226" s="4" t="n">
        <v>172.5</v>
      </c>
    </row>
    <row r="227">
      <c r="A227" s="3" t="inlineStr">
        <is>
          <t>RNO</t>
        </is>
      </c>
      <c r="B227" s="3" t="inlineStr">
        <is>
          <t>RNO-3862</t>
        </is>
      </c>
      <c r="C227" s="20" t="n">
        <v>46070</v>
      </c>
      <c r="D227" s="3" t="inlineStr">
        <is>
          <t>النظام القديم</t>
        </is>
      </c>
      <c r="E227" s="3" t="inlineStr">
        <is>
          <t>RN-SE132</t>
        </is>
      </c>
      <c r="F227" s="3" t="inlineStr">
        <is>
          <t>جذور سيلوزيا كيمونو شيري ريد</t>
        </is>
      </c>
      <c r="G227" s="3" t="n">
        <v>5000</v>
      </c>
      <c r="H227" s="3" t="inlineStr">
        <is>
          <t>EA</t>
        </is>
      </c>
      <c r="I227" s="4" t="n">
        <v>0.03</v>
      </c>
      <c r="J227" s="4" t="n">
        <v>172.5</v>
      </c>
    </row>
    <row r="228">
      <c r="A228" s="3" t="inlineStr">
        <is>
          <t>RNO</t>
        </is>
      </c>
      <c r="B228" s="3" t="inlineStr">
        <is>
          <t>RNO-3862</t>
        </is>
      </c>
      <c r="C228" s="20" t="n">
        <v>46070</v>
      </c>
      <c r="D228" s="3" t="inlineStr">
        <is>
          <t>النظام القديم</t>
        </is>
      </c>
      <c r="E228" s="3" t="inlineStr">
        <is>
          <t>RN-SE88</t>
        </is>
      </c>
      <c r="F228" s="3" t="inlineStr">
        <is>
          <t>بذور بيلكترانثوس فير واى احمر</t>
        </is>
      </c>
      <c r="G228" s="3" t="n">
        <v>5000</v>
      </c>
      <c r="H228" s="3" t="inlineStr">
        <is>
          <t>EA</t>
        </is>
      </c>
      <c r="I228" s="4" t="n">
        <v>0.035</v>
      </c>
      <c r="J228" s="4" t="n">
        <v>201.25</v>
      </c>
    </row>
    <row r="229">
      <c r="A229" s="3" t="inlineStr">
        <is>
          <t>RNO</t>
        </is>
      </c>
      <c r="B229" s="3" t="inlineStr">
        <is>
          <t>RNO-3862</t>
        </is>
      </c>
      <c r="C229" s="20" t="n">
        <v>46070</v>
      </c>
      <c r="D229" s="3" t="inlineStr">
        <is>
          <t>النظام القديم</t>
        </is>
      </c>
      <c r="E229" s="3" t="inlineStr">
        <is>
          <t>RN-SE89</t>
        </is>
      </c>
      <c r="F229" s="3" t="inlineStr">
        <is>
          <t>- بذور بيلكترانثوس فير واى روبي</t>
        </is>
      </c>
      <c r="G229" s="3" t="n">
        <v>5000</v>
      </c>
      <c r="H229" s="3" t="inlineStr">
        <is>
          <t>EA</t>
        </is>
      </c>
      <c r="I229" s="4" t="n">
        <v>0.035</v>
      </c>
      <c r="J229" s="4" t="n">
        <v>201.25</v>
      </c>
    </row>
    <row r="230">
      <c r="A230" s="3" t="inlineStr">
        <is>
          <t>RNO</t>
        </is>
      </c>
      <c r="B230" s="3" t="inlineStr">
        <is>
          <t>RNO-3862</t>
        </is>
      </c>
      <c r="C230" s="20" t="n">
        <v>46070</v>
      </c>
      <c r="D230" s="3" t="inlineStr">
        <is>
          <t>النظام القديم</t>
        </is>
      </c>
      <c r="E230" s="3" t="inlineStr">
        <is>
          <t>RN-SE90</t>
        </is>
      </c>
      <c r="F230" s="3" t="inlineStr">
        <is>
          <t>- جذور بيلكترانثوس فير واى بينك غامق</t>
        </is>
      </c>
      <c r="G230" s="3" t="n">
        <v>5000</v>
      </c>
      <c r="H230" s="3" t="inlineStr">
        <is>
          <t>EA</t>
        </is>
      </c>
      <c r="I230" s="4" t="n">
        <v>0.035</v>
      </c>
      <c r="J230" s="4" t="n">
        <v>201.25</v>
      </c>
    </row>
    <row r="231">
      <c r="A231" s="3" t="inlineStr">
        <is>
          <t>RNO</t>
        </is>
      </c>
      <c r="B231" s="3" t="inlineStr">
        <is>
          <t>RNO-3862</t>
        </is>
      </c>
      <c r="C231" s="20" t="n">
        <v>46070</v>
      </c>
      <c r="D231" s="3" t="inlineStr">
        <is>
          <t>النظام القديم</t>
        </is>
      </c>
      <c r="E231" s="3" t="inlineStr">
        <is>
          <t>RN-SE129</t>
        </is>
      </c>
      <c r="F231" s="3" t="inlineStr">
        <is>
          <t>- بذور بيلكترانثوس فير واى برتقالى</t>
        </is>
      </c>
      <c r="G231" s="3" t="n">
        <v>5000</v>
      </c>
      <c r="H231" s="3" t="inlineStr">
        <is>
          <t>EA</t>
        </is>
      </c>
      <c r="I231" s="4" t="n">
        <v>0.035</v>
      </c>
      <c r="J231" s="4" t="n">
        <v>201.25</v>
      </c>
    </row>
    <row r="232">
      <c r="A232" s="3" t="inlineStr">
        <is>
          <t>RNO</t>
        </is>
      </c>
      <c r="B232" s="3" t="inlineStr">
        <is>
          <t>RNO-3862</t>
        </is>
      </c>
      <c r="C232" s="20" t="n">
        <v>46070</v>
      </c>
      <c r="D232" s="3" t="inlineStr">
        <is>
          <t>النظام القديم</t>
        </is>
      </c>
      <c r="E232" s="3" t="inlineStr">
        <is>
          <t>RN-SE130</t>
        </is>
      </c>
      <c r="F232" s="3" t="inlineStr">
        <is>
          <t>- بذور بيلكترانثوس فير واى موزابيك</t>
        </is>
      </c>
      <c r="G232" s="3" t="n">
        <v>5000</v>
      </c>
      <c r="H232" s="3" t="inlineStr">
        <is>
          <t>EA</t>
        </is>
      </c>
      <c r="I232" s="4" t="n">
        <v>0.035</v>
      </c>
      <c r="J232" s="4" t="n">
        <v>201.25</v>
      </c>
    </row>
    <row r="233">
      <c r="A233" s="3" t="inlineStr">
        <is>
          <t>RNO</t>
        </is>
      </c>
      <c r="B233" s="3" t="inlineStr">
        <is>
          <t>RNO-3862</t>
        </is>
      </c>
      <c r="C233" s="20" t="n">
        <v>46070</v>
      </c>
      <c r="D233" s="3" t="inlineStr">
        <is>
          <t>النظام القديم</t>
        </is>
      </c>
      <c r="E233" s="3" t="inlineStr">
        <is>
          <t>RN-SE111</t>
        </is>
      </c>
      <c r="F233" s="3" t="inlineStr">
        <is>
          <t>بذور أمارانتس</t>
        </is>
      </c>
      <c r="G233" s="3" t="n">
        <v>5000</v>
      </c>
      <c r="H233" s="3" t="inlineStr">
        <is>
          <t>EA</t>
        </is>
      </c>
      <c r="I233" s="4" t="n">
        <v>0.01</v>
      </c>
      <c r="J233" s="4" t="n">
        <v>57.5</v>
      </c>
    </row>
    <row r="234">
      <c r="A234" s="3" t="inlineStr">
        <is>
          <t>RNO</t>
        </is>
      </c>
      <c r="B234" s="3" t="inlineStr">
        <is>
          <t>RNO-3862</t>
        </is>
      </c>
      <c r="C234" s="20" t="n">
        <v>46070</v>
      </c>
      <c r="D234" s="3" t="inlineStr">
        <is>
          <t>النظام القديم</t>
        </is>
      </c>
      <c r="E234" s="3" t="inlineStr">
        <is>
          <t>RN-FR1033</t>
        </is>
      </c>
      <c r="F234" s="3" t="inlineStr">
        <is>
          <t>بيتموس تي اس مخصب 210 لتر</t>
        </is>
      </c>
      <c r="G234" s="3" t="n">
        <v>21</v>
      </c>
      <c r="H234" s="3" t="inlineStr">
        <is>
          <t>EA</t>
        </is>
      </c>
      <c r="I234" s="4" t="n">
        <v>101.5</v>
      </c>
      <c r="J234" s="4" t="n">
        <v>2451.225</v>
      </c>
    </row>
    <row r="235">
      <c r="A235" s="3" t="inlineStr">
        <is>
          <t>RNO</t>
        </is>
      </c>
      <c r="B235" s="3" t="inlineStr">
        <is>
          <t>RNO-3862</t>
        </is>
      </c>
      <c r="C235" s="20" t="n">
        <v>46070</v>
      </c>
      <c r="D235" s="3" t="inlineStr">
        <is>
          <t>النظام القديم</t>
        </is>
      </c>
      <c r="E235" s="3" t="inlineStr">
        <is>
          <t>RN-FR368</t>
        </is>
      </c>
      <c r="F235" s="3" t="inlineStr">
        <is>
          <t>بيرلايت 100 لتر</t>
        </is>
      </c>
      <c r="G235" s="3" t="n">
        <v>6</v>
      </c>
      <c r="H235" s="3" t="inlineStr">
        <is>
          <t>EA</t>
        </is>
      </c>
      <c r="I235" s="4" t="n">
        <v>32.5</v>
      </c>
      <c r="J235" s="4" t="n">
        <v>224.25</v>
      </c>
    </row>
    <row r="236">
      <c r="A236" s="3" t="inlineStr">
        <is>
          <t>RNO</t>
        </is>
      </c>
      <c r="B236" s="3" t="inlineStr">
        <is>
          <t>RNO-3862</t>
        </is>
      </c>
      <c r="C236" s="20" t="n">
        <v>46070</v>
      </c>
      <c r="D236" s="3" t="inlineStr">
        <is>
          <t>النظام القديم</t>
        </is>
      </c>
      <c r="E236" s="3" t="inlineStr">
        <is>
          <t>RN-PL1</t>
        </is>
      </c>
      <c r="F236" s="3" t="inlineStr">
        <is>
          <t>مركن زراعي خفيف ملون 9 سم</t>
        </is>
      </c>
      <c r="G236" s="3" t="n">
        <v>26000</v>
      </c>
      <c r="H236" s="3" t="inlineStr">
        <is>
          <t>EA</t>
        </is>
      </c>
      <c r="I236" s="4" t="n">
        <v>0.06</v>
      </c>
      <c r="J236" s="4" t="n">
        <v>1794</v>
      </c>
    </row>
    <row r="237">
      <c r="A237" s="3" t="inlineStr">
        <is>
          <t>RNO</t>
        </is>
      </c>
      <c r="B237" s="3" t="inlineStr">
        <is>
          <t>RNO-3862</t>
        </is>
      </c>
      <c r="C237" s="20" t="n">
        <v>46070</v>
      </c>
      <c r="D237" s="3" t="inlineStr">
        <is>
          <t>النظام القديم</t>
        </is>
      </c>
      <c r="E237" s="3" t="inlineStr">
        <is>
          <t>RN-FR1017</t>
        </is>
      </c>
      <c r="F237" s="3" t="inlineStr">
        <is>
          <t>بوتنج سويل 70 لتر (KLAS)</t>
        </is>
      </c>
      <c r="G237" s="3" t="n">
        <v>7</v>
      </c>
      <c r="H237" s="3" t="inlineStr">
        <is>
          <t>EA</t>
        </is>
      </c>
      <c r="I237" s="4" t="n">
        <v>46</v>
      </c>
      <c r="J237" s="4" t="n">
        <v>370.3</v>
      </c>
    </row>
    <row r="238">
      <c r="A238" s="3" t="inlineStr">
        <is>
          <t>RNO</t>
        </is>
      </c>
      <c r="B238" s="3" t="inlineStr">
        <is>
          <t>RNO-3862</t>
        </is>
      </c>
      <c r="C238" s="20" t="n">
        <v>46070</v>
      </c>
      <c r="D238" s="3" t="inlineStr">
        <is>
          <t>النظام القديم</t>
        </is>
      </c>
      <c r="E238" s="3" t="inlineStr">
        <is>
          <t>RN-FR1018</t>
        </is>
      </c>
      <c r="F238" s="3" t="inlineStr">
        <is>
          <t>فيرموكلايت 100 لتر</t>
        </is>
      </c>
      <c r="G238" s="3" t="n">
        <v>1</v>
      </c>
      <c r="H238" s="3" t="inlineStr">
        <is>
          <t>EA</t>
        </is>
      </c>
      <c r="I238" s="4" t="n">
        <v>75</v>
      </c>
      <c r="J238" s="4" t="n">
        <v>86.25</v>
      </c>
    </row>
    <row r="239">
      <c r="A239" s="5" t="inlineStr"/>
      <c r="B239" s="5" t="inlineStr">
        <is>
          <t>إجمالي RNO-3862</t>
        </is>
      </c>
      <c r="C239" s="5" t="inlineStr"/>
      <c r="D239" s="5" t="inlineStr"/>
      <c r="E239" s="5" t="inlineStr"/>
      <c r="F239" s="5" t="inlineStr"/>
      <c r="G239" s="5">
        <f>SUM(G223:G238)</f>
        <v/>
      </c>
      <c r="H239" s="5" t="inlineStr"/>
      <c r="I239" s="5" t="inlineStr"/>
      <c r="J239" s="6">
        <f>SUM(J223:J238)</f>
        <v/>
      </c>
    </row>
    <row r="240">
      <c r="A240" s="3" t="inlineStr">
        <is>
          <t>RNO</t>
        </is>
      </c>
      <c r="B240" s="3" t="inlineStr">
        <is>
          <t>RNO-3879</t>
        </is>
      </c>
      <c r="C240" s="20" t="n">
        <v>46072</v>
      </c>
      <c r="D240" s="3" t="inlineStr">
        <is>
          <t>النظام القديم</t>
        </is>
      </c>
      <c r="E240" s="3" t="inlineStr">
        <is>
          <t>RN-PL12</t>
        </is>
      </c>
      <c r="F240" s="3" t="inlineStr">
        <is>
          <t>RN12 - صندوق فلين للزهور</t>
        </is>
      </c>
      <c r="G240" s="3" t="n">
        <v>1425</v>
      </c>
      <c r="H240" s="3" t="inlineStr">
        <is>
          <t>EA</t>
        </is>
      </c>
      <c r="I240" s="4" t="n">
        <v>4</v>
      </c>
      <c r="J240" s="4" t="n">
        <v>6555</v>
      </c>
    </row>
    <row r="241">
      <c r="A241" s="5" t="inlineStr"/>
      <c r="B241" s="5" t="inlineStr">
        <is>
          <t>إجمالي RNO-3879</t>
        </is>
      </c>
      <c r="C241" s="5" t="inlineStr"/>
      <c r="D241" s="5" t="inlineStr"/>
      <c r="E241" s="5" t="inlineStr"/>
      <c r="F241" s="5" t="inlineStr"/>
      <c r="G241" s="5">
        <f>SUM(G240:G240)</f>
        <v/>
      </c>
      <c r="H241" s="5" t="inlineStr"/>
      <c r="I241" s="5" t="inlineStr"/>
      <c r="J241" s="6">
        <f>SUM(J240:J240)</f>
        <v/>
      </c>
    </row>
    <row r="242">
      <c r="A242" s="3" t="inlineStr">
        <is>
          <t>RNO</t>
        </is>
      </c>
      <c r="B242" s="3" t="inlineStr">
        <is>
          <t>RNO-3906</t>
        </is>
      </c>
      <c r="C242" s="20" t="n">
        <v>46075</v>
      </c>
      <c r="D242" s="3" t="inlineStr">
        <is>
          <t>النظام القديم</t>
        </is>
      </c>
      <c r="E242" s="3" t="inlineStr">
        <is>
          <t>RN-FR1033</t>
        </is>
      </c>
      <c r="F242" s="3" t="inlineStr">
        <is>
          <t>بيتموس تي اس مخصب 210 لتر</t>
        </is>
      </c>
      <c r="G242" s="3" t="n">
        <v>17</v>
      </c>
      <c r="H242" s="3" t="inlineStr">
        <is>
          <t>EA</t>
        </is>
      </c>
      <c r="I242" s="4" t="n">
        <v>101.5</v>
      </c>
      <c r="J242" s="4" t="n">
        <v>1984.325</v>
      </c>
    </row>
    <row r="243">
      <c r="A243" s="3" t="inlineStr">
        <is>
          <t>RNO</t>
        </is>
      </c>
      <c r="B243" s="3" t="inlineStr">
        <is>
          <t>RNO-3906</t>
        </is>
      </c>
      <c r="C243" s="20" t="n">
        <v>46075</v>
      </c>
      <c r="D243" s="3" t="inlineStr">
        <is>
          <t>النظام القديم</t>
        </is>
      </c>
      <c r="E243" s="3" t="inlineStr">
        <is>
          <t>RN-FR368</t>
        </is>
      </c>
      <c r="F243" s="3" t="inlineStr">
        <is>
          <t>بيرلايت 100 لتر</t>
        </is>
      </c>
      <c r="G243" s="3" t="n">
        <v>6</v>
      </c>
      <c r="H243" s="3" t="inlineStr">
        <is>
          <t>EA</t>
        </is>
      </c>
      <c r="I243" s="4" t="n">
        <v>32.5</v>
      </c>
      <c r="J243" s="4" t="n">
        <v>224.25</v>
      </c>
    </row>
    <row r="244">
      <c r="A244" s="3" t="inlineStr">
        <is>
          <t>RNO</t>
        </is>
      </c>
      <c r="B244" s="3" t="inlineStr">
        <is>
          <t>RNO-3906</t>
        </is>
      </c>
      <c r="C244" s="20" t="n">
        <v>46075</v>
      </c>
      <c r="D244" s="3" t="inlineStr">
        <is>
          <t>النظام القديم</t>
        </is>
      </c>
      <c r="E244" s="3" t="inlineStr">
        <is>
          <t>RN-PL1</t>
        </is>
      </c>
      <c r="F244" s="3" t="inlineStr">
        <is>
          <t>مركن - زراعي خفيف ملون 9 سم</t>
        </is>
      </c>
      <c r="G244" s="3" t="n">
        <v>6000</v>
      </c>
      <c r="H244" s="3" t="inlineStr">
        <is>
          <t>EA</t>
        </is>
      </c>
      <c r="I244" s="4" t="n">
        <v>0.06</v>
      </c>
      <c r="J244" s="4" t="n">
        <v>414</v>
      </c>
    </row>
    <row r="245">
      <c r="A245" s="3" t="inlineStr">
        <is>
          <t>RNO</t>
        </is>
      </c>
      <c r="B245" s="3" t="inlineStr">
        <is>
          <t>RNO-3906</t>
        </is>
      </c>
      <c r="C245" s="20" t="n">
        <v>46075</v>
      </c>
      <c r="D245" s="3" t="inlineStr">
        <is>
          <t>النظام القديم</t>
        </is>
      </c>
      <c r="E245" s="3" t="inlineStr">
        <is>
          <t>RN-PL9</t>
        </is>
      </c>
      <c r="F245" s="3" t="inlineStr">
        <is>
          <t>مركن زراعي 40 سم</t>
        </is>
      </c>
      <c r="G245" s="3" t="n">
        <v>1304</v>
      </c>
      <c r="H245" s="3" t="inlineStr">
        <is>
          <t>EA</t>
        </is>
      </c>
      <c r="I245" s="4" t="n">
        <v>4.5</v>
      </c>
      <c r="J245" s="4" t="n">
        <v>6748.2</v>
      </c>
    </row>
    <row r="246">
      <c r="A246" s="3" t="inlineStr">
        <is>
          <t>RNO</t>
        </is>
      </c>
      <c r="B246" s="3" t="inlineStr">
        <is>
          <t>RNO-3906</t>
        </is>
      </c>
      <c r="C246" s="20" t="n">
        <v>46075</v>
      </c>
      <c r="D246" s="3" t="inlineStr">
        <is>
          <t>النظام القديم</t>
        </is>
      </c>
      <c r="E246" s="3" t="inlineStr">
        <is>
          <t>RN-PL12</t>
        </is>
      </c>
      <c r="F246" s="3" t="inlineStr">
        <is>
          <t>صندوق فلين للزهور</t>
        </is>
      </c>
      <c r="G246" s="3" t="n">
        <v>450</v>
      </c>
      <c r="H246" s="3" t="inlineStr">
        <is>
          <t>EA</t>
        </is>
      </c>
      <c r="I246" s="4" t="n">
        <v>4</v>
      </c>
      <c r="J246" s="4" t="n">
        <v>2070</v>
      </c>
    </row>
    <row r="247">
      <c r="A247" s="5" t="inlineStr"/>
      <c r="B247" s="5" t="inlineStr">
        <is>
          <t>إجمالي RNO-3906</t>
        </is>
      </c>
      <c r="C247" s="5" t="inlineStr"/>
      <c r="D247" s="5" t="inlineStr"/>
      <c r="E247" s="5" t="inlineStr"/>
      <c r="F247" s="5" t="inlineStr"/>
      <c r="G247" s="5">
        <f>SUM(G242:G246)</f>
        <v/>
      </c>
      <c r="H247" s="5" t="inlineStr"/>
      <c r="I247" s="5" t="inlineStr"/>
      <c r="J247" s="6">
        <f>SUM(J242:J246)</f>
        <v/>
      </c>
    </row>
    <row r="248">
      <c r="A248" s="3" t="inlineStr">
        <is>
          <t>RNO</t>
        </is>
      </c>
      <c r="B248" s="3" t="inlineStr">
        <is>
          <t>ISV-0002</t>
        </is>
      </c>
      <c r="C248" s="20" t="n">
        <v>46186</v>
      </c>
      <c r="D248" s="3" t="inlineStr">
        <is>
          <t>النظام الجديد</t>
        </is>
      </c>
      <c r="E248" s="3" t="inlineStr">
        <is>
          <t>FR1022</t>
        </is>
      </c>
      <c r="F248" s="3" t="inlineStr">
        <is>
          <t>اجري فير شيلات حديد 6% 1 كجم</t>
        </is>
      </c>
      <c r="G248" s="3" t="n">
        <v>1</v>
      </c>
      <c r="H248" s="3" t="inlineStr">
        <is>
          <t>EA</t>
        </is>
      </c>
      <c r="I248" s="4" t="n">
        <v>41.5</v>
      </c>
      <c r="J248" s="4" t="n">
        <v>41.5</v>
      </c>
    </row>
    <row r="249">
      <c r="A249" s="3" t="inlineStr">
        <is>
          <t>RNO</t>
        </is>
      </c>
      <c r="B249" s="3" t="inlineStr">
        <is>
          <t>ISV-0002</t>
        </is>
      </c>
      <c r="C249" s="20" t="n">
        <v>46186</v>
      </c>
      <c r="D249" s="3" t="inlineStr">
        <is>
          <t>النظام الجديد</t>
        </is>
      </c>
      <c r="E249" s="3" t="inlineStr">
        <is>
          <t>PL1</t>
        </is>
      </c>
      <c r="F249" s="3" t="inlineStr">
        <is>
          <t>مركن زراعى خفيف ملون 9 سم</t>
        </is>
      </c>
      <c r="G249" s="3" t="n">
        <v>2000</v>
      </c>
      <c r="H249" s="3" t="inlineStr">
        <is>
          <t>EA</t>
        </is>
      </c>
      <c r="I249" s="4" t="n">
        <v>0.06</v>
      </c>
      <c r="J249" s="4" t="n">
        <v>120</v>
      </c>
    </row>
    <row r="250">
      <c r="A250" s="5" t="inlineStr"/>
      <c r="B250" s="5" t="inlineStr">
        <is>
          <t>إجمالي ISV-0002</t>
        </is>
      </c>
      <c r="C250" s="5" t="inlineStr"/>
      <c r="D250" s="5" t="inlineStr"/>
      <c r="E250" s="5" t="inlineStr"/>
      <c r="F250" s="5" t="inlineStr"/>
      <c r="G250" s="5">
        <f>SUM(G248:G249)</f>
        <v/>
      </c>
      <c r="H250" s="5" t="inlineStr"/>
      <c r="I250" s="5" t="inlineStr"/>
      <c r="J250" s="6">
        <f>SUM(J248:J249)</f>
        <v/>
      </c>
    </row>
    <row r="251">
      <c r="A251" s="3" t="inlineStr">
        <is>
          <t>RNO</t>
        </is>
      </c>
      <c r="B251" s="3" t="inlineStr">
        <is>
          <t>ISV-0003</t>
        </is>
      </c>
      <c r="C251" s="20" t="n">
        <v>46186</v>
      </c>
      <c r="D251" s="3" t="inlineStr">
        <is>
          <t>النظام الجديد</t>
        </is>
      </c>
      <c r="E251" s="3" t="inlineStr">
        <is>
          <t>FR1023</t>
        </is>
      </c>
      <c r="F251" s="3" t="inlineStr">
        <is>
          <t>سنجرال 20-20-20+ع ن - 25 كجم</t>
        </is>
      </c>
      <c r="G251" s="3" t="n">
        <v>1</v>
      </c>
      <c r="H251" s="3" t="inlineStr">
        <is>
          <t>EA</t>
        </is>
      </c>
      <c r="I251" s="4" t="n">
        <v>310.5</v>
      </c>
      <c r="J251" s="4" t="n">
        <v>310.5</v>
      </c>
    </row>
    <row r="252">
      <c r="A252" s="5" t="inlineStr"/>
      <c r="B252" s="5" t="inlineStr">
        <is>
          <t>إجمالي ISV-0003</t>
        </is>
      </c>
      <c r="C252" s="5" t="inlineStr"/>
      <c r="D252" s="5" t="inlineStr"/>
      <c r="E252" s="5" t="inlineStr"/>
      <c r="F252" s="5" t="inlineStr"/>
      <c r="G252" s="5">
        <f>SUM(G251:G251)</f>
        <v/>
      </c>
      <c r="H252" s="5" t="inlineStr"/>
      <c r="I252" s="5" t="inlineStr"/>
      <c r="J252" s="6">
        <f>SUM(J251:J251)</f>
        <v/>
      </c>
    </row>
    <row r="253">
      <c r="A253" s="3" t="inlineStr">
        <is>
          <t>RNO</t>
        </is>
      </c>
      <c r="B253" s="3" t="inlineStr">
        <is>
          <t>ISV-0008</t>
        </is>
      </c>
      <c r="C253" s="20" t="n">
        <v>46187</v>
      </c>
      <c r="D253" s="3" t="inlineStr">
        <is>
          <t>النظام الجديد</t>
        </is>
      </c>
      <c r="E253" s="3" t="inlineStr">
        <is>
          <t>FR1033</t>
        </is>
      </c>
      <c r="F253" s="3" t="inlineStr">
        <is>
          <t>بيتموس تى اس مخصب 210 لتر</t>
        </is>
      </c>
      <c r="G253" s="3" t="n">
        <v>15</v>
      </c>
      <c r="H253" s="3" t="inlineStr">
        <is>
          <t>EA</t>
        </is>
      </c>
      <c r="I253" s="4" t="n">
        <v>101.5</v>
      </c>
      <c r="J253" s="4" t="n">
        <v>1522.5</v>
      </c>
    </row>
    <row r="254">
      <c r="A254" s="3" t="inlineStr">
        <is>
          <t>RNO</t>
        </is>
      </c>
      <c r="B254" s="3" t="inlineStr">
        <is>
          <t>ISV-0008</t>
        </is>
      </c>
      <c r="C254" s="20" t="n">
        <v>46187</v>
      </c>
      <c r="D254" s="3" t="inlineStr">
        <is>
          <t>النظام الجديد</t>
        </is>
      </c>
      <c r="E254" s="3" t="inlineStr">
        <is>
          <t>FR368</t>
        </is>
      </c>
      <c r="F254" s="3" t="inlineStr">
        <is>
          <t>بيرلايت 100 لتر</t>
        </is>
      </c>
      <c r="G254" s="3" t="n">
        <v>4</v>
      </c>
      <c r="H254" s="3" t="inlineStr">
        <is>
          <t>EA</t>
        </is>
      </c>
      <c r="I254" s="4" t="n">
        <v>32.5</v>
      </c>
      <c r="J254" s="4" t="n">
        <v>130</v>
      </c>
    </row>
    <row r="255">
      <c r="A255" s="3" t="inlineStr">
        <is>
          <t>RNO</t>
        </is>
      </c>
      <c r="B255" s="3" t="inlineStr">
        <is>
          <t>ISV-0008</t>
        </is>
      </c>
      <c r="C255" s="20" t="n">
        <v>46187</v>
      </c>
      <c r="D255" s="3" t="inlineStr">
        <is>
          <t>النظام الجديد</t>
        </is>
      </c>
      <c r="E255" s="3" t="inlineStr">
        <is>
          <t>PL1</t>
        </is>
      </c>
      <c r="F255" s="3" t="inlineStr">
        <is>
          <t>مركن زراعى خفيف ملون 9 سم</t>
        </is>
      </c>
      <c r="G255" s="3" t="n">
        <v>16000</v>
      </c>
      <c r="H255" s="3" t="inlineStr">
        <is>
          <t>EA</t>
        </is>
      </c>
      <c r="I255" s="4" t="n">
        <v>0.06</v>
      </c>
      <c r="J255" s="4" t="n">
        <v>960</v>
      </c>
    </row>
    <row r="256">
      <c r="A256" s="3" t="inlineStr">
        <is>
          <t>RNO</t>
        </is>
      </c>
      <c r="B256" s="3" t="inlineStr">
        <is>
          <t>ISV-0008</t>
        </is>
      </c>
      <c r="C256" s="20" t="n">
        <v>46187</v>
      </c>
      <c r="D256" s="3" t="inlineStr">
        <is>
          <t>النظام الجديد</t>
        </is>
      </c>
      <c r="E256" s="3" t="inlineStr">
        <is>
          <t>PL15</t>
        </is>
      </c>
      <c r="F256" s="3" t="inlineStr">
        <is>
          <t>سنادات شجر طول 3 متر</t>
        </is>
      </c>
      <c r="G256" s="3" t="n">
        <v>40</v>
      </c>
      <c r="H256" s="3" t="inlineStr">
        <is>
          <t>EA</t>
        </is>
      </c>
      <c r="I256" s="4" t="n">
        <v>3.5</v>
      </c>
      <c r="J256" s="4" t="n">
        <v>140</v>
      </c>
    </row>
    <row r="257">
      <c r="A257" s="3" t="inlineStr">
        <is>
          <t>RNO</t>
        </is>
      </c>
      <c r="B257" s="3" t="inlineStr">
        <is>
          <t>ISV-0008</t>
        </is>
      </c>
      <c r="C257" s="20" t="n">
        <v>46187</v>
      </c>
      <c r="D257" s="3" t="inlineStr">
        <is>
          <t>النظام الجديد</t>
        </is>
      </c>
      <c r="E257" s="3" t="inlineStr">
        <is>
          <t>FR1022</t>
        </is>
      </c>
      <c r="F257" s="3" t="inlineStr">
        <is>
          <t>اجري فير شيلات حديد 6% 1 كجم</t>
        </is>
      </c>
      <c r="G257" s="3" t="n">
        <v>1</v>
      </c>
      <c r="H257" s="3" t="inlineStr">
        <is>
          <t>EA</t>
        </is>
      </c>
      <c r="I257" s="4" t="n">
        <v>43.5</v>
      </c>
      <c r="J257" s="4" t="n">
        <v>43.5</v>
      </c>
    </row>
    <row r="258">
      <c r="A258" s="5" t="inlineStr"/>
      <c r="B258" s="5" t="inlineStr">
        <is>
          <t>إجمالي ISV-0008</t>
        </is>
      </c>
      <c r="C258" s="5" t="inlineStr"/>
      <c r="D258" s="5" t="inlineStr"/>
      <c r="E258" s="5" t="inlineStr"/>
      <c r="F258" s="5" t="inlineStr"/>
      <c r="G258" s="5">
        <f>SUM(G253:G257)</f>
        <v/>
      </c>
      <c r="H258" s="5" t="inlineStr"/>
      <c r="I258" s="5" t="inlineStr"/>
      <c r="J258" s="6">
        <f>SUM(J253:J257)</f>
        <v/>
      </c>
    </row>
    <row r="259">
      <c r="A259" s="3" t="inlineStr">
        <is>
          <t>RNO</t>
        </is>
      </c>
      <c r="B259" s="3" t="inlineStr">
        <is>
          <t>ISV-0018</t>
        </is>
      </c>
      <c r="C259" s="20" t="n">
        <v>46190</v>
      </c>
      <c r="D259" s="3" t="inlineStr">
        <is>
          <t>النظام الجديد</t>
        </is>
      </c>
      <c r="E259" s="3" t="inlineStr">
        <is>
          <t>FR1033</t>
        </is>
      </c>
      <c r="F259" s="3" t="inlineStr">
        <is>
          <t>بيتموس تى اس مخصب 210 لتر</t>
        </is>
      </c>
      <c r="G259" s="3" t="n">
        <v>22</v>
      </c>
      <c r="H259" s="3" t="inlineStr">
        <is>
          <t>EA</t>
        </is>
      </c>
      <c r="I259" s="4" t="n">
        <v>101.5</v>
      </c>
      <c r="J259" s="4" t="n">
        <v>2233</v>
      </c>
    </row>
    <row r="260">
      <c r="A260" s="3" t="inlineStr">
        <is>
          <t>RNO</t>
        </is>
      </c>
      <c r="B260" s="3" t="inlineStr">
        <is>
          <t>ISV-0018</t>
        </is>
      </c>
      <c r="C260" s="20" t="n">
        <v>46190</v>
      </c>
      <c r="D260" s="3" t="inlineStr">
        <is>
          <t>النظام الجديد</t>
        </is>
      </c>
      <c r="E260" s="3" t="inlineStr">
        <is>
          <t>FR368</t>
        </is>
      </c>
      <c r="F260" s="3" t="inlineStr">
        <is>
          <t>بيرلايت 100 لتر</t>
        </is>
      </c>
      <c r="G260" s="3" t="n">
        <v>6</v>
      </c>
      <c r="H260" s="3" t="inlineStr">
        <is>
          <t>EA</t>
        </is>
      </c>
      <c r="I260" s="4" t="n">
        <v>32.5</v>
      </c>
      <c r="J260" s="4" t="n">
        <v>195</v>
      </c>
    </row>
    <row r="261">
      <c r="A261" s="3" t="inlineStr">
        <is>
          <t>RNO</t>
        </is>
      </c>
      <c r="B261" s="3" t="inlineStr">
        <is>
          <t>ISV-0018</t>
        </is>
      </c>
      <c r="C261" s="20" t="n">
        <v>46190</v>
      </c>
      <c r="D261" s="3" t="inlineStr">
        <is>
          <t>النظام الجديد</t>
        </is>
      </c>
      <c r="E261" s="3" t="inlineStr">
        <is>
          <t>PL1</t>
        </is>
      </c>
      <c r="F261" s="3" t="inlineStr">
        <is>
          <t>مركن زراعى خفيف ملون 9 سم</t>
        </is>
      </c>
      <c r="G261" s="3" t="n">
        <v>10000</v>
      </c>
      <c r="H261" s="3" t="inlineStr">
        <is>
          <t>EA</t>
        </is>
      </c>
      <c r="I261" s="4" t="n">
        <v>0.06</v>
      </c>
      <c r="J261" s="4" t="n">
        <v>600</v>
      </c>
    </row>
    <row r="262">
      <c r="A262" s="5" t="inlineStr"/>
      <c r="B262" s="5" t="inlineStr">
        <is>
          <t>إجمالي ISV-0018</t>
        </is>
      </c>
      <c r="C262" s="5" t="inlineStr"/>
      <c r="D262" s="5" t="inlineStr"/>
      <c r="E262" s="5" t="inlineStr"/>
      <c r="F262" s="5" t="inlineStr"/>
      <c r="G262" s="5">
        <f>SUM(G259:G261)</f>
        <v/>
      </c>
      <c r="H262" s="5" t="inlineStr"/>
      <c r="I262" s="5" t="inlineStr"/>
      <c r="J262" s="6">
        <f>SUM(J259:J261)</f>
        <v/>
      </c>
    </row>
    <row r="263">
      <c r="A263" s="3" t="inlineStr">
        <is>
          <t>RNO</t>
        </is>
      </c>
      <c r="B263" s="3" t="inlineStr">
        <is>
          <t>ISV-0023</t>
        </is>
      </c>
      <c r="C263" s="20" t="n">
        <v>46194</v>
      </c>
      <c r="D263" s="3" t="inlineStr">
        <is>
          <t>النظام الجديد</t>
        </is>
      </c>
      <c r="E263" s="3" t="inlineStr">
        <is>
          <t>PL1</t>
        </is>
      </c>
      <c r="F263" s="3" t="inlineStr">
        <is>
          <t>مركن زراعى خفيف ملون 9 سم</t>
        </is>
      </c>
      <c r="G263" s="3" t="n">
        <v>10000</v>
      </c>
      <c r="H263" s="3" t="inlineStr">
        <is>
          <t>EA</t>
        </is>
      </c>
      <c r="I263" s="4" t="n">
        <v>0.06</v>
      </c>
      <c r="J263" s="4" t="n">
        <v>600</v>
      </c>
    </row>
    <row r="264">
      <c r="A264" s="3" t="inlineStr">
        <is>
          <t>RNO</t>
        </is>
      </c>
      <c r="B264" s="3" t="inlineStr">
        <is>
          <t>ISV-0023</t>
        </is>
      </c>
      <c r="C264" s="20" t="n">
        <v>46194</v>
      </c>
      <c r="D264" s="3" t="inlineStr">
        <is>
          <t>النظام الجديد</t>
        </is>
      </c>
      <c r="E264" s="3" t="inlineStr">
        <is>
          <t>FR1022</t>
        </is>
      </c>
      <c r="F264" s="3" t="inlineStr">
        <is>
          <t>اجري فير شيلات حديد 6% 1 كجم</t>
        </is>
      </c>
      <c r="G264" s="3" t="n">
        <v>1</v>
      </c>
      <c r="H264" s="3" t="inlineStr">
        <is>
          <t>EA</t>
        </is>
      </c>
      <c r="I264" s="4" t="n">
        <v>43.5</v>
      </c>
      <c r="J264" s="4" t="n">
        <v>43.5</v>
      </c>
    </row>
    <row r="265">
      <c r="A265" s="5" t="inlineStr"/>
      <c r="B265" s="5" t="inlineStr">
        <is>
          <t>إجمالي ISV-0023</t>
        </is>
      </c>
      <c r="C265" s="5" t="inlineStr"/>
      <c r="D265" s="5" t="inlineStr"/>
      <c r="E265" s="5" t="inlineStr"/>
      <c r="F265" s="5" t="inlineStr"/>
      <c r="G265" s="5">
        <f>SUM(G263:G264)</f>
        <v/>
      </c>
      <c r="H265" s="5" t="inlineStr"/>
      <c r="I265" s="5" t="inlineStr"/>
      <c r="J265" s="6">
        <f>SUM(J263:J264)</f>
        <v/>
      </c>
    </row>
    <row r="266">
      <c r="A266" s="3" t="inlineStr">
        <is>
          <t>RNO</t>
        </is>
      </c>
      <c r="B266" s="3" t="inlineStr">
        <is>
          <t>ISV-0042</t>
        </is>
      </c>
      <c r="C266" s="20" t="n">
        <v>46198</v>
      </c>
      <c r="D266" s="3" t="inlineStr">
        <is>
          <t>النظام الجديد</t>
        </is>
      </c>
      <c r="E266" s="3" t="inlineStr">
        <is>
          <t>FR1033</t>
        </is>
      </c>
      <c r="F266" s="3" t="inlineStr">
        <is>
          <t>بيتموس تى اس مخصب 210 لتر</t>
        </is>
      </c>
      <c r="G266" s="3" t="n">
        <v>7</v>
      </c>
      <c r="H266" s="3" t="inlineStr">
        <is>
          <t>EA</t>
        </is>
      </c>
      <c r="I266" s="4" t="n">
        <v>101.5</v>
      </c>
      <c r="J266" s="4" t="n">
        <v>710.5</v>
      </c>
    </row>
    <row r="267">
      <c r="A267" s="3" t="inlineStr">
        <is>
          <t>RNO</t>
        </is>
      </c>
      <c r="B267" s="3" t="inlineStr">
        <is>
          <t>ISV-0042</t>
        </is>
      </c>
      <c r="C267" s="20" t="n">
        <v>46198</v>
      </c>
      <c r="D267" s="3" t="inlineStr">
        <is>
          <t>النظام الجديد</t>
        </is>
      </c>
      <c r="E267" s="3" t="inlineStr">
        <is>
          <t>FR368</t>
        </is>
      </c>
      <c r="F267" s="3" t="inlineStr">
        <is>
          <t>بيرلايت 100 لتر</t>
        </is>
      </c>
      <c r="G267" s="3" t="n">
        <v>2</v>
      </c>
      <c r="H267" s="3" t="inlineStr">
        <is>
          <t>EA</t>
        </is>
      </c>
      <c r="I267" s="4" t="n">
        <v>32.5</v>
      </c>
      <c r="J267" s="4" t="n">
        <v>65</v>
      </c>
    </row>
    <row r="268">
      <c r="A268" s="3" t="inlineStr">
        <is>
          <t>RNO</t>
        </is>
      </c>
      <c r="B268" s="3" t="inlineStr">
        <is>
          <t>ISV-0042</t>
        </is>
      </c>
      <c r="C268" s="20" t="n">
        <v>46198</v>
      </c>
      <c r="D268" s="3" t="inlineStr">
        <is>
          <t>النظام الجديد</t>
        </is>
      </c>
      <c r="E268" s="3" t="inlineStr">
        <is>
          <t>PL9</t>
        </is>
      </c>
      <c r="F268" s="3" t="inlineStr">
        <is>
          <t>مركن زراعى 40 سم</t>
        </is>
      </c>
      <c r="G268" s="3" t="n">
        <v>300</v>
      </c>
      <c r="H268" s="3" t="inlineStr">
        <is>
          <t>EA</t>
        </is>
      </c>
      <c r="I268" s="4" t="n">
        <v>4.5</v>
      </c>
      <c r="J268" s="4" t="n">
        <v>1350</v>
      </c>
    </row>
    <row r="269">
      <c r="A269" s="5" t="inlineStr"/>
      <c r="B269" s="5" t="inlineStr">
        <is>
          <t>إجمالي ISV-0042</t>
        </is>
      </c>
      <c r="C269" s="5" t="inlineStr"/>
      <c r="D269" s="5" t="inlineStr"/>
      <c r="E269" s="5" t="inlineStr"/>
      <c r="F269" s="5" t="inlineStr"/>
      <c r="G269" s="5">
        <f>SUM(G266:G268)</f>
        <v/>
      </c>
      <c r="H269" s="5" t="inlineStr"/>
      <c r="I269" s="5" t="inlineStr"/>
      <c r="J269" s="6">
        <f>SUM(J266:J268)</f>
        <v/>
      </c>
    </row>
    <row r="270">
      <c r="A270" s="3" t="inlineStr">
        <is>
          <t>RNO</t>
        </is>
      </c>
      <c r="B270" s="3" t="inlineStr">
        <is>
          <t>ISV-0046</t>
        </is>
      </c>
      <c r="C270" s="20" t="n">
        <v>46200</v>
      </c>
      <c r="D270" s="3" t="inlineStr">
        <is>
          <t>النظام الجديد</t>
        </is>
      </c>
      <c r="E270" s="3" t="inlineStr">
        <is>
          <t>FR1033</t>
        </is>
      </c>
      <c r="F270" s="3" t="inlineStr">
        <is>
          <t>بيتموس تى اس مخصب 210 لتر</t>
        </is>
      </c>
      <c r="G270" s="3" t="n">
        <v>7</v>
      </c>
      <c r="H270" s="3" t="inlineStr">
        <is>
          <t>EA</t>
        </is>
      </c>
      <c r="I270" s="4" t="n">
        <v>101.5</v>
      </c>
      <c r="J270" s="4" t="n">
        <v>710.5</v>
      </c>
    </row>
    <row r="271">
      <c r="A271" s="3" t="inlineStr">
        <is>
          <t>RNO</t>
        </is>
      </c>
      <c r="B271" s="3" t="inlineStr">
        <is>
          <t>ISV-0046</t>
        </is>
      </c>
      <c r="C271" s="20" t="n">
        <v>46200</v>
      </c>
      <c r="D271" s="3" t="inlineStr">
        <is>
          <t>النظام الجديد</t>
        </is>
      </c>
      <c r="E271" s="3" t="inlineStr">
        <is>
          <t>FR368</t>
        </is>
      </c>
      <c r="F271" s="3" t="inlineStr">
        <is>
          <t>بيرلايت 100 لتر</t>
        </is>
      </c>
      <c r="G271" s="3" t="n">
        <v>2</v>
      </c>
      <c r="H271" s="3" t="inlineStr">
        <is>
          <t>EA</t>
        </is>
      </c>
      <c r="I271" s="4" t="n">
        <v>32.5</v>
      </c>
      <c r="J271" s="4" t="n">
        <v>65</v>
      </c>
    </row>
    <row r="272">
      <c r="A272" s="3" t="inlineStr">
        <is>
          <t>RNO</t>
        </is>
      </c>
      <c r="B272" s="3" t="inlineStr">
        <is>
          <t>ISV-0046</t>
        </is>
      </c>
      <c r="C272" s="20" t="n">
        <v>46200</v>
      </c>
      <c r="D272" s="3" t="inlineStr">
        <is>
          <t>النظام الجديد</t>
        </is>
      </c>
      <c r="E272" s="3" t="inlineStr">
        <is>
          <t>PL1</t>
        </is>
      </c>
      <c r="F272" s="3" t="inlineStr">
        <is>
          <t>مركن زراعى خفيف ملون 9 سم</t>
        </is>
      </c>
      <c r="G272" s="3" t="n">
        <v>2000</v>
      </c>
      <c r="H272" s="3" t="inlineStr">
        <is>
          <t>EA</t>
        </is>
      </c>
      <c r="I272" s="4" t="n">
        <v>0.06</v>
      </c>
      <c r="J272" s="4" t="n">
        <v>120</v>
      </c>
    </row>
    <row r="273">
      <c r="A273" s="5" t="inlineStr"/>
      <c r="B273" s="5" t="inlineStr">
        <is>
          <t>إجمالي ISV-0046</t>
        </is>
      </c>
      <c r="C273" s="5" t="inlineStr"/>
      <c r="D273" s="5" t="inlineStr"/>
      <c r="E273" s="5" t="inlineStr"/>
      <c r="F273" s="5" t="inlineStr"/>
      <c r="G273" s="5">
        <f>SUM(G270:G272)</f>
        <v/>
      </c>
      <c r="H273" s="5" t="inlineStr"/>
      <c r="I273" s="5" t="inlineStr"/>
      <c r="J273" s="6">
        <f>SUM(J270:J272)</f>
        <v/>
      </c>
    </row>
    <row r="274">
      <c r="A274" s="3" t="inlineStr">
        <is>
          <t>RNO</t>
        </is>
      </c>
      <c r="B274" s="3" t="inlineStr">
        <is>
          <t>ISV-0047</t>
        </is>
      </c>
      <c r="C274" s="20" t="n">
        <v>46200</v>
      </c>
      <c r="D274" s="3" t="inlineStr">
        <is>
          <t>النظام الجديد</t>
        </is>
      </c>
      <c r="E274" s="3" t="inlineStr">
        <is>
          <t>OD371</t>
        </is>
      </c>
      <c r="F274" s="3" t="inlineStr">
        <is>
          <t>اكاسيا جلوكا 1-2 متر</t>
        </is>
      </c>
      <c r="G274" s="3" t="n">
        <v>768</v>
      </c>
      <c r="H274" s="3" t="inlineStr">
        <is>
          <t>EA</t>
        </is>
      </c>
      <c r="I274" s="4" t="n">
        <v>25.5</v>
      </c>
      <c r="J274" s="4" t="n">
        <v>19584</v>
      </c>
    </row>
    <row r="275">
      <c r="A275" s="5" t="inlineStr"/>
      <c r="B275" s="5" t="inlineStr">
        <is>
          <t>إجمالي ISV-0047</t>
        </is>
      </c>
      <c r="C275" s="5" t="inlineStr"/>
      <c r="D275" s="5" t="inlineStr"/>
      <c r="E275" s="5" t="inlineStr"/>
      <c r="F275" s="5" t="inlineStr"/>
      <c r="G275" s="5">
        <f>SUM(G274:G274)</f>
        <v/>
      </c>
      <c r="H275" s="5" t="inlineStr"/>
      <c r="I275" s="5" t="inlineStr"/>
      <c r="J275" s="6">
        <f>SUM(J274:J274)</f>
        <v/>
      </c>
    </row>
    <row r="276">
      <c r="A276" s="3" t="inlineStr">
        <is>
          <t>RNO</t>
        </is>
      </c>
      <c r="B276" s="3" t="inlineStr">
        <is>
          <t>ISV-0053</t>
        </is>
      </c>
      <c r="C276" s="20" t="n">
        <v>46201</v>
      </c>
      <c r="D276" s="3" t="inlineStr">
        <is>
          <t>النظام الجديد</t>
        </is>
      </c>
      <c r="E276" s="3" t="inlineStr">
        <is>
          <t>PL12</t>
        </is>
      </c>
      <c r="F276" s="3" t="inlineStr">
        <is>
          <t>صندوق فلين للزهور</t>
        </is>
      </c>
      <c r="G276" s="3" t="n">
        <v>3348</v>
      </c>
      <c r="H276" s="3" t="inlineStr">
        <is>
          <t>EA</t>
        </is>
      </c>
      <c r="I276" s="4" t="n">
        <v>4</v>
      </c>
      <c r="J276" s="4" t="n">
        <v>13392</v>
      </c>
    </row>
    <row r="277">
      <c r="A277" s="5" t="inlineStr"/>
      <c r="B277" s="5" t="inlineStr">
        <is>
          <t>إجمالي ISV-0053</t>
        </is>
      </c>
      <c r="C277" s="5" t="inlineStr"/>
      <c r="D277" s="5" t="inlineStr"/>
      <c r="E277" s="5" t="inlineStr"/>
      <c r="F277" s="5" t="inlineStr"/>
      <c r="G277" s="5">
        <f>SUM(G276:G276)</f>
        <v/>
      </c>
      <c r="H277" s="5" t="inlineStr"/>
      <c r="I277" s="5" t="inlineStr"/>
      <c r="J277" s="6">
        <f>SUM(J276:J276)</f>
        <v/>
      </c>
    </row>
    <row r="278">
      <c r="A278" s="3" t="inlineStr">
        <is>
          <t>RNO</t>
        </is>
      </c>
      <c r="B278" s="3" t="inlineStr">
        <is>
          <t>ISV-0061</t>
        </is>
      </c>
      <c r="C278" s="20" t="n">
        <v>46202</v>
      </c>
      <c r="D278" s="3" t="inlineStr">
        <is>
          <t>النظام الجديد</t>
        </is>
      </c>
      <c r="E278" s="3" t="inlineStr">
        <is>
          <t>FR368</t>
        </is>
      </c>
      <c r="F278" s="3" t="inlineStr">
        <is>
          <t>بيرلايت 100 لتر</t>
        </is>
      </c>
      <c r="G278" s="3" t="n">
        <v>3</v>
      </c>
      <c r="H278" s="3" t="inlineStr">
        <is>
          <t>EA</t>
        </is>
      </c>
      <c r="I278" s="4" t="n">
        <v>32.5</v>
      </c>
      <c r="J278" s="4" t="n">
        <v>97.5</v>
      </c>
    </row>
    <row r="279">
      <c r="A279" s="3" t="inlineStr">
        <is>
          <t>RNO</t>
        </is>
      </c>
      <c r="B279" s="3" t="inlineStr">
        <is>
          <t>ISV-0061</t>
        </is>
      </c>
      <c r="C279" s="20" t="n">
        <v>46202</v>
      </c>
      <c r="D279" s="3" t="inlineStr">
        <is>
          <t>النظام الجديد</t>
        </is>
      </c>
      <c r="E279" s="3" t="inlineStr">
        <is>
          <t>PL1</t>
        </is>
      </c>
      <c r="F279" s="3" t="inlineStr">
        <is>
          <t>مركن زراعى خفيف ملون 9 سم</t>
        </is>
      </c>
      <c r="G279" s="3" t="n">
        <v>2000</v>
      </c>
      <c r="H279" s="3" t="inlineStr">
        <is>
          <t>EA</t>
        </is>
      </c>
      <c r="I279" s="4" t="n">
        <v>0.06</v>
      </c>
      <c r="J279" s="4" t="n">
        <v>120</v>
      </c>
    </row>
    <row r="280">
      <c r="A280" s="3" t="inlineStr">
        <is>
          <t>RNO</t>
        </is>
      </c>
      <c r="B280" s="3" t="inlineStr">
        <is>
          <t>ISV-0061</t>
        </is>
      </c>
      <c r="C280" s="20" t="n">
        <v>46202</v>
      </c>
      <c r="D280" s="3" t="inlineStr">
        <is>
          <t>النظام الجديد</t>
        </is>
      </c>
      <c r="E280" s="3" t="inlineStr">
        <is>
          <t>PL14</t>
        </is>
      </c>
      <c r="F280" s="3" t="inlineStr">
        <is>
          <t>مركن زراعى علاقى 19 سم</t>
        </is>
      </c>
      <c r="G280" s="3" t="n">
        <v>1200</v>
      </c>
      <c r="H280" s="3" t="inlineStr">
        <is>
          <t>EA</t>
        </is>
      </c>
      <c r="I280" s="4" t="n">
        <v>2.5</v>
      </c>
      <c r="J280" s="4" t="n">
        <v>3000</v>
      </c>
    </row>
    <row r="281">
      <c r="A281" s="5" t="inlineStr"/>
      <c r="B281" s="5" t="inlineStr">
        <is>
          <t>إجمالي ISV-0061</t>
        </is>
      </c>
      <c r="C281" s="5" t="inlineStr"/>
      <c r="D281" s="5" t="inlineStr"/>
      <c r="E281" s="5" t="inlineStr"/>
      <c r="F281" s="5" t="inlineStr"/>
      <c r="G281" s="5">
        <f>SUM(G278:G280)</f>
        <v/>
      </c>
      <c r="H281" s="5" t="inlineStr"/>
      <c r="I281" s="5" t="inlineStr"/>
      <c r="J281" s="6">
        <f>SUM(J278:J280)</f>
        <v/>
      </c>
    </row>
    <row r="282">
      <c r="A282" s="3" t="inlineStr">
        <is>
          <t>RNO</t>
        </is>
      </c>
      <c r="B282" s="3" t="inlineStr">
        <is>
          <t>ISV-0062</t>
        </is>
      </c>
      <c r="C282" s="20" t="n">
        <v>46203</v>
      </c>
      <c r="D282" s="3" t="inlineStr">
        <is>
          <t>النظام الجديد</t>
        </is>
      </c>
      <c r="E282" s="3" t="inlineStr">
        <is>
          <t>FR1022</t>
        </is>
      </c>
      <c r="F282" s="3" t="inlineStr">
        <is>
          <t>اجري فير شيلات حديد 6% 1 كجم</t>
        </is>
      </c>
      <c r="G282" s="3" t="n">
        <v>1</v>
      </c>
      <c r="H282" s="3" t="inlineStr">
        <is>
          <t>EA</t>
        </is>
      </c>
      <c r="I282" s="4" t="n">
        <v>43.5</v>
      </c>
      <c r="J282" s="4" t="n">
        <v>43.5</v>
      </c>
    </row>
    <row r="283">
      <c r="A283" s="3" t="inlineStr">
        <is>
          <t>RNO</t>
        </is>
      </c>
      <c r="B283" s="3" t="inlineStr">
        <is>
          <t>ISV-0062</t>
        </is>
      </c>
      <c r="C283" s="20" t="n">
        <v>46203</v>
      </c>
      <c r="D283" s="3" t="inlineStr">
        <is>
          <t>النظام الجديد</t>
        </is>
      </c>
      <c r="E283" s="3" t="inlineStr">
        <is>
          <t>PL2</t>
        </is>
      </c>
      <c r="F283" s="3" t="inlineStr">
        <is>
          <t>مركن زراعى خفيف 12 سم</t>
        </is>
      </c>
      <c r="G283" s="3" t="n">
        <v>1000</v>
      </c>
      <c r="H283" s="3" t="inlineStr">
        <is>
          <t>EA</t>
        </is>
      </c>
      <c r="I283" s="4" t="n">
        <v>0.2</v>
      </c>
      <c r="J283" s="4" t="n">
        <v>200</v>
      </c>
    </row>
    <row r="284">
      <c r="A284" s="3" t="inlineStr">
        <is>
          <t>RNO</t>
        </is>
      </c>
      <c r="B284" s="3" t="inlineStr">
        <is>
          <t>ISV-0062</t>
        </is>
      </c>
      <c r="C284" s="20" t="n">
        <v>46203</v>
      </c>
      <c r="D284" s="3" t="inlineStr">
        <is>
          <t>النظام الجديد</t>
        </is>
      </c>
      <c r="E284" s="3" t="inlineStr">
        <is>
          <t>PL9</t>
        </is>
      </c>
      <c r="F284" s="3" t="inlineStr">
        <is>
          <t>مركن زراعى 40 سم</t>
        </is>
      </c>
      <c r="G284" s="3" t="n">
        <v>100</v>
      </c>
      <c r="H284" s="3" t="inlineStr">
        <is>
          <t>EA</t>
        </is>
      </c>
      <c r="I284" s="4" t="n">
        <v>4.5</v>
      </c>
      <c r="J284" s="4" t="n">
        <v>450</v>
      </c>
    </row>
    <row r="285">
      <c r="A285" s="3" t="inlineStr">
        <is>
          <t>RNO</t>
        </is>
      </c>
      <c r="B285" s="3" t="inlineStr">
        <is>
          <t>ISV-0062</t>
        </is>
      </c>
      <c r="C285" s="20" t="n">
        <v>46203</v>
      </c>
      <c r="D285" s="3" t="inlineStr">
        <is>
          <t>النظام الجديد</t>
        </is>
      </c>
      <c r="E285" s="3" t="inlineStr">
        <is>
          <t>PL14</t>
        </is>
      </c>
      <c r="F285" s="3" t="inlineStr">
        <is>
          <t>مركن زراعى علاقى 19 سم</t>
        </is>
      </c>
      <c r="G285" s="3" t="n">
        <v>150</v>
      </c>
      <c r="H285" s="3" t="inlineStr">
        <is>
          <t>EA</t>
        </is>
      </c>
      <c r="I285" s="4" t="n">
        <v>2.5</v>
      </c>
      <c r="J285" s="4" t="n">
        <v>375</v>
      </c>
    </row>
    <row r="286">
      <c r="A286" s="5" t="inlineStr"/>
      <c r="B286" s="5" t="inlineStr">
        <is>
          <t>إجمالي ISV-0062</t>
        </is>
      </c>
      <c r="C286" s="5" t="inlineStr"/>
      <c r="D286" s="5" t="inlineStr"/>
      <c r="E286" s="5" t="inlineStr"/>
      <c r="F286" s="5" t="inlineStr"/>
      <c r="G286" s="5">
        <f>SUM(G282:G285)</f>
        <v/>
      </c>
      <c r="H286" s="5" t="inlineStr"/>
      <c r="I286" s="5" t="inlineStr"/>
      <c r="J286" s="6">
        <f>SUM(J282:J285)</f>
        <v/>
      </c>
    </row>
    <row r="287">
      <c r="A287" s="3" t="inlineStr">
        <is>
          <t>RNO</t>
        </is>
      </c>
      <c r="B287" s="3" t="inlineStr">
        <is>
          <t>ISV-0063</t>
        </is>
      </c>
      <c r="C287" s="20" t="n">
        <v>46203</v>
      </c>
      <c r="D287" s="3" t="inlineStr">
        <is>
          <t>النظام الجديد</t>
        </is>
      </c>
      <c r="E287" s="3" t="inlineStr">
        <is>
          <t>ID1503</t>
        </is>
      </c>
      <c r="F287" s="3" t="inlineStr">
        <is>
          <t>هيدرا ان اس مركن 9 سم</t>
        </is>
      </c>
      <c r="G287" s="3" t="n">
        <v>600</v>
      </c>
      <c r="H287" s="3" t="inlineStr">
        <is>
          <t>EA</t>
        </is>
      </c>
      <c r="I287" s="4" t="n">
        <v>2.5</v>
      </c>
      <c r="J287" s="4" t="n">
        <v>1500</v>
      </c>
    </row>
    <row r="288">
      <c r="A288" s="5" t="inlineStr"/>
      <c r="B288" s="5" t="inlineStr">
        <is>
          <t>إجمالي ISV-0063</t>
        </is>
      </c>
      <c r="C288" s="5" t="inlineStr"/>
      <c r="D288" s="5" t="inlineStr"/>
      <c r="E288" s="5" t="inlineStr"/>
      <c r="F288" s="5" t="inlineStr"/>
      <c r="G288" s="5">
        <f>SUM(G287:G287)</f>
        <v/>
      </c>
      <c r="H288" s="5" t="inlineStr"/>
      <c r="I288" s="5" t="inlineStr"/>
      <c r="J288" s="6">
        <f>SUM(J287:J287)</f>
        <v/>
      </c>
    </row>
    <row r="289">
      <c r="A289" s="3" t="inlineStr">
        <is>
          <t>RNO</t>
        </is>
      </c>
      <c r="B289" s="3" t="inlineStr">
        <is>
          <t>ISV-0072</t>
        </is>
      </c>
      <c r="C289" s="20" t="n">
        <v>46205</v>
      </c>
      <c r="D289" s="3" t="inlineStr">
        <is>
          <t>النظام الجديد</t>
        </is>
      </c>
      <c r="E289" s="3" t="inlineStr">
        <is>
          <t>PL12</t>
        </is>
      </c>
      <c r="F289" s="3" t="inlineStr">
        <is>
          <t>صندوق فلين للزهور</t>
        </is>
      </c>
      <c r="G289" s="3" t="n">
        <v>642</v>
      </c>
      <c r="H289" s="3" t="inlineStr">
        <is>
          <t>EA</t>
        </is>
      </c>
      <c r="I289" s="4" t="n">
        <v>4</v>
      </c>
      <c r="J289" s="4" t="n">
        <v>2568</v>
      </c>
    </row>
    <row r="290">
      <c r="A290" s="5" t="inlineStr"/>
      <c r="B290" s="5" t="inlineStr">
        <is>
          <t>إجمالي ISV-0072</t>
        </is>
      </c>
      <c r="C290" s="5" t="inlineStr"/>
      <c r="D290" s="5" t="inlineStr"/>
      <c r="E290" s="5" t="inlineStr"/>
      <c r="F290" s="5" t="inlineStr"/>
      <c r="G290" s="5">
        <f>SUM(G289:G289)</f>
        <v/>
      </c>
      <c r="H290" s="5" t="inlineStr"/>
      <c r="I290" s="5" t="inlineStr"/>
      <c r="J290" s="6">
        <f>SUM(J289:J289)</f>
        <v/>
      </c>
    </row>
    <row r="291">
      <c r="A291" s="3" t="inlineStr">
        <is>
          <t>RNO</t>
        </is>
      </c>
      <c r="B291" s="3" t="inlineStr">
        <is>
          <t>ISV-0079</t>
        </is>
      </c>
      <c r="C291" s="20" t="n">
        <v>46208</v>
      </c>
      <c r="D291" s="3" t="inlineStr">
        <is>
          <t>النظام الجديد</t>
        </is>
      </c>
      <c r="E291" s="3" t="inlineStr">
        <is>
          <t>FR1033</t>
        </is>
      </c>
      <c r="F291" s="3" t="inlineStr">
        <is>
          <t>بيتموس تى اس مخصب 210 لتر</t>
        </is>
      </c>
      <c r="G291" s="3" t="n">
        <v>11</v>
      </c>
      <c r="H291" s="3" t="inlineStr">
        <is>
          <t>EA</t>
        </is>
      </c>
      <c r="I291" s="4" t="n">
        <v>101.5</v>
      </c>
      <c r="J291" s="4" t="n">
        <v>1116.5</v>
      </c>
    </row>
    <row r="292">
      <c r="A292" s="5" t="inlineStr"/>
      <c r="B292" s="5" t="inlineStr">
        <is>
          <t>إجمالي ISV-0079</t>
        </is>
      </c>
      <c r="C292" s="5" t="inlineStr"/>
      <c r="D292" s="5" t="inlineStr"/>
      <c r="E292" s="5" t="inlineStr"/>
      <c r="F292" s="5" t="inlineStr"/>
      <c r="G292" s="5">
        <f>SUM(G291:G291)</f>
        <v/>
      </c>
      <c r="H292" s="5" t="inlineStr"/>
      <c r="I292" s="5" t="inlineStr"/>
      <c r="J292" s="6">
        <f>SUM(J291:J291)</f>
        <v/>
      </c>
    </row>
    <row r="293">
      <c r="A293" s="3" t="inlineStr">
        <is>
          <t>RNO</t>
        </is>
      </c>
      <c r="B293" s="3" t="inlineStr">
        <is>
          <t>ISV-0099</t>
        </is>
      </c>
      <c r="C293" s="20" t="n">
        <v>46215</v>
      </c>
      <c r="D293" s="3" t="inlineStr">
        <is>
          <t>النظام الجديد</t>
        </is>
      </c>
      <c r="E293" s="3" t="inlineStr">
        <is>
          <t>PL12</t>
        </is>
      </c>
      <c r="F293" s="3" t="inlineStr">
        <is>
          <t>صندوق فلين للزهور</t>
        </is>
      </c>
      <c r="G293" s="3" t="n">
        <v>536</v>
      </c>
      <c r="H293" s="3" t="inlineStr">
        <is>
          <t>EA</t>
        </is>
      </c>
      <c r="I293" s="4" t="n">
        <v>4</v>
      </c>
      <c r="J293" s="4" t="n">
        <v>2144</v>
      </c>
    </row>
    <row r="294">
      <c r="A294" s="5" t="inlineStr"/>
      <c r="B294" s="5" t="inlineStr">
        <is>
          <t>إجمالي ISV-0099</t>
        </is>
      </c>
      <c r="C294" s="5" t="inlineStr"/>
      <c r="D294" s="5" t="inlineStr"/>
      <c r="E294" s="5" t="inlineStr"/>
      <c r="F294" s="5" t="inlineStr"/>
      <c r="G294" s="5">
        <f>SUM(G293:G293)</f>
        <v/>
      </c>
      <c r="H294" s="5" t="inlineStr"/>
      <c r="I294" s="5" t="inlineStr"/>
      <c r="J294" s="6">
        <f>SUM(J293:J293)</f>
        <v/>
      </c>
    </row>
    <row r="295">
      <c r="A295" s="3" t="inlineStr">
        <is>
          <t>RNO</t>
        </is>
      </c>
      <c r="B295" s="3" t="inlineStr">
        <is>
          <t>ISV-0110</t>
        </is>
      </c>
      <c r="C295" s="20" t="n">
        <v>46223</v>
      </c>
      <c r="D295" s="3" t="inlineStr">
        <is>
          <t>النظام الجديد</t>
        </is>
      </c>
      <c r="E295" s="3" t="inlineStr">
        <is>
          <t>PL12</t>
        </is>
      </c>
      <c r="F295" s="3" t="inlineStr">
        <is>
          <t>صندوق فلين للزهور</t>
        </is>
      </c>
      <c r="G295" s="3" t="n">
        <v>208</v>
      </c>
      <c r="H295" s="3" t="inlineStr">
        <is>
          <t>EA</t>
        </is>
      </c>
      <c r="I295" s="4" t="n">
        <v>4</v>
      </c>
      <c r="J295" s="4" t="n">
        <v>832</v>
      </c>
    </row>
    <row r="296">
      <c r="A296" s="5" t="inlineStr"/>
      <c r="B296" s="5" t="inlineStr">
        <is>
          <t>إجمالي ISV-0110</t>
        </is>
      </c>
      <c r="C296" s="5" t="inlineStr"/>
      <c r="D296" s="5" t="inlineStr"/>
      <c r="E296" s="5" t="inlineStr"/>
      <c r="F296" s="5" t="inlineStr"/>
      <c r="G296" s="5">
        <f>SUM(G295:G295)</f>
        <v/>
      </c>
      <c r="H296" s="5" t="inlineStr"/>
      <c r="I296" s="5" t="inlineStr"/>
      <c r="J296" s="6">
        <f>SUM(J295:J295)</f>
        <v/>
      </c>
    </row>
    <row r="297">
      <c r="A297" s="3" t="inlineStr">
        <is>
          <t>RNO</t>
        </is>
      </c>
      <c r="B297" s="3" t="inlineStr">
        <is>
          <t>ISV-0129</t>
        </is>
      </c>
      <c r="C297" s="20" t="n">
        <v>46229</v>
      </c>
      <c r="D297" s="3" t="inlineStr">
        <is>
          <t>النظام الجديد</t>
        </is>
      </c>
      <c r="E297" s="3" t="inlineStr">
        <is>
          <t>FR1017</t>
        </is>
      </c>
      <c r="F297" s="3" t="inlineStr">
        <is>
          <t>بوتنج سويل 70 لتر</t>
        </is>
      </c>
      <c r="G297" s="3" t="n">
        <v>9</v>
      </c>
      <c r="H297" s="3" t="inlineStr">
        <is>
          <t>EA</t>
        </is>
      </c>
      <c r="I297" s="4" t="n">
        <v>46</v>
      </c>
      <c r="J297" s="4" t="n">
        <v>414</v>
      </c>
    </row>
    <row r="298">
      <c r="A298" s="3" t="inlineStr">
        <is>
          <t>RNO</t>
        </is>
      </c>
      <c r="B298" s="3" t="inlineStr">
        <is>
          <t>ISV-0129</t>
        </is>
      </c>
      <c r="C298" s="20" t="n">
        <v>46229</v>
      </c>
      <c r="D298" s="3" t="inlineStr">
        <is>
          <t>النظام الجديد</t>
        </is>
      </c>
      <c r="E298" s="3" t="inlineStr">
        <is>
          <t>FR1018</t>
        </is>
      </c>
      <c r="F298" s="3" t="inlineStr">
        <is>
          <t>فيرموكلايت 100 لتر</t>
        </is>
      </c>
      <c r="G298" s="3" t="n">
        <v>2</v>
      </c>
      <c r="H298" s="3" t="inlineStr">
        <is>
          <t>EA</t>
        </is>
      </c>
      <c r="I298" s="4" t="n">
        <v>75</v>
      </c>
      <c r="J298" s="4" t="n">
        <v>150</v>
      </c>
    </row>
    <row r="299">
      <c r="A299" s="5" t="inlineStr"/>
      <c r="B299" s="5" t="inlineStr">
        <is>
          <t>إجمالي ISV-0129</t>
        </is>
      </c>
      <c r="C299" s="5" t="inlineStr"/>
      <c r="D299" s="5" t="inlineStr"/>
      <c r="E299" s="5" t="inlineStr"/>
      <c r="F299" s="5" t="inlineStr"/>
      <c r="G299" s="5">
        <f>SUM(G297:G298)</f>
        <v/>
      </c>
      <c r="H299" s="5" t="inlineStr"/>
      <c r="I299" s="5" t="inlineStr"/>
      <c r="J299" s="6">
        <f>SUM(J297:J298)</f>
        <v/>
      </c>
    </row>
    <row r="300">
      <c r="A300" s="3" t="inlineStr">
        <is>
          <t>RNO</t>
        </is>
      </c>
      <c r="B300" s="3" t="inlineStr">
        <is>
          <t>ISV-0135</t>
        </is>
      </c>
      <c r="C300" s="20" t="n">
        <v>46230</v>
      </c>
      <c r="D300" s="3" t="inlineStr">
        <is>
          <t>النظام الجديد</t>
        </is>
      </c>
      <c r="E300" s="3" t="inlineStr">
        <is>
          <t>FR1017</t>
        </is>
      </c>
      <c r="F300" s="3" t="inlineStr">
        <is>
          <t>بوتنج سويل 70 لتر</t>
        </is>
      </c>
      <c r="G300" s="3" t="n">
        <v>16</v>
      </c>
      <c r="H300" s="3" t="inlineStr">
        <is>
          <t>EA</t>
        </is>
      </c>
      <c r="I300" s="4" t="n">
        <v>46</v>
      </c>
      <c r="J300" s="4" t="n">
        <v>736</v>
      </c>
    </row>
    <row r="301">
      <c r="A301" s="3" t="inlineStr">
        <is>
          <t>RNO</t>
        </is>
      </c>
      <c r="B301" s="3" t="inlineStr">
        <is>
          <t>ISV-0135</t>
        </is>
      </c>
      <c r="C301" s="20" t="n">
        <v>46230</v>
      </c>
      <c r="D301" s="3" t="inlineStr">
        <is>
          <t>النظام الجديد</t>
        </is>
      </c>
      <c r="E301" s="3" t="inlineStr">
        <is>
          <t>FR1018</t>
        </is>
      </c>
      <c r="F301" s="3" t="inlineStr">
        <is>
          <t>فيرموكلايت 100 لتر</t>
        </is>
      </c>
      <c r="G301" s="3" t="n">
        <v>2</v>
      </c>
      <c r="H301" s="3" t="inlineStr">
        <is>
          <t>EA</t>
        </is>
      </c>
      <c r="I301" s="4" t="n">
        <v>75</v>
      </c>
      <c r="J301" s="4" t="n">
        <v>150</v>
      </c>
    </row>
    <row r="302">
      <c r="A302" s="5" t="inlineStr"/>
      <c r="B302" s="5" t="inlineStr">
        <is>
          <t>إجمالي ISV-0135</t>
        </is>
      </c>
      <c r="C302" s="5" t="inlineStr"/>
      <c r="D302" s="5" t="inlineStr"/>
      <c r="E302" s="5" t="inlineStr"/>
      <c r="F302" s="5" t="inlineStr"/>
      <c r="G302" s="5">
        <f>SUM(G300:G301)</f>
        <v/>
      </c>
      <c r="H302" s="5" t="inlineStr"/>
      <c r="I302" s="5" t="inlineStr"/>
      <c r="J302" s="6">
        <f>SUM(J300:J301)</f>
        <v/>
      </c>
    </row>
    <row r="303">
      <c r="A303" s="3" t="inlineStr">
        <is>
          <t>RNO</t>
        </is>
      </c>
      <c r="B303" s="3" t="inlineStr">
        <is>
          <t>ISV-0139</t>
        </is>
      </c>
      <c r="C303" s="20" t="n">
        <v>46231</v>
      </c>
      <c r="D303" s="3" t="inlineStr">
        <is>
          <t>النظام الجديد</t>
        </is>
      </c>
      <c r="E303" s="3" t="inlineStr">
        <is>
          <t>PL12</t>
        </is>
      </c>
      <c r="F303" s="3" t="inlineStr">
        <is>
          <t>صندوق فلين للزهور</t>
        </is>
      </c>
      <c r="G303" s="3" t="n">
        <v>449</v>
      </c>
      <c r="H303" s="3" t="inlineStr">
        <is>
          <t>EA</t>
        </is>
      </c>
      <c r="I303" s="4" t="n">
        <v>4</v>
      </c>
      <c r="J303" s="4" t="n">
        <v>1796</v>
      </c>
    </row>
    <row r="304">
      <c r="A304" s="5" t="inlineStr"/>
      <c r="B304" s="5" t="inlineStr">
        <is>
          <t>إجمالي ISV-0139</t>
        </is>
      </c>
      <c r="C304" s="5" t="inlineStr"/>
      <c r="D304" s="5" t="inlineStr"/>
      <c r="E304" s="5" t="inlineStr"/>
      <c r="F304" s="5" t="inlineStr"/>
      <c r="G304" s="5">
        <f>SUM(G303:G303)</f>
        <v/>
      </c>
      <c r="H304" s="5" t="inlineStr"/>
      <c r="I304" s="5" t="inlineStr"/>
      <c r="J304" s="6">
        <f>SUM(J303:J303)</f>
        <v/>
      </c>
    </row>
    <row r="305">
      <c r="A305" s="3" t="inlineStr">
        <is>
          <t>RNO</t>
        </is>
      </c>
      <c r="B305" s="3" t="inlineStr">
        <is>
          <t>ISV-0145</t>
        </is>
      </c>
      <c r="C305" s="20" t="n">
        <v>46233</v>
      </c>
      <c r="D305" s="3" t="inlineStr">
        <is>
          <t>النظام الجديد</t>
        </is>
      </c>
      <c r="E305" s="3" t="inlineStr">
        <is>
          <t>PL15</t>
        </is>
      </c>
      <c r="F305" s="3" t="inlineStr">
        <is>
          <t>سنادات شجر طول 3 متر</t>
        </is>
      </c>
      <c r="G305" s="3" t="n">
        <v>100</v>
      </c>
      <c r="H305" s="3" t="inlineStr">
        <is>
          <t>EA</t>
        </is>
      </c>
      <c r="I305" s="4" t="n">
        <v>3.5</v>
      </c>
      <c r="J305" s="4" t="n">
        <v>350</v>
      </c>
    </row>
    <row r="306">
      <c r="A306" s="5" t="inlineStr"/>
      <c r="B306" s="5" t="inlineStr">
        <is>
          <t>إجمالي ISV-0145</t>
        </is>
      </c>
      <c r="C306" s="5" t="inlineStr"/>
      <c r="D306" s="5" t="inlineStr"/>
      <c r="E306" s="5" t="inlineStr"/>
      <c r="F306" s="5" t="inlineStr"/>
      <c r="G306" s="5">
        <f>SUM(G305:G305)</f>
        <v/>
      </c>
      <c r="H306" s="5" t="inlineStr"/>
      <c r="I306" s="5" t="inlineStr"/>
      <c r="J306" s="6">
        <f>SUM(J305:J305)</f>
        <v/>
      </c>
    </row>
    <row r="307">
      <c r="A307" s="3" t="inlineStr">
        <is>
          <t>RNL</t>
        </is>
      </c>
      <c r="B307" s="3" t="inlineStr">
        <is>
          <t>RNL-3493</t>
        </is>
      </c>
      <c r="C307" s="20" t="n">
        <v>46029</v>
      </c>
      <c r="D307" s="3" t="inlineStr">
        <is>
          <t>النظام القديم</t>
        </is>
      </c>
      <c r="E307" s="3" t="inlineStr">
        <is>
          <t>RN-OD560</t>
        </is>
      </c>
      <c r="F307" s="3" t="inlineStr">
        <is>
          <t>زهور بيتونيا</t>
        </is>
      </c>
      <c r="G307" s="3" t="n">
        <v>3000</v>
      </c>
      <c r="H307" s="3" t="inlineStr">
        <is>
          <t>EA</t>
        </is>
      </c>
      <c r="I307" s="4" t="n">
        <v>0.55</v>
      </c>
      <c r="J307" s="4" t="n">
        <v>1897.5</v>
      </c>
    </row>
    <row r="308">
      <c r="A308" s="3" t="inlineStr">
        <is>
          <t>RNL</t>
        </is>
      </c>
      <c r="B308" s="3" t="inlineStr">
        <is>
          <t>RNL-3493</t>
        </is>
      </c>
      <c r="C308" s="20" t="n">
        <v>46029</v>
      </c>
      <c r="D308" s="3" t="inlineStr">
        <is>
          <t>النظام القديم</t>
        </is>
      </c>
      <c r="E308" s="3" t="inlineStr">
        <is>
          <t>RN-OD635</t>
        </is>
      </c>
      <c r="F308" s="3" t="inlineStr">
        <is>
          <t>زهور فم السمكة مركن9 سم</t>
        </is>
      </c>
      <c r="G308" s="3" t="n">
        <v>500</v>
      </c>
      <c r="H308" s="3" t="inlineStr">
        <is>
          <t>EA</t>
        </is>
      </c>
      <c r="I308" s="4" t="n">
        <v>0.55</v>
      </c>
      <c r="J308" s="4" t="n">
        <v>316.25</v>
      </c>
    </row>
    <row r="309">
      <c r="A309" s="5" t="inlineStr"/>
      <c r="B309" s="5" t="inlineStr">
        <is>
          <t>إجمالي RNL-3493</t>
        </is>
      </c>
      <c r="C309" s="5" t="inlineStr"/>
      <c r="D309" s="5" t="inlineStr"/>
      <c r="E309" s="5" t="inlineStr"/>
      <c r="F309" s="5" t="inlineStr"/>
      <c r="G309" s="5">
        <f>SUM(G307:G308)</f>
        <v/>
      </c>
      <c r="H309" s="5" t="inlineStr"/>
      <c r="I309" s="5" t="inlineStr"/>
      <c r="J309" s="6">
        <f>SUM(J307:J308)</f>
        <v/>
      </c>
    </row>
    <row r="310">
      <c r="A310" s="3" t="inlineStr">
        <is>
          <t>RNL</t>
        </is>
      </c>
      <c r="B310" s="3" t="inlineStr">
        <is>
          <t>RNL-3497</t>
        </is>
      </c>
      <c r="C310" s="20" t="n">
        <v>46030</v>
      </c>
      <c r="D310" s="3" t="inlineStr">
        <is>
          <t>النظام القديم</t>
        </is>
      </c>
      <c r="E310" s="3" t="inlineStr">
        <is>
          <t>RN-OD560</t>
        </is>
      </c>
      <c r="F310" s="3" t="inlineStr">
        <is>
          <t>زهور بيتونيا</t>
        </is>
      </c>
      <c r="G310" s="3" t="n">
        <v>2300</v>
      </c>
      <c r="H310" s="3" t="inlineStr">
        <is>
          <t>EA</t>
        </is>
      </c>
      <c r="I310" s="4" t="n">
        <v>0.55</v>
      </c>
      <c r="J310" s="4" t="n">
        <v>1454.75</v>
      </c>
    </row>
    <row r="311">
      <c r="A311" s="3" t="inlineStr">
        <is>
          <t>RNL</t>
        </is>
      </c>
      <c r="B311" s="3" t="inlineStr">
        <is>
          <t>RNL-3497</t>
        </is>
      </c>
      <c r="C311" s="20" t="n">
        <v>46030</v>
      </c>
      <c r="D311" s="3" t="inlineStr">
        <is>
          <t>النظام القديم</t>
        </is>
      </c>
      <c r="E311" s="3" t="inlineStr">
        <is>
          <t>RN-OD642</t>
        </is>
      </c>
      <c r="F311" s="3" t="inlineStr">
        <is>
          <t>زهور اليسوم مركن9 سم</t>
        </is>
      </c>
      <c r="G311" s="3" t="n">
        <v>300</v>
      </c>
      <c r="H311" s="3" t="inlineStr">
        <is>
          <t>EA</t>
        </is>
      </c>
      <c r="I311" s="4" t="n">
        <v>0.55</v>
      </c>
      <c r="J311" s="4" t="n">
        <v>189.75</v>
      </c>
    </row>
    <row r="312">
      <c r="A312" s="5" t="inlineStr"/>
      <c r="B312" s="5" t="inlineStr">
        <is>
          <t>إجمالي RNL-3497</t>
        </is>
      </c>
      <c r="C312" s="5" t="inlineStr"/>
      <c r="D312" s="5" t="inlineStr"/>
      <c r="E312" s="5" t="inlineStr"/>
      <c r="F312" s="5" t="inlineStr"/>
      <c r="G312" s="5">
        <f>SUM(G310:G311)</f>
        <v/>
      </c>
      <c r="H312" s="5" t="inlineStr"/>
      <c r="I312" s="5" t="inlineStr"/>
      <c r="J312" s="6">
        <f>SUM(J310:J311)</f>
        <v/>
      </c>
    </row>
    <row r="313">
      <c r="A313" s="3" t="inlineStr">
        <is>
          <t>RNL</t>
        </is>
      </c>
      <c r="B313" s="3" t="inlineStr">
        <is>
          <t>RNL-3524</t>
        </is>
      </c>
      <c r="C313" s="20" t="n">
        <v>46033</v>
      </c>
      <c r="D313" s="3" t="inlineStr">
        <is>
          <t>النظام القديم</t>
        </is>
      </c>
      <c r="E313" s="3" t="inlineStr">
        <is>
          <t>RN-OD564</t>
        </is>
      </c>
      <c r="F313" s="3" t="inlineStr">
        <is>
          <t>زهور امرانتس</t>
        </is>
      </c>
      <c r="G313" s="3" t="n">
        <v>150</v>
      </c>
      <c r="H313" s="3" t="inlineStr">
        <is>
          <t>EA</t>
        </is>
      </c>
      <c r="I313" s="4" t="n">
        <v>0.55</v>
      </c>
      <c r="J313" s="4" t="n">
        <v>94.875</v>
      </c>
    </row>
    <row r="314">
      <c r="A314" s="3" t="inlineStr">
        <is>
          <t>RNL</t>
        </is>
      </c>
      <c r="B314" s="3" t="inlineStr">
        <is>
          <t>RNL-3524</t>
        </is>
      </c>
      <c r="C314" s="20" t="n">
        <v>46033</v>
      </c>
      <c r="D314" s="3" t="inlineStr">
        <is>
          <t>النظام القديم</t>
        </is>
      </c>
      <c r="E314" s="3" t="inlineStr">
        <is>
          <t>RN-OD603</t>
        </is>
      </c>
      <c r="F314" s="3" t="inlineStr">
        <is>
          <t>زهور جرانيوم مركن9 سم</t>
        </is>
      </c>
      <c r="G314" s="3" t="n">
        <v>150</v>
      </c>
      <c r="H314" s="3" t="inlineStr">
        <is>
          <t>EA</t>
        </is>
      </c>
      <c r="I314" s="4" t="n">
        <v>0.9</v>
      </c>
      <c r="J314" s="4" t="n">
        <v>155.25</v>
      </c>
    </row>
    <row r="315">
      <c r="A315" s="3" t="inlineStr">
        <is>
          <t>RNL</t>
        </is>
      </c>
      <c r="B315" s="3" t="inlineStr">
        <is>
          <t>RNL-3524</t>
        </is>
      </c>
      <c r="C315" s="20" t="n">
        <v>46033</v>
      </c>
      <c r="D315" s="3" t="inlineStr">
        <is>
          <t>النظام القديم</t>
        </is>
      </c>
      <c r="E315" s="3" t="inlineStr">
        <is>
          <t>RN-OD560</t>
        </is>
      </c>
      <c r="F315" s="3" t="inlineStr">
        <is>
          <t>زهور بيتونيا</t>
        </is>
      </c>
      <c r="G315" s="3" t="n">
        <v>3300</v>
      </c>
      <c r="H315" s="3" t="inlineStr">
        <is>
          <t>EA</t>
        </is>
      </c>
      <c r="I315" s="4" t="n">
        <v>0.55</v>
      </c>
      <c r="J315" s="4" t="n">
        <v>2087.25</v>
      </c>
    </row>
    <row r="316">
      <c r="A316" s="3" t="inlineStr">
        <is>
          <t>RNL</t>
        </is>
      </c>
      <c r="B316" s="3" t="inlineStr">
        <is>
          <t>RNL-3524</t>
        </is>
      </c>
      <c r="C316" s="20" t="n">
        <v>46033</v>
      </c>
      <c r="D316" s="3" t="inlineStr">
        <is>
          <t>النظام القديم</t>
        </is>
      </c>
      <c r="E316" s="3" t="inlineStr">
        <is>
          <t>RN-OD637</t>
        </is>
      </c>
      <c r="F316" s="3" t="inlineStr">
        <is>
          <t>زهور سالفيا مركن9 سم</t>
        </is>
      </c>
      <c r="G316" s="3" t="n">
        <v>400</v>
      </c>
      <c r="H316" s="3" t="inlineStr">
        <is>
          <t>EA</t>
        </is>
      </c>
      <c r="I316" s="4" t="n">
        <v>0.55</v>
      </c>
      <c r="J316" s="4" t="n">
        <v>253</v>
      </c>
    </row>
    <row r="317">
      <c r="A317" s="3" t="inlineStr">
        <is>
          <t>RNL</t>
        </is>
      </c>
      <c r="B317" s="3" t="inlineStr">
        <is>
          <t>RNL-3524</t>
        </is>
      </c>
      <c r="C317" s="20" t="n">
        <v>46033</v>
      </c>
      <c r="D317" s="3" t="inlineStr">
        <is>
          <t>النظام القديم</t>
        </is>
      </c>
      <c r="E317" s="3" t="inlineStr">
        <is>
          <t>RN-OD635</t>
        </is>
      </c>
      <c r="F317" s="3" t="inlineStr">
        <is>
          <t>زهور فم السمكة مركن9 سم</t>
        </is>
      </c>
      <c r="G317" s="3" t="n">
        <v>500</v>
      </c>
      <c r="H317" s="3" t="inlineStr">
        <is>
          <t>EA</t>
        </is>
      </c>
      <c r="I317" s="4" t="n">
        <v>0.55</v>
      </c>
      <c r="J317" s="4" t="n">
        <v>316.25</v>
      </c>
    </row>
    <row r="318">
      <c r="A318" s="5" t="inlineStr"/>
      <c r="B318" s="5" t="inlineStr">
        <is>
          <t>إجمالي RNL-3524</t>
        </is>
      </c>
      <c r="C318" s="5" t="inlineStr"/>
      <c r="D318" s="5" t="inlineStr"/>
      <c r="E318" s="5" t="inlineStr"/>
      <c r="F318" s="5" t="inlineStr"/>
      <c r="G318" s="5">
        <f>SUM(G313:G317)</f>
        <v/>
      </c>
      <c r="H318" s="5" t="inlineStr"/>
      <c r="I318" s="5" t="inlineStr"/>
      <c r="J318" s="6">
        <f>SUM(J313:J317)</f>
        <v/>
      </c>
    </row>
    <row r="319">
      <c r="A319" s="3" t="inlineStr">
        <is>
          <t>RNL</t>
        </is>
      </c>
      <c r="B319" s="3" t="inlineStr">
        <is>
          <t>RNL-3625</t>
        </is>
      </c>
      <c r="C319" s="20" t="n">
        <v>46046</v>
      </c>
      <c r="D319" s="3" t="inlineStr">
        <is>
          <t>النظام القديم</t>
        </is>
      </c>
      <c r="E319" s="3" t="inlineStr">
        <is>
          <t>RN-OD560</t>
        </is>
      </c>
      <c r="F319" s="3" t="inlineStr">
        <is>
          <t>زهور بيتونيا</t>
        </is>
      </c>
      <c r="G319" s="3" t="n">
        <v>1500</v>
      </c>
      <c r="H319" s="3" t="inlineStr">
        <is>
          <t>EA</t>
        </is>
      </c>
      <c r="I319" s="4" t="n">
        <v>0.55</v>
      </c>
      <c r="J319" s="4" t="n">
        <v>948.75</v>
      </c>
    </row>
    <row r="320">
      <c r="A320" s="5" t="inlineStr"/>
      <c r="B320" s="5" t="inlineStr">
        <is>
          <t>إجمالي RNL-3625</t>
        </is>
      </c>
      <c r="C320" s="5" t="inlineStr"/>
      <c r="D320" s="5" t="inlineStr"/>
      <c r="E320" s="5" t="inlineStr"/>
      <c r="F320" s="5" t="inlineStr"/>
      <c r="G320" s="5">
        <f>SUM(G319:G319)</f>
        <v/>
      </c>
      <c r="H320" s="5" t="inlineStr"/>
      <c r="I320" s="5" t="inlineStr"/>
      <c r="J320" s="6">
        <f>SUM(J319:J319)</f>
        <v/>
      </c>
    </row>
    <row r="321">
      <c r="A321" s="3" t="inlineStr">
        <is>
          <t>RNL</t>
        </is>
      </c>
      <c r="B321" s="3" t="inlineStr">
        <is>
          <t>RNL-3718</t>
        </is>
      </c>
      <c r="C321" s="20" t="n">
        <v>46054</v>
      </c>
      <c r="D321" s="3" t="inlineStr">
        <is>
          <t>النظام القديم</t>
        </is>
      </c>
      <c r="E321" s="3" t="inlineStr">
        <is>
          <t>RN-OD635</t>
        </is>
      </c>
      <c r="F321" s="3" t="inlineStr">
        <is>
          <t>زهور فم السمكة مركن9 سم</t>
        </is>
      </c>
      <c r="G321" s="3" t="n">
        <v>500</v>
      </c>
      <c r="H321" s="3" t="inlineStr">
        <is>
          <t>EA</t>
        </is>
      </c>
      <c r="I321" s="4" t="n">
        <v>0.55</v>
      </c>
      <c r="J321" s="4" t="n">
        <v>316.25</v>
      </c>
    </row>
    <row r="322">
      <c r="A322" s="5" t="inlineStr"/>
      <c r="B322" s="5" t="inlineStr">
        <is>
          <t>إجمالي RNL-3718</t>
        </is>
      </c>
      <c r="C322" s="5" t="inlineStr"/>
      <c r="D322" s="5" t="inlineStr"/>
      <c r="E322" s="5" t="inlineStr"/>
      <c r="F322" s="5" t="inlineStr"/>
      <c r="G322" s="5">
        <f>SUM(G321:G321)</f>
        <v/>
      </c>
      <c r="H322" s="5" t="inlineStr"/>
      <c r="I322" s="5" t="inlineStr"/>
      <c r="J322" s="6">
        <f>SUM(J321:J321)</f>
        <v/>
      </c>
    </row>
    <row r="323">
      <c r="A323" s="3" t="inlineStr">
        <is>
          <t>RNL</t>
        </is>
      </c>
      <c r="B323" s="3" t="inlineStr">
        <is>
          <t>RNL-3740</t>
        </is>
      </c>
      <c r="C323" s="20" t="n">
        <v>46056</v>
      </c>
      <c r="D323" s="3" t="inlineStr">
        <is>
          <t>النظام القديم</t>
        </is>
      </c>
      <c r="E323" s="3" t="inlineStr">
        <is>
          <t>RN-OD560</t>
        </is>
      </c>
      <c r="F323" s="3" t="inlineStr">
        <is>
          <t>زهور بيتونيا</t>
        </is>
      </c>
      <c r="G323" s="3" t="n">
        <v>700</v>
      </c>
      <c r="H323" s="3" t="inlineStr">
        <is>
          <t>EA</t>
        </is>
      </c>
      <c r="I323" s="4" t="n">
        <v>0.55</v>
      </c>
      <c r="J323" s="4" t="n">
        <v>442.75</v>
      </c>
    </row>
    <row r="324">
      <c r="A324" s="5" t="inlineStr"/>
      <c r="B324" s="5" t="inlineStr">
        <is>
          <t>إجمالي RNL-3740</t>
        </is>
      </c>
      <c r="C324" s="5" t="inlineStr"/>
      <c r="D324" s="5" t="inlineStr"/>
      <c r="E324" s="5" t="inlineStr"/>
      <c r="F324" s="5" t="inlineStr"/>
      <c r="G324" s="5">
        <f>SUM(G323:G323)</f>
        <v/>
      </c>
      <c r="H324" s="5" t="inlineStr"/>
      <c r="I324" s="5" t="inlineStr"/>
      <c r="J324" s="6">
        <f>SUM(J323:J323)</f>
        <v/>
      </c>
    </row>
    <row r="325">
      <c r="A325" s="3" t="inlineStr">
        <is>
          <t>RNL</t>
        </is>
      </c>
      <c r="B325" s="3" t="inlineStr">
        <is>
          <t>RNL-3778</t>
        </is>
      </c>
      <c r="C325" s="20" t="n">
        <v>46061</v>
      </c>
      <c r="D325" s="3" t="inlineStr">
        <is>
          <t>النظام القديم</t>
        </is>
      </c>
      <c r="E325" s="3" t="inlineStr">
        <is>
          <t>RN-OD560</t>
        </is>
      </c>
      <c r="F325" s="3" t="inlineStr">
        <is>
          <t>زهور بيتونيا</t>
        </is>
      </c>
      <c r="G325" s="3" t="n">
        <v>1600</v>
      </c>
      <c r="H325" s="3" t="inlineStr">
        <is>
          <t>EA</t>
        </is>
      </c>
      <c r="I325" s="4" t="n">
        <v>0.55</v>
      </c>
      <c r="J325" s="4" t="n">
        <v>1012</v>
      </c>
    </row>
    <row r="326">
      <c r="A326" s="3" t="inlineStr">
        <is>
          <t>RNL</t>
        </is>
      </c>
      <c r="B326" s="3" t="inlineStr">
        <is>
          <t>RNL-3778</t>
        </is>
      </c>
      <c r="C326" s="20" t="n">
        <v>46061</v>
      </c>
      <c r="D326" s="3" t="inlineStr">
        <is>
          <t>النظام القديم</t>
        </is>
      </c>
      <c r="E326" s="3" t="inlineStr">
        <is>
          <t>RN-OD635</t>
        </is>
      </c>
      <c r="F326" s="3" t="inlineStr">
        <is>
          <t>زهور فم السمكة مركن9 سم</t>
        </is>
      </c>
      <c r="G326" s="3" t="n">
        <v>700</v>
      </c>
      <c r="H326" s="3" t="inlineStr">
        <is>
          <t>EA</t>
        </is>
      </c>
      <c r="I326" s="4" t="n">
        <v>0.55</v>
      </c>
      <c r="J326" s="4" t="n">
        <v>442.75</v>
      </c>
    </row>
    <row r="327">
      <c r="A327" s="5" t="inlineStr"/>
      <c r="B327" s="5" t="inlineStr">
        <is>
          <t>إجمالي RNL-3778</t>
        </is>
      </c>
      <c r="C327" s="5" t="inlineStr"/>
      <c r="D327" s="5" t="inlineStr"/>
      <c r="E327" s="5" t="inlineStr"/>
      <c r="F327" s="5" t="inlineStr"/>
      <c r="G327" s="5">
        <f>SUM(G325:G326)</f>
        <v/>
      </c>
      <c r="H327" s="5" t="inlineStr"/>
      <c r="I327" s="5" t="inlineStr"/>
      <c r="J327" s="6">
        <f>SUM(J325:J326)</f>
        <v/>
      </c>
    </row>
    <row r="328">
      <c r="A328" s="3" t="inlineStr">
        <is>
          <t>RNL</t>
        </is>
      </c>
      <c r="B328" s="3" t="inlineStr">
        <is>
          <t>RNL-3852</t>
        </is>
      </c>
      <c r="C328" s="20" t="n">
        <v>46069</v>
      </c>
      <c r="D328" s="3" t="inlineStr">
        <is>
          <t>النظام القديم</t>
        </is>
      </c>
      <c r="E328" s="3" t="inlineStr">
        <is>
          <t>RN-OD694</t>
        </is>
      </c>
      <c r="F328" s="3" t="inlineStr">
        <is>
          <t>كالنشو هولندى مركن12 سم</t>
        </is>
      </c>
      <c r="G328" s="3" t="n">
        <v>20</v>
      </c>
      <c r="H328" s="3" t="inlineStr">
        <is>
          <t>EA</t>
        </is>
      </c>
      <c r="I328" s="4" t="n">
        <v>3</v>
      </c>
      <c r="J328" s="4" t="n">
        <v>69</v>
      </c>
    </row>
    <row r="329">
      <c r="A329" s="3" t="inlineStr">
        <is>
          <t>RNL</t>
        </is>
      </c>
      <c r="B329" s="3" t="inlineStr">
        <is>
          <t>RNL-3852</t>
        </is>
      </c>
      <c r="C329" s="20" t="n">
        <v>46069</v>
      </c>
      <c r="D329" s="3" t="inlineStr">
        <is>
          <t>النظام القديم</t>
        </is>
      </c>
      <c r="E329" s="3" t="inlineStr">
        <is>
          <t>RN-OD695</t>
        </is>
      </c>
      <c r="F329" s="3" t="inlineStr">
        <is>
          <t>زهور اقحوان افريقي هولندى مركن12 سم</t>
        </is>
      </c>
      <c r="G329" s="3" t="n">
        <v>20</v>
      </c>
      <c r="H329" s="3" t="inlineStr">
        <is>
          <t>EA</t>
        </is>
      </c>
      <c r="I329" s="4" t="n">
        <v>3</v>
      </c>
      <c r="J329" s="4" t="n">
        <v>69</v>
      </c>
    </row>
    <row r="330">
      <c r="A330" s="3" t="inlineStr">
        <is>
          <t>RNL</t>
        </is>
      </c>
      <c r="B330" s="3" t="inlineStr">
        <is>
          <t>RNL-3852</t>
        </is>
      </c>
      <c r="C330" s="20" t="n">
        <v>46069</v>
      </c>
      <c r="D330" s="3" t="inlineStr">
        <is>
          <t>النظام القديم</t>
        </is>
      </c>
      <c r="E330" s="3" t="inlineStr">
        <is>
          <t>RN-OD635</t>
        </is>
      </c>
      <c r="F330" s="3" t="inlineStr">
        <is>
          <t>زهور فم السمكة مركن9 سم</t>
        </is>
      </c>
      <c r="G330" s="3" t="n">
        <v>225</v>
      </c>
      <c r="H330" s="3" t="inlineStr">
        <is>
          <t>EA</t>
        </is>
      </c>
      <c r="I330" s="4" t="n">
        <v>0.55</v>
      </c>
      <c r="J330" s="4" t="n">
        <v>142.312</v>
      </c>
    </row>
    <row r="331">
      <c r="A331" s="5" t="inlineStr"/>
      <c r="B331" s="5" t="inlineStr">
        <is>
          <t>إجمالي RNL-3852</t>
        </is>
      </c>
      <c r="C331" s="5" t="inlineStr"/>
      <c r="D331" s="5" t="inlineStr"/>
      <c r="E331" s="5" t="inlineStr"/>
      <c r="F331" s="5" t="inlineStr"/>
      <c r="G331" s="5">
        <f>SUM(G328:G330)</f>
        <v/>
      </c>
      <c r="H331" s="5" t="inlineStr"/>
      <c r="I331" s="5" t="inlineStr"/>
      <c r="J331" s="6">
        <f>SUM(J328:J330)</f>
        <v/>
      </c>
    </row>
    <row r="332">
      <c r="A332" s="3" t="inlineStr">
        <is>
          <t>RNL</t>
        </is>
      </c>
      <c r="B332" s="3" t="inlineStr">
        <is>
          <t>ISV-0001</t>
        </is>
      </c>
      <c r="C332" s="20" t="n">
        <v>46186</v>
      </c>
      <c r="D332" s="3" t="inlineStr">
        <is>
          <t>النظام الجديد</t>
        </is>
      </c>
      <c r="E332" s="3" t="inlineStr">
        <is>
          <t>SF144</t>
        </is>
      </c>
      <c r="F332" s="3" t="inlineStr">
        <is>
          <t>زهور امرانتس مركن 9 سم أحمر</t>
        </is>
      </c>
      <c r="G332" s="3" t="n">
        <v>200</v>
      </c>
      <c r="H332" s="3" t="inlineStr">
        <is>
          <t>EA</t>
        </is>
      </c>
      <c r="I332" s="4" t="n">
        <v>0.55</v>
      </c>
      <c r="J332" s="4" t="n">
        <v>110</v>
      </c>
    </row>
    <row r="333">
      <c r="A333" s="3" t="inlineStr">
        <is>
          <t>RNL</t>
        </is>
      </c>
      <c r="B333" s="3" t="inlineStr">
        <is>
          <t>ISV-0001</t>
        </is>
      </c>
      <c r="C333" s="20" t="n">
        <v>46186</v>
      </c>
      <c r="D333" s="3" t="inlineStr">
        <is>
          <t>النظام الجديد</t>
        </is>
      </c>
      <c r="E333" s="3" t="inlineStr">
        <is>
          <t>SF149</t>
        </is>
      </c>
      <c r="F333" s="3" t="inlineStr">
        <is>
          <t>زهور فضية مركن 9 سم فضي</t>
        </is>
      </c>
      <c r="G333" s="3" t="n">
        <v>150</v>
      </c>
      <c r="H333" s="3" t="inlineStr">
        <is>
          <t>EA</t>
        </is>
      </c>
      <c r="I333" s="4" t="n">
        <v>0.55</v>
      </c>
      <c r="J333" s="4" t="n">
        <v>82.5</v>
      </c>
    </row>
    <row r="334">
      <c r="A334" s="3" t="inlineStr">
        <is>
          <t>RNL</t>
        </is>
      </c>
      <c r="B334" s="3" t="inlineStr">
        <is>
          <t>ISV-0001</t>
        </is>
      </c>
      <c r="C334" s="20" t="n">
        <v>46186</v>
      </c>
      <c r="D334" s="3" t="inlineStr">
        <is>
          <t>النظام الجديد</t>
        </is>
      </c>
      <c r="E334" s="3" t="inlineStr">
        <is>
          <t>SF154</t>
        </is>
      </c>
      <c r="F334" s="3" t="inlineStr">
        <is>
          <t>زهور كيليوس مركن 9 سم أخضر فاتح</t>
        </is>
      </c>
      <c r="G334" s="3" t="n">
        <v>200</v>
      </c>
      <c r="H334" s="3" t="inlineStr">
        <is>
          <t>EA</t>
        </is>
      </c>
      <c r="I334" s="4" t="n">
        <v>0.55</v>
      </c>
      <c r="J334" s="4" t="n">
        <v>110</v>
      </c>
    </row>
    <row r="335">
      <c r="A335" s="3" t="inlineStr">
        <is>
          <t>RNL</t>
        </is>
      </c>
      <c r="B335" s="3" t="inlineStr">
        <is>
          <t>ISV-0001</t>
        </is>
      </c>
      <c r="C335" s="20" t="n">
        <v>46186</v>
      </c>
      <c r="D335" s="3" t="inlineStr">
        <is>
          <t>النظام الجديد</t>
        </is>
      </c>
      <c r="E335" s="3" t="inlineStr">
        <is>
          <t>SF123</t>
        </is>
      </c>
      <c r="F335" s="3" t="inlineStr">
        <is>
          <t>زهور زينيا سنجل مركن 9 سم أبيض</t>
        </is>
      </c>
      <c r="G335" s="3" t="n">
        <v>200</v>
      </c>
      <c r="H335" s="3" t="inlineStr">
        <is>
          <t>EA</t>
        </is>
      </c>
      <c r="I335" s="4" t="n">
        <v>0.55</v>
      </c>
      <c r="J335" s="4" t="n">
        <v>110</v>
      </c>
    </row>
    <row r="336">
      <c r="A336" s="3" t="inlineStr">
        <is>
          <t>RNL</t>
        </is>
      </c>
      <c r="B336" s="3" t="inlineStr">
        <is>
          <t>ISV-0001</t>
        </is>
      </c>
      <c r="C336" s="20" t="n">
        <v>46186</v>
      </c>
      <c r="D336" s="3" t="inlineStr">
        <is>
          <t>النظام الجديد</t>
        </is>
      </c>
      <c r="E336" s="3" t="inlineStr">
        <is>
          <t>SF124</t>
        </is>
      </c>
      <c r="F336" s="3" t="inlineStr">
        <is>
          <t>زهور زينيا سنجل مركن 9 سم أحمر</t>
        </is>
      </c>
      <c r="G336" s="3" t="n">
        <v>200</v>
      </c>
      <c r="H336" s="3" t="inlineStr">
        <is>
          <t>EA</t>
        </is>
      </c>
      <c r="I336" s="4" t="n">
        <v>0.55</v>
      </c>
      <c r="J336" s="4" t="n">
        <v>110</v>
      </c>
    </row>
    <row r="337">
      <c r="A337" s="3" t="inlineStr">
        <is>
          <t>RNL</t>
        </is>
      </c>
      <c r="B337" s="3" t="inlineStr">
        <is>
          <t>ISV-0001</t>
        </is>
      </c>
      <c r="C337" s="20" t="n">
        <v>46186</v>
      </c>
      <c r="D337" s="3" t="inlineStr">
        <is>
          <t>النظام الجديد</t>
        </is>
      </c>
      <c r="E337" s="3" t="inlineStr">
        <is>
          <t>SF131</t>
        </is>
      </c>
      <c r="F337" s="3" t="inlineStr">
        <is>
          <t>زهور زينيا سنجل مركن 9 سم أحمر وأصفر ثنائي</t>
        </is>
      </c>
      <c r="G337" s="3" t="n">
        <v>200</v>
      </c>
      <c r="H337" s="3" t="inlineStr">
        <is>
          <t>EA</t>
        </is>
      </c>
      <c r="I337" s="4" t="n">
        <v>0.55</v>
      </c>
      <c r="J337" s="4" t="n">
        <v>110</v>
      </c>
    </row>
    <row r="338">
      <c r="A338" s="3" t="inlineStr">
        <is>
          <t>RNL</t>
        </is>
      </c>
      <c r="B338" s="3" t="inlineStr">
        <is>
          <t>ISV-0001</t>
        </is>
      </c>
      <c r="C338" s="20" t="n">
        <v>46186</v>
      </c>
      <c r="D338" s="3" t="inlineStr">
        <is>
          <t>النظام الجديد</t>
        </is>
      </c>
      <c r="E338" s="3" t="inlineStr">
        <is>
          <t>SF97</t>
        </is>
      </c>
      <c r="F338" s="3" t="inlineStr">
        <is>
          <t>فينكا روزا مركن 9 سم أبيض</t>
        </is>
      </c>
      <c r="G338" s="3" t="n">
        <v>800</v>
      </c>
      <c r="H338" s="3" t="inlineStr">
        <is>
          <t>EA</t>
        </is>
      </c>
      <c r="I338" s="4" t="n">
        <v>0.55</v>
      </c>
      <c r="J338" s="4" t="n">
        <v>440</v>
      </c>
    </row>
    <row r="339">
      <c r="A339" s="3" t="inlineStr">
        <is>
          <t>RNL</t>
        </is>
      </c>
      <c r="B339" s="3" t="inlineStr">
        <is>
          <t>ISV-0001</t>
        </is>
      </c>
      <c r="C339" s="20" t="n">
        <v>46186</v>
      </c>
      <c r="D339" s="3" t="inlineStr">
        <is>
          <t>النظام الجديد</t>
        </is>
      </c>
      <c r="E339" s="3" t="inlineStr">
        <is>
          <t>SF98</t>
        </is>
      </c>
      <c r="F339" s="3" t="inlineStr">
        <is>
          <t>فينكا روزا مركن 9 سم أحمر</t>
        </is>
      </c>
      <c r="G339" s="3" t="n">
        <v>800</v>
      </c>
      <c r="H339" s="3" t="inlineStr">
        <is>
          <t>EA</t>
        </is>
      </c>
      <c r="I339" s="4" t="n">
        <v>0.55</v>
      </c>
      <c r="J339" s="4" t="n">
        <v>440</v>
      </c>
    </row>
    <row r="340">
      <c r="A340" s="3" t="inlineStr">
        <is>
          <t>RNL</t>
        </is>
      </c>
      <c r="B340" s="3" t="inlineStr">
        <is>
          <t>ISV-0001</t>
        </is>
      </c>
      <c r="C340" s="20" t="n">
        <v>46186</v>
      </c>
      <c r="D340" s="3" t="inlineStr">
        <is>
          <t>النظام الجديد</t>
        </is>
      </c>
      <c r="E340" s="3" t="inlineStr">
        <is>
          <t>SF102</t>
        </is>
      </c>
      <c r="F340" s="3" t="inlineStr">
        <is>
          <t>فينكا روزا مركن 9 سم مشمشي</t>
        </is>
      </c>
      <c r="G340" s="3" t="n">
        <v>200</v>
      </c>
      <c r="H340" s="3" t="inlineStr">
        <is>
          <t>EA</t>
        </is>
      </c>
      <c r="I340" s="4" t="n">
        <v>0.55</v>
      </c>
      <c r="J340" s="4" t="n">
        <v>110</v>
      </c>
    </row>
    <row r="341">
      <c r="A341" s="3" t="inlineStr">
        <is>
          <t>RNL</t>
        </is>
      </c>
      <c r="B341" s="3" t="inlineStr">
        <is>
          <t>ISV-0001</t>
        </is>
      </c>
      <c r="C341" s="20" t="n">
        <v>46186</v>
      </c>
      <c r="D341" s="3" t="inlineStr">
        <is>
          <t>النظام الجديد</t>
        </is>
      </c>
      <c r="E341" s="3" t="inlineStr">
        <is>
          <t>SF100</t>
        </is>
      </c>
      <c r="F341" s="3" t="inlineStr">
        <is>
          <t>فينكا روزا مركن 9 سم أبيض نقطة حمراء</t>
        </is>
      </c>
      <c r="G341" s="3" t="n">
        <v>400</v>
      </c>
      <c r="H341" s="3" t="inlineStr">
        <is>
          <t>EA</t>
        </is>
      </c>
      <c r="I341" s="4" t="n">
        <v>0.55</v>
      </c>
      <c r="J341" s="4" t="n">
        <v>220</v>
      </c>
    </row>
    <row r="342">
      <c r="A342" s="5" t="inlineStr"/>
      <c r="B342" s="5" t="inlineStr">
        <is>
          <t>إجمالي ISV-0001</t>
        </is>
      </c>
      <c r="C342" s="5" t="inlineStr"/>
      <c r="D342" s="5" t="inlineStr"/>
      <c r="E342" s="5" t="inlineStr"/>
      <c r="F342" s="5" t="inlineStr"/>
      <c r="G342" s="5">
        <f>SUM(G332:G341)</f>
        <v/>
      </c>
      <c r="H342" s="5" t="inlineStr"/>
      <c r="I342" s="5" t="inlineStr"/>
      <c r="J342" s="6">
        <f>SUM(J332:J341)</f>
        <v/>
      </c>
    </row>
    <row r="343">
      <c r="A343" s="3" t="inlineStr">
        <is>
          <t>RNL</t>
        </is>
      </c>
      <c r="B343" s="3" t="inlineStr">
        <is>
          <t>ISV-0009</t>
        </is>
      </c>
      <c r="C343" s="20" t="n">
        <v>46187</v>
      </c>
      <c r="D343" s="3" t="inlineStr">
        <is>
          <t>النظام الجديد</t>
        </is>
      </c>
      <c r="E343" s="3" t="inlineStr">
        <is>
          <t>SF97</t>
        </is>
      </c>
      <c r="F343" s="3" t="inlineStr">
        <is>
          <t>فينكا روزا مركن 9 سم أبيض</t>
        </is>
      </c>
      <c r="G343" s="3" t="n">
        <v>550</v>
      </c>
      <c r="H343" s="3" t="inlineStr">
        <is>
          <t>EA</t>
        </is>
      </c>
      <c r="I343" s="4" t="n">
        <v>0.55</v>
      </c>
      <c r="J343" s="4" t="n">
        <v>302.5</v>
      </c>
    </row>
    <row r="344">
      <c r="A344" s="3" t="inlineStr">
        <is>
          <t>RNL</t>
        </is>
      </c>
      <c r="B344" s="3" t="inlineStr">
        <is>
          <t>ISV-0009</t>
        </is>
      </c>
      <c r="C344" s="20" t="n">
        <v>46187</v>
      </c>
      <c r="D344" s="3" t="inlineStr">
        <is>
          <t>النظام الجديد</t>
        </is>
      </c>
      <c r="E344" s="3" t="inlineStr">
        <is>
          <t>SF100</t>
        </is>
      </c>
      <c r="F344" s="3" t="inlineStr">
        <is>
          <t>فينكا روزا مركن 9 سم أبيض نقطة حمراء</t>
        </is>
      </c>
      <c r="G344" s="3" t="n">
        <v>500</v>
      </c>
      <c r="H344" s="3" t="inlineStr">
        <is>
          <t>EA</t>
        </is>
      </c>
      <c r="I344" s="4" t="n">
        <v>0.55</v>
      </c>
      <c r="J344" s="4" t="n">
        <v>275</v>
      </c>
    </row>
    <row r="345">
      <c r="A345" s="3" t="inlineStr">
        <is>
          <t>RNL</t>
        </is>
      </c>
      <c r="B345" s="3" t="inlineStr">
        <is>
          <t>ISV-0009</t>
        </is>
      </c>
      <c r="C345" s="20" t="n">
        <v>46187</v>
      </c>
      <c r="D345" s="3" t="inlineStr">
        <is>
          <t>النظام الجديد</t>
        </is>
      </c>
      <c r="E345" s="3" t="inlineStr">
        <is>
          <t>SF106</t>
        </is>
      </c>
      <c r="F345" s="3" t="inlineStr">
        <is>
          <t>فينكا روزا مركن 9 سم برغندي هالو</t>
        </is>
      </c>
      <c r="G345" s="3" t="n">
        <v>500</v>
      </c>
      <c r="H345" s="3" t="inlineStr">
        <is>
          <t>EA</t>
        </is>
      </c>
      <c r="I345" s="4" t="n">
        <v>0.55</v>
      </c>
      <c r="J345" s="4" t="n">
        <v>275</v>
      </c>
    </row>
    <row r="346">
      <c r="A346" s="3" t="inlineStr">
        <is>
          <t>RNL</t>
        </is>
      </c>
      <c r="B346" s="3" t="inlineStr">
        <is>
          <t>ISV-0009</t>
        </is>
      </c>
      <c r="C346" s="20" t="n">
        <v>46187</v>
      </c>
      <c r="D346" s="3" t="inlineStr">
        <is>
          <t>النظام الجديد</t>
        </is>
      </c>
      <c r="E346" s="3" t="inlineStr">
        <is>
          <t>SF99</t>
        </is>
      </c>
      <c r="F346" s="3" t="inlineStr">
        <is>
          <t>فينكا روزا مركن 9 سم أحمر نقطة بيضاء</t>
        </is>
      </c>
      <c r="G346" s="3" t="n">
        <v>500</v>
      </c>
      <c r="H346" s="3" t="inlineStr">
        <is>
          <t>EA</t>
        </is>
      </c>
      <c r="I346" s="4" t="n">
        <v>0.55</v>
      </c>
      <c r="J346" s="4" t="n">
        <v>275</v>
      </c>
    </row>
    <row r="347">
      <c r="A347" s="3" t="inlineStr">
        <is>
          <t>RNL</t>
        </is>
      </c>
      <c r="B347" s="3" t="inlineStr">
        <is>
          <t>ISV-0009</t>
        </is>
      </c>
      <c r="C347" s="20" t="n">
        <v>46187</v>
      </c>
      <c r="D347" s="3" t="inlineStr">
        <is>
          <t>النظام الجديد</t>
        </is>
      </c>
      <c r="E347" s="3" t="inlineStr">
        <is>
          <t>SF108</t>
        </is>
      </c>
      <c r="F347" s="3" t="inlineStr">
        <is>
          <t>فينكا روزا مركن 9 سم أوركيد عميق</t>
        </is>
      </c>
      <c r="G347" s="3" t="n">
        <v>500</v>
      </c>
      <c r="H347" s="3" t="inlineStr">
        <is>
          <t>EA</t>
        </is>
      </c>
      <c r="I347" s="4" t="n">
        <v>0.55</v>
      </c>
      <c r="J347" s="4" t="n">
        <v>275</v>
      </c>
    </row>
    <row r="348">
      <c r="A348" s="3" t="inlineStr">
        <is>
          <t>RNL</t>
        </is>
      </c>
      <c r="B348" s="3" t="inlineStr">
        <is>
          <t>ISV-0009</t>
        </is>
      </c>
      <c r="C348" s="20" t="n">
        <v>46187</v>
      </c>
      <c r="D348" s="3" t="inlineStr">
        <is>
          <t>النظام الجديد</t>
        </is>
      </c>
      <c r="E348" s="3" t="inlineStr">
        <is>
          <t>SF105</t>
        </is>
      </c>
      <c r="F348" s="3" t="inlineStr">
        <is>
          <t>فينكا روزا مركن 9 سم برغندي</t>
        </is>
      </c>
      <c r="G348" s="3" t="n">
        <v>500</v>
      </c>
      <c r="H348" s="3" t="inlineStr">
        <is>
          <t>EA</t>
        </is>
      </c>
      <c r="I348" s="4" t="n">
        <v>0.55</v>
      </c>
      <c r="J348" s="4" t="n">
        <v>275</v>
      </c>
    </row>
    <row r="349">
      <c r="A349" s="3" t="inlineStr">
        <is>
          <t>RNL</t>
        </is>
      </c>
      <c r="B349" s="3" t="inlineStr">
        <is>
          <t>ISV-0009</t>
        </is>
      </c>
      <c r="C349" s="20" t="n">
        <v>46187</v>
      </c>
      <c r="D349" s="3" t="inlineStr">
        <is>
          <t>النظام الجديد</t>
        </is>
      </c>
      <c r="E349" s="3" t="inlineStr">
        <is>
          <t>SF98</t>
        </is>
      </c>
      <c r="F349" s="3" t="inlineStr">
        <is>
          <t>فينكا روزا مركن 9 سم أحمر</t>
        </is>
      </c>
      <c r="G349" s="3" t="n">
        <v>500</v>
      </c>
      <c r="H349" s="3" t="inlineStr">
        <is>
          <t>EA</t>
        </is>
      </c>
      <c r="I349" s="4" t="n">
        <v>0.55</v>
      </c>
      <c r="J349" s="4" t="n">
        <v>275</v>
      </c>
    </row>
    <row r="350">
      <c r="A350" s="5" t="inlineStr"/>
      <c r="B350" s="5" t="inlineStr">
        <is>
          <t>إجمالي ISV-0009</t>
        </is>
      </c>
      <c r="C350" s="5" t="inlineStr"/>
      <c r="D350" s="5" t="inlineStr"/>
      <c r="E350" s="5" t="inlineStr"/>
      <c r="F350" s="5" t="inlineStr"/>
      <c r="G350" s="5">
        <f>SUM(G343:G349)</f>
        <v/>
      </c>
      <c r="H350" s="5" t="inlineStr"/>
      <c r="I350" s="5" t="inlineStr"/>
      <c r="J350" s="6">
        <f>SUM(J343:J349)</f>
        <v/>
      </c>
    </row>
    <row r="351">
      <c r="A351" s="3" t="inlineStr">
        <is>
          <t>RNL</t>
        </is>
      </c>
      <c r="B351" s="3" t="inlineStr">
        <is>
          <t>ISV-0045</t>
        </is>
      </c>
      <c r="C351" s="20" t="n">
        <v>46198</v>
      </c>
      <c r="D351" s="3" t="inlineStr">
        <is>
          <t>النظام الجديد</t>
        </is>
      </c>
      <c r="E351" s="3" t="inlineStr">
        <is>
          <t>SF97</t>
        </is>
      </c>
      <c r="F351" s="3" t="inlineStr">
        <is>
          <t>فينكا روزا مركن 9 سم أبيض</t>
        </is>
      </c>
      <c r="G351" s="3" t="n">
        <v>1000</v>
      </c>
      <c r="H351" s="3" t="inlineStr">
        <is>
          <t>EA</t>
        </is>
      </c>
      <c r="I351" s="4" t="n">
        <v>0.55</v>
      </c>
      <c r="J351" s="4" t="n">
        <v>550</v>
      </c>
    </row>
    <row r="352">
      <c r="A352" s="3" t="inlineStr">
        <is>
          <t>RNL</t>
        </is>
      </c>
      <c r="B352" s="3" t="inlineStr">
        <is>
          <t>ISV-0045</t>
        </is>
      </c>
      <c r="C352" s="20" t="n">
        <v>46198</v>
      </c>
      <c r="D352" s="3" t="inlineStr">
        <is>
          <t>النظام الجديد</t>
        </is>
      </c>
      <c r="E352" s="3" t="inlineStr">
        <is>
          <t>SF98</t>
        </is>
      </c>
      <c r="F352" s="3" t="inlineStr">
        <is>
          <t>فينكا روزا مركن 9 سم أحمر</t>
        </is>
      </c>
      <c r="G352" s="3" t="n">
        <v>1000</v>
      </c>
      <c r="H352" s="3" t="inlineStr">
        <is>
          <t>EA</t>
        </is>
      </c>
      <c r="I352" s="4" t="n">
        <v>0.55</v>
      </c>
      <c r="J352" s="4" t="n">
        <v>550</v>
      </c>
    </row>
    <row r="353">
      <c r="A353" s="3" t="inlineStr">
        <is>
          <t>RNL</t>
        </is>
      </c>
      <c r="B353" s="3" t="inlineStr">
        <is>
          <t>ISV-0045</t>
        </is>
      </c>
      <c r="C353" s="20" t="n">
        <v>46198</v>
      </c>
      <c r="D353" s="3" t="inlineStr">
        <is>
          <t>النظام الجديد</t>
        </is>
      </c>
      <c r="E353" s="3" t="inlineStr">
        <is>
          <t>SF102</t>
        </is>
      </c>
      <c r="F353" s="3" t="inlineStr">
        <is>
          <t>فينكا روزا مركن 9 سم مشمشي</t>
        </is>
      </c>
      <c r="G353" s="3" t="n">
        <v>375</v>
      </c>
      <c r="H353" s="3" t="inlineStr">
        <is>
          <t>EA</t>
        </is>
      </c>
      <c r="I353" s="4" t="n">
        <v>0.55</v>
      </c>
      <c r="J353" s="4" t="n">
        <v>206.25</v>
      </c>
    </row>
    <row r="354">
      <c r="A354" s="3" t="inlineStr">
        <is>
          <t>RNL</t>
        </is>
      </c>
      <c r="B354" s="3" t="inlineStr">
        <is>
          <t>ISV-0045</t>
        </is>
      </c>
      <c r="C354" s="20" t="n">
        <v>46198</v>
      </c>
      <c r="D354" s="3" t="inlineStr">
        <is>
          <t>النظام الجديد</t>
        </is>
      </c>
      <c r="E354" s="3" t="inlineStr">
        <is>
          <t>SF105</t>
        </is>
      </c>
      <c r="F354" s="3" t="inlineStr">
        <is>
          <t>فينكا روزا مركن 9 سم برغندي</t>
        </is>
      </c>
      <c r="G354" s="3" t="n">
        <v>500</v>
      </c>
      <c r="H354" s="3" t="inlineStr">
        <is>
          <t>EA</t>
        </is>
      </c>
      <c r="I354" s="4" t="n">
        <v>0.55</v>
      </c>
      <c r="J354" s="4" t="n">
        <v>275</v>
      </c>
    </row>
    <row r="355">
      <c r="A355" s="3" t="inlineStr">
        <is>
          <t>RNL</t>
        </is>
      </c>
      <c r="B355" s="3" t="inlineStr">
        <is>
          <t>ISV-0045</t>
        </is>
      </c>
      <c r="C355" s="20" t="n">
        <v>46198</v>
      </c>
      <c r="D355" s="3" t="inlineStr">
        <is>
          <t>النظام الجديد</t>
        </is>
      </c>
      <c r="E355" s="3" t="inlineStr">
        <is>
          <t>SF106</t>
        </is>
      </c>
      <c r="F355" s="3" t="inlineStr">
        <is>
          <t>فينكا روزا مركن 9 سم برغندي هالو</t>
        </is>
      </c>
      <c r="G355" s="3" t="n">
        <v>500</v>
      </c>
      <c r="H355" s="3" t="inlineStr">
        <is>
          <t>EA</t>
        </is>
      </c>
      <c r="I355" s="4" t="n">
        <v>0.55</v>
      </c>
      <c r="J355" s="4" t="n">
        <v>275</v>
      </c>
    </row>
    <row r="356">
      <c r="A356" s="3" t="inlineStr">
        <is>
          <t>RNL</t>
        </is>
      </c>
      <c r="B356" s="3" t="inlineStr">
        <is>
          <t>ISV-0045</t>
        </is>
      </c>
      <c r="C356" s="20" t="n">
        <v>46198</v>
      </c>
      <c r="D356" s="3" t="inlineStr">
        <is>
          <t>النظام الجديد</t>
        </is>
      </c>
      <c r="E356" s="3" t="inlineStr">
        <is>
          <t>SF108</t>
        </is>
      </c>
      <c r="F356" s="3" t="inlineStr">
        <is>
          <t>فينكا روزا مركن 9 سم أوركيد عميق</t>
        </is>
      </c>
      <c r="G356" s="3" t="n">
        <v>1000</v>
      </c>
      <c r="H356" s="3" t="inlineStr">
        <is>
          <t>EA</t>
        </is>
      </c>
      <c r="I356" s="4" t="n">
        <v>0.55</v>
      </c>
      <c r="J356" s="4" t="n">
        <v>550</v>
      </c>
    </row>
    <row r="357">
      <c r="A357" s="5" t="inlineStr"/>
      <c r="B357" s="5" t="inlineStr">
        <is>
          <t>إجمالي ISV-0045</t>
        </is>
      </c>
      <c r="C357" s="5" t="inlineStr"/>
      <c r="D357" s="5" t="inlineStr"/>
      <c r="E357" s="5" t="inlineStr"/>
      <c r="F357" s="5" t="inlineStr"/>
      <c r="G357" s="5">
        <f>SUM(G351:G356)</f>
        <v/>
      </c>
      <c r="H357" s="5" t="inlineStr"/>
      <c r="I357" s="5" t="inlineStr"/>
      <c r="J357" s="6">
        <f>SUM(J351:J356)</f>
        <v/>
      </c>
    </row>
    <row r="358">
      <c r="A358" s="3" t="inlineStr">
        <is>
          <t>RNL</t>
        </is>
      </c>
      <c r="B358" s="3" t="inlineStr">
        <is>
          <t>ISV-0068</t>
        </is>
      </c>
      <c r="C358" s="20" t="n">
        <v>46204</v>
      </c>
      <c r="D358" s="3" t="inlineStr">
        <is>
          <t>النظام الجديد</t>
        </is>
      </c>
      <c r="E358" s="3" t="inlineStr">
        <is>
          <t>SF97</t>
        </is>
      </c>
      <c r="F358" s="3" t="inlineStr">
        <is>
          <t>فينكا روزا مركن 9 سم أبيض</t>
        </is>
      </c>
      <c r="G358" s="3" t="n">
        <v>350</v>
      </c>
      <c r="H358" s="3" t="inlineStr">
        <is>
          <t>EA</t>
        </is>
      </c>
      <c r="I358" s="4" t="n">
        <v>0.55</v>
      </c>
      <c r="J358" s="4" t="n">
        <v>192.5</v>
      </c>
    </row>
    <row r="359">
      <c r="A359" s="3" t="inlineStr">
        <is>
          <t>RNL</t>
        </is>
      </c>
      <c r="B359" s="3" t="inlineStr">
        <is>
          <t>ISV-0068</t>
        </is>
      </c>
      <c r="C359" s="20" t="n">
        <v>46204</v>
      </c>
      <c r="D359" s="3" t="inlineStr">
        <is>
          <t>النظام الجديد</t>
        </is>
      </c>
      <c r="E359" s="3" t="inlineStr">
        <is>
          <t>SF98</t>
        </is>
      </c>
      <c r="F359" s="3" t="inlineStr">
        <is>
          <t>فينكا روزا مركن 9 سم أحمر</t>
        </is>
      </c>
      <c r="G359" s="3" t="n">
        <v>350</v>
      </c>
      <c r="H359" s="3" t="inlineStr">
        <is>
          <t>EA</t>
        </is>
      </c>
      <c r="I359" s="4" t="n">
        <v>0.55</v>
      </c>
      <c r="J359" s="4" t="n">
        <v>192.5</v>
      </c>
    </row>
    <row r="360">
      <c r="A360" s="3" t="inlineStr">
        <is>
          <t>RNL</t>
        </is>
      </c>
      <c r="B360" s="3" t="inlineStr">
        <is>
          <t>ISV-0068</t>
        </is>
      </c>
      <c r="C360" s="20" t="n">
        <v>46204</v>
      </c>
      <c r="D360" s="3" t="inlineStr">
        <is>
          <t>النظام الجديد</t>
        </is>
      </c>
      <c r="E360" s="3" t="inlineStr">
        <is>
          <t>SF100</t>
        </is>
      </c>
      <c r="F360" s="3" t="inlineStr">
        <is>
          <t>فينكا روزا مركن 9 سم أبيض نقطة حمراء</t>
        </is>
      </c>
      <c r="G360" s="3" t="n">
        <v>250</v>
      </c>
      <c r="H360" s="3" t="inlineStr">
        <is>
          <t>EA</t>
        </is>
      </c>
      <c r="I360" s="4" t="n">
        <v>0.55</v>
      </c>
      <c r="J360" s="4" t="n">
        <v>137.5</v>
      </c>
    </row>
    <row r="361">
      <c r="A361" s="3" t="inlineStr">
        <is>
          <t>RNL</t>
        </is>
      </c>
      <c r="B361" s="3" t="inlineStr">
        <is>
          <t>ISV-0068</t>
        </is>
      </c>
      <c r="C361" s="20" t="n">
        <v>46204</v>
      </c>
      <c r="D361" s="3" t="inlineStr">
        <is>
          <t>النظام الجديد</t>
        </is>
      </c>
      <c r="E361" s="3" t="inlineStr">
        <is>
          <t>SF99</t>
        </is>
      </c>
      <c r="F361" s="3" t="inlineStr">
        <is>
          <t>فينكا روزا مركن 9 سم أحمر نقطة بيضاء</t>
        </is>
      </c>
      <c r="G361" s="3" t="n">
        <v>350</v>
      </c>
      <c r="H361" s="3" t="inlineStr">
        <is>
          <t>EA</t>
        </is>
      </c>
      <c r="I361" s="4" t="n">
        <v>0.55</v>
      </c>
      <c r="J361" s="4" t="n">
        <v>192.5</v>
      </c>
    </row>
    <row r="362">
      <c r="A362" s="3" t="inlineStr">
        <is>
          <t>RNL</t>
        </is>
      </c>
      <c r="B362" s="3" t="inlineStr">
        <is>
          <t>ISV-0068</t>
        </is>
      </c>
      <c r="C362" s="20" t="n">
        <v>46204</v>
      </c>
      <c r="D362" s="3" t="inlineStr">
        <is>
          <t>النظام الجديد</t>
        </is>
      </c>
      <c r="E362" s="3" t="inlineStr">
        <is>
          <t>SF103</t>
        </is>
      </c>
      <c r="F362" s="3" t="inlineStr">
        <is>
          <t>فينكا روزا مركن 9 سم بينك (وردي)</t>
        </is>
      </c>
      <c r="G362" s="3" t="n">
        <v>350</v>
      </c>
      <c r="H362" s="3" t="inlineStr">
        <is>
          <t>EA</t>
        </is>
      </c>
      <c r="I362" s="4" t="n">
        <v>0.55</v>
      </c>
      <c r="J362" s="4" t="n">
        <v>192.5</v>
      </c>
    </row>
    <row r="363">
      <c r="A363" s="3" t="inlineStr">
        <is>
          <t>RNL</t>
        </is>
      </c>
      <c r="B363" s="3" t="inlineStr">
        <is>
          <t>ISV-0068</t>
        </is>
      </c>
      <c r="C363" s="20" t="n">
        <v>46204</v>
      </c>
      <c r="D363" s="3" t="inlineStr">
        <is>
          <t>النظام الجديد</t>
        </is>
      </c>
      <c r="E363" s="3" t="inlineStr">
        <is>
          <t>SF102</t>
        </is>
      </c>
      <c r="F363" s="3" t="inlineStr">
        <is>
          <t>فينكا روزا مركن 9 سم مشمشي</t>
        </is>
      </c>
      <c r="G363" s="3" t="n">
        <v>500</v>
      </c>
      <c r="H363" s="3" t="inlineStr">
        <is>
          <t>EA</t>
        </is>
      </c>
      <c r="I363" s="4" t="n">
        <v>0.55</v>
      </c>
      <c r="J363" s="4" t="n">
        <v>275</v>
      </c>
    </row>
    <row r="364">
      <c r="A364" s="3" t="inlineStr">
        <is>
          <t>RNL</t>
        </is>
      </c>
      <c r="B364" s="3" t="inlineStr">
        <is>
          <t>ISV-0068</t>
        </is>
      </c>
      <c r="C364" s="20" t="n">
        <v>46204</v>
      </c>
      <c r="D364" s="3" t="inlineStr">
        <is>
          <t>النظام الجديد</t>
        </is>
      </c>
      <c r="E364" s="3" t="inlineStr">
        <is>
          <t>SF105</t>
        </is>
      </c>
      <c r="F364" s="3" t="inlineStr">
        <is>
          <t>فينكا روزا مركن 9 سم برغندي</t>
        </is>
      </c>
      <c r="G364" s="3" t="n">
        <v>350</v>
      </c>
      <c r="H364" s="3" t="inlineStr">
        <is>
          <t>EA</t>
        </is>
      </c>
      <c r="I364" s="4" t="n">
        <v>0.55</v>
      </c>
      <c r="J364" s="4" t="n">
        <v>192.5</v>
      </c>
    </row>
    <row r="365">
      <c r="A365" s="3" t="inlineStr">
        <is>
          <t>RNL</t>
        </is>
      </c>
      <c r="B365" s="3" t="inlineStr">
        <is>
          <t>ISV-0068</t>
        </is>
      </c>
      <c r="C365" s="20" t="n">
        <v>46204</v>
      </c>
      <c r="D365" s="3" t="inlineStr">
        <is>
          <t>النظام الجديد</t>
        </is>
      </c>
      <c r="E365" s="3" t="inlineStr">
        <is>
          <t>SF106</t>
        </is>
      </c>
      <c r="F365" s="3" t="inlineStr">
        <is>
          <t>فينكا روزا مركن 9 سم برغندي هالو</t>
        </is>
      </c>
      <c r="G365" s="3" t="n">
        <v>425</v>
      </c>
      <c r="H365" s="3" t="inlineStr">
        <is>
          <t>EA</t>
        </is>
      </c>
      <c r="I365" s="4" t="n">
        <v>0.55</v>
      </c>
      <c r="J365" s="4" t="n">
        <v>233.75</v>
      </c>
    </row>
    <row r="366">
      <c r="A366" s="3" t="inlineStr">
        <is>
          <t>RNL</t>
        </is>
      </c>
      <c r="B366" s="3" t="inlineStr">
        <is>
          <t>ISV-0068</t>
        </is>
      </c>
      <c r="C366" s="20" t="n">
        <v>46204</v>
      </c>
      <c r="D366" s="3" t="inlineStr">
        <is>
          <t>النظام الجديد</t>
        </is>
      </c>
      <c r="E366" s="3" t="inlineStr">
        <is>
          <t>SF108</t>
        </is>
      </c>
      <c r="F366" s="3" t="inlineStr">
        <is>
          <t>فينكا روزا مركن 9 سم أوركيد عميق</t>
        </is>
      </c>
      <c r="G366" s="3" t="n">
        <v>300</v>
      </c>
      <c r="H366" s="3" t="inlineStr">
        <is>
          <t>EA</t>
        </is>
      </c>
      <c r="I366" s="4" t="n">
        <v>0.55</v>
      </c>
      <c r="J366" s="4" t="n">
        <v>165</v>
      </c>
    </row>
    <row r="367">
      <c r="A367" s="5" t="inlineStr"/>
      <c r="B367" s="5" t="inlineStr">
        <is>
          <t>إجمالي ISV-0068</t>
        </is>
      </c>
      <c r="C367" s="5" t="inlineStr"/>
      <c r="D367" s="5" t="inlineStr"/>
      <c r="E367" s="5" t="inlineStr"/>
      <c r="F367" s="5" t="inlineStr"/>
      <c r="G367" s="5">
        <f>SUM(G358:G366)</f>
        <v/>
      </c>
      <c r="H367" s="5" t="inlineStr"/>
      <c r="I367" s="5" t="inlineStr"/>
      <c r="J367" s="6">
        <f>SUM(J358:J366)</f>
        <v/>
      </c>
    </row>
    <row r="368">
      <c r="A368" s="3" t="inlineStr">
        <is>
          <t>RNL</t>
        </is>
      </c>
      <c r="B368" s="3" t="inlineStr">
        <is>
          <t>ISV-0089</t>
        </is>
      </c>
      <c r="C368" s="20" t="n">
        <v>46214</v>
      </c>
      <c r="D368" s="3" t="inlineStr">
        <is>
          <t>النظام الجديد</t>
        </is>
      </c>
      <c r="E368" s="3" t="inlineStr">
        <is>
          <t>SF105</t>
        </is>
      </c>
      <c r="F368" s="3" t="inlineStr">
        <is>
          <t>فينكا روزا مركن 9 سم برغندي</t>
        </is>
      </c>
      <c r="G368" s="3" t="n">
        <v>2200</v>
      </c>
      <c r="H368" s="3" t="inlineStr">
        <is>
          <t>EA</t>
        </is>
      </c>
      <c r="I368" s="4" t="n">
        <v>0.55</v>
      </c>
      <c r="J368" s="4" t="n">
        <v>1210</v>
      </c>
    </row>
    <row r="369">
      <c r="A369" s="3" t="inlineStr">
        <is>
          <t>RNL</t>
        </is>
      </c>
      <c r="B369" s="3" t="inlineStr">
        <is>
          <t>ISV-0089</t>
        </is>
      </c>
      <c r="C369" s="20" t="n">
        <v>46214</v>
      </c>
      <c r="D369" s="3" t="inlineStr">
        <is>
          <t>النظام الجديد</t>
        </is>
      </c>
      <c r="E369" s="3" t="inlineStr">
        <is>
          <t>SF108</t>
        </is>
      </c>
      <c r="F369" s="3" t="inlineStr">
        <is>
          <t>فينكا روزا مركن 9 سم أوركيد عميق</t>
        </is>
      </c>
      <c r="G369" s="3" t="n">
        <v>1000</v>
      </c>
      <c r="H369" s="3" t="inlineStr">
        <is>
          <t>EA</t>
        </is>
      </c>
      <c r="I369" s="4" t="n">
        <v>0.55</v>
      </c>
      <c r="J369" s="4" t="n">
        <v>550</v>
      </c>
    </row>
    <row r="370">
      <c r="A370" s="3" t="inlineStr">
        <is>
          <t>RNL</t>
        </is>
      </c>
      <c r="B370" s="3" t="inlineStr">
        <is>
          <t>ISV-0089</t>
        </is>
      </c>
      <c r="C370" s="20" t="n">
        <v>46214</v>
      </c>
      <c r="D370" s="3" t="inlineStr">
        <is>
          <t>النظام الجديد</t>
        </is>
      </c>
      <c r="E370" s="3" t="inlineStr">
        <is>
          <t>SF106</t>
        </is>
      </c>
      <c r="F370" s="3" t="inlineStr">
        <is>
          <t>فينكا روزا مركن 9 سم برغندي هالو</t>
        </is>
      </c>
      <c r="G370" s="3" t="n">
        <v>1800</v>
      </c>
      <c r="H370" s="3" t="inlineStr">
        <is>
          <t>EA</t>
        </is>
      </c>
      <c r="I370" s="4" t="n">
        <v>0.55</v>
      </c>
      <c r="J370" s="4" t="n">
        <v>990</v>
      </c>
    </row>
    <row r="371">
      <c r="A371" s="3" t="inlineStr">
        <is>
          <t>RNL</t>
        </is>
      </c>
      <c r="B371" s="3" t="inlineStr">
        <is>
          <t>ISV-0089</t>
        </is>
      </c>
      <c r="C371" s="20" t="n">
        <v>46214</v>
      </c>
      <c r="D371" s="3" t="inlineStr">
        <is>
          <t>النظام الجديد</t>
        </is>
      </c>
      <c r="E371" s="3" t="inlineStr">
        <is>
          <t>SF99</t>
        </is>
      </c>
      <c r="F371" s="3" t="inlineStr">
        <is>
          <t>فينكا روزا مركن 9 سم أحمر نقطة بيضاء</t>
        </is>
      </c>
      <c r="G371" s="3" t="n">
        <v>850</v>
      </c>
      <c r="H371" s="3" t="inlineStr">
        <is>
          <t>EA</t>
        </is>
      </c>
      <c r="I371" s="4" t="n">
        <v>0.55</v>
      </c>
      <c r="J371" s="4" t="n">
        <v>467.5</v>
      </c>
    </row>
    <row r="372">
      <c r="A372" s="3" t="inlineStr">
        <is>
          <t>RNL</t>
        </is>
      </c>
      <c r="B372" s="3" t="inlineStr">
        <is>
          <t>ISV-0089</t>
        </is>
      </c>
      <c r="C372" s="20" t="n">
        <v>46214</v>
      </c>
      <c r="D372" s="3" t="inlineStr">
        <is>
          <t>النظام الجديد</t>
        </is>
      </c>
      <c r="E372" s="3" t="inlineStr">
        <is>
          <t>SF100</t>
        </is>
      </c>
      <c r="F372" s="3" t="inlineStr">
        <is>
          <t>فينكا روزا مركن 9 سم أبيض نقطة حمراء</t>
        </is>
      </c>
      <c r="G372" s="3" t="n">
        <v>1000</v>
      </c>
      <c r="H372" s="3" t="inlineStr">
        <is>
          <t>EA</t>
        </is>
      </c>
      <c r="I372" s="4" t="n">
        <v>0.55</v>
      </c>
      <c r="J372" s="4" t="n">
        <v>550</v>
      </c>
    </row>
    <row r="373">
      <c r="A373" s="5" t="inlineStr"/>
      <c r="B373" s="5" t="inlineStr">
        <is>
          <t>إجمالي ISV-0089</t>
        </is>
      </c>
      <c r="C373" s="5" t="inlineStr"/>
      <c r="D373" s="5" t="inlineStr"/>
      <c r="E373" s="5" t="inlineStr"/>
      <c r="F373" s="5" t="inlineStr"/>
      <c r="G373" s="5">
        <f>SUM(G368:G372)</f>
        <v/>
      </c>
      <c r="H373" s="5" t="inlineStr"/>
      <c r="I373" s="5" t="inlineStr"/>
      <c r="J373" s="6">
        <f>SUM(J368:J372)</f>
        <v/>
      </c>
    </row>
    <row r="374">
      <c r="A374" s="3" t="inlineStr">
        <is>
          <t>RNL</t>
        </is>
      </c>
      <c r="B374" s="3" t="inlineStr">
        <is>
          <t>ISV-0103</t>
        </is>
      </c>
      <c r="C374" s="20" t="n">
        <v>46218</v>
      </c>
      <c r="D374" s="3" t="inlineStr">
        <is>
          <t>النظام الجديد</t>
        </is>
      </c>
      <c r="E374" s="3" t="inlineStr">
        <is>
          <t>SF123</t>
        </is>
      </c>
      <c r="F374" s="3" t="inlineStr">
        <is>
          <t>زهور زينيا سنجل مركن 9 سم أبيض</t>
        </is>
      </c>
      <c r="G374" s="3" t="n">
        <v>475</v>
      </c>
      <c r="H374" s="3" t="inlineStr">
        <is>
          <t>EA</t>
        </is>
      </c>
      <c r="I374" s="4" t="n">
        <v>0.55</v>
      </c>
      <c r="J374" s="4" t="n">
        <v>261.25</v>
      </c>
    </row>
    <row r="375">
      <c r="A375" s="3" t="inlineStr">
        <is>
          <t>RNL</t>
        </is>
      </c>
      <c r="B375" s="3" t="inlineStr">
        <is>
          <t>ISV-0103</t>
        </is>
      </c>
      <c r="C375" s="20" t="n">
        <v>46218</v>
      </c>
      <c r="D375" s="3" t="inlineStr">
        <is>
          <t>النظام الجديد</t>
        </is>
      </c>
      <c r="E375" s="3" t="inlineStr">
        <is>
          <t>SF124</t>
        </is>
      </c>
      <c r="F375" s="3" t="inlineStr">
        <is>
          <t>زهور زينيا سنجل مركن 9 سم أحمر</t>
        </is>
      </c>
      <c r="G375" s="3" t="n">
        <v>300</v>
      </c>
      <c r="H375" s="3" t="inlineStr">
        <is>
          <t>EA</t>
        </is>
      </c>
      <c r="I375" s="4" t="n">
        <v>0.55</v>
      </c>
      <c r="J375" s="4" t="n">
        <v>165</v>
      </c>
    </row>
    <row r="376">
      <c r="A376" s="3" t="inlineStr">
        <is>
          <t>RNL</t>
        </is>
      </c>
      <c r="B376" s="3" t="inlineStr">
        <is>
          <t>ISV-0103</t>
        </is>
      </c>
      <c r="C376" s="20" t="n">
        <v>46218</v>
      </c>
      <c r="D376" s="3" t="inlineStr">
        <is>
          <t>النظام الجديد</t>
        </is>
      </c>
      <c r="E376" s="3" t="inlineStr">
        <is>
          <t>SF125</t>
        </is>
      </c>
      <c r="F376" s="3" t="inlineStr">
        <is>
          <t>زهور زينيا سنجل مركن 9 سم أصفر</t>
        </is>
      </c>
      <c r="G376" s="3" t="n">
        <v>350</v>
      </c>
      <c r="H376" s="3" t="inlineStr">
        <is>
          <t>EA</t>
        </is>
      </c>
      <c r="I376" s="4" t="n">
        <v>0.55</v>
      </c>
      <c r="J376" s="4" t="n">
        <v>192.5</v>
      </c>
    </row>
    <row r="377">
      <c r="A377" s="3" t="inlineStr">
        <is>
          <t>RNL</t>
        </is>
      </c>
      <c r="B377" s="3" t="inlineStr">
        <is>
          <t>ISV-0103</t>
        </is>
      </c>
      <c r="C377" s="20" t="n">
        <v>46218</v>
      </c>
      <c r="D377" s="3" t="inlineStr">
        <is>
          <t>النظام الجديد</t>
        </is>
      </c>
      <c r="E377" s="3" t="inlineStr">
        <is>
          <t>SF126</t>
        </is>
      </c>
      <c r="F377" s="3" t="inlineStr">
        <is>
          <t>زهور زينيا سنجل مركن 9 سم برتقالي</t>
        </is>
      </c>
      <c r="G377" s="3" t="n">
        <v>300</v>
      </c>
      <c r="H377" s="3" t="inlineStr">
        <is>
          <t>EA</t>
        </is>
      </c>
      <c r="I377" s="4" t="n">
        <v>0.55</v>
      </c>
      <c r="J377" s="4" t="n">
        <v>165</v>
      </c>
    </row>
    <row r="378">
      <c r="A378" s="3" t="inlineStr">
        <is>
          <t>RNL</t>
        </is>
      </c>
      <c r="B378" s="3" t="inlineStr">
        <is>
          <t>ISV-0103</t>
        </is>
      </c>
      <c r="C378" s="20" t="n">
        <v>46218</v>
      </c>
      <c r="D378" s="3" t="inlineStr">
        <is>
          <t>النظام الجديد</t>
        </is>
      </c>
      <c r="E378" s="3" t="inlineStr">
        <is>
          <t>SF127</t>
        </is>
      </c>
      <c r="F378" s="3" t="inlineStr">
        <is>
          <t>زهور زينيا سنجل مركن 9 سم ناري</t>
        </is>
      </c>
      <c r="G378" s="3" t="n">
        <v>775</v>
      </c>
      <c r="H378" s="3" t="inlineStr">
        <is>
          <t>EA</t>
        </is>
      </c>
      <c r="I378" s="4" t="n">
        <v>0.55</v>
      </c>
      <c r="J378" s="4" t="n">
        <v>426.25</v>
      </c>
    </row>
    <row r="379">
      <c r="A379" s="3" t="inlineStr">
        <is>
          <t>RNL</t>
        </is>
      </c>
      <c r="B379" s="3" t="inlineStr">
        <is>
          <t>ISV-0103</t>
        </is>
      </c>
      <c r="C379" s="20" t="n">
        <v>46218</v>
      </c>
      <c r="D379" s="3" t="inlineStr">
        <is>
          <t>النظام الجديد</t>
        </is>
      </c>
      <c r="E379" s="3" t="inlineStr">
        <is>
          <t>SF128</t>
        </is>
      </c>
      <c r="F379" s="3" t="inlineStr">
        <is>
          <t>زهور زينيا سنجل مركن 9 سم ليموني</t>
        </is>
      </c>
      <c r="G379" s="3" t="n">
        <v>475</v>
      </c>
      <c r="H379" s="3" t="inlineStr">
        <is>
          <t>EA</t>
        </is>
      </c>
      <c r="I379" s="4" t="n">
        <v>0.55</v>
      </c>
      <c r="J379" s="4" t="n">
        <v>261.25</v>
      </c>
    </row>
    <row r="380">
      <c r="A380" s="3" t="inlineStr">
        <is>
          <t>RNL</t>
        </is>
      </c>
      <c r="B380" s="3" t="inlineStr">
        <is>
          <t>ISV-0103</t>
        </is>
      </c>
      <c r="C380" s="20" t="n">
        <v>46218</v>
      </c>
      <c r="D380" s="3" t="inlineStr">
        <is>
          <t>النظام الجديد</t>
        </is>
      </c>
      <c r="E380" s="3" t="inlineStr">
        <is>
          <t>SF129</t>
        </is>
      </c>
      <c r="F380" s="3" t="inlineStr">
        <is>
          <t>زهور زينيا سنجل مركن 9 سم كرزي</t>
        </is>
      </c>
      <c r="G380" s="3" t="n">
        <v>475</v>
      </c>
      <c r="H380" s="3" t="inlineStr">
        <is>
          <t>EA</t>
        </is>
      </c>
      <c r="I380" s="4" t="n">
        <v>0.55</v>
      </c>
      <c r="J380" s="4" t="n">
        <v>261.25</v>
      </c>
    </row>
    <row r="381">
      <c r="A381" s="3" t="inlineStr">
        <is>
          <t>RNL</t>
        </is>
      </c>
      <c r="B381" s="3" t="inlineStr">
        <is>
          <t>ISV-0103</t>
        </is>
      </c>
      <c r="C381" s="20" t="n">
        <v>46218</v>
      </c>
      <c r="D381" s="3" t="inlineStr">
        <is>
          <t>النظام الجديد</t>
        </is>
      </c>
      <c r="E381" s="3" t="inlineStr">
        <is>
          <t>SF130</t>
        </is>
      </c>
      <c r="F381" s="3" t="inlineStr">
        <is>
          <t>زهور زينيا سنجل مركن 9 سم كرزي ثنائي اللون</t>
        </is>
      </c>
      <c r="G381" s="3" t="n">
        <v>475</v>
      </c>
      <c r="H381" s="3" t="inlineStr">
        <is>
          <t>EA</t>
        </is>
      </c>
      <c r="I381" s="4" t="n">
        <v>0.55</v>
      </c>
      <c r="J381" s="4" t="n">
        <v>261.25</v>
      </c>
    </row>
    <row r="382">
      <c r="A382" s="5" t="inlineStr"/>
      <c r="B382" s="5" t="inlineStr">
        <is>
          <t>إجمالي ISV-0103</t>
        </is>
      </c>
      <c r="C382" s="5" t="inlineStr"/>
      <c r="D382" s="5" t="inlineStr"/>
      <c r="E382" s="5" t="inlineStr"/>
      <c r="F382" s="5" t="inlineStr"/>
      <c r="G382" s="5">
        <f>SUM(G374:G381)</f>
        <v/>
      </c>
      <c r="H382" s="5" t="inlineStr"/>
      <c r="I382" s="5" t="inlineStr"/>
      <c r="J382" s="6">
        <f>SUM(J374:J381)</f>
        <v/>
      </c>
    </row>
    <row r="383">
      <c r="A383" s="3" t="inlineStr">
        <is>
          <t>RNL</t>
        </is>
      </c>
      <c r="B383" s="3" t="inlineStr">
        <is>
          <t>ISV-0104</t>
        </is>
      </c>
      <c r="C383" s="20" t="n">
        <v>46218</v>
      </c>
      <c r="D383" s="3" t="inlineStr">
        <is>
          <t>النظام الجديد</t>
        </is>
      </c>
      <c r="E383" s="3" t="inlineStr">
        <is>
          <t>SF103</t>
        </is>
      </c>
      <c r="F383" s="3" t="inlineStr">
        <is>
          <t>فينكا روزا مركن 9 سم بينك (وردي)</t>
        </is>
      </c>
      <c r="G383" s="3" t="n">
        <v>1900</v>
      </c>
      <c r="H383" s="3" t="inlineStr">
        <is>
          <t>EA</t>
        </is>
      </c>
      <c r="I383" s="4" t="n">
        <v>0.55</v>
      </c>
      <c r="J383" s="4" t="n">
        <v>1045</v>
      </c>
    </row>
    <row r="384">
      <c r="A384" s="3" t="inlineStr">
        <is>
          <t>RNL</t>
        </is>
      </c>
      <c r="B384" s="3" t="inlineStr">
        <is>
          <t>ISV-0104</t>
        </is>
      </c>
      <c r="C384" s="20" t="n">
        <v>46218</v>
      </c>
      <c r="D384" s="3" t="inlineStr">
        <is>
          <t>النظام الجديد</t>
        </is>
      </c>
      <c r="E384" s="3" t="inlineStr">
        <is>
          <t>SF105</t>
        </is>
      </c>
      <c r="F384" s="3" t="inlineStr">
        <is>
          <t>فينكا روزا مركن 9 سم برغندي</t>
        </is>
      </c>
      <c r="G384" s="3" t="n">
        <v>1600</v>
      </c>
      <c r="H384" s="3" t="inlineStr">
        <is>
          <t>EA</t>
        </is>
      </c>
      <c r="I384" s="4" t="n">
        <v>0.55</v>
      </c>
      <c r="J384" s="4" t="n">
        <v>880</v>
      </c>
    </row>
    <row r="385">
      <c r="A385" s="3" t="inlineStr">
        <is>
          <t>RNL</t>
        </is>
      </c>
      <c r="B385" s="3" t="inlineStr">
        <is>
          <t>ISV-0104</t>
        </is>
      </c>
      <c r="C385" s="20" t="n">
        <v>46218</v>
      </c>
      <c r="D385" s="3" t="inlineStr">
        <is>
          <t>النظام الجديد</t>
        </is>
      </c>
      <c r="E385" s="3" t="inlineStr">
        <is>
          <t>SF98</t>
        </is>
      </c>
      <c r="F385" s="3" t="inlineStr">
        <is>
          <t>فينكا روزا مركن 9 سم أحمر</t>
        </is>
      </c>
      <c r="G385" s="3" t="n">
        <v>1350</v>
      </c>
      <c r="H385" s="3" t="inlineStr">
        <is>
          <t>EA</t>
        </is>
      </c>
      <c r="I385" s="4" t="n">
        <v>0.55</v>
      </c>
      <c r="J385" s="4" t="n">
        <v>742.5</v>
      </c>
    </row>
    <row r="386">
      <c r="A386" s="3" t="inlineStr">
        <is>
          <t>RNL</t>
        </is>
      </c>
      <c r="B386" s="3" t="inlineStr">
        <is>
          <t>ISV-0104</t>
        </is>
      </c>
      <c r="C386" s="20" t="n">
        <v>46218</v>
      </c>
      <c r="D386" s="3" t="inlineStr">
        <is>
          <t>النظام الجديد</t>
        </is>
      </c>
      <c r="E386" s="3" t="inlineStr">
        <is>
          <t>SF108</t>
        </is>
      </c>
      <c r="F386" s="3" t="inlineStr">
        <is>
          <t>فينكا روزا مركن 9 سم أوركيد عميق</t>
        </is>
      </c>
      <c r="G386" s="3" t="n">
        <v>500</v>
      </c>
      <c r="H386" s="3" t="inlineStr">
        <is>
          <t>EA</t>
        </is>
      </c>
      <c r="I386" s="4" t="n">
        <v>0.55</v>
      </c>
      <c r="J386" s="4" t="n">
        <v>275</v>
      </c>
    </row>
    <row r="387">
      <c r="A387" s="5" t="inlineStr"/>
      <c r="B387" s="5" t="inlineStr">
        <is>
          <t>إجمالي ISV-0104</t>
        </is>
      </c>
      <c r="C387" s="5" t="inlineStr"/>
      <c r="D387" s="5" t="inlineStr"/>
      <c r="E387" s="5" t="inlineStr"/>
      <c r="F387" s="5" t="inlineStr"/>
      <c r="G387" s="5">
        <f>SUM(G383:G386)</f>
        <v/>
      </c>
      <c r="H387" s="5" t="inlineStr"/>
      <c r="I387" s="5" t="inlineStr"/>
      <c r="J387" s="6">
        <f>SUM(J383:J386)</f>
        <v/>
      </c>
    </row>
    <row r="388">
      <c r="A388" s="3" t="inlineStr">
        <is>
          <t>RNL</t>
        </is>
      </c>
      <c r="B388" s="3" t="inlineStr">
        <is>
          <t>ISV-0109</t>
        </is>
      </c>
      <c r="C388" s="20" t="n">
        <v>46222</v>
      </c>
      <c r="D388" s="3" t="inlineStr">
        <is>
          <t>النظام الجديد</t>
        </is>
      </c>
      <c r="E388" s="3" t="inlineStr">
        <is>
          <t>SF99</t>
        </is>
      </c>
      <c r="F388" s="3" t="inlineStr">
        <is>
          <t>فينكا روزا مركن 9 سم أحمر نقطة بيضاء</t>
        </is>
      </c>
      <c r="G388" s="3" t="n">
        <v>1375</v>
      </c>
      <c r="H388" s="3" t="inlineStr">
        <is>
          <t>EA</t>
        </is>
      </c>
      <c r="I388" s="4" t="n">
        <v>0.55</v>
      </c>
      <c r="J388" s="4" t="n">
        <v>756.25</v>
      </c>
    </row>
    <row r="389">
      <c r="A389" s="3" t="inlineStr">
        <is>
          <t>RNL</t>
        </is>
      </c>
      <c r="B389" s="3" t="inlineStr">
        <is>
          <t>ISV-0109</t>
        </is>
      </c>
      <c r="C389" s="20" t="n">
        <v>46222</v>
      </c>
      <c r="D389" s="3" t="inlineStr">
        <is>
          <t>النظام الجديد</t>
        </is>
      </c>
      <c r="E389" s="3" t="inlineStr">
        <is>
          <t>SF108</t>
        </is>
      </c>
      <c r="F389" s="3" t="inlineStr">
        <is>
          <t>فينكا روزا مركن 9 سم أوركيد عميق</t>
        </is>
      </c>
      <c r="G389" s="3" t="n">
        <v>2000</v>
      </c>
      <c r="H389" s="3" t="inlineStr">
        <is>
          <t>EA</t>
        </is>
      </c>
      <c r="I389" s="4" t="n">
        <v>0.55</v>
      </c>
      <c r="J389" s="4" t="n">
        <v>1100</v>
      </c>
    </row>
    <row r="390">
      <c r="A390" s="3" t="inlineStr">
        <is>
          <t>RNL</t>
        </is>
      </c>
      <c r="B390" s="3" t="inlineStr">
        <is>
          <t>ISV-0109</t>
        </is>
      </c>
      <c r="C390" s="20" t="n">
        <v>46222</v>
      </c>
      <c r="D390" s="3" t="inlineStr">
        <is>
          <t>النظام الجديد</t>
        </is>
      </c>
      <c r="E390" s="3" t="inlineStr">
        <is>
          <t>SF105</t>
        </is>
      </c>
      <c r="F390" s="3" t="inlineStr">
        <is>
          <t>فينكا روزا مركن 9 سم برغندي</t>
        </is>
      </c>
      <c r="G390" s="3" t="n">
        <v>2000</v>
      </c>
      <c r="H390" s="3" t="inlineStr">
        <is>
          <t>EA</t>
        </is>
      </c>
      <c r="I390" s="4" t="n">
        <v>0.55</v>
      </c>
      <c r="J390" s="4" t="n">
        <v>1100</v>
      </c>
    </row>
    <row r="391">
      <c r="A391" s="3" t="inlineStr">
        <is>
          <t>RNL</t>
        </is>
      </c>
      <c r="B391" s="3" t="inlineStr">
        <is>
          <t>ISV-0109</t>
        </is>
      </c>
      <c r="C391" s="20" t="n">
        <v>46222</v>
      </c>
      <c r="D391" s="3" t="inlineStr">
        <is>
          <t>النظام الجديد</t>
        </is>
      </c>
      <c r="E391" s="3" t="inlineStr">
        <is>
          <t>SF102</t>
        </is>
      </c>
      <c r="F391" s="3" t="inlineStr">
        <is>
          <t>فينكا روزا مركن 9 سم مشمشي</t>
        </is>
      </c>
      <c r="G391" s="3" t="n">
        <v>670</v>
      </c>
      <c r="H391" s="3" t="inlineStr">
        <is>
          <t>EA</t>
        </is>
      </c>
      <c r="I391" s="4" t="n">
        <v>0.55</v>
      </c>
      <c r="J391" s="4" t="n">
        <v>368.5</v>
      </c>
    </row>
    <row r="392">
      <c r="A392" s="3" t="inlineStr">
        <is>
          <t>RNL</t>
        </is>
      </c>
      <c r="B392" s="3" t="inlineStr">
        <is>
          <t>ISV-0109</t>
        </is>
      </c>
      <c r="C392" s="20" t="n">
        <v>46222</v>
      </c>
      <c r="D392" s="3" t="inlineStr">
        <is>
          <t>النظام الجديد</t>
        </is>
      </c>
      <c r="E392" s="3" t="inlineStr">
        <is>
          <t>SF100</t>
        </is>
      </c>
      <c r="F392" s="3" t="inlineStr">
        <is>
          <t>فينكا روزا مركن 9 سم أبيض نقطة حمراء</t>
        </is>
      </c>
      <c r="G392" s="3" t="n">
        <v>525</v>
      </c>
      <c r="H392" s="3" t="inlineStr">
        <is>
          <t>EA</t>
        </is>
      </c>
      <c r="I392" s="4" t="n">
        <v>0.55</v>
      </c>
      <c r="J392" s="4" t="n">
        <v>288.75</v>
      </c>
    </row>
    <row r="393">
      <c r="A393" s="5" t="inlineStr"/>
      <c r="B393" s="5" t="inlineStr">
        <is>
          <t>إجمالي ISV-0109</t>
        </is>
      </c>
      <c r="C393" s="5" t="inlineStr"/>
      <c r="D393" s="5" t="inlineStr"/>
      <c r="E393" s="5" t="inlineStr"/>
      <c r="F393" s="5" t="inlineStr"/>
      <c r="G393" s="5">
        <f>SUM(G388:G392)</f>
        <v/>
      </c>
      <c r="H393" s="5" t="inlineStr"/>
      <c r="I393" s="5" t="inlineStr"/>
      <c r="J393" s="6">
        <f>SUM(J388:J392)</f>
        <v/>
      </c>
    </row>
    <row r="394">
      <c r="A394" s="3" t="inlineStr">
        <is>
          <t>RNL</t>
        </is>
      </c>
      <c r="B394" s="3" t="inlineStr">
        <is>
          <t>ISV-0121</t>
        </is>
      </c>
      <c r="C394" s="20" t="n">
        <v>46226</v>
      </c>
      <c r="D394" s="3" t="inlineStr">
        <is>
          <t>النظام الجديد</t>
        </is>
      </c>
      <c r="E394" s="3" t="inlineStr">
        <is>
          <t>SF69</t>
        </is>
      </c>
      <c r="F394" s="3" t="inlineStr">
        <is>
          <t>زهور جرانيوم مركن 9 سم أبيض</t>
        </is>
      </c>
      <c r="G394" s="3" t="n">
        <v>3775</v>
      </c>
      <c r="H394" s="3" t="inlineStr">
        <is>
          <t>EA</t>
        </is>
      </c>
      <c r="I394" s="4" t="n">
        <v>0.95</v>
      </c>
      <c r="J394" s="4" t="n">
        <v>3586.25</v>
      </c>
    </row>
    <row r="395">
      <c r="A395" s="5" t="inlineStr"/>
      <c r="B395" s="5" t="inlineStr">
        <is>
          <t>إجمالي ISV-0121</t>
        </is>
      </c>
      <c r="C395" s="5" t="inlineStr"/>
      <c r="D395" s="5" t="inlineStr"/>
      <c r="E395" s="5" t="inlineStr"/>
      <c r="F395" s="5" t="inlineStr"/>
      <c r="G395" s="5">
        <f>SUM(G394:G394)</f>
        <v/>
      </c>
      <c r="H395" s="5" t="inlineStr"/>
      <c r="I395" s="5" t="inlineStr"/>
      <c r="J395" s="6">
        <f>SUM(J394:J394)</f>
        <v/>
      </c>
    </row>
    <row r="396">
      <c r="A396" s="3" t="inlineStr">
        <is>
          <t>RNL</t>
        </is>
      </c>
      <c r="B396" s="3" t="inlineStr">
        <is>
          <t>ISV-0124</t>
        </is>
      </c>
      <c r="C396" s="20" t="n">
        <v>46228</v>
      </c>
      <c r="D396" s="3" t="inlineStr">
        <is>
          <t>النظام الجديد</t>
        </is>
      </c>
      <c r="E396" s="3" t="inlineStr">
        <is>
          <t>SF164</t>
        </is>
      </c>
      <c r="F396" s="3" t="inlineStr">
        <is>
          <t>زهور جيرانيوم مركن 12 سم</t>
        </is>
      </c>
      <c r="G396" s="3" t="n">
        <v>1500</v>
      </c>
      <c r="H396" s="3" t="inlineStr">
        <is>
          <t>EA</t>
        </is>
      </c>
      <c r="I396" s="4" t="n">
        <v>2.1</v>
      </c>
      <c r="J396" s="4" t="n">
        <v>3150</v>
      </c>
    </row>
    <row r="397">
      <c r="A397" s="5" t="inlineStr"/>
      <c r="B397" s="5" t="inlineStr">
        <is>
          <t>إجمالي ISV-0124</t>
        </is>
      </c>
      <c r="C397" s="5" t="inlineStr"/>
      <c r="D397" s="5" t="inlineStr"/>
      <c r="E397" s="5" t="inlineStr"/>
      <c r="F397" s="5" t="inlineStr"/>
      <c r="G397" s="5">
        <f>SUM(G396:G396)</f>
        <v/>
      </c>
      <c r="H397" s="5" t="inlineStr"/>
      <c r="I397" s="5" t="inlineStr"/>
      <c r="J397" s="6">
        <f>SUM(J396:J396)</f>
        <v/>
      </c>
    </row>
    <row r="398">
      <c r="A398" s="3" t="inlineStr">
        <is>
          <t>RNL</t>
        </is>
      </c>
      <c r="B398" s="3" t="inlineStr">
        <is>
          <t>ISV-0125</t>
        </is>
      </c>
      <c r="C398" s="20" t="n">
        <v>46228</v>
      </c>
      <c r="D398" s="3" t="inlineStr">
        <is>
          <t>النظام الجديد</t>
        </is>
      </c>
      <c r="E398" s="3" t="inlineStr">
        <is>
          <t>SF105</t>
        </is>
      </c>
      <c r="F398" s="3" t="inlineStr">
        <is>
          <t>فينكا روزا مركن 9 سم برغندي</t>
        </is>
      </c>
      <c r="G398" s="3" t="n">
        <v>2300</v>
      </c>
      <c r="H398" s="3" t="inlineStr">
        <is>
          <t>EA</t>
        </is>
      </c>
      <c r="I398" s="4" t="n">
        <v>0.55</v>
      </c>
      <c r="J398" s="4" t="n">
        <v>1265</v>
      </c>
    </row>
    <row r="399">
      <c r="A399" s="3" t="inlineStr">
        <is>
          <t>RNL</t>
        </is>
      </c>
      <c r="B399" s="3" t="inlineStr">
        <is>
          <t>ISV-0125</t>
        </is>
      </c>
      <c r="C399" s="20" t="n">
        <v>46228</v>
      </c>
      <c r="D399" s="3" t="inlineStr">
        <is>
          <t>النظام الجديد</t>
        </is>
      </c>
      <c r="E399" s="3" t="inlineStr">
        <is>
          <t>SF108</t>
        </is>
      </c>
      <c r="F399" s="3" t="inlineStr">
        <is>
          <t>فينكا روزا مركن 9 سم أوركيد عميق</t>
        </is>
      </c>
      <c r="G399" s="3" t="n">
        <v>2300</v>
      </c>
      <c r="H399" s="3" t="inlineStr">
        <is>
          <t>EA</t>
        </is>
      </c>
      <c r="I399" s="4" t="n">
        <v>0.55</v>
      </c>
      <c r="J399" s="4" t="n">
        <v>1265</v>
      </c>
    </row>
    <row r="400">
      <c r="A400" s="3" t="inlineStr">
        <is>
          <t>RNL</t>
        </is>
      </c>
      <c r="B400" s="3" t="inlineStr">
        <is>
          <t>ISV-0125</t>
        </is>
      </c>
      <c r="C400" s="20" t="n">
        <v>46228</v>
      </c>
      <c r="D400" s="3" t="inlineStr">
        <is>
          <t>النظام الجديد</t>
        </is>
      </c>
      <c r="E400" s="3" t="inlineStr">
        <is>
          <t>SF98</t>
        </is>
      </c>
      <c r="F400" s="3" t="inlineStr">
        <is>
          <t>فينكا روزا مركن 9 سم أحمر</t>
        </is>
      </c>
      <c r="G400" s="3" t="n">
        <v>500</v>
      </c>
      <c r="H400" s="3" t="inlineStr">
        <is>
          <t>EA</t>
        </is>
      </c>
      <c r="I400" s="4" t="n">
        <v>0.55</v>
      </c>
      <c r="J400" s="4" t="n">
        <v>275</v>
      </c>
    </row>
    <row r="401">
      <c r="A401" s="3" t="inlineStr">
        <is>
          <t>RNL</t>
        </is>
      </c>
      <c r="B401" s="3" t="inlineStr">
        <is>
          <t>ISV-0125</t>
        </is>
      </c>
      <c r="C401" s="20" t="n">
        <v>46228</v>
      </c>
      <c r="D401" s="3" t="inlineStr">
        <is>
          <t>النظام الجديد</t>
        </is>
      </c>
      <c r="E401" s="3" t="inlineStr">
        <is>
          <t>SF99</t>
        </is>
      </c>
      <c r="F401" s="3" t="inlineStr">
        <is>
          <t>فينكا روزا مركن 9 سم أحمر نقطة بيضاء</t>
        </is>
      </c>
      <c r="G401" s="3" t="n">
        <v>500</v>
      </c>
      <c r="H401" s="3" t="inlineStr">
        <is>
          <t>EA</t>
        </is>
      </c>
      <c r="I401" s="4" t="n">
        <v>0.55</v>
      </c>
      <c r="J401" s="4" t="n">
        <v>275</v>
      </c>
    </row>
    <row r="402">
      <c r="A402" s="5" t="inlineStr"/>
      <c r="B402" s="5" t="inlineStr">
        <is>
          <t>إجمالي ISV-0125</t>
        </is>
      </c>
      <c r="C402" s="5" t="inlineStr"/>
      <c r="D402" s="5" t="inlineStr"/>
      <c r="E402" s="5" t="inlineStr"/>
      <c r="F402" s="5" t="inlineStr"/>
      <c r="G402" s="5">
        <f>SUM(G398:G401)</f>
        <v/>
      </c>
      <c r="H402" s="5" t="inlineStr"/>
      <c r="I402" s="5" t="inlineStr"/>
      <c r="J402" s="6">
        <f>SUM(J398:J401)</f>
        <v/>
      </c>
    </row>
    <row r="403">
      <c r="A403" s="3" t="inlineStr">
        <is>
          <t>RNL</t>
        </is>
      </c>
      <c r="B403" s="3" t="inlineStr">
        <is>
          <t>ISV-0140</t>
        </is>
      </c>
      <c r="C403" s="20" t="n">
        <v>46231</v>
      </c>
      <c r="D403" s="3" t="inlineStr">
        <is>
          <t>النظام الجديد</t>
        </is>
      </c>
      <c r="E403" s="3" t="inlineStr">
        <is>
          <t>SF102</t>
        </is>
      </c>
      <c r="F403" s="3" t="inlineStr">
        <is>
          <t>فينكا روزا مركن 9 سم مشمشي</t>
        </is>
      </c>
      <c r="G403" s="3" t="n">
        <v>680</v>
      </c>
      <c r="H403" s="3" t="inlineStr">
        <is>
          <t>EA</t>
        </is>
      </c>
      <c r="I403" s="4" t="n">
        <v>0.55</v>
      </c>
      <c r="J403" s="4" t="n">
        <v>374</v>
      </c>
    </row>
    <row r="404">
      <c r="A404" s="3" t="inlineStr">
        <is>
          <t>RNL</t>
        </is>
      </c>
      <c r="B404" s="3" t="inlineStr">
        <is>
          <t>ISV-0140</t>
        </is>
      </c>
      <c r="C404" s="20" t="n">
        <v>46231</v>
      </c>
      <c r="D404" s="3" t="inlineStr">
        <is>
          <t>النظام الجديد</t>
        </is>
      </c>
      <c r="E404" s="3" t="inlineStr">
        <is>
          <t>SF106</t>
        </is>
      </c>
      <c r="F404" s="3" t="inlineStr">
        <is>
          <t>فينكا روزا مركن 9 سم برغندي هالو</t>
        </is>
      </c>
      <c r="G404" s="3" t="n">
        <v>725</v>
      </c>
      <c r="H404" s="3" t="inlineStr">
        <is>
          <t>EA</t>
        </is>
      </c>
      <c r="I404" s="4" t="n">
        <v>0.55</v>
      </c>
      <c r="J404" s="4" t="n">
        <v>398.75</v>
      </c>
    </row>
    <row r="405">
      <c r="A405" s="3" t="inlineStr">
        <is>
          <t>RNL</t>
        </is>
      </c>
      <c r="B405" s="3" t="inlineStr">
        <is>
          <t>ISV-0140</t>
        </is>
      </c>
      <c r="C405" s="20" t="n">
        <v>46231</v>
      </c>
      <c r="D405" s="3" t="inlineStr">
        <is>
          <t>النظام الجديد</t>
        </is>
      </c>
      <c r="E405" s="3" t="inlineStr">
        <is>
          <t>SF105</t>
        </is>
      </c>
      <c r="F405" s="3" t="inlineStr">
        <is>
          <t>فينكا روزا مركن 9 سم برغندي</t>
        </is>
      </c>
      <c r="G405" s="3" t="n">
        <v>845</v>
      </c>
      <c r="H405" s="3" t="inlineStr">
        <is>
          <t>EA</t>
        </is>
      </c>
      <c r="I405" s="4" t="n">
        <v>0.55</v>
      </c>
      <c r="J405" s="4" t="n">
        <v>464.75</v>
      </c>
    </row>
    <row r="406">
      <c r="A406" s="3" t="inlineStr">
        <is>
          <t>RNL</t>
        </is>
      </c>
      <c r="B406" s="3" t="inlineStr">
        <is>
          <t>ISV-0140</t>
        </is>
      </c>
      <c r="C406" s="20" t="n">
        <v>46231</v>
      </c>
      <c r="D406" s="3" t="inlineStr">
        <is>
          <t>النظام الجديد</t>
        </is>
      </c>
      <c r="E406" s="3" t="inlineStr">
        <is>
          <t>SF108</t>
        </is>
      </c>
      <c r="F406" s="3" t="inlineStr">
        <is>
          <t>فينكا روزا مركن 9 سم أوركيد عميق</t>
        </is>
      </c>
      <c r="G406" s="3" t="n">
        <v>1000</v>
      </c>
      <c r="H406" s="3" t="inlineStr">
        <is>
          <t>EA</t>
        </is>
      </c>
      <c r="I406" s="4" t="n">
        <v>0.55</v>
      </c>
      <c r="J406" s="4" t="n">
        <v>550</v>
      </c>
    </row>
    <row r="407">
      <c r="A407" s="5" t="inlineStr"/>
      <c r="B407" s="5" t="inlineStr">
        <is>
          <t>إجمالي ISV-0140</t>
        </is>
      </c>
      <c r="C407" s="5" t="inlineStr"/>
      <c r="D407" s="5" t="inlineStr"/>
      <c r="E407" s="5" t="inlineStr"/>
      <c r="F407" s="5" t="inlineStr"/>
      <c r="G407" s="5">
        <f>SUM(G403:G406)</f>
        <v/>
      </c>
      <c r="H407" s="5" t="inlineStr"/>
      <c r="I407" s="5" t="inlineStr"/>
      <c r="J407" s="6">
        <f>SUM(J403:J406)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42" customWidth="1" min="4" max="4"/>
    <col width="14" customWidth="1" min="5" max="5"/>
    <col width="18" customWidth="1" min="6" max="6"/>
    <col width="10" customWidth="1" min="7" max="7"/>
  </cols>
  <sheetData>
    <row r="1">
      <c r="A1" s="2" t="inlineStr">
        <is>
          <t>نوع الحركة</t>
        </is>
      </c>
      <c r="B1" s="2" t="inlineStr">
        <is>
          <t>البيان</t>
        </is>
      </c>
      <c r="C1" s="2" t="inlineStr">
        <is>
          <t>كود الصنف</t>
        </is>
      </c>
      <c r="D1" s="2" t="inlineStr">
        <is>
          <t>اسم الصنف</t>
        </is>
      </c>
      <c r="E1" s="2" t="inlineStr">
        <is>
          <t>إجمالي الكمية</t>
        </is>
      </c>
      <c r="F1" s="2" t="inlineStr">
        <is>
          <t>إجمالي القيمة</t>
        </is>
      </c>
      <c r="G1" s="2" t="inlineStr">
        <is>
          <t>عدد العقود</t>
        </is>
      </c>
    </row>
    <row r="2">
      <c r="A2" s="3" t="inlineStr">
        <is>
          <t>TNR</t>
        </is>
      </c>
      <c r="B2" s="3" t="inlineStr">
        <is>
          <t>ترحيل من تبوك إلى الرياض</t>
        </is>
      </c>
      <c r="C2" s="3" t="inlineStr">
        <is>
          <t>FR368</t>
        </is>
      </c>
      <c r="D2" s="3" t="inlineStr">
        <is>
          <t>بيرلايت 100 لتر</t>
        </is>
      </c>
      <c r="E2" s="24" t="n">
        <v>25</v>
      </c>
      <c r="F2" s="4" t="n">
        <v>934.37</v>
      </c>
      <c r="G2" s="3" t="n">
        <v>1</v>
      </c>
    </row>
    <row r="3">
      <c r="A3" s="3" t="inlineStr">
        <is>
          <t>TNR</t>
        </is>
      </c>
      <c r="B3" s="3" t="inlineStr">
        <is>
          <t>ترحيل من تبوك إلى الرياض</t>
        </is>
      </c>
      <c r="C3" s="3" t="inlineStr">
        <is>
          <t>NPB</t>
        </is>
      </c>
      <c r="D3" s="3" t="inlineStr">
        <is>
          <t>حجر ديكورى ابيض مطفى :35 سم - 10 كجم</t>
        </is>
      </c>
      <c r="E3" s="24" t="n">
        <v>200</v>
      </c>
      <c r="F3" s="4" t="n">
        <v>2645</v>
      </c>
      <c r="G3" s="3" t="n">
        <v>1</v>
      </c>
    </row>
    <row r="4">
      <c r="A4" s="3" t="inlineStr">
        <is>
          <t>TNR</t>
        </is>
      </c>
      <c r="B4" s="3" t="inlineStr">
        <is>
          <t>ترحيل من تبوك إلى الرياض</t>
        </is>
      </c>
      <c r="C4" s="3" t="inlineStr">
        <is>
          <t>OD373</t>
        </is>
      </c>
      <c r="D4" s="3" t="inlineStr">
        <is>
          <t>سيسبانيا 1-2 متر</t>
        </is>
      </c>
      <c r="E4" s="24" t="n">
        <v>250</v>
      </c>
      <c r="F4" s="4" t="n">
        <v>7331.25</v>
      </c>
      <c r="G4" s="3" t="n">
        <v>1</v>
      </c>
    </row>
    <row r="5">
      <c r="A5" s="3" t="inlineStr">
        <is>
          <t>TNR</t>
        </is>
      </c>
      <c r="B5" s="3" t="inlineStr">
        <is>
          <t>ترحيل من تبوك إلى الرياض</t>
        </is>
      </c>
      <c r="C5" s="3" t="inlineStr">
        <is>
          <t>OD454</t>
        </is>
      </c>
      <c r="D5" s="3" t="inlineStr">
        <is>
          <t>تيكوماريا 50 سم</t>
        </is>
      </c>
      <c r="E5" s="24" t="n">
        <v>740</v>
      </c>
      <c r="F5" s="4" t="n">
        <v>2127.5</v>
      </c>
      <c r="G5" s="3" t="n">
        <v>1</v>
      </c>
    </row>
    <row r="6">
      <c r="A6" s="3" t="inlineStr">
        <is>
          <t>TNR</t>
        </is>
      </c>
      <c r="B6" s="3" t="inlineStr">
        <is>
          <t>ترحيل من تبوك إلى الرياض</t>
        </is>
      </c>
      <c r="C6" s="3" t="inlineStr">
        <is>
          <t>OD456</t>
        </is>
      </c>
      <c r="D6" s="3" t="inlineStr">
        <is>
          <t>دورانتا أخضر</t>
        </is>
      </c>
      <c r="E6" s="24" t="n">
        <v>1200</v>
      </c>
      <c r="F6" s="4" t="n">
        <v>3450</v>
      </c>
      <c r="G6" s="3" t="n">
        <v>1</v>
      </c>
    </row>
    <row r="7">
      <c r="A7" s="3" t="inlineStr">
        <is>
          <t>TNR</t>
        </is>
      </c>
      <c r="B7" s="3" t="inlineStr">
        <is>
          <t>ترحيل من تبوك إلى الرياض</t>
        </is>
      </c>
      <c r="C7" s="3" t="inlineStr">
        <is>
          <t>OD458</t>
        </is>
      </c>
      <c r="D7" s="3" t="inlineStr">
        <is>
          <t>اكاليفا</t>
        </is>
      </c>
      <c r="E7" s="24" t="n">
        <v>6</v>
      </c>
      <c r="F7" s="4" t="n">
        <v>172.5</v>
      </c>
      <c r="G7" s="3" t="n">
        <v>1</v>
      </c>
    </row>
    <row r="8">
      <c r="A8" s="5" t="inlineStr"/>
      <c r="B8" s="5" t="inlineStr">
        <is>
          <t>إجمالي ترحيل من تبوك إلى الرياض</t>
        </is>
      </c>
      <c r="C8" s="5" t="inlineStr"/>
      <c r="D8" s="5" t="inlineStr"/>
      <c r="E8" s="5">
        <f>SUM(E2:E7)</f>
        <v/>
      </c>
      <c r="F8" s="6">
        <f>SUM(F2:F7)</f>
        <v/>
      </c>
      <c r="G8" s="5" t="n"/>
    </row>
    <row r="9">
      <c r="A9" s="3" t="inlineStr">
        <is>
          <t>RNT</t>
        </is>
      </c>
      <c r="B9" s="3" t="inlineStr">
        <is>
          <t>ترحيل من الرياض إلى تبوك</t>
        </is>
      </c>
      <c r="C9" s="3" t="inlineStr">
        <is>
          <t>ID1500</t>
        </is>
      </c>
      <c r="D9" s="3" t="inlineStr">
        <is>
          <t>سكندابسس ان اس مركن 19 سم علاقي</t>
        </is>
      </c>
      <c r="E9" s="24" t="n">
        <v>300</v>
      </c>
      <c r="F9" s="4" t="n">
        <v>3277.5</v>
      </c>
      <c r="G9" s="3" t="n">
        <v>1</v>
      </c>
    </row>
    <row r="10">
      <c r="A10" s="3" t="inlineStr">
        <is>
          <t>RNT</t>
        </is>
      </c>
      <c r="B10" s="3" t="inlineStr">
        <is>
          <t>ترحيل من الرياض إلى تبوك</t>
        </is>
      </c>
      <c r="C10" s="3" t="inlineStr">
        <is>
          <t>ID1501</t>
        </is>
      </c>
      <c r="D10" s="3" t="inlineStr">
        <is>
          <t>ترادسكانتيا ان اس مركن19 سم عالقى</t>
        </is>
      </c>
      <c r="E10" s="24" t="n">
        <v>270</v>
      </c>
      <c r="F10" s="4" t="n">
        <v>2639.25</v>
      </c>
      <c r="G10" s="3" t="n">
        <v>1</v>
      </c>
    </row>
    <row r="11">
      <c r="A11" s="3" t="inlineStr">
        <is>
          <t>RNT</t>
        </is>
      </c>
      <c r="B11" s="3" t="inlineStr">
        <is>
          <t>ترحيل من الرياض إلى تبوك</t>
        </is>
      </c>
      <c r="C11" s="3" t="inlineStr">
        <is>
          <t>ID1504</t>
        </is>
      </c>
      <c r="D11" s="3" t="inlineStr">
        <is>
          <t>هيدرا علاقي ان اس مركن 19 سم</t>
        </is>
      </c>
      <c r="E11" s="24" t="n">
        <v>100</v>
      </c>
      <c r="F11" s="4" t="n">
        <v>805</v>
      </c>
      <c r="G11" s="3" t="n">
        <v>1</v>
      </c>
    </row>
    <row r="12">
      <c r="A12" s="3" t="inlineStr">
        <is>
          <t>RNT</t>
        </is>
      </c>
      <c r="B12" s="3" t="inlineStr">
        <is>
          <t>ترحيل من الرياض إلى تبوك</t>
        </is>
      </c>
      <c r="C12" s="3" t="inlineStr">
        <is>
          <t>OD373</t>
        </is>
      </c>
      <c r="D12" s="3" t="inlineStr">
        <is>
          <t>سيسبانيا 1-2 متر</t>
        </is>
      </c>
      <c r="E12" s="24" t="n">
        <v>490</v>
      </c>
      <c r="F12" s="4" t="n">
        <v>14369.25</v>
      </c>
      <c r="G12" s="3" t="n">
        <v>2</v>
      </c>
    </row>
    <row r="13">
      <c r="A13" s="3" t="inlineStr">
        <is>
          <t>RNT</t>
        </is>
      </c>
      <c r="B13" s="3" t="inlineStr">
        <is>
          <t>ترحيل من الرياض إلى تبوك</t>
        </is>
      </c>
      <c r="C13" s="3" t="inlineStr">
        <is>
          <t>OD454</t>
        </is>
      </c>
      <c r="D13" s="3" t="inlineStr">
        <is>
          <t>تيكوماريا 50 سم</t>
        </is>
      </c>
      <c r="E13" s="24" t="n">
        <v>2384</v>
      </c>
      <c r="F13" s="4" t="n">
        <v>6854</v>
      </c>
      <c r="G13" s="3" t="n">
        <v>1</v>
      </c>
    </row>
    <row r="14">
      <c r="A14" s="3" t="inlineStr">
        <is>
          <t>RNT</t>
        </is>
      </c>
      <c r="B14" s="3" t="inlineStr">
        <is>
          <t>ترحيل من الرياض إلى تبوك</t>
        </is>
      </c>
      <c r="C14" s="3" t="inlineStr">
        <is>
          <t>OD456</t>
        </is>
      </c>
      <c r="D14" s="3" t="inlineStr">
        <is>
          <t>دورانتا أخضر</t>
        </is>
      </c>
      <c r="E14" s="24" t="n">
        <v>1290</v>
      </c>
      <c r="F14" s="4" t="n">
        <v>3708.75</v>
      </c>
      <c r="G14" s="3" t="n">
        <v>1</v>
      </c>
    </row>
    <row r="15">
      <c r="A15" s="3" t="inlineStr">
        <is>
          <t>RNT</t>
        </is>
      </c>
      <c r="B15" s="3" t="inlineStr">
        <is>
          <t>ترحيل من الرياض إلى تبوك</t>
        </is>
      </c>
      <c r="C15" s="3" t="inlineStr">
        <is>
          <t>OD458</t>
        </is>
      </c>
      <c r="D15" s="3" t="inlineStr">
        <is>
          <t>اكاليفا</t>
        </is>
      </c>
      <c r="E15" s="24" t="n">
        <v>60</v>
      </c>
      <c r="F15" s="4" t="n">
        <v>172.5</v>
      </c>
      <c r="G15" s="3" t="n">
        <v>1</v>
      </c>
    </row>
    <row r="16">
      <c r="A16" s="3" t="inlineStr">
        <is>
          <t>RNT</t>
        </is>
      </c>
      <c r="B16" s="3" t="inlineStr">
        <is>
          <t>ترحيل من الرياض إلى تبوك</t>
        </is>
      </c>
      <c r="C16" s="3" t="inlineStr">
        <is>
          <t>OD467</t>
        </is>
      </c>
      <c r="D16" s="3" t="inlineStr">
        <is>
          <t>فل بلدي</t>
        </is>
      </c>
      <c r="E16" s="24" t="n">
        <v>450</v>
      </c>
      <c r="F16" s="4" t="n">
        <v>1293.75</v>
      </c>
      <c r="G16" s="3" t="n">
        <v>1</v>
      </c>
    </row>
    <row r="17">
      <c r="A17" s="3" t="inlineStr">
        <is>
          <t>RNT</t>
        </is>
      </c>
      <c r="B17" s="3" t="inlineStr">
        <is>
          <t>ترحيل من الرياض إلى تبوك</t>
        </is>
      </c>
      <c r="C17" s="3" t="inlineStr">
        <is>
          <t>OD491</t>
        </is>
      </c>
      <c r="D17" s="3" t="inlineStr">
        <is>
          <t>ياسمين أزرق</t>
        </is>
      </c>
      <c r="E17" s="24" t="n">
        <v>580</v>
      </c>
      <c r="F17" s="4" t="n">
        <v>1667.5</v>
      </c>
      <c r="G17" s="3" t="n">
        <v>1</v>
      </c>
    </row>
    <row r="18">
      <c r="A18" s="3" t="inlineStr">
        <is>
          <t>RNT</t>
        </is>
      </c>
      <c r="B18" s="3" t="inlineStr">
        <is>
          <t>ترحيل من الرياض إلى تبوك</t>
        </is>
      </c>
      <c r="C18" s="3" t="inlineStr">
        <is>
          <t>OD561</t>
        </is>
      </c>
      <c r="D18" s="3" t="inlineStr">
        <is>
          <t>زهور مارى جولد</t>
        </is>
      </c>
      <c r="E18" s="24" t="n">
        <v>2000</v>
      </c>
      <c r="F18" s="4" t="n">
        <v>1380</v>
      </c>
      <c r="G18" s="3" t="n">
        <v>1</v>
      </c>
    </row>
    <row r="19">
      <c r="A19" s="3" t="inlineStr">
        <is>
          <t>RNT</t>
        </is>
      </c>
      <c r="B19" s="3" t="inlineStr">
        <is>
          <t>ترحيل من الرياض إلى تبوك</t>
        </is>
      </c>
      <c r="C19" s="3" t="inlineStr">
        <is>
          <t>OD636</t>
        </is>
      </c>
      <c r="D19" s="3" t="inlineStr">
        <is>
          <t>زهور منثور مركن9 سم</t>
        </is>
      </c>
      <c r="E19" s="24" t="n">
        <v>150</v>
      </c>
      <c r="F19" s="4" t="n">
        <v>94.88</v>
      </c>
      <c r="G19" s="3" t="n">
        <v>1</v>
      </c>
    </row>
    <row r="20">
      <c r="A20" s="3" t="inlineStr">
        <is>
          <t>RNT</t>
        </is>
      </c>
      <c r="B20" s="3" t="inlineStr">
        <is>
          <t>ترحيل من الرياض إلى تبوك</t>
        </is>
      </c>
      <c r="C20" s="3" t="inlineStr">
        <is>
          <t>OD639</t>
        </is>
      </c>
      <c r="D20" s="3" t="inlineStr">
        <is>
          <t>زهور قرنفل امريكي مركن12 سم</t>
        </is>
      </c>
      <c r="E20" s="24" t="n">
        <v>90</v>
      </c>
      <c r="F20" s="4" t="n">
        <v>258.75</v>
      </c>
      <c r="G20" s="3" t="n">
        <v>1</v>
      </c>
    </row>
    <row r="21">
      <c r="A21" s="3" t="inlineStr">
        <is>
          <t>RNT</t>
        </is>
      </c>
      <c r="B21" s="3" t="inlineStr">
        <is>
          <t>ترحيل من الرياض إلى تبوك</t>
        </is>
      </c>
      <c r="C21" s="3" t="inlineStr">
        <is>
          <t>OD641</t>
        </is>
      </c>
      <c r="D21" s="3" t="inlineStr">
        <is>
          <t>زهور قرنفل صيني مركن9 سم</t>
        </is>
      </c>
      <c r="E21" s="24" t="n">
        <v>1000</v>
      </c>
      <c r="F21" s="4" t="n">
        <v>690</v>
      </c>
      <c r="G21" s="3" t="n">
        <v>1</v>
      </c>
    </row>
    <row r="22">
      <c r="A22" s="3" t="inlineStr">
        <is>
          <t>RNT</t>
        </is>
      </c>
      <c r="B22" s="3" t="inlineStr">
        <is>
          <t>ترحيل من الرياض إلى تبوك</t>
        </is>
      </c>
      <c r="C22" s="3" t="inlineStr">
        <is>
          <t>OD643</t>
        </is>
      </c>
      <c r="D22" s="3" t="inlineStr">
        <is>
          <t>زهور سينيراريا مركن12 سم</t>
        </is>
      </c>
      <c r="E22" s="24" t="n">
        <v>48</v>
      </c>
      <c r="F22" s="4" t="n">
        <v>138</v>
      </c>
      <c r="G22" s="3" t="n">
        <v>1</v>
      </c>
    </row>
    <row r="23">
      <c r="A23" s="3" t="inlineStr">
        <is>
          <t>RNT</t>
        </is>
      </c>
      <c r="B23" s="3" t="inlineStr">
        <is>
          <t>ترحيل من الرياض إلى تبوك</t>
        </is>
      </c>
      <c r="C23" s="3" t="inlineStr">
        <is>
          <t>OD693</t>
        </is>
      </c>
      <c r="D23" s="3" t="inlineStr">
        <is>
          <t>زهور جيرانيوم هولندى مركن12 سم</t>
        </is>
      </c>
      <c r="E23" s="24" t="n">
        <v>180</v>
      </c>
      <c r="F23" s="4" t="n">
        <v>621</v>
      </c>
      <c r="G23" s="3" t="n">
        <v>1</v>
      </c>
    </row>
    <row r="24">
      <c r="A24" s="3" t="inlineStr">
        <is>
          <t>RNT</t>
        </is>
      </c>
      <c r="B24" s="3" t="inlineStr">
        <is>
          <t>ترحيل من الرياض إلى تبوك</t>
        </is>
      </c>
      <c r="C24" s="3" t="inlineStr">
        <is>
          <t>OD694</t>
        </is>
      </c>
      <c r="D24" s="3" t="inlineStr">
        <is>
          <t>كالنشو هولندى مركن12 سم</t>
        </is>
      </c>
      <c r="E24" s="24" t="n">
        <v>1500</v>
      </c>
      <c r="F24" s="4" t="n">
        <v>5175</v>
      </c>
      <c r="G24" s="3" t="n">
        <v>1</v>
      </c>
    </row>
    <row r="25">
      <c r="A25" s="3" t="inlineStr">
        <is>
          <t>RNT</t>
        </is>
      </c>
      <c r="B25" s="3" t="inlineStr">
        <is>
          <t>ترحيل من الرياض إلى تبوك</t>
        </is>
      </c>
      <c r="C25" s="3" t="inlineStr">
        <is>
          <t>OD695</t>
        </is>
      </c>
      <c r="D25" s="3" t="inlineStr">
        <is>
          <t>زهور اقحوان افريقي هولندى مركن12 سم</t>
        </is>
      </c>
      <c r="E25" s="24" t="n">
        <v>90</v>
      </c>
      <c r="F25" s="4" t="n">
        <v>310.5</v>
      </c>
      <c r="G25" s="3" t="n">
        <v>1</v>
      </c>
    </row>
    <row r="26">
      <c r="A26" s="3" t="inlineStr">
        <is>
          <t>RNT</t>
        </is>
      </c>
      <c r="B26" s="3" t="inlineStr">
        <is>
          <t>ترحيل من الرياض إلى تبوك</t>
        </is>
      </c>
      <c r="C26" s="3" t="inlineStr">
        <is>
          <t>OD696</t>
        </is>
      </c>
      <c r="D26" s="3" t="inlineStr">
        <is>
          <t>زهور اقحوان افريقي مركن9 سم</t>
        </is>
      </c>
      <c r="E26" s="24" t="n">
        <v>150</v>
      </c>
      <c r="F26" s="4" t="n">
        <v>258.75</v>
      </c>
      <c r="G26" s="3" t="n">
        <v>1</v>
      </c>
    </row>
    <row r="27">
      <c r="A27" s="3" t="inlineStr">
        <is>
          <t>RNT</t>
        </is>
      </c>
      <c r="B27" s="3" t="inlineStr">
        <is>
          <t>ترحيل من الرياض إلى تبوك</t>
        </is>
      </c>
      <c r="C27" s="3" t="inlineStr">
        <is>
          <t>OD703</t>
        </is>
      </c>
      <c r="D27" s="3" t="inlineStr">
        <is>
          <t>تجيل كروي مركن 9 سم</t>
        </is>
      </c>
      <c r="E27" s="24" t="n">
        <v>2400</v>
      </c>
      <c r="F27" s="4" t="n">
        <v>3036</v>
      </c>
      <c r="G27" s="3" t="n">
        <v>1</v>
      </c>
    </row>
    <row r="28">
      <c r="A28" s="5" t="inlineStr"/>
      <c r="B28" s="5" t="inlineStr">
        <is>
          <t>إجمالي ترحيل من الرياض إلى تبوك</t>
        </is>
      </c>
      <c r="C28" s="5" t="inlineStr"/>
      <c r="D28" s="5" t="inlineStr"/>
      <c r="E28" s="5">
        <f>SUM(E9:E27)</f>
        <v/>
      </c>
      <c r="F28" s="6">
        <f>SUM(F9:F27)</f>
        <v/>
      </c>
      <c r="G28" s="5" t="n"/>
    </row>
    <row r="29">
      <c r="A29" s="3" t="inlineStr">
        <is>
          <t>RNP</t>
        </is>
      </c>
      <c r="B29" s="3" t="inlineStr">
        <is>
          <t>ترحيل إلى قسم المشاريع تبوك</t>
        </is>
      </c>
      <c r="C29" s="3" t="inlineStr">
        <is>
          <t>ID1501</t>
        </is>
      </c>
      <c r="D29" s="3" t="inlineStr">
        <is>
          <t>ترادسكانتيا ان اس مركن 19 سم علاقى</t>
        </is>
      </c>
      <c r="E29" s="24" t="n">
        <v>25</v>
      </c>
      <c r="F29" s="4" t="n">
        <v>237.5</v>
      </c>
      <c r="G29" s="3" t="n">
        <v>1</v>
      </c>
    </row>
    <row r="30">
      <c r="A30" s="3" t="inlineStr">
        <is>
          <t>RNP</t>
        </is>
      </c>
      <c r="B30" s="3" t="inlineStr">
        <is>
          <t>ترحيل إلى قسم المشاريع تبوك</t>
        </is>
      </c>
      <c r="C30" s="3" t="inlineStr">
        <is>
          <t>OD371</t>
        </is>
      </c>
      <c r="D30" s="3" t="inlineStr">
        <is>
          <t>اكاسيا جلوكا 1-2 متر</t>
        </is>
      </c>
      <c r="E30" s="24" t="n">
        <v>156</v>
      </c>
      <c r="F30" s="4" t="n">
        <v>3978</v>
      </c>
      <c r="G30" s="3" t="n">
        <v>2</v>
      </c>
    </row>
    <row r="31">
      <c r="A31" s="3" t="inlineStr">
        <is>
          <t>RNP</t>
        </is>
      </c>
      <c r="B31" s="3" t="inlineStr">
        <is>
          <t>ترحيل إلى قسم المشاريع تبوك</t>
        </is>
      </c>
      <c r="C31" s="3" t="inlineStr">
        <is>
          <t>OD404</t>
        </is>
      </c>
      <c r="D31" s="3" t="inlineStr">
        <is>
          <t>فيكس بندا 50 سم</t>
        </is>
      </c>
      <c r="E31" s="24" t="n">
        <v>10</v>
      </c>
      <c r="F31" s="4" t="n">
        <v>25</v>
      </c>
      <c r="G31" s="3" t="n">
        <v>1</v>
      </c>
    </row>
    <row r="32">
      <c r="A32" s="3" t="inlineStr">
        <is>
          <t>RNP</t>
        </is>
      </c>
      <c r="B32" s="3" t="inlineStr">
        <is>
          <t>ترحيل إلى قسم المشاريع تبوك</t>
        </is>
      </c>
      <c r="C32" s="3" t="inlineStr">
        <is>
          <t>OD411</t>
        </is>
      </c>
      <c r="D32" s="3" t="inlineStr">
        <is>
          <t>ياسمين هندي كبير</t>
        </is>
      </c>
      <c r="E32" s="24" t="n">
        <v>20</v>
      </c>
      <c r="F32" s="4" t="n">
        <v>747.5</v>
      </c>
      <c r="G32" s="3" t="n">
        <v>1</v>
      </c>
    </row>
    <row r="33">
      <c r="A33" s="3" t="inlineStr">
        <is>
          <t>RNP</t>
        </is>
      </c>
      <c r="B33" s="3" t="inlineStr">
        <is>
          <t>ترحيل إلى قسم المشاريع تبوك</t>
        </is>
      </c>
      <c r="C33" s="3" t="inlineStr">
        <is>
          <t>OD454</t>
        </is>
      </c>
      <c r="D33" s="3" t="inlineStr">
        <is>
          <t>تيكوماريا 50 سم</t>
        </is>
      </c>
      <c r="E33" s="24" t="n">
        <v>250</v>
      </c>
      <c r="F33" s="4" t="n">
        <v>625</v>
      </c>
      <c r="G33" s="3" t="n">
        <v>1</v>
      </c>
    </row>
    <row r="34">
      <c r="A34" s="3" t="inlineStr">
        <is>
          <t>RNP</t>
        </is>
      </c>
      <c r="B34" s="3" t="inlineStr">
        <is>
          <t>ترحيل إلى قسم المشاريع تبوك</t>
        </is>
      </c>
      <c r="C34" s="3" t="inlineStr">
        <is>
          <t>OD456</t>
        </is>
      </c>
      <c r="D34" s="3" t="inlineStr">
        <is>
          <t>دورانتا اخضر</t>
        </is>
      </c>
      <c r="E34" s="24" t="n">
        <v>1200</v>
      </c>
      <c r="F34" s="4" t="n">
        <v>3450</v>
      </c>
      <c r="G34" s="3" t="n">
        <v>1</v>
      </c>
    </row>
    <row r="35">
      <c r="A35" s="3" t="inlineStr">
        <is>
          <t>RNP</t>
        </is>
      </c>
      <c r="B35" s="3" t="inlineStr">
        <is>
          <t>ترحيل إلى قسم المشاريع تبوك</t>
        </is>
      </c>
      <c r="C35" s="3" t="inlineStr">
        <is>
          <t>OD462</t>
        </is>
      </c>
      <c r="D35" s="3" t="inlineStr">
        <is>
          <t>رويليا</t>
        </is>
      </c>
      <c r="E35" s="24" t="n">
        <v>94</v>
      </c>
      <c r="F35" s="4" t="n">
        <v>235</v>
      </c>
      <c r="G35" s="3" t="n">
        <v>1</v>
      </c>
    </row>
    <row r="36">
      <c r="A36" s="3" t="inlineStr">
        <is>
          <t>RNP</t>
        </is>
      </c>
      <c r="B36" s="3" t="inlineStr">
        <is>
          <t>ترحيل إلى قسم المشاريع تبوك</t>
        </is>
      </c>
      <c r="C36" s="3" t="inlineStr">
        <is>
          <t>OD479</t>
        </is>
      </c>
      <c r="D36" s="3" t="inlineStr">
        <is>
          <t>جهنمية بلدى واحد عود 1 متر</t>
        </is>
      </c>
      <c r="E36" s="24" t="n">
        <v>10</v>
      </c>
      <c r="F36" s="4" t="n">
        <v>60</v>
      </c>
      <c r="G36" s="3" t="n">
        <v>1</v>
      </c>
    </row>
    <row r="37">
      <c r="A37" s="3" t="inlineStr">
        <is>
          <t>RNP</t>
        </is>
      </c>
      <c r="B37" s="3" t="inlineStr">
        <is>
          <t>ترحيل إلى قسم المشاريع تبوك</t>
        </is>
      </c>
      <c r="C37" s="3" t="inlineStr">
        <is>
          <t>OD486</t>
        </is>
      </c>
      <c r="D37" s="3" t="inlineStr">
        <is>
          <t>جهنمية كروية تايلندى صغير</t>
        </is>
      </c>
      <c r="E37" s="24" t="n">
        <v>2</v>
      </c>
      <c r="F37" s="4" t="n">
        <v>463</v>
      </c>
      <c r="G37" s="3" t="n">
        <v>1</v>
      </c>
    </row>
    <row r="38">
      <c r="A38" s="3" t="inlineStr">
        <is>
          <t>RNP</t>
        </is>
      </c>
      <c r="B38" s="3" t="inlineStr">
        <is>
          <t>ترحيل إلى قسم المشاريع تبوك</t>
        </is>
      </c>
      <c r="C38" s="3" t="inlineStr">
        <is>
          <t>OD487</t>
        </is>
      </c>
      <c r="D38" s="3" t="inlineStr">
        <is>
          <t>جهنمية كروية تايلندى كبير</t>
        </is>
      </c>
      <c r="E38" s="24" t="n">
        <v>5</v>
      </c>
      <c r="F38" s="4" t="n">
        <v>1312.5</v>
      </c>
      <c r="G38" s="3" t="n">
        <v>1</v>
      </c>
    </row>
    <row r="39">
      <c r="A39" s="3" t="inlineStr">
        <is>
          <t>RNP</t>
        </is>
      </c>
      <c r="B39" s="3" t="inlineStr">
        <is>
          <t>ترحيل إلى قسم المشاريع تبوك</t>
        </is>
      </c>
      <c r="C39" s="3" t="inlineStr">
        <is>
          <t>OD501</t>
        </is>
      </c>
      <c r="D39" s="3" t="inlineStr">
        <is>
          <t>نخيل سايكس 40 سم</t>
        </is>
      </c>
      <c r="E39" s="24" t="n">
        <v>3</v>
      </c>
      <c r="F39" s="4" t="n">
        <v>1191</v>
      </c>
      <c r="G39" s="3" t="n">
        <v>1</v>
      </c>
    </row>
    <row r="40">
      <c r="A40" s="3" t="inlineStr">
        <is>
          <t>RNP</t>
        </is>
      </c>
      <c r="B40" s="3" t="inlineStr">
        <is>
          <t>ترحيل إلى قسم المشاريع تبوك</t>
        </is>
      </c>
      <c r="C40" s="3" t="inlineStr">
        <is>
          <t>OD560</t>
        </is>
      </c>
      <c r="D40" s="3" t="inlineStr">
        <is>
          <t>زهور بيتونيا</t>
        </is>
      </c>
      <c r="E40" s="24" t="n">
        <v>9512</v>
      </c>
      <c r="F40" s="4" t="n">
        <v>6016.34</v>
      </c>
      <c r="G40" s="3" t="n">
        <v>4</v>
      </c>
    </row>
    <row r="41">
      <c r="A41" s="3" t="inlineStr">
        <is>
          <t>RNP</t>
        </is>
      </c>
      <c r="B41" s="3" t="inlineStr">
        <is>
          <t>ترحيل إلى قسم المشاريع تبوك</t>
        </is>
      </c>
      <c r="C41" s="3" t="inlineStr">
        <is>
          <t>OD561</t>
        </is>
      </c>
      <c r="D41" s="3" t="inlineStr">
        <is>
          <t>زهور مارى جولد</t>
        </is>
      </c>
      <c r="E41" s="24" t="n">
        <v>600</v>
      </c>
      <c r="F41" s="4" t="n">
        <v>414</v>
      </c>
      <c r="G41" s="3" t="n">
        <v>1</v>
      </c>
    </row>
    <row r="42">
      <c r="A42" s="3" t="inlineStr">
        <is>
          <t>RNP</t>
        </is>
      </c>
      <c r="B42" s="3" t="inlineStr">
        <is>
          <t>ترحيل إلى قسم المشاريع تبوك</t>
        </is>
      </c>
      <c r="C42" s="3" t="inlineStr">
        <is>
          <t>OD603</t>
        </is>
      </c>
      <c r="D42" s="3" t="inlineStr">
        <is>
          <t>زهور جرانيوم مركن9 سم</t>
        </is>
      </c>
      <c r="E42" s="24" t="n">
        <v>1400</v>
      </c>
      <c r="F42" s="4" t="n">
        <v>1449</v>
      </c>
      <c r="G42" s="3" t="n">
        <v>1</v>
      </c>
    </row>
    <row r="43">
      <c r="A43" s="3" t="inlineStr">
        <is>
          <t>RNP</t>
        </is>
      </c>
      <c r="B43" s="3" t="inlineStr">
        <is>
          <t>ترحيل إلى قسم المشاريع تبوك</t>
        </is>
      </c>
      <c r="C43" s="3" t="inlineStr">
        <is>
          <t>OD620</t>
        </is>
      </c>
      <c r="D43" s="3" t="inlineStr">
        <is>
          <t>زهور جيرانيوم مركن12 سم</t>
        </is>
      </c>
      <c r="E43" s="24" t="n">
        <v>17900</v>
      </c>
      <c r="F43" s="4" t="n">
        <v>41170</v>
      </c>
      <c r="G43" s="3" t="n">
        <v>1</v>
      </c>
    </row>
    <row r="44">
      <c r="A44" s="3" t="inlineStr">
        <is>
          <t>RNP</t>
        </is>
      </c>
      <c r="B44" s="3" t="inlineStr">
        <is>
          <t>ترحيل إلى قسم المشاريع تبوك</t>
        </is>
      </c>
      <c r="C44" s="3" t="inlineStr">
        <is>
          <t>OD630</t>
        </is>
      </c>
      <c r="D44" s="3" t="inlineStr">
        <is>
          <t>كف مريم 1.5 : 2 م</t>
        </is>
      </c>
      <c r="E44" s="24" t="n">
        <v>6</v>
      </c>
      <c r="F44" s="4" t="n">
        <v>33</v>
      </c>
      <c r="G44" s="3" t="n">
        <v>1</v>
      </c>
    </row>
    <row r="45">
      <c r="A45" s="3" t="inlineStr">
        <is>
          <t>RNP</t>
        </is>
      </c>
      <c r="B45" s="3" t="inlineStr">
        <is>
          <t>ترحيل إلى قسم المشاريع تبوك</t>
        </is>
      </c>
      <c r="C45" s="3" t="inlineStr">
        <is>
          <t>OD634</t>
        </is>
      </c>
      <c r="D45" s="3" t="inlineStr">
        <is>
          <t>زهور ملفوف براسيكا مركن9 سم</t>
        </is>
      </c>
      <c r="E45" s="24" t="n">
        <v>2312</v>
      </c>
      <c r="F45" s="4" t="n">
        <v>1462.34</v>
      </c>
      <c r="G45" s="3" t="n">
        <v>2</v>
      </c>
    </row>
    <row r="46">
      <c r="A46" s="3" t="inlineStr">
        <is>
          <t>RNP</t>
        </is>
      </c>
      <c r="B46" s="3" t="inlineStr">
        <is>
          <t>ترحيل إلى قسم المشاريع تبوك</t>
        </is>
      </c>
      <c r="C46" s="3" t="inlineStr">
        <is>
          <t>OD636</t>
        </is>
      </c>
      <c r="D46" s="3" t="inlineStr">
        <is>
          <t>زهور منثور مركن9 سم</t>
        </is>
      </c>
      <c r="E46" s="24" t="n">
        <v>312</v>
      </c>
      <c r="F46" s="4" t="n">
        <v>197.34</v>
      </c>
      <c r="G46" s="3" t="n">
        <v>1</v>
      </c>
    </row>
    <row r="47">
      <c r="A47" s="3" t="inlineStr">
        <is>
          <t>RNP</t>
        </is>
      </c>
      <c r="B47" s="3" t="inlineStr">
        <is>
          <t>ترحيل إلى قسم المشاريع تبوك</t>
        </is>
      </c>
      <c r="C47" s="3" t="inlineStr">
        <is>
          <t>OD637</t>
        </is>
      </c>
      <c r="D47" s="3" t="inlineStr">
        <is>
          <t>زهور سالفيا مركن9 سم</t>
        </is>
      </c>
      <c r="E47" s="24" t="n">
        <v>312</v>
      </c>
      <c r="F47" s="4" t="n">
        <v>197.34</v>
      </c>
      <c r="G47" s="3" t="n">
        <v>1</v>
      </c>
    </row>
    <row r="48">
      <c r="A48" s="3" t="inlineStr">
        <is>
          <t>RNP</t>
        </is>
      </c>
      <c r="B48" s="3" t="inlineStr">
        <is>
          <t>ترحيل إلى قسم المشاريع تبوك</t>
        </is>
      </c>
      <c r="C48" s="3" t="inlineStr">
        <is>
          <t>OD642</t>
        </is>
      </c>
      <c r="D48" s="3" t="inlineStr">
        <is>
          <t>زهور اليسوم مركن9 سم</t>
        </is>
      </c>
      <c r="E48" s="24" t="n">
        <v>4700</v>
      </c>
      <c r="F48" s="4" t="n">
        <v>2972.75</v>
      </c>
      <c r="G48" s="3" t="n">
        <v>3</v>
      </c>
    </row>
    <row r="49">
      <c r="A49" s="3" t="inlineStr">
        <is>
          <t>RNP</t>
        </is>
      </c>
      <c r="B49" s="3" t="inlineStr">
        <is>
          <t>ترحيل إلى قسم المشاريع تبوك</t>
        </is>
      </c>
      <c r="C49" s="3" t="inlineStr">
        <is>
          <t>OD695</t>
        </is>
      </c>
      <c r="D49" s="3" t="inlineStr">
        <is>
          <t>زهور اقحوان افريقي هولندى مركن12 سم</t>
        </is>
      </c>
      <c r="E49" s="24" t="n">
        <v>1785</v>
      </c>
      <c r="F49" s="4" t="n">
        <v>6158.25</v>
      </c>
      <c r="G49" s="3" t="n">
        <v>1</v>
      </c>
    </row>
    <row r="50">
      <c r="A50" s="3" t="inlineStr">
        <is>
          <t>RNP</t>
        </is>
      </c>
      <c r="B50" s="3" t="inlineStr">
        <is>
          <t>ترحيل إلى قسم المشاريع تبوك</t>
        </is>
      </c>
      <c r="C50" s="3" t="inlineStr">
        <is>
          <t>SF100</t>
        </is>
      </c>
      <c r="D50" s="3" t="inlineStr">
        <is>
          <t>فينكا روزا مركن 9 سم أبيض نقطة حمراء</t>
        </is>
      </c>
      <c r="E50" s="24" t="n">
        <v>24750</v>
      </c>
      <c r="F50" s="4" t="n">
        <v>13612.5</v>
      </c>
      <c r="G50" s="3" t="n">
        <v>6</v>
      </c>
    </row>
    <row r="51">
      <c r="A51" s="3" t="inlineStr">
        <is>
          <t>RNP</t>
        </is>
      </c>
      <c r="B51" s="3" t="inlineStr">
        <is>
          <t>ترحيل إلى قسم المشاريع تبوك</t>
        </is>
      </c>
      <c r="C51" s="3" t="inlineStr">
        <is>
          <t>SF102</t>
        </is>
      </c>
      <c r="D51" s="3" t="inlineStr">
        <is>
          <t>فينكا روزا مركن 9 سم مشمشي</t>
        </is>
      </c>
      <c r="E51" s="24" t="n">
        <v>1850</v>
      </c>
      <c r="F51" s="4" t="n">
        <v>1017.5</v>
      </c>
      <c r="G51" s="3" t="n">
        <v>4</v>
      </c>
    </row>
    <row r="52">
      <c r="A52" s="3" t="inlineStr">
        <is>
          <t>RNP</t>
        </is>
      </c>
      <c r="B52" s="3" t="inlineStr">
        <is>
          <t>ترحيل إلى قسم المشاريع تبوك</t>
        </is>
      </c>
      <c r="C52" s="3" t="inlineStr">
        <is>
          <t>SF105</t>
        </is>
      </c>
      <c r="D52" s="3" t="inlineStr">
        <is>
          <t>فينكا روزا مركن 9 سم برغندي</t>
        </is>
      </c>
      <c r="E52" s="24" t="n">
        <v>8350</v>
      </c>
      <c r="F52" s="4" t="n">
        <v>4592.5</v>
      </c>
      <c r="G52" s="3" t="n">
        <v>6</v>
      </c>
    </row>
    <row r="53">
      <c r="A53" s="3" t="inlineStr">
        <is>
          <t>RNP</t>
        </is>
      </c>
      <c r="B53" s="3" t="inlineStr">
        <is>
          <t>ترحيل إلى قسم المشاريع تبوك</t>
        </is>
      </c>
      <c r="C53" s="3" t="inlineStr">
        <is>
          <t>SF106</t>
        </is>
      </c>
      <c r="D53" s="3" t="inlineStr">
        <is>
          <t>فينكا روزا مركن 9 سم برغندي هالو</t>
        </is>
      </c>
      <c r="E53" s="24" t="n">
        <v>1900</v>
      </c>
      <c r="F53" s="4" t="n">
        <v>1045</v>
      </c>
      <c r="G53" s="3" t="n">
        <v>4</v>
      </c>
    </row>
    <row r="54">
      <c r="A54" s="3" t="inlineStr">
        <is>
          <t>RNP</t>
        </is>
      </c>
      <c r="B54" s="3" t="inlineStr">
        <is>
          <t>ترحيل إلى قسم المشاريع تبوك</t>
        </is>
      </c>
      <c r="C54" s="3" t="inlineStr">
        <is>
          <t>SF108</t>
        </is>
      </c>
      <c r="D54" s="3" t="inlineStr">
        <is>
          <t>فينكا روزا مركن 9 سم أوركيد عميق</t>
        </is>
      </c>
      <c r="E54" s="24" t="n">
        <v>20920</v>
      </c>
      <c r="F54" s="4" t="n">
        <v>11506</v>
      </c>
      <c r="G54" s="3" t="n">
        <v>7</v>
      </c>
    </row>
    <row r="55">
      <c r="A55" s="3" t="inlineStr">
        <is>
          <t>RNP</t>
        </is>
      </c>
      <c r="B55" s="3" t="inlineStr">
        <is>
          <t>ترحيل إلى قسم المشاريع تبوك</t>
        </is>
      </c>
      <c r="C55" s="3" t="inlineStr">
        <is>
          <t>SF123</t>
        </is>
      </c>
      <c r="D55" s="3" t="inlineStr">
        <is>
          <t>زهور زينيا سنجل مركن 9 سم أبيض</t>
        </is>
      </c>
      <c r="E55" s="24" t="n">
        <v>1300</v>
      </c>
      <c r="F55" s="4" t="n">
        <v>715</v>
      </c>
      <c r="G55" s="3" t="n">
        <v>2</v>
      </c>
    </row>
    <row r="56">
      <c r="A56" s="3" t="inlineStr">
        <is>
          <t>RNP</t>
        </is>
      </c>
      <c r="B56" s="3" t="inlineStr">
        <is>
          <t>ترحيل إلى قسم المشاريع تبوك</t>
        </is>
      </c>
      <c r="C56" s="3" t="inlineStr">
        <is>
          <t>SF124</t>
        </is>
      </c>
      <c r="D56" s="3" t="inlineStr">
        <is>
          <t>زهور زينيا سنجل مركن 9 سم أحمر</t>
        </is>
      </c>
      <c r="E56" s="24" t="n">
        <v>900</v>
      </c>
      <c r="F56" s="4" t="n">
        <v>495</v>
      </c>
      <c r="G56" s="3" t="n">
        <v>2</v>
      </c>
    </row>
    <row r="57">
      <c r="A57" s="3" t="inlineStr">
        <is>
          <t>RNP</t>
        </is>
      </c>
      <c r="B57" s="3" t="inlineStr">
        <is>
          <t>ترحيل إلى قسم المشاريع تبوك</t>
        </is>
      </c>
      <c r="C57" s="3" t="inlineStr">
        <is>
          <t>SF125</t>
        </is>
      </c>
      <c r="D57" s="3" t="inlineStr">
        <is>
          <t>زهور زينيا سنجل مركن 9 سم أصفر</t>
        </is>
      </c>
      <c r="E57" s="24" t="n">
        <v>400</v>
      </c>
      <c r="F57" s="4" t="n">
        <v>220</v>
      </c>
      <c r="G57" s="3" t="n">
        <v>1</v>
      </c>
    </row>
    <row r="58">
      <c r="A58" s="3" t="inlineStr">
        <is>
          <t>RNP</t>
        </is>
      </c>
      <c r="B58" s="3" t="inlineStr">
        <is>
          <t>ترحيل إلى قسم المشاريع تبوك</t>
        </is>
      </c>
      <c r="C58" s="3" t="inlineStr">
        <is>
          <t>SF126</t>
        </is>
      </c>
      <c r="D58" s="3" t="inlineStr">
        <is>
          <t>زهور زينيا سنجل مركن 9 سم برتقالي</t>
        </is>
      </c>
      <c r="E58" s="24" t="n">
        <v>700</v>
      </c>
      <c r="F58" s="4" t="n">
        <v>385</v>
      </c>
      <c r="G58" s="3" t="n">
        <v>1</v>
      </c>
    </row>
    <row r="59">
      <c r="A59" s="3" t="inlineStr">
        <is>
          <t>RNP</t>
        </is>
      </c>
      <c r="B59" s="3" t="inlineStr">
        <is>
          <t>ترحيل إلى قسم المشاريع تبوك</t>
        </is>
      </c>
      <c r="C59" s="3" t="inlineStr">
        <is>
          <t>SF128</t>
        </is>
      </c>
      <c r="D59" s="3" t="inlineStr">
        <is>
          <t>زهور زينيا سنجل مركن 9 سم ليموني</t>
        </is>
      </c>
      <c r="E59" s="24" t="n">
        <v>700</v>
      </c>
      <c r="F59" s="4" t="n">
        <v>385</v>
      </c>
      <c r="G59" s="3" t="n">
        <v>1</v>
      </c>
    </row>
    <row r="60">
      <c r="A60" s="3" t="inlineStr">
        <is>
          <t>RNP</t>
        </is>
      </c>
      <c r="B60" s="3" t="inlineStr">
        <is>
          <t>ترحيل إلى قسم المشاريع تبوك</t>
        </is>
      </c>
      <c r="C60" s="3" t="inlineStr">
        <is>
          <t>SF129</t>
        </is>
      </c>
      <c r="D60" s="3" t="inlineStr">
        <is>
          <t>زهور زينيا سنجل مركن 9 سم كرزي</t>
        </is>
      </c>
      <c r="E60" s="24" t="n">
        <v>700</v>
      </c>
      <c r="F60" s="4" t="n">
        <v>385</v>
      </c>
      <c r="G60" s="3" t="n">
        <v>1</v>
      </c>
    </row>
    <row r="61">
      <c r="A61" s="3" t="inlineStr">
        <is>
          <t>RNP</t>
        </is>
      </c>
      <c r="B61" s="3" t="inlineStr">
        <is>
          <t>ترحيل إلى قسم المشاريع تبوك</t>
        </is>
      </c>
      <c r="C61" s="3" t="inlineStr">
        <is>
          <t>SF131</t>
        </is>
      </c>
      <c r="D61" s="3" t="inlineStr">
        <is>
          <t>زهور زينيا سنجل مركن 9 سم أحمر وأصفر ثنائي</t>
        </is>
      </c>
      <c r="E61" s="24" t="n">
        <v>3500</v>
      </c>
      <c r="F61" s="4" t="n">
        <v>1925</v>
      </c>
      <c r="G61" s="3" t="n">
        <v>2</v>
      </c>
    </row>
    <row r="62">
      <c r="A62" s="3" t="inlineStr">
        <is>
          <t>RNP</t>
        </is>
      </c>
      <c r="B62" s="3" t="inlineStr">
        <is>
          <t>ترحيل إلى قسم المشاريع تبوك</t>
        </is>
      </c>
      <c r="C62" s="3" t="inlineStr">
        <is>
          <t>SF144</t>
        </is>
      </c>
      <c r="D62" s="3" t="inlineStr">
        <is>
          <t>زهور امرانتس مركن 9 سم أحمر</t>
        </is>
      </c>
      <c r="E62" s="24" t="n">
        <v>500</v>
      </c>
      <c r="F62" s="4" t="n">
        <v>275</v>
      </c>
      <c r="G62" s="3" t="n">
        <v>1</v>
      </c>
    </row>
    <row r="63">
      <c r="A63" s="3" t="inlineStr">
        <is>
          <t>RNP</t>
        </is>
      </c>
      <c r="B63" s="3" t="inlineStr">
        <is>
          <t>ترحيل إلى قسم المشاريع تبوك</t>
        </is>
      </c>
      <c r="C63" s="3" t="inlineStr">
        <is>
          <t>SF149</t>
        </is>
      </c>
      <c r="D63" s="3" t="inlineStr">
        <is>
          <t>زهور فضية مركن 9 سم فضي</t>
        </is>
      </c>
      <c r="E63" s="24" t="n">
        <v>300</v>
      </c>
      <c r="F63" s="4" t="n">
        <v>165</v>
      </c>
      <c r="G63" s="3" t="n">
        <v>1</v>
      </c>
    </row>
    <row r="64">
      <c r="A64" s="3" t="inlineStr">
        <is>
          <t>RNP</t>
        </is>
      </c>
      <c r="B64" s="3" t="inlineStr">
        <is>
          <t>ترحيل إلى قسم المشاريع تبوك</t>
        </is>
      </c>
      <c r="C64" s="3" t="inlineStr">
        <is>
          <t>SF97</t>
        </is>
      </c>
      <c r="D64" s="3" t="inlineStr">
        <is>
          <t>فينكا روزا مركن 9 سم أبيض</t>
        </is>
      </c>
      <c r="E64" s="24" t="n">
        <v>25650</v>
      </c>
      <c r="F64" s="4" t="n">
        <v>14107.5</v>
      </c>
      <c r="G64" s="3" t="n">
        <v>4</v>
      </c>
    </row>
    <row r="65">
      <c r="A65" s="3" t="inlineStr">
        <is>
          <t>RNP</t>
        </is>
      </c>
      <c r="B65" s="3" t="inlineStr">
        <is>
          <t>ترحيل إلى قسم المشاريع تبوك</t>
        </is>
      </c>
      <c r="C65" s="3" t="inlineStr">
        <is>
          <t>SF98</t>
        </is>
      </c>
      <c r="D65" s="3" t="inlineStr">
        <is>
          <t>فينكا روزا مركن 9 سم أحمر</t>
        </is>
      </c>
      <c r="E65" s="24" t="n">
        <v>27750</v>
      </c>
      <c r="F65" s="4" t="n">
        <v>15262.5</v>
      </c>
      <c r="G65" s="3" t="n">
        <v>6</v>
      </c>
    </row>
    <row r="66">
      <c r="A66" s="3" t="inlineStr">
        <is>
          <t>RNP</t>
        </is>
      </c>
      <c r="B66" s="3" t="inlineStr">
        <is>
          <t>ترحيل إلى قسم المشاريع تبوك</t>
        </is>
      </c>
      <c r="C66" s="3" t="inlineStr">
        <is>
          <t>SF99</t>
        </is>
      </c>
      <c r="D66" s="3" t="inlineStr">
        <is>
          <t>فينكا روزا مركن 9 سم أحمر نقطة بيضاء</t>
        </is>
      </c>
      <c r="E66" s="24" t="n">
        <v>2450</v>
      </c>
      <c r="F66" s="4" t="n">
        <v>1347.5</v>
      </c>
      <c r="G66" s="3" t="n">
        <v>4</v>
      </c>
    </row>
    <row r="67">
      <c r="A67" s="5" t="inlineStr"/>
      <c r="B67" s="5" t="inlineStr">
        <is>
          <t>إجمالي ترحيل إلى قسم المشاريع تبوك</t>
        </is>
      </c>
      <c r="C67" s="5" t="inlineStr"/>
      <c r="D67" s="5" t="inlineStr"/>
      <c r="E67" s="5">
        <f>SUM(E29:E66)</f>
        <v/>
      </c>
      <c r="F67" s="6">
        <f>SUM(F29:F66)</f>
        <v/>
      </c>
      <c r="G67" s="5" t="n"/>
    </row>
    <row r="68">
      <c r="A68" s="3" t="inlineStr">
        <is>
          <t>RNO</t>
        </is>
      </c>
      <c r="B68" s="3" t="inlineStr">
        <is>
          <t>صرف مواد للإنتاج – مزرعة الرياض</t>
        </is>
      </c>
      <c r="C68" s="3" t="inlineStr">
        <is>
          <t>FR1004</t>
        </is>
      </c>
      <c r="D68" s="3" t="inlineStr">
        <is>
          <t>حديد مخلبي 16 كجم</t>
        </is>
      </c>
      <c r="E68" s="24" t="n">
        <v>3</v>
      </c>
      <c r="F68" s="4" t="n">
        <v>207</v>
      </c>
      <c r="G68" s="3" t="n">
        <v>3</v>
      </c>
    </row>
    <row r="69">
      <c r="A69" s="3" t="inlineStr">
        <is>
          <t>RNO</t>
        </is>
      </c>
      <c r="B69" s="3" t="inlineStr">
        <is>
          <t>صرف مواد للإنتاج – مزرعة الرياض</t>
        </is>
      </c>
      <c r="C69" s="3" t="inlineStr">
        <is>
          <t>FR1017</t>
        </is>
      </c>
      <c r="D69" s="3" t="inlineStr">
        <is>
          <t>بوتنج سويل 70 لتر (KLAS)</t>
        </is>
      </c>
      <c r="E69" s="24" t="n">
        <v>87</v>
      </c>
      <c r="F69" s="4" t="n">
        <v>4429.8</v>
      </c>
      <c r="G69" s="3" t="n">
        <v>8</v>
      </c>
    </row>
    <row r="70">
      <c r="A70" s="3" t="inlineStr">
        <is>
          <t>RNO</t>
        </is>
      </c>
      <c r="B70" s="3" t="inlineStr">
        <is>
          <t>صرف مواد للإنتاج – مزرعة الرياض</t>
        </is>
      </c>
      <c r="C70" s="3" t="inlineStr">
        <is>
          <t>FR1018</t>
        </is>
      </c>
      <c r="D70" s="3" t="inlineStr">
        <is>
          <t>فيرموكلايت 100 لتر</t>
        </is>
      </c>
      <c r="E70" s="24" t="n">
        <v>11</v>
      </c>
      <c r="F70" s="4" t="n">
        <v>903.75</v>
      </c>
      <c r="G70" s="3" t="n">
        <v>6</v>
      </c>
    </row>
    <row r="71">
      <c r="A71" s="3" t="inlineStr">
        <is>
          <t>RNO</t>
        </is>
      </c>
      <c r="B71" s="3" t="inlineStr">
        <is>
          <t>صرف مواد للإنتاج – مزرعة الرياض</t>
        </is>
      </c>
      <c r="C71" s="3" t="inlineStr">
        <is>
          <t>FR1022</t>
        </is>
      </c>
      <c r="D71" s="3" t="inlineStr">
        <is>
          <t>اجري فير شيلات حديد 6% 1 كجم</t>
        </is>
      </c>
      <c r="E71" s="24" t="n">
        <v>4</v>
      </c>
      <c r="F71" s="4" t="n">
        <v>172</v>
      </c>
      <c r="G71" s="3" t="n">
        <v>4</v>
      </c>
    </row>
    <row r="72">
      <c r="A72" s="3" t="inlineStr">
        <is>
          <t>RNO</t>
        </is>
      </c>
      <c r="B72" s="3" t="inlineStr">
        <is>
          <t>صرف مواد للإنتاج – مزرعة الرياض</t>
        </is>
      </c>
      <c r="C72" s="3" t="inlineStr">
        <is>
          <t>FR1023</t>
        </is>
      </c>
      <c r="D72" s="3" t="inlineStr">
        <is>
          <t>سماد سنجر 20-20-20 + ع ن (25 كجم)</t>
        </is>
      </c>
      <c r="E72" s="24" t="n">
        <v>2</v>
      </c>
      <c r="F72" s="4" t="n">
        <v>632.5</v>
      </c>
      <c r="G72" s="3" t="n">
        <v>2</v>
      </c>
    </row>
    <row r="73">
      <c r="A73" s="3" t="inlineStr">
        <is>
          <t>RNO</t>
        </is>
      </c>
      <c r="B73" s="3" t="inlineStr">
        <is>
          <t>صرف مواد للإنتاج – مزرعة الرياض</t>
        </is>
      </c>
      <c r="C73" s="3" t="inlineStr">
        <is>
          <t>FR1033</t>
        </is>
      </c>
      <c r="D73" s="3" t="inlineStr">
        <is>
          <t>بيتموس تي اس مخصب 210 لتر</t>
        </is>
      </c>
      <c r="E73" s="24" t="n">
        <v>147</v>
      </c>
      <c r="F73" s="4" t="n">
        <v>16214.62</v>
      </c>
      <c r="G73" s="3" t="n">
        <v>12</v>
      </c>
    </row>
    <row r="74">
      <c r="A74" s="3" t="inlineStr">
        <is>
          <t>RNO</t>
        </is>
      </c>
      <c r="B74" s="3" t="inlineStr">
        <is>
          <t>صرف مواد للإنتاج – مزرعة الرياض</t>
        </is>
      </c>
      <c r="C74" s="3" t="inlineStr">
        <is>
          <t>FR368</t>
        </is>
      </c>
      <c r="D74" s="3" t="inlineStr">
        <is>
          <t>بيرلايت 100 لتر</t>
        </is>
      </c>
      <c r="E74" s="24" t="n">
        <v>43</v>
      </c>
      <c r="F74" s="4" t="n">
        <v>1524.25</v>
      </c>
      <c r="G74" s="3" t="n">
        <v>12</v>
      </c>
    </row>
    <row r="75">
      <c r="A75" s="3" t="inlineStr">
        <is>
          <t>RNO</t>
        </is>
      </c>
      <c r="B75" s="3" t="inlineStr">
        <is>
          <t>صرف مواد للإنتاج – مزرعة الرياض</t>
        </is>
      </c>
      <c r="C75" s="3" t="inlineStr">
        <is>
          <t>ID1503</t>
        </is>
      </c>
      <c r="D75" s="3" t="inlineStr">
        <is>
          <t>هيدرا  ان اس مركن9 سم</t>
        </is>
      </c>
      <c r="E75" s="24" t="n">
        <v>950</v>
      </c>
      <c r="F75" s="4" t="n">
        <v>2305</v>
      </c>
      <c r="G75" s="3" t="n">
        <v>2</v>
      </c>
    </row>
    <row r="76">
      <c r="A76" s="3" t="inlineStr">
        <is>
          <t>RNO</t>
        </is>
      </c>
      <c r="B76" s="3" t="inlineStr">
        <is>
          <t>صرف مواد للإنتاج – مزرعة الرياض</t>
        </is>
      </c>
      <c r="C76" s="3" t="inlineStr">
        <is>
          <t>OD371</t>
        </is>
      </c>
      <c r="D76" s="3" t="inlineStr">
        <is>
          <t>اكاسيا جلوكا 1-2 متر</t>
        </is>
      </c>
      <c r="E76" s="24" t="n">
        <v>768</v>
      </c>
      <c r="F76" s="4" t="n">
        <v>19584</v>
      </c>
      <c r="G76" s="3" t="n">
        <v>1</v>
      </c>
    </row>
    <row r="77">
      <c r="A77" s="3" t="inlineStr">
        <is>
          <t>RNO</t>
        </is>
      </c>
      <c r="B77" s="3" t="inlineStr">
        <is>
          <t>صرف مواد للإنتاج – مزرعة الرياض</t>
        </is>
      </c>
      <c r="C77" s="3" t="inlineStr">
        <is>
          <t>PL1</t>
        </is>
      </c>
      <c r="D77" s="3" t="inlineStr">
        <is>
          <t>مركن زراعي خفيف ملون 9 سم</t>
        </is>
      </c>
      <c r="E77" s="24" t="n">
        <v>106000</v>
      </c>
      <c r="F77" s="4" t="n">
        <v>6660</v>
      </c>
      <c r="G77" s="3" t="n">
        <v>10</v>
      </c>
    </row>
    <row r="78">
      <c r="A78" s="3" t="inlineStr">
        <is>
          <t>RNO</t>
        </is>
      </c>
      <c r="B78" s="3" t="inlineStr">
        <is>
          <t>صرف مواد للإنتاج – مزرعة الرياض</t>
        </is>
      </c>
      <c r="C78" s="3" t="inlineStr">
        <is>
          <t>PL12</t>
        </is>
      </c>
      <c r="D78" s="3" t="inlineStr">
        <is>
          <t>صندوق - فلين للزهور</t>
        </is>
      </c>
      <c r="E78" s="24" t="n">
        <v>16888</v>
      </c>
      <c r="F78" s="4" t="n">
        <v>74575</v>
      </c>
      <c r="G78" s="3" t="n">
        <v>13</v>
      </c>
    </row>
    <row r="79">
      <c r="A79" s="3" t="inlineStr">
        <is>
          <t>RNO</t>
        </is>
      </c>
      <c r="B79" s="3" t="inlineStr">
        <is>
          <t>صرف مواد للإنتاج – مزرعة الرياض</t>
        </is>
      </c>
      <c r="C79" s="3" t="inlineStr">
        <is>
          <t>PL14</t>
        </is>
      </c>
      <c r="D79" s="3" t="inlineStr">
        <is>
          <t>مركن زراعي علاقي 19 سم</t>
        </is>
      </c>
      <c r="E79" s="24" t="n">
        <v>2100</v>
      </c>
      <c r="F79" s="4" t="n">
        <v>5531.25</v>
      </c>
      <c r="G79" s="3" t="n">
        <v>3</v>
      </c>
    </row>
    <row r="80">
      <c r="A80" s="3" t="inlineStr">
        <is>
          <t>RNO</t>
        </is>
      </c>
      <c r="B80" s="3" t="inlineStr">
        <is>
          <t>صرف مواد للإنتاج – مزرعة الرياض</t>
        </is>
      </c>
      <c r="C80" s="3" t="inlineStr">
        <is>
          <t>PL15</t>
        </is>
      </c>
      <c r="D80" s="3" t="inlineStr">
        <is>
          <t>سنادات شجر طول 3 متر</t>
        </is>
      </c>
      <c r="E80" s="24" t="n">
        <v>140</v>
      </c>
      <c r="F80" s="4" t="n">
        <v>490</v>
      </c>
      <c r="G80" s="3" t="n">
        <v>2</v>
      </c>
    </row>
    <row r="81">
      <c r="A81" s="3" t="inlineStr">
        <is>
          <t>RNO</t>
        </is>
      </c>
      <c r="B81" s="3" t="inlineStr">
        <is>
          <t>صرف مواد للإنتاج – مزرعة الرياض</t>
        </is>
      </c>
      <c r="C81" s="3" t="inlineStr">
        <is>
          <t>PL2</t>
        </is>
      </c>
      <c r="D81" s="3" t="inlineStr">
        <is>
          <t>مركن زراعى خفيف 12 سم</t>
        </is>
      </c>
      <c r="E81" s="24" t="n">
        <v>1000</v>
      </c>
      <c r="F81" s="4" t="n">
        <v>200</v>
      </c>
      <c r="G81" s="3" t="n">
        <v>1</v>
      </c>
    </row>
    <row r="82">
      <c r="A82" s="3" t="inlineStr">
        <is>
          <t>RNO</t>
        </is>
      </c>
      <c r="B82" s="3" t="inlineStr">
        <is>
          <t>صرف مواد للإنتاج – مزرعة الرياض</t>
        </is>
      </c>
      <c r="C82" s="3" t="inlineStr">
        <is>
          <t>PL9</t>
        </is>
      </c>
      <c r="D82" s="3" t="inlineStr">
        <is>
          <t>مركن زراعي 40 سم</t>
        </is>
      </c>
      <c r="E82" s="24" t="n">
        <v>1884</v>
      </c>
      <c r="F82" s="4" t="n">
        <v>9479.700000000001</v>
      </c>
      <c r="G82" s="3" t="n">
        <v>4</v>
      </c>
    </row>
    <row r="83">
      <c r="A83" s="3" t="inlineStr">
        <is>
          <t>RNO</t>
        </is>
      </c>
      <c r="B83" s="3" t="inlineStr">
        <is>
          <t>صرف مواد للإنتاج – مزرعة الرياض</t>
        </is>
      </c>
      <c r="C83" s="3" t="inlineStr">
        <is>
          <t>SE100</t>
        </is>
      </c>
      <c r="D83" s="3" t="inlineStr">
        <is>
          <t>- بذور فينكا فيكتوري أبيض</t>
        </is>
      </c>
      <c r="E83" s="24" t="n">
        <v>60000</v>
      </c>
      <c r="F83" s="4" t="n">
        <v>2415</v>
      </c>
      <c r="G83" s="3" t="n">
        <v>2</v>
      </c>
    </row>
    <row r="84">
      <c r="A84" s="3" t="inlineStr">
        <is>
          <t>RNO</t>
        </is>
      </c>
      <c r="B84" s="3" t="inlineStr">
        <is>
          <t>صرف مواد للإنتاج – مزرعة الرياض</t>
        </is>
      </c>
      <c r="C84" s="3" t="inlineStr">
        <is>
          <t>SE101</t>
        </is>
      </c>
      <c r="D84" s="3" t="inlineStr">
        <is>
          <t>جذور فينكا باسيفيكا أحمر داكن</t>
        </is>
      </c>
      <c r="E84" s="24" t="n">
        <v>30000</v>
      </c>
      <c r="F84" s="4" t="n">
        <v>1207.5</v>
      </c>
      <c r="G84" s="3" t="n">
        <v>1</v>
      </c>
    </row>
    <row r="85">
      <c r="A85" s="3" t="inlineStr">
        <is>
          <t>RNO</t>
        </is>
      </c>
      <c r="B85" s="3" t="inlineStr">
        <is>
          <t>صرف مواد للإنتاج – مزرعة الرياض</t>
        </is>
      </c>
      <c r="C85" s="3" t="inlineStr">
        <is>
          <t>SE102</t>
        </is>
      </c>
      <c r="D85" s="3" t="inlineStr">
        <is>
          <t>جذور فينكا فيكتوري أحمر</t>
        </is>
      </c>
      <c r="E85" s="24" t="n">
        <v>30000</v>
      </c>
      <c r="F85" s="4" t="n">
        <v>1207.5</v>
      </c>
      <c r="G85" s="3" t="n">
        <v>1</v>
      </c>
    </row>
    <row r="86">
      <c r="A86" s="3" t="inlineStr">
        <is>
          <t>RNO</t>
        </is>
      </c>
      <c r="B86" s="3" t="inlineStr">
        <is>
          <t>صرف مواد للإنتاج – مزرعة الرياض</t>
        </is>
      </c>
      <c r="C86" s="3" t="inlineStr">
        <is>
          <t>SE103</t>
        </is>
      </c>
      <c r="D86" s="3" t="inlineStr">
        <is>
          <t>جذور - فينكا باسيفيكا أوركيد عميق</t>
        </is>
      </c>
      <c r="E86" s="24" t="n">
        <v>40000</v>
      </c>
      <c r="F86" s="4" t="n">
        <v>1610</v>
      </c>
      <c r="G86" s="3" t="n">
        <v>2</v>
      </c>
    </row>
    <row r="87">
      <c r="A87" s="3" t="inlineStr">
        <is>
          <t>RNO</t>
        </is>
      </c>
      <c r="B87" s="3" t="inlineStr">
        <is>
          <t>صرف مواد للإنتاج – مزرعة الرياض</t>
        </is>
      </c>
      <c r="C87" s="3" t="inlineStr">
        <is>
          <t>SE104</t>
        </is>
      </c>
      <c r="D87" s="3" t="inlineStr">
        <is>
          <t>جذور فينكا باسيفيكا برغندي</t>
        </is>
      </c>
      <c r="E87" s="24" t="n">
        <v>20000</v>
      </c>
      <c r="F87" s="4" t="n">
        <v>805</v>
      </c>
      <c r="G87" s="3" t="n">
        <v>2</v>
      </c>
    </row>
    <row r="88">
      <c r="A88" s="3" t="inlineStr">
        <is>
          <t>RNO</t>
        </is>
      </c>
      <c r="B88" s="3" t="inlineStr">
        <is>
          <t>صرف مواد للإنتاج – مزرعة الرياض</t>
        </is>
      </c>
      <c r="C88" s="3" t="inlineStr">
        <is>
          <t>SE105</t>
        </is>
      </c>
      <c r="D88" s="3" t="inlineStr">
        <is>
          <t>جذور فينكا باسيفيكا برغندي هالو</t>
        </is>
      </c>
      <c r="E88" s="24" t="n">
        <v>20000</v>
      </c>
      <c r="F88" s="4" t="n">
        <v>805</v>
      </c>
      <c r="G88" s="3" t="n">
        <v>2</v>
      </c>
    </row>
    <row r="89">
      <c r="A89" s="3" t="inlineStr">
        <is>
          <t>RNO</t>
        </is>
      </c>
      <c r="B89" s="3" t="inlineStr">
        <is>
          <t>صرف مواد للإنتاج – مزرعة الرياض</t>
        </is>
      </c>
      <c r="C89" s="3" t="inlineStr">
        <is>
          <t>SE106</t>
        </is>
      </c>
      <c r="D89" s="3" t="inlineStr">
        <is>
          <t>- بذور فينكا باسيفيكا أحمر</t>
        </is>
      </c>
      <c r="E89" s="24" t="n">
        <v>20000</v>
      </c>
      <c r="F89" s="4" t="n">
        <v>805</v>
      </c>
      <c r="G89" s="3" t="n">
        <v>2</v>
      </c>
    </row>
    <row r="90">
      <c r="A90" s="3" t="inlineStr">
        <is>
          <t>RNO</t>
        </is>
      </c>
      <c r="B90" s="3" t="inlineStr">
        <is>
          <t>صرف مواد للإنتاج – مزرعة الرياض</t>
        </is>
      </c>
      <c r="C90" s="3" t="inlineStr">
        <is>
          <t>SE107</t>
        </is>
      </c>
      <c r="D90" s="3" t="inlineStr">
        <is>
          <t>بذور فينكا باسيفيكا مشمشي</t>
        </is>
      </c>
      <c r="E90" s="24" t="n">
        <v>20000</v>
      </c>
      <c r="F90" s="4" t="n">
        <v>805</v>
      </c>
      <c r="G90" s="3" t="n">
        <v>2</v>
      </c>
    </row>
    <row r="91">
      <c r="A91" s="3" t="inlineStr">
        <is>
          <t>RNO</t>
        </is>
      </c>
      <c r="B91" s="3" t="inlineStr">
        <is>
          <t>صرف مواد للإنتاج – مزرعة الرياض</t>
        </is>
      </c>
      <c r="C91" s="3" t="inlineStr">
        <is>
          <t>SE108</t>
        </is>
      </c>
      <c r="D91" s="3" t="inlineStr">
        <is>
          <t>- جذور فينكا من ستورم مشمشي</t>
        </is>
      </c>
      <c r="E91" s="24" t="n">
        <v>10000</v>
      </c>
      <c r="F91" s="4" t="n">
        <v>345</v>
      </c>
      <c r="G91" s="3" t="n">
        <v>1</v>
      </c>
    </row>
    <row r="92">
      <c r="A92" s="3" t="inlineStr">
        <is>
          <t>RNO</t>
        </is>
      </c>
      <c r="B92" s="3" t="inlineStr">
        <is>
          <t>صرف مواد للإنتاج – مزرعة الرياض</t>
        </is>
      </c>
      <c r="C92" s="3" t="inlineStr">
        <is>
          <t>SE109</t>
        </is>
      </c>
      <c r="D92" s="3" t="inlineStr">
        <is>
          <t>جذور فينكا باسيفيكا بولكا دوت</t>
        </is>
      </c>
      <c r="E92" s="24" t="n">
        <v>10000</v>
      </c>
      <c r="F92" s="4" t="n">
        <v>402.5</v>
      </c>
      <c r="G92" s="3" t="n">
        <v>1</v>
      </c>
    </row>
    <row r="93">
      <c r="A93" s="3" t="inlineStr">
        <is>
          <t>RNO</t>
        </is>
      </c>
      <c r="B93" s="3" t="inlineStr">
        <is>
          <t>صرف مواد للإنتاج – مزرعة الرياض</t>
        </is>
      </c>
      <c r="C93" s="3" t="inlineStr">
        <is>
          <t>SE111</t>
        </is>
      </c>
      <c r="D93" s="3" t="inlineStr">
        <is>
          <t>بذور أمارانتس</t>
        </is>
      </c>
      <c r="E93" s="24" t="n">
        <v>5000</v>
      </c>
      <c r="F93" s="4" t="n">
        <v>57.5</v>
      </c>
      <c r="G93" s="3" t="n">
        <v>1</v>
      </c>
    </row>
    <row r="94">
      <c r="A94" s="3" t="inlineStr">
        <is>
          <t>RNO</t>
        </is>
      </c>
      <c r="B94" s="3" t="inlineStr">
        <is>
          <t>صرف مواد للإنتاج – مزرعة الرياض</t>
        </is>
      </c>
      <c r="C94" s="3" t="inlineStr">
        <is>
          <t>SE112</t>
        </is>
      </c>
      <c r="D94" s="3" t="inlineStr">
        <is>
          <t>بذور زينيا بروفيوجن أبيض</t>
        </is>
      </c>
      <c r="E94" s="24" t="n">
        <v>5000</v>
      </c>
      <c r="F94" s="4" t="n">
        <v>862.5</v>
      </c>
      <c r="G94" s="3" t="n">
        <v>1</v>
      </c>
    </row>
    <row r="95">
      <c r="A95" s="3" t="inlineStr">
        <is>
          <t>RNO</t>
        </is>
      </c>
      <c r="B95" s="3" t="inlineStr">
        <is>
          <t>صرف مواد للإنتاج – مزرعة الرياض</t>
        </is>
      </c>
      <c r="C95" s="3" t="inlineStr">
        <is>
          <t>SE113</t>
        </is>
      </c>
      <c r="D95" s="3" t="inlineStr">
        <is>
          <t>بذور زينيا بروفيوجن أحمر</t>
        </is>
      </c>
      <c r="E95" s="24" t="n">
        <v>5000</v>
      </c>
      <c r="F95" s="4" t="n">
        <v>862.5</v>
      </c>
      <c r="G95" s="3" t="n">
        <v>1</v>
      </c>
    </row>
    <row r="96">
      <c r="A96" s="3" t="inlineStr">
        <is>
          <t>RNO</t>
        </is>
      </c>
      <c r="B96" s="3" t="inlineStr">
        <is>
          <t>صرف مواد للإنتاج – مزرعة الرياض</t>
        </is>
      </c>
      <c r="C96" s="3" t="inlineStr">
        <is>
          <t>SE114</t>
        </is>
      </c>
      <c r="D96" s="3" t="inlineStr">
        <is>
          <t>بذور زينيا بروفيوجن أصفر</t>
        </is>
      </c>
      <c r="E96" s="24" t="n">
        <v>5000</v>
      </c>
      <c r="F96" s="4" t="n">
        <v>862.5</v>
      </c>
      <c r="G96" s="3" t="n">
        <v>1</v>
      </c>
    </row>
    <row r="97">
      <c r="A97" s="3" t="inlineStr">
        <is>
          <t>RNO</t>
        </is>
      </c>
      <c r="B97" s="3" t="inlineStr">
        <is>
          <t>صرف مواد للإنتاج – مزرعة الرياض</t>
        </is>
      </c>
      <c r="C97" s="3" t="inlineStr">
        <is>
          <t>SE115</t>
        </is>
      </c>
      <c r="D97" s="3" t="inlineStr">
        <is>
          <t>- بذور زينيا بروفيوجن برتقالي</t>
        </is>
      </c>
      <c r="E97" s="24" t="n">
        <v>5000</v>
      </c>
      <c r="F97" s="4" t="n">
        <v>862.5</v>
      </c>
      <c r="G97" s="3" t="n">
        <v>1</v>
      </c>
    </row>
    <row r="98">
      <c r="A98" s="3" t="inlineStr">
        <is>
          <t>RNO</t>
        </is>
      </c>
      <c r="B98" s="3" t="inlineStr">
        <is>
          <t>صرف مواد للإنتاج – مزرعة الرياض</t>
        </is>
      </c>
      <c r="C98" s="3" t="inlineStr">
        <is>
          <t>SE116</t>
        </is>
      </c>
      <c r="D98" s="3" t="inlineStr">
        <is>
          <t>بذور زينيا بروفيوجن ناري</t>
        </is>
      </c>
      <c r="E98" s="24" t="n">
        <v>5000</v>
      </c>
      <c r="F98" s="4" t="n">
        <v>862.5</v>
      </c>
      <c r="G98" s="3" t="n">
        <v>1</v>
      </c>
    </row>
    <row r="99">
      <c r="A99" s="3" t="inlineStr">
        <is>
          <t>RNO</t>
        </is>
      </c>
      <c r="B99" s="3" t="inlineStr">
        <is>
          <t>صرف مواد للإنتاج – مزرعة الرياض</t>
        </is>
      </c>
      <c r="C99" s="3" t="inlineStr">
        <is>
          <t>SE117</t>
        </is>
      </c>
      <c r="D99" s="3" t="inlineStr">
        <is>
          <t>- بذور زينيا بروفيوجن ليموني</t>
        </is>
      </c>
      <c r="E99" s="24" t="n">
        <v>5000</v>
      </c>
      <c r="F99" s="4" t="n">
        <v>862.5</v>
      </c>
      <c r="G99" s="3" t="n">
        <v>1</v>
      </c>
    </row>
    <row r="100">
      <c r="A100" s="3" t="inlineStr">
        <is>
          <t>RNO</t>
        </is>
      </c>
      <c r="B100" s="3" t="inlineStr">
        <is>
          <t>صرف مواد للإنتاج – مزرعة الرياض</t>
        </is>
      </c>
      <c r="C100" s="3" t="inlineStr">
        <is>
          <t>SE118</t>
        </is>
      </c>
      <c r="D100" s="3" t="inlineStr">
        <is>
          <t>بذور زينيا بروفيوجن كرزي</t>
        </is>
      </c>
      <c r="E100" s="24" t="n">
        <v>5000</v>
      </c>
      <c r="F100" s="4" t="n">
        <v>862.5</v>
      </c>
      <c r="G100" s="3" t="n">
        <v>1</v>
      </c>
    </row>
    <row r="101">
      <c r="A101" s="3" t="inlineStr">
        <is>
          <t>RNO</t>
        </is>
      </c>
      <c r="B101" s="3" t="inlineStr">
        <is>
          <t>صرف مواد للإنتاج – مزرعة الرياض</t>
        </is>
      </c>
      <c r="C101" s="3" t="inlineStr">
        <is>
          <t>SE119</t>
        </is>
      </c>
      <c r="D101" s="3" t="inlineStr">
        <is>
          <t>- بذور زينيا بروفيوجن كرزي ثنائي اللون</t>
        </is>
      </c>
      <c r="E101" s="24" t="n">
        <v>5000</v>
      </c>
      <c r="F101" s="4" t="n">
        <v>862.5</v>
      </c>
      <c r="G101" s="3" t="n">
        <v>1</v>
      </c>
    </row>
    <row r="102">
      <c r="A102" s="3" t="inlineStr">
        <is>
          <t>RNO</t>
        </is>
      </c>
      <c r="B102" s="3" t="inlineStr">
        <is>
          <t>صرف مواد للإنتاج – مزرعة الرياض</t>
        </is>
      </c>
      <c r="C102" s="3" t="inlineStr">
        <is>
          <t>SE120</t>
        </is>
      </c>
      <c r="D102" s="3" t="inlineStr">
        <is>
          <t>بذور زينيا بروفيوجن أحمر وأأصفر ثنائي اللون</t>
        </is>
      </c>
      <c r="E102" s="24" t="n">
        <v>5000</v>
      </c>
      <c r="F102" s="4" t="n">
        <v>862.5</v>
      </c>
      <c r="G102" s="3" t="n">
        <v>1</v>
      </c>
    </row>
    <row r="103">
      <c r="A103" s="3" t="inlineStr">
        <is>
          <t>RNO</t>
        </is>
      </c>
      <c r="B103" s="3" t="inlineStr">
        <is>
          <t>صرف مواد للإنتاج – مزرعة الرياض</t>
        </is>
      </c>
      <c r="C103" s="3" t="inlineStr">
        <is>
          <t>SE121</t>
        </is>
      </c>
      <c r="D103" s="3" t="inlineStr">
        <is>
          <t>- بذور زينيا بروفيوجن مزدوج أبيض</t>
        </is>
      </c>
      <c r="E103" s="24" t="n">
        <v>5000</v>
      </c>
      <c r="F103" s="4" t="n">
        <v>862.5</v>
      </c>
      <c r="G103" s="3" t="n">
        <v>1</v>
      </c>
    </row>
    <row r="104">
      <c r="A104" s="3" t="inlineStr">
        <is>
          <t>RNO</t>
        </is>
      </c>
      <c r="B104" s="3" t="inlineStr">
        <is>
          <t>صرف مواد للإنتاج – مزرعة الرياض</t>
        </is>
      </c>
      <c r="C104" s="3" t="inlineStr">
        <is>
          <t>SE122</t>
        </is>
      </c>
      <c r="D104" s="3" t="inlineStr">
        <is>
          <t>- بذور زينيا بروفيوجن مزدوج أحمر</t>
        </is>
      </c>
      <c r="E104" s="24" t="n">
        <v>5000</v>
      </c>
      <c r="F104" s="4" t="n">
        <v>862.5</v>
      </c>
      <c r="G104" s="3" t="n">
        <v>1</v>
      </c>
    </row>
    <row r="105">
      <c r="A105" s="3" t="inlineStr">
        <is>
          <t>RNO</t>
        </is>
      </c>
      <c r="B105" s="3" t="inlineStr">
        <is>
          <t>صرف مواد للإنتاج – مزرعة الرياض</t>
        </is>
      </c>
      <c r="C105" s="3" t="inlineStr">
        <is>
          <t>SE123</t>
        </is>
      </c>
      <c r="D105" s="3" t="inlineStr">
        <is>
          <t>- بذور زينيا بروفيوجن مزدوج أصفر</t>
        </is>
      </c>
      <c r="E105" s="24" t="n">
        <v>5000</v>
      </c>
      <c r="F105" s="4" t="n">
        <v>862.5</v>
      </c>
      <c r="G105" s="3" t="n">
        <v>1</v>
      </c>
    </row>
    <row r="106">
      <c r="A106" s="3" t="inlineStr">
        <is>
          <t>RNO</t>
        </is>
      </c>
      <c r="B106" s="3" t="inlineStr">
        <is>
          <t>صرف مواد للإنتاج – مزرعة الرياض</t>
        </is>
      </c>
      <c r="C106" s="3" t="inlineStr">
        <is>
          <t>SE124</t>
        </is>
      </c>
      <c r="D106" s="3" t="inlineStr">
        <is>
          <t>بذور زينيا بروفيوجن مزدوج ناري</t>
        </is>
      </c>
      <c r="E106" s="24" t="n">
        <v>5000</v>
      </c>
      <c r="F106" s="4" t="n">
        <v>862.5</v>
      </c>
      <c r="G106" s="3" t="n">
        <v>1</v>
      </c>
    </row>
    <row r="107">
      <c r="A107" s="3" t="inlineStr">
        <is>
          <t>RNO</t>
        </is>
      </c>
      <c r="B107" s="3" t="inlineStr">
        <is>
          <t>صرف مواد للإنتاج – مزرعة الرياض</t>
        </is>
      </c>
      <c r="C107" s="3" t="inlineStr">
        <is>
          <t>SE125</t>
        </is>
      </c>
      <c r="D107" s="3" t="inlineStr">
        <is>
          <t>بذور زينيا بروفيوجن مزدوج كرزي حار</t>
        </is>
      </c>
      <c r="E107" s="24" t="n">
        <v>5000</v>
      </c>
      <c r="F107" s="4" t="n">
        <v>862.5</v>
      </c>
      <c r="G107" s="3" t="n">
        <v>1</v>
      </c>
    </row>
    <row r="108">
      <c r="A108" s="3" t="inlineStr">
        <is>
          <t>RNO</t>
        </is>
      </c>
      <c r="B108" s="3" t="inlineStr">
        <is>
          <t>صرف مواد للإنتاج – مزرعة الرياض</t>
        </is>
      </c>
      <c r="C108" s="3" t="inlineStr">
        <is>
          <t>SE126</t>
        </is>
      </c>
      <c r="D108" s="3" t="inlineStr">
        <is>
          <t>جذور جازانيا كيس أبيض</t>
        </is>
      </c>
      <c r="E108" s="24" t="n">
        <v>5000</v>
      </c>
      <c r="F108" s="4" t="n">
        <v>546.25</v>
      </c>
      <c r="G108" s="3" t="n">
        <v>1</v>
      </c>
    </row>
    <row r="109">
      <c r="A109" s="3" t="inlineStr">
        <is>
          <t>RNO</t>
        </is>
      </c>
      <c r="B109" s="3" t="inlineStr">
        <is>
          <t>صرف مواد للإنتاج – مزرعة الرياض</t>
        </is>
      </c>
      <c r="C109" s="3" t="inlineStr">
        <is>
          <t>SE127</t>
        </is>
      </c>
      <c r="D109" s="3" t="inlineStr">
        <is>
          <t>- بذور جازانيا كيس برتقالي</t>
        </is>
      </c>
      <c r="E109" s="24" t="n">
        <v>5000</v>
      </c>
      <c r="F109" s="4" t="n">
        <v>546.25</v>
      </c>
      <c r="G109" s="3" t="n">
        <v>1</v>
      </c>
    </row>
    <row r="110">
      <c r="A110" s="3" t="inlineStr">
        <is>
          <t>RNO</t>
        </is>
      </c>
      <c r="B110" s="3" t="inlineStr">
        <is>
          <t>صرف مواد للإنتاج – مزرعة الرياض</t>
        </is>
      </c>
      <c r="C110" s="3" t="inlineStr">
        <is>
          <t>SE128</t>
        </is>
      </c>
      <c r="D110" s="3" t="inlineStr">
        <is>
          <t>- بذور جازانيا كيس أصفر</t>
        </is>
      </c>
      <c r="E110" s="24" t="n">
        <v>5000</v>
      </c>
      <c r="F110" s="4" t="n">
        <v>546.25</v>
      </c>
      <c r="G110" s="3" t="n">
        <v>1</v>
      </c>
    </row>
    <row r="111">
      <c r="A111" s="3" t="inlineStr">
        <is>
          <t>RNO</t>
        </is>
      </c>
      <c r="B111" s="3" t="inlineStr">
        <is>
          <t>صرف مواد للإنتاج – مزرعة الرياض</t>
        </is>
      </c>
      <c r="C111" s="3" t="inlineStr">
        <is>
          <t>SE129</t>
        </is>
      </c>
      <c r="D111" s="3" t="inlineStr">
        <is>
          <t>- بذور بيلكترانثوس فير واى برتقالى</t>
        </is>
      </c>
      <c r="E111" s="24" t="n">
        <v>5000</v>
      </c>
      <c r="F111" s="4" t="n">
        <v>201.25</v>
      </c>
      <c r="G111" s="3" t="n">
        <v>1</v>
      </c>
    </row>
    <row r="112">
      <c r="A112" s="3" t="inlineStr">
        <is>
          <t>RNO</t>
        </is>
      </c>
      <c r="B112" s="3" t="inlineStr">
        <is>
          <t>صرف مواد للإنتاج – مزرعة الرياض</t>
        </is>
      </c>
      <c r="C112" s="3" t="inlineStr">
        <is>
          <t>SE130</t>
        </is>
      </c>
      <c r="D112" s="3" t="inlineStr">
        <is>
          <t>- بذور بيلكترانثوس فير واى موزابيك</t>
        </is>
      </c>
      <c r="E112" s="24" t="n">
        <v>5000</v>
      </c>
      <c r="F112" s="4" t="n">
        <v>201.25</v>
      </c>
      <c r="G112" s="3" t="n">
        <v>1</v>
      </c>
    </row>
    <row r="113">
      <c r="A113" s="3" t="inlineStr">
        <is>
          <t>RNO</t>
        </is>
      </c>
      <c r="B113" s="3" t="inlineStr">
        <is>
          <t>صرف مواد للإنتاج – مزرعة الرياض</t>
        </is>
      </c>
      <c r="C113" s="3" t="inlineStr">
        <is>
          <t>SE131</t>
        </is>
      </c>
      <c r="D113" s="3" t="inlineStr">
        <is>
          <t>- بذور سيلوزيا قرمزي</t>
        </is>
      </c>
      <c r="E113" s="24" t="n">
        <v>5000</v>
      </c>
      <c r="F113" s="4" t="n">
        <v>172.5</v>
      </c>
      <c r="G113" s="3" t="n">
        <v>1</v>
      </c>
    </row>
    <row r="114">
      <c r="A114" s="3" t="inlineStr">
        <is>
          <t>RNO</t>
        </is>
      </c>
      <c r="B114" s="3" t="inlineStr">
        <is>
          <t>صرف مواد للإنتاج – مزرعة الرياض</t>
        </is>
      </c>
      <c r="C114" s="3" t="inlineStr">
        <is>
          <t>SE132</t>
        </is>
      </c>
      <c r="D114" s="3" t="inlineStr">
        <is>
          <t>جذور سيلوزيا كيمونو شيري ريد</t>
        </is>
      </c>
      <c r="E114" s="24" t="n">
        <v>5000</v>
      </c>
      <c r="F114" s="4" t="n">
        <v>172.5</v>
      </c>
      <c r="G114" s="3" t="n">
        <v>1</v>
      </c>
    </row>
    <row r="115">
      <c r="A115" s="3" t="inlineStr">
        <is>
          <t>RNO</t>
        </is>
      </c>
      <c r="B115" s="3" t="inlineStr">
        <is>
          <t>صرف مواد للإنتاج – مزرعة الرياض</t>
        </is>
      </c>
      <c r="C115" s="3" t="inlineStr">
        <is>
          <t>SE20</t>
        </is>
      </c>
      <c r="D115" s="3" t="inlineStr">
        <is>
          <t>جذور فضية</t>
        </is>
      </c>
      <c r="E115" s="24" t="n">
        <v>20000</v>
      </c>
      <c r="F115" s="4" t="n">
        <v>345</v>
      </c>
      <c r="G115" s="3" t="n">
        <v>1</v>
      </c>
    </row>
    <row r="116">
      <c r="A116" s="3" t="inlineStr">
        <is>
          <t>RNO</t>
        </is>
      </c>
      <c r="B116" s="3" t="inlineStr">
        <is>
          <t>صرف مواد للإنتاج – مزرعة الرياض</t>
        </is>
      </c>
      <c r="C116" s="3" t="inlineStr">
        <is>
          <t>SE21</t>
        </is>
      </c>
      <c r="D116" s="3" t="inlineStr">
        <is>
          <t>جذور سيلوزيا احمر</t>
        </is>
      </c>
      <c r="E116" s="24" t="n">
        <v>5000</v>
      </c>
      <c r="F116" s="4" t="n">
        <v>143.75</v>
      </c>
      <c r="G116" s="3" t="n">
        <v>1</v>
      </c>
    </row>
    <row r="117">
      <c r="A117" s="3" t="inlineStr">
        <is>
          <t>RNO</t>
        </is>
      </c>
      <c r="B117" s="3" t="inlineStr">
        <is>
          <t>صرف مواد للإنتاج – مزرعة الرياض</t>
        </is>
      </c>
      <c r="C117" s="3" t="inlineStr">
        <is>
          <t>SE22</t>
        </is>
      </c>
      <c r="D117" s="3" t="inlineStr">
        <is>
          <t>جذور سيلوزيا اصفر</t>
        </is>
      </c>
      <c r="E117" s="24" t="n">
        <v>5000</v>
      </c>
      <c r="F117" s="4" t="n">
        <v>143.75</v>
      </c>
      <c r="G117" s="3" t="n">
        <v>1</v>
      </c>
    </row>
    <row r="118">
      <c r="A118" s="3" t="inlineStr">
        <is>
          <t>RNO</t>
        </is>
      </c>
      <c r="B118" s="3" t="inlineStr">
        <is>
          <t>صرف مواد للإنتاج – مزرعة الرياض</t>
        </is>
      </c>
      <c r="C118" s="3" t="inlineStr">
        <is>
          <t>SE23</t>
        </is>
      </c>
      <c r="D118" s="3" t="inlineStr">
        <is>
          <t>- بذور سيلوزيا برتقالي</t>
        </is>
      </c>
      <c r="E118" s="24" t="n">
        <v>5000</v>
      </c>
      <c r="F118" s="4" t="n">
        <v>143.75</v>
      </c>
      <c r="G118" s="3" t="n">
        <v>1</v>
      </c>
    </row>
    <row r="119">
      <c r="A119" s="3" t="inlineStr">
        <is>
          <t>RNO</t>
        </is>
      </c>
      <c r="B119" s="3" t="inlineStr">
        <is>
          <t>صرف مواد للإنتاج – مزرعة الرياض</t>
        </is>
      </c>
      <c r="C119" s="3" t="inlineStr">
        <is>
          <t>SE88</t>
        </is>
      </c>
      <c r="D119" s="3" t="inlineStr">
        <is>
          <t>بذور بيلكترانثوس فير واى احمر</t>
        </is>
      </c>
      <c r="E119" s="24" t="n">
        <v>5000</v>
      </c>
      <c r="F119" s="4" t="n">
        <v>201.25</v>
      </c>
      <c r="G119" s="3" t="n">
        <v>1</v>
      </c>
    </row>
    <row r="120">
      <c r="A120" s="3" t="inlineStr">
        <is>
          <t>RNO</t>
        </is>
      </c>
      <c r="B120" s="3" t="inlineStr">
        <is>
          <t>صرف مواد للإنتاج – مزرعة الرياض</t>
        </is>
      </c>
      <c r="C120" s="3" t="inlineStr">
        <is>
          <t>SE89</t>
        </is>
      </c>
      <c r="D120" s="3" t="inlineStr">
        <is>
          <t>- بذور بيلكترانثوس فير واى روبي</t>
        </is>
      </c>
      <c r="E120" s="24" t="n">
        <v>5000</v>
      </c>
      <c r="F120" s="4" t="n">
        <v>201.25</v>
      </c>
      <c r="G120" s="3" t="n">
        <v>1</v>
      </c>
    </row>
    <row r="121">
      <c r="A121" s="3" t="inlineStr">
        <is>
          <t>RNO</t>
        </is>
      </c>
      <c r="B121" s="3" t="inlineStr">
        <is>
          <t>صرف مواد للإنتاج – مزرعة الرياض</t>
        </is>
      </c>
      <c r="C121" s="3" t="inlineStr">
        <is>
          <t>SE90</t>
        </is>
      </c>
      <c r="D121" s="3" t="inlineStr">
        <is>
          <t>- جذور بيلكترانثوس فير واى بينك غامق</t>
        </is>
      </c>
      <c r="E121" s="24" t="n">
        <v>5000</v>
      </c>
      <c r="F121" s="4" t="n">
        <v>201.25</v>
      </c>
      <c r="G121" s="3" t="n">
        <v>1</v>
      </c>
    </row>
    <row r="122">
      <c r="A122" s="5" t="inlineStr"/>
      <c r="B122" s="5" t="inlineStr">
        <is>
          <t>إجمالي صرف مواد للإنتاج – مزرعة الرياض</t>
        </is>
      </c>
      <c r="C122" s="5" t="inlineStr"/>
      <c r="D122" s="5" t="inlineStr"/>
      <c r="E122" s="5">
        <f>SUM(E68:E121)</f>
        <v/>
      </c>
      <c r="F122" s="6">
        <f>SUM(F68:F121)</f>
        <v/>
      </c>
      <c r="G122" s="5" t="n"/>
    </row>
    <row r="123">
      <c r="A123" s="3" t="inlineStr">
        <is>
          <t>RNL</t>
        </is>
      </c>
      <c r="B123" s="3" t="inlineStr">
        <is>
          <t>كميات هالكة ومفقودة</t>
        </is>
      </c>
      <c r="C123" s="3" t="inlineStr">
        <is>
          <t>OD560</t>
        </is>
      </c>
      <c r="D123" s="3" t="inlineStr">
        <is>
          <t>زهور بيتونيا</t>
        </is>
      </c>
      <c r="E123" s="24" t="n">
        <v>12400</v>
      </c>
      <c r="F123" s="4" t="n">
        <v>7843</v>
      </c>
      <c r="G123" s="3" t="n">
        <v>6</v>
      </c>
    </row>
    <row r="124">
      <c r="A124" s="3" t="inlineStr">
        <is>
          <t>RNL</t>
        </is>
      </c>
      <c r="B124" s="3" t="inlineStr">
        <is>
          <t>كميات هالكة ومفقودة</t>
        </is>
      </c>
      <c r="C124" s="3" t="inlineStr">
        <is>
          <t>OD564</t>
        </is>
      </c>
      <c r="D124" s="3" t="inlineStr">
        <is>
          <t>زهور امرانتس</t>
        </is>
      </c>
      <c r="E124" s="24" t="n">
        <v>150</v>
      </c>
      <c r="F124" s="4" t="n">
        <v>94.88</v>
      </c>
      <c r="G124" s="3" t="n">
        <v>1</v>
      </c>
    </row>
    <row r="125">
      <c r="A125" s="3" t="inlineStr">
        <is>
          <t>RNL</t>
        </is>
      </c>
      <c r="B125" s="3" t="inlineStr">
        <is>
          <t>كميات هالكة ومفقودة</t>
        </is>
      </c>
      <c r="C125" s="3" t="inlineStr">
        <is>
          <t>OD603</t>
        </is>
      </c>
      <c r="D125" s="3" t="inlineStr">
        <is>
          <t>زهور جرانيوم مركن9 سم</t>
        </is>
      </c>
      <c r="E125" s="24" t="n">
        <v>150</v>
      </c>
      <c r="F125" s="4" t="n">
        <v>155.25</v>
      </c>
      <c r="G125" s="3" t="n">
        <v>1</v>
      </c>
    </row>
    <row r="126">
      <c r="A126" s="3" t="inlineStr">
        <is>
          <t>RNL</t>
        </is>
      </c>
      <c r="B126" s="3" t="inlineStr">
        <is>
          <t>كميات هالكة ومفقودة</t>
        </is>
      </c>
      <c r="C126" s="3" t="inlineStr">
        <is>
          <t>OD635</t>
        </is>
      </c>
      <c r="D126" s="3" t="inlineStr">
        <is>
          <t>زهور فم السمكة مركن9 سم</t>
        </is>
      </c>
      <c r="E126" s="24" t="n">
        <v>2425</v>
      </c>
      <c r="F126" s="4" t="n">
        <v>1533.81</v>
      </c>
      <c r="G126" s="3" t="n">
        <v>5</v>
      </c>
    </row>
    <row r="127">
      <c r="A127" s="3" t="inlineStr">
        <is>
          <t>RNL</t>
        </is>
      </c>
      <c r="B127" s="3" t="inlineStr">
        <is>
          <t>كميات هالكة ومفقودة</t>
        </is>
      </c>
      <c r="C127" s="3" t="inlineStr">
        <is>
          <t>OD637</t>
        </is>
      </c>
      <c r="D127" s="3" t="inlineStr">
        <is>
          <t>زهور سالفيا مركن9 سم</t>
        </is>
      </c>
      <c r="E127" s="24" t="n">
        <v>400</v>
      </c>
      <c r="F127" s="4" t="n">
        <v>253</v>
      </c>
      <c r="G127" s="3" t="n">
        <v>1</v>
      </c>
    </row>
    <row r="128">
      <c r="A128" s="3" t="inlineStr">
        <is>
          <t>RNL</t>
        </is>
      </c>
      <c r="B128" s="3" t="inlineStr">
        <is>
          <t>كميات هالكة ومفقودة</t>
        </is>
      </c>
      <c r="C128" s="3" t="inlineStr">
        <is>
          <t>OD642</t>
        </is>
      </c>
      <c r="D128" s="3" t="inlineStr">
        <is>
          <t>زهور اليسوم مركن9 سم</t>
        </is>
      </c>
      <c r="E128" s="24" t="n">
        <v>300</v>
      </c>
      <c r="F128" s="4" t="n">
        <v>189.75</v>
      </c>
      <c r="G128" s="3" t="n">
        <v>1</v>
      </c>
    </row>
    <row r="129">
      <c r="A129" s="3" t="inlineStr">
        <is>
          <t>RNL</t>
        </is>
      </c>
      <c r="B129" s="3" t="inlineStr">
        <is>
          <t>كميات هالكة ومفقودة</t>
        </is>
      </c>
      <c r="C129" s="3" t="inlineStr">
        <is>
          <t>OD694</t>
        </is>
      </c>
      <c r="D129" s="3" t="inlineStr">
        <is>
          <t>كالنشو هولندى مركن12 سم</t>
        </is>
      </c>
      <c r="E129" s="24" t="n">
        <v>20</v>
      </c>
      <c r="F129" s="4" t="n">
        <v>69</v>
      </c>
      <c r="G129" s="3" t="n">
        <v>1</v>
      </c>
    </row>
    <row r="130">
      <c r="A130" s="3" t="inlineStr">
        <is>
          <t>RNL</t>
        </is>
      </c>
      <c r="B130" s="3" t="inlineStr">
        <is>
          <t>كميات هالكة ومفقودة</t>
        </is>
      </c>
      <c r="C130" s="3" t="inlineStr">
        <is>
          <t>OD695</t>
        </is>
      </c>
      <c r="D130" s="3" t="inlineStr">
        <is>
          <t>زهور اقحوان افريقي هولندى مركن12 سم</t>
        </is>
      </c>
      <c r="E130" s="24" t="n">
        <v>20</v>
      </c>
      <c r="F130" s="4" t="n">
        <v>69</v>
      </c>
      <c r="G130" s="3" t="n">
        <v>1</v>
      </c>
    </row>
    <row r="131">
      <c r="A131" s="3" t="inlineStr">
        <is>
          <t>RNL</t>
        </is>
      </c>
      <c r="B131" s="3" t="inlineStr">
        <is>
          <t>كميات هالكة ومفقودة</t>
        </is>
      </c>
      <c r="C131" s="3" t="inlineStr">
        <is>
          <t>SF100</t>
        </is>
      </c>
      <c r="D131" s="3" t="inlineStr">
        <is>
          <t>فينكا روزا مركن 9 سم أبيض نقطة حمراء</t>
        </is>
      </c>
      <c r="E131" s="24" t="n">
        <v>2675</v>
      </c>
      <c r="F131" s="4" t="n">
        <v>1471.25</v>
      </c>
      <c r="G131" s="3" t="n">
        <v>5</v>
      </c>
    </row>
    <row r="132">
      <c r="A132" s="3" t="inlineStr">
        <is>
          <t>RNL</t>
        </is>
      </c>
      <c r="B132" s="3" t="inlineStr">
        <is>
          <t>كميات هالكة ومفقودة</t>
        </is>
      </c>
      <c r="C132" s="3" t="inlineStr">
        <is>
          <t>SF102</t>
        </is>
      </c>
      <c r="D132" s="3" t="inlineStr">
        <is>
          <t>فينكا روزا مركن 9 سم مشمشي</t>
        </is>
      </c>
      <c r="E132" s="24" t="n">
        <v>2425</v>
      </c>
      <c r="F132" s="4" t="n">
        <v>1333.75</v>
      </c>
      <c r="G132" s="3" t="n">
        <v>5</v>
      </c>
    </row>
    <row r="133">
      <c r="A133" s="3" t="inlineStr">
        <is>
          <t>RNL</t>
        </is>
      </c>
      <c r="B133" s="3" t="inlineStr">
        <is>
          <t>كميات هالكة ومفقودة</t>
        </is>
      </c>
      <c r="C133" s="3" t="inlineStr">
        <is>
          <t>SF103</t>
        </is>
      </c>
      <c r="D133" s="3" t="inlineStr">
        <is>
          <t>فينكا روزا مركن 9 سم بينك (وردي)</t>
        </is>
      </c>
      <c r="E133" s="24" t="n">
        <v>2250</v>
      </c>
      <c r="F133" s="4" t="n">
        <v>1237.5</v>
      </c>
      <c r="G133" s="3" t="n">
        <v>2</v>
      </c>
    </row>
    <row r="134">
      <c r="A134" s="3" t="inlineStr">
        <is>
          <t>RNL</t>
        </is>
      </c>
      <c r="B134" s="3" t="inlineStr">
        <is>
          <t>كميات هالكة ومفقودة</t>
        </is>
      </c>
      <c r="C134" s="3" t="inlineStr">
        <is>
          <t>SF105</t>
        </is>
      </c>
      <c r="D134" s="3" t="inlineStr">
        <is>
          <t>فينكا روزا مركن 9 سم برغندي</t>
        </is>
      </c>
      <c r="E134" s="24" t="n">
        <v>10295</v>
      </c>
      <c r="F134" s="4" t="n">
        <v>5662.25</v>
      </c>
      <c r="G134" s="3" t="n">
        <v>8</v>
      </c>
    </row>
    <row r="135">
      <c r="A135" s="3" t="inlineStr">
        <is>
          <t>RNL</t>
        </is>
      </c>
      <c r="B135" s="3" t="inlineStr">
        <is>
          <t>كميات هالكة ومفقودة</t>
        </is>
      </c>
      <c r="C135" s="3" t="inlineStr">
        <is>
          <t>SF106</t>
        </is>
      </c>
      <c r="D135" s="3" t="inlineStr">
        <is>
          <t>فينكا روزا مركن 9 سم برغندي هالو</t>
        </is>
      </c>
      <c r="E135" s="24" t="n">
        <v>3950</v>
      </c>
      <c r="F135" s="4" t="n">
        <v>2172.5</v>
      </c>
      <c r="G135" s="3" t="n">
        <v>5</v>
      </c>
    </row>
    <row r="136">
      <c r="A136" s="3" t="inlineStr">
        <is>
          <t>RNL</t>
        </is>
      </c>
      <c r="B136" s="3" t="inlineStr">
        <is>
          <t>كميات هالكة ومفقودة</t>
        </is>
      </c>
      <c r="C136" s="3" t="inlineStr">
        <is>
          <t>SF108</t>
        </is>
      </c>
      <c r="D136" s="3" t="inlineStr">
        <is>
          <t>فينكا روزا مركن 9 سم أوركيد عميق</t>
        </is>
      </c>
      <c r="E136" s="24" t="n">
        <v>8600</v>
      </c>
      <c r="F136" s="4" t="n">
        <v>4730</v>
      </c>
      <c r="G136" s="3" t="n">
        <v>8</v>
      </c>
    </row>
    <row r="137">
      <c r="A137" s="3" t="inlineStr">
        <is>
          <t>RNL</t>
        </is>
      </c>
      <c r="B137" s="3" t="inlineStr">
        <is>
          <t>كميات هالكة ومفقودة</t>
        </is>
      </c>
      <c r="C137" s="3" t="inlineStr">
        <is>
          <t>SF123</t>
        </is>
      </c>
      <c r="D137" s="3" t="inlineStr">
        <is>
          <t>زهور زينيا سنجل مركن 9 سم أبيض</t>
        </is>
      </c>
      <c r="E137" s="24" t="n">
        <v>675</v>
      </c>
      <c r="F137" s="4" t="n">
        <v>371.25</v>
      </c>
      <c r="G137" s="3" t="n">
        <v>2</v>
      </c>
    </row>
    <row r="138">
      <c r="A138" s="3" t="inlineStr">
        <is>
          <t>RNL</t>
        </is>
      </c>
      <c r="B138" s="3" t="inlineStr">
        <is>
          <t>كميات هالكة ومفقودة</t>
        </is>
      </c>
      <c r="C138" s="3" t="inlineStr">
        <is>
          <t>SF124</t>
        </is>
      </c>
      <c r="D138" s="3" t="inlineStr">
        <is>
          <t>زهور زينيا سنجل مركن 9 سم أحمر</t>
        </is>
      </c>
      <c r="E138" s="24" t="n">
        <v>500</v>
      </c>
      <c r="F138" s="4" t="n">
        <v>275</v>
      </c>
      <c r="G138" s="3" t="n">
        <v>2</v>
      </c>
    </row>
    <row r="139">
      <c r="A139" s="3" t="inlineStr">
        <is>
          <t>RNL</t>
        </is>
      </c>
      <c r="B139" s="3" t="inlineStr">
        <is>
          <t>كميات هالكة ومفقودة</t>
        </is>
      </c>
      <c r="C139" s="3" t="inlineStr">
        <is>
          <t>SF125</t>
        </is>
      </c>
      <c r="D139" s="3" t="inlineStr">
        <is>
          <t>زهور زينيا سنجل مركن 9 سم أصفر</t>
        </is>
      </c>
      <c r="E139" s="24" t="n">
        <v>350</v>
      </c>
      <c r="F139" s="4" t="n">
        <v>192.5</v>
      </c>
      <c r="G139" s="3" t="n">
        <v>1</v>
      </c>
    </row>
    <row r="140">
      <c r="A140" s="3" t="inlineStr">
        <is>
          <t>RNL</t>
        </is>
      </c>
      <c r="B140" s="3" t="inlineStr">
        <is>
          <t>كميات هالكة ومفقودة</t>
        </is>
      </c>
      <c r="C140" s="3" t="inlineStr">
        <is>
          <t>SF126</t>
        </is>
      </c>
      <c r="D140" s="3" t="inlineStr">
        <is>
          <t>زهور زينيا سنجل مركن 9 سم برتقالي</t>
        </is>
      </c>
      <c r="E140" s="24" t="n">
        <v>300</v>
      </c>
      <c r="F140" s="4" t="n">
        <v>165</v>
      </c>
      <c r="G140" s="3" t="n">
        <v>1</v>
      </c>
    </row>
    <row r="141">
      <c r="A141" s="3" t="inlineStr">
        <is>
          <t>RNL</t>
        </is>
      </c>
      <c r="B141" s="3" t="inlineStr">
        <is>
          <t>كميات هالكة ومفقودة</t>
        </is>
      </c>
      <c r="C141" s="3" t="inlineStr">
        <is>
          <t>SF127</t>
        </is>
      </c>
      <c r="D141" s="3" t="inlineStr">
        <is>
          <t>زهور زينيا سنجل مركن 9 سم ناري</t>
        </is>
      </c>
      <c r="E141" s="24" t="n">
        <v>775</v>
      </c>
      <c r="F141" s="4" t="n">
        <v>426.25</v>
      </c>
      <c r="G141" s="3" t="n">
        <v>1</v>
      </c>
    </row>
    <row r="142">
      <c r="A142" s="3" t="inlineStr">
        <is>
          <t>RNL</t>
        </is>
      </c>
      <c r="B142" s="3" t="inlineStr">
        <is>
          <t>كميات هالكة ومفقودة</t>
        </is>
      </c>
      <c r="C142" s="3" t="inlineStr">
        <is>
          <t>SF128</t>
        </is>
      </c>
      <c r="D142" s="3" t="inlineStr">
        <is>
          <t>زهور زينيا سنجل مركن 9 سم ليموني</t>
        </is>
      </c>
      <c r="E142" s="24" t="n">
        <v>475</v>
      </c>
      <c r="F142" s="4" t="n">
        <v>261.25</v>
      </c>
      <c r="G142" s="3" t="n">
        <v>1</v>
      </c>
    </row>
    <row r="143">
      <c r="A143" s="3" t="inlineStr">
        <is>
          <t>RNL</t>
        </is>
      </c>
      <c r="B143" s="3" t="inlineStr">
        <is>
          <t>كميات هالكة ومفقودة</t>
        </is>
      </c>
      <c r="C143" s="3" t="inlineStr">
        <is>
          <t>SF129</t>
        </is>
      </c>
      <c r="D143" s="3" t="inlineStr">
        <is>
          <t>زهور زينيا سنجل مركن 9 سم كرزي</t>
        </is>
      </c>
      <c r="E143" s="24" t="n">
        <v>475</v>
      </c>
      <c r="F143" s="4" t="n">
        <v>261.25</v>
      </c>
      <c r="G143" s="3" t="n">
        <v>1</v>
      </c>
    </row>
    <row r="144">
      <c r="A144" s="3" t="inlineStr">
        <is>
          <t>RNL</t>
        </is>
      </c>
      <c r="B144" s="3" t="inlineStr">
        <is>
          <t>كميات هالكة ومفقودة</t>
        </is>
      </c>
      <c r="C144" s="3" t="inlineStr">
        <is>
          <t>SF130</t>
        </is>
      </c>
      <c r="D144" s="3" t="inlineStr">
        <is>
          <t>زهور زينيا سنجل مركن 9 سم كرزي ثنائي اللون</t>
        </is>
      </c>
      <c r="E144" s="24" t="n">
        <v>475</v>
      </c>
      <c r="F144" s="4" t="n">
        <v>261.25</v>
      </c>
      <c r="G144" s="3" t="n">
        <v>1</v>
      </c>
    </row>
    <row r="145">
      <c r="A145" s="3" t="inlineStr">
        <is>
          <t>RNL</t>
        </is>
      </c>
      <c r="B145" s="3" t="inlineStr">
        <is>
          <t>كميات هالكة ومفقودة</t>
        </is>
      </c>
      <c r="C145" s="3" t="inlineStr">
        <is>
          <t>SF131</t>
        </is>
      </c>
      <c r="D145" s="3" t="inlineStr">
        <is>
          <t>زهور زينيا سنجل مركن 9 سم أحمر وأصفر ثنائي</t>
        </is>
      </c>
      <c r="E145" s="24" t="n">
        <v>200</v>
      </c>
      <c r="F145" s="4" t="n">
        <v>110</v>
      </c>
      <c r="G145" s="3" t="n">
        <v>1</v>
      </c>
    </row>
    <row r="146">
      <c r="A146" s="3" t="inlineStr">
        <is>
          <t>RNL</t>
        </is>
      </c>
      <c r="B146" s="3" t="inlineStr">
        <is>
          <t>كميات هالكة ومفقودة</t>
        </is>
      </c>
      <c r="C146" s="3" t="inlineStr">
        <is>
          <t>SF144</t>
        </is>
      </c>
      <c r="D146" s="3" t="inlineStr">
        <is>
          <t>زهور امرانتس مركن 9 سم أحمر</t>
        </is>
      </c>
      <c r="E146" s="24" t="n">
        <v>200</v>
      </c>
      <c r="F146" s="4" t="n">
        <v>110</v>
      </c>
      <c r="G146" s="3" t="n">
        <v>1</v>
      </c>
    </row>
    <row r="147">
      <c r="A147" s="3" t="inlineStr">
        <is>
          <t>RNL</t>
        </is>
      </c>
      <c r="B147" s="3" t="inlineStr">
        <is>
          <t>كميات هالكة ومفقودة</t>
        </is>
      </c>
      <c r="C147" s="3" t="inlineStr">
        <is>
          <t>SF149</t>
        </is>
      </c>
      <c r="D147" s="3" t="inlineStr">
        <is>
          <t>زهور فضية مركن 9 سم فضي</t>
        </is>
      </c>
      <c r="E147" s="24" t="n">
        <v>150</v>
      </c>
      <c r="F147" s="4" t="n">
        <v>82.5</v>
      </c>
      <c r="G147" s="3" t="n">
        <v>1</v>
      </c>
    </row>
    <row r="148">
      <c r="A148" s="3" t="inlineStr">
        <is>
          <t>RNL</t>
        </is>
      </c>
      <c r="B148" s="3" t="inlineStr">
        <is>
          <t>كميات هالكة ومفقودة</t>
        </is>
      </c>
      <c r="C148" s="3" t="inlineStr">
        <is>
          <t>SF154</t>
        </is>
      </c>
      <c r="D148" s="3" t="inlineStr">
        <is>
          <t>زهور كيليوس مركن 9 سم أخضر فاتح</t>
        </is>
      </c>
      <c r="E148" s="24" t="n">
        <v>200</v>
      </c>
      <c r="F148" s="4" t="n">
        <v>110</v>
      </c>
      <c r="G148" s="3" t="n">
        <v>1</v>
      </c>
    </row>
    <row r="149">
      <c r="A149" s="3" t="inlineStr">
        <is>
          <t>RNL</t>
        </is>
      </c>
      <c r="B149" s="3" t="inlineStr">
        <is>
          <t>كميات هالكة ومفقودة</t>
        </is>
      </c>
      <c r="C149" s="3" t="inlineStr">
        <is>
          <t>SF164</t>
        </is>
      </c>
      <c r="D149" s="3" t="inlineStr">
        <is>
          <t>زهور جيرانيوم مركن 12 سم</t>
        </is>
      </c>
      <c r="E149" s="24" t="n">
        <v>1500</v>
      </c>
      <c r="F149" s="4" t="n">
        <v>3150</v>
      </c>
      <c r="G149" s="3" t="n">
        <v>1</v>
      </c>
    </row>
    <row r="150">
      <c r="A150" s="3" t="inlineStr">
        <is>
          <t>RNL</t>
        </is>
      </c>
      <c r="B150" s="3" t="inlineStr">
        <is>
          <t>كميات هالكة ومفقودة</t>
        </is>
      </c>
      <c r="C150" s="3" t="inlineStr">
        <is>
          <t>SF69</t>
        </is>
      </c>
      <c r="D150" s="3" t="inlineStr">
        <is>
          <t>زهور جرانيوم مركن 9 سم أبيض</t>
        </is>
      </c>
      <c r="E150" s="24" t="n">
        <v>3775</v>
      </c>
      <c r="F150" s="4" t="n">
        <v>3586.25</v>
      </c>
      <c r="G150" s="3" t="n">
        <v>1</v>
      </c>
    </row>
    <row r="151">
      <c r="A151" s="3" t="inlineStr">
        <is>
          <t>RNL</t>
        </is>
      </c>
      <c r="B151" s="3" t="inlineStr">
        <is>
          <t>كميات هالكة ومفقودة</t>
        </is>
      </c>
      <c r="C151" s="3" t="inlineStr">
        <is>
          <t>SF97</t>
        </is>
      </c>
      <c r="D151" s="3" t="inlineStr">
        <is>
          <t>فينكا روزا مركن 9 سم أبيض</t>
        </is>
      </c>
      <c r="E151" s="24" t="n">
        <v>2700</v>
      </c>
      <c r="F151" s="4" t="n">
        <v>1485</v>
      </c>
      <c r="G151" s="3" t="n">
        <v>4</v>
      </c>
    </row>
    <row r="152">
      <c r="A152" s="3" t="inlineStr">
        <is>
          <t>RNL</t>
        </is>
      </c>
      <c r="B152" s="3" t="inlineStr">
        <is>
          <t>كميات هالكة ومفقودة</t>
        </is>
      </c>
      <c r="C152" s="3" t="inlineStr">
        <is>
          <t>SF98</t>
        </is>
      </c>
      <c r="D152" s="3" t="inlineStr">
        <is>
          <t>فينكا روزا مركن 9 سم أحمر</t>
        </is>
      </c>
      <c r="E152" s="24" t="n">
        <v>4500</v>
      </c>
      <c r="F152" s="4" t="n">
        <v>2475</v>
      </c>
      <c r="G152" s="3" t="n">
        <v>6</v>
      </c>
    </row>
    <row r="153">
      <c r="A153" s="3" t="inlineStr">
        <is>
          <t>RNL</t>
        </is>
      </c>
      <c r="B153" s="3" t="inlineStr">
        <is>
          <t>كميات هالكة ومفقودة</t>
        </is>
      </c>
      <c r="C153" s="3" t="inlineStr">
        <is>
          <t>SF99</t>
        </is>
      </c>
      <c r="D153" s="3" t="inlineStr">
        <is>
          <t>فينكا روزا مركن 9 سم أحمر نقطة بيضاء</t>
        </is>
      </c>
      <c r="E153" s="24" t="n">
        <v>3575</v>
      </c>
      <c r="F153" s="4" t="n">
        <v>1966.25</v>
      </c>
      <c r="G153" s="3" t="n">
        <v>5</v>
      </c>
    </row>
    <row r="154">
      <c r="A154" s="5" t="inlineStr"/>
      <c r="B154" s="5" t="inlineStr">
        <is>
          <t>إجمالي كميات هالكة ومفقودة</t>
        </is>
      </c>
      <c r="C154" s="5" t="inlineStr"/>
      <c r="D154" s="5" t="inlineStr"/>
      <c r="E154" s="5">
        <f>SUM(E123:E153)</f>
        <v/>
      </c>
      <c r="F154" s="6">
        <f>SUM(F123:F153)</f>
        <v/>
      </c>
      <c r="G15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2026-09-27T23:08:27Z</dcterms:created>
  <dcterms:modified xsi:type="dcterms:W3CDTF">2026-09-27T23:08:45Z</dcterms:modified>
</cp:coreProperties>
</file>