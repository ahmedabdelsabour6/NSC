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سجل العقود" sheetId="2" state="visible" r:id="rId2"/>
    <sheet name="تفصيل البنود" sheetId="3" state="visible" r:id="rId3"/>
    <sheet name="الكميات حسب الصنف" sheetId="4" state="visible" r:id="rId4"/>
  </sheets>
  <definedNames>
    <definedName name="_xlnm._FilterDatabase" localSheetId="1" hidden="1">'سجل العقود'!$A$1:$K$238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.##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165" fontId="0" fillId="0" borderId="1" pivotButton="0" quotePrefix="0" xfId="0"/>
    <xf numFmtId="0" fontId="2" fillId="6" borderId="0" pivotButton="0" quotePrefix="0" xfId="0"/>
    <xf numFmtId="4" fontId="2" fillId="6" borderId="0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1" fillId="2" borderId="1" applyAlignment="1" pivotButton="0" quotePrefix="0" xfId="0">
      <alignment horizontal="center" wrapText="1"/>
    </xf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8" customWidth="1" min="4" max="4"/>
    <col width="14" customWidth="1" min="5" max="5"/>
    <col width="18" customWidth="1" min="6" max="6"/>
    <col width="11" customWidth="1" min="7" max="7"/>
    <col width="18" customWidth="1" min="8" max="8"/>
    <col width="14" customWidth="1" min="9" max="9"/>
    <col width="18" customWidth="1" min="10" max="10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2026). كل القيم شاملة الضريبة.</t>
        </is>
      </c>
    </row>
    <row r="4" ht="45" customHeight="1">
      <c r="A4" s="2" t="inlineStr">
        <is>
          <t>الرمز</t>
        </is>
      </c>
      <c r="B4" s="2" t="inlineStr">
        <is>
          <t>نوع الحركة</t>
        </is>
      </c>
      <c r="C4" s="2" t="inlineStr">
        <is>
          <t>عدد العقود – النظام القديم</t>
        </is>
      </c>
      <c r="D4" s="2" t="inlineStr">
        <is>
          <t>قيمة النظام القديم</t>
        </is>
      </c>
      <c r="E4" s="2" t="inlineStr">
        <is>
          <t>عدد السندات – النظام الجديد</t>
        </is>
      </c>
      <c r="F4" s="2" t="inlineStr">
        <is>
          <t>قيمة النظام الجديد</t>
        </is>
      </c>
      <c r="G4" s="2" t="inlineStr">
        <is>
          <t>إجمالي العدد</t>
        </is>
      </c>
      <c r="H4" s="2" t="inlineStr">
        <is>
          <t>الإجمالي للفترة</t>
        </is>
      </c>
      <c r="I4" s="2" t="inlineStr">
        <is>
          <t>منها عقود بتفصيل بنود</t>
        </is>
      </c>
      <c r="J4" s="2" t="inlineStr">
        <is>
          <t>قيمة العقود المفصّلة</t>
        </is>
      </c>
    </row>
    <row r="5">
      <c r="A5" s="3" t="inlineStr">
        <is>
          <t>TNR</t>
        </is>
      </c>
      <c r="B5" s="3" t="inlineStr">
        <is>
          <t>ترحيل من تبوك إلى الرياض</t>
        </is>
      </c>
      <c r="C5" s="3">
        <f>COUNTIFS('سجل العقود'!B2:B238,"TNR",'سجل العقود'!I2:I238,"النظام القديم*",'سجل العقود'!J2:J238,"نعم")</f>
        <v/>
      </c>
      <c r="D5" s="4">
        <f>SUMIFS('سجل العقود'!H2:H238,'سجل العقود'!B2:B238,"TNR",'سجل العقود'!I2:I238,"النظام القديم*",'سجل العقود'!J2:J238,"نعم")</f>
        <v/>
      </c>
      <c r="E5" s="3">
        <f>COUNTIFS('سجل العقود'!B2:B238,"TNR",'سجل العقود'!I2:I238,"النظام الجديد",'سجل العقود'!J2:J238,"نعم")</f>
        <v/>
      </c>
      <c r="F5" s="4">
        <f>SUMIFS('سجل العقود'!H2:H238,'سجل العقود'!B2:B238,"TNR",'سجل العقود'!I2:I238,"النظام الجديد",'سجل العقود'!J2:J238,"نعم")</f>
        <v/>
      </c>
      <c r="G5" s="3">
        <f>C5+E5</f>
        <v/>
      </c>
      <c r="H5" s="4">
        <f>D5+F5</f>
        <v/>
      </c>
      <c r="I5" s="3" t="n">
        <v>1</v>
      </c>
      <c r="J5" s="4" t="n">
        <v>8395</v>
      </c>
    </row>
    <row r="6">
      <c r="A6" s="3" t="inlineStr">
        <is>
          <t>RNT</t>
        </is>
      </c>
      <c r="B6" s="3" t="inlineStr">
        <is>
          <t>ترحيل من الرياض إلى تبوك</t>
        </is>
      </c>
      <c r="C6" s="3">
        <f>COUNTIFS('سجل العقود'!B2:B238,"RNT",'سجل العقود'!I2:I238,"النظام القديم*",'سجل العقود'!J2:J238,"نعم")</f>
        <v/>
      </c>
      <c r="D6" s="4">
        <f>SUMIFS('سجل العقود'!H2:H238,'سجل العقود'!B2:B238,"RNT",'سجل العقود'!I2:I238,"النظام القديم*",'سجل العقود'!J2:J238,"نعم")</f>
        <v/>
      </c>
      <c r="E6" s="3">
        <f>COUNTIFS('سجل العقود'!B2:B238,"RNT",'سجل العقود'!I2:I238,"النظام الجديد",'سجل العقود'!J2:J238,"نعم")</f>
        <v/>
      </c>
      <c r="F6" s="4">
        <f>SUMIFS('سجل العقود'!H2:H238,'سجل العقود'!B2:B238,"RNT",'سجل العقود'!I2:I238,"النظام الجديد",'سجل العقود'!J2:J238,"نعم")</f>
        <v/>
      </c>
      <c r="G6" s="3">
        <f>C6+E6</f>
        <v/>
      </c>
      <c r="H6" s="4">
        <f>D6+F6</f>
        <v/>
      </c>
      <c r="I6" s="3" t="n">
        <v>3</v>
      </c>
      <c r="J6" s="4" t="n">
        <v>11566.12</v>
      </c>
    </row>
    <row r="7">
      <c r="A7" s="3" t="inlineStr">
        <is>
          <t>RNP</t>
        </is>
      </c>
      <c r="B7" s="3" t="inlineStr">
        <is>
          <t>ترحيل إلى قسم المشاريع تبوك</t>
        </is>
      </c>
      <c r="C7" s="3">
        <f>COUNTIFS('سجل العقود'!B2:B238,"RNP",'سجل العقود'!I2:I238,"النظام القديم*",'سجل العقود'!J2:J238,"نعم")</f>
        <v/>
      </c>
      <c r="D7" s="4">
        <f>SUMIFS('سجل العقود'!H2:H238,'سجل العقود'!B2:B238,"RNP",'سجل العقود'!I2:I238,"النظام القديم*",'سجل العقود'!J2:J238,"نعم")</f>
        <v/>
      </c>
      <c r="E7" s="3">
        <f>COUNTIFS('سجل العقود'!B2:B238,"RNP",'سجل العقود'!I2:I238,"النظام الجديد",'سجل العقود'!J2:J238,"نعم")</f>
        <v/>
      </c>
      <c r="F7" s="4">
        <f>SUMIFS('سجل العقود'!H2:H238,'سجل العقود'!B2:B238,"RNP",'سجل العقود'!I2:I238,"النظام الجديد",'سجل العقود'!J2:J238,"نعم")</f>
        <v/>
      </c>
      <c r="G7" s="3">
        <f>C7+E7</f>
        <v/>
      </c>
      <c r="H7" s="4">
        <f>D7+F7</f>
        <v/>
      </c>
      <c r="I7" s="3" t="n">
        <v>7</v>
      </c>
      <c r="J7" s="4" t="n">
        <v>64234.86</v>
      </c>
    </row>
    <row r="8">
      <c r="A8" s="3" t="inlineStr">
        <is>
          <t>RNO</t>
        </is>
      </c>
      <c r="B8" s="3" t="inlineStr">
        <is>
          <t>صرف مواد للإنتاج – مزرعة الرياض</t>
        </is>
      </c>
      <c r="C8" s="3">
        <f>COUNTIFS('سجل العقود'!B2:B238,"RNO",'سجل العقود'!I2:I238,"النظام القديم*",'سجل العقود'!J2:J238,"نعم")</f>
        <v/>
      </c>
      <c r="D8" s="4">
        <f>SUMIFS('سجل العقود'!H2:H238,'سجل العقود'!B2:B238,"RNO",'سجل العقود'!I2:I238,"النظام القديم*",'سجل العقود'!J2:J238,"نعم")</f>
        <v/>
      </c>
      <c r="E8" s="3">
        <f>COUNTIFS('سجل العقود'!B2:B238,"RNO",'سجل العقود'!I2:I238,"النظام الجديد",'سجل العقود'!J2:J238,"نعم")</f>
        <v/>
      </c>
      <c r="F8" s="4">
        <f>SUMIFS('سجل العقود'!H2:H238,'سجل العقود'!B2:B238,"RNO",'سجل العقود'!I2:I238,"النظام الجديد",'سجل العقود'!J2:J238,"نعم")</f>
        <v/>
      </c>
      <c r="G8" s="3">
        <f>C8+E8</f>
        <v/>
      </c>
      <c r="H8" s="4">
        <f>D8+F8</f>
        <v/>
      </c>
      <c r="I8" s="3" t="n">
        <v>17</v>
      </c>
      <c r="J8" s="4" t="n">
        <v>110236.12</v>
      </c>
    </row>
    <row r="9">
      <c r="A9" s="3" t="inlineStr">
        <is>
          <t>RNL</t>
        </is>
      </c>
      <c r="B9" s="3" t="inlineStr">
        <is>
          <t>كميات هالكة ومفقودة</t>
        </is>
      </c>
      <c r="C9" s="3">
        <f>COUNTIFS('سجل العقود'!B2:B238,"RNL",'سجل العقود'!I2:I238,"النظام القديم*",'سجل العقود'!J2:J238,"نعم")</f>
        <v/>
      </c>
      <c r="D9" s="4">
        <f>SUMIFS('سجل العقود'!H2:H238,'سجل العقود'!B2:B238,"RNL",'سجل العقود'!I2:I238,"النظام القديم*",'سجل العقود'!J2:J238,"نعم")</f>
        <v/>
      </c>
      <c r="E9" s="3">
        <f>COUNTIFS('سجل العقود'!B2:B238,"RNL",'سجل العقود'!I2:I238,"النظام الجديد",'سجل العقود'!J2:J238,"نعم")</f>
        <v/>
      </c>
      <c r="F9" s="4">
        <f>SUMIFS('سجل العقود'!H2:H238,'سجل العقود'!B2:B238,"RNL",'سجل العقود'!I2:I238,"النظام الجديد",'سجل العقود'!J2:J238,"نعم")</f>
        <v/>
      </c>
      <c r="G9" s="3">
        <f>C9+E9</f>
        <v/>
      </c>
      <c r="H9" s="4">
        <f>D9+F9</f>
        <v/>
      </c>
      <c r="I9" s="3" t="n">
        <v>8</v>
      </c>
      <c r="J9" s="4" t="n">
        <v>10207.69</v>
      </c>
    </row>
    <row r="10">
      <c r="A10" s="5" t="inlineStr"/>
      <c r="B10" s="5" t="inlineStr">
        <is>
          <t>الإجمالي</t>
        </is>
      </c>
      <c r="C10" s="5">
        <f>SUM(C5:C9)</f>
        <v/>
      </c>
      <c r="D10" s="6">
        <f>SUM(D5:D9)</f>
        <v/>
      </c>
      <c r="E10" s="5">
        <f>SUM(E5:E9)</f>
        <v/>
      </c>
      <c r="F10" s="6">
        <f>SUM(F5:F9)</f>
        <v/>
      </c>
      <c r="G10" s="5">
        <f>SUM(G5:G9)</f>
        <v/>
      </c>
      <c r="H10" s="6">
        <f>SUM(H5:H9)</f>
        <v/>
      </c>
      <c r="I10" s="5">
        <f>SUM(I5:I9)</f>
        <v/>
      </c>
      <c r="J10" s="6">
        <f>SUM(J5:J9)</f>
        <v/>
      </c>
    </row>
    <row r="11" ht="32" customHeight="1">
      <c r="A11" s="7" t="inlineStr"/>
    </row>
    <row r="12" ht="32" customHeight="1">
      <c r="A12" s="8" t="inlineStr">
        <is>
          <t>ملاحظات المراجعة:</t>
        </is>
      </c>
    </row>
    <row r="13" ht="32" customHeight="1">
      <c r="A13" s="7" t="inlineStr">
        <is>
          <t>1) سجل الحركات (النظام القديم) ينتهي فعلياً عند 22-2-2026 (آخر حركة RNO-3906)، والنظام الجديد يبدأ 13-6-2026 – لا توجد أي حركة من 23-2-2026 حتى 12-6-2026 رغم أن السجل يفترض أن يغطي حتى 3-6-2026. يلزم طلب حركات هذه الفترة.</t>
        </is>
      </c>
    </row>
    <row r="14" ht="32" customHeight="1">
      <c r="A14" s="7" t="inlineStr">
        <is>
          <t>2) تفصيل البنود (الصنف والكمية والسعر) متاح فقط لـ 36 عقد من النظام القديم (يناير–فبراير 2026). باقي العقود في السجل مسجلة بالقيمة الإجمالية فقط، والنظام الجديد يعطي عدد البنود والقيمة فقط – لذلك الكميات في شيت "الكميات حسب الصنف" تخص العقود المفصّلة فقط.</t>
        </is>
      </c>
    </row>
    <row r="15" ht="32" customHeight="1">
      <c r="A15" s="7" t="inlineStr">
        <is>
          <t>3) رقم العقد RNP-1787 مكرر لحركتين مختلفتين: 25-7-2025 بقيمة 18,975 (قبل الفترة) و 4-8-2025 بقيمة 20,872.50 (الجهة: WHOLESALE DEPARTMENT RIYADH).</t>
        </is>
      </c>
    </row>
    <row r="16" ht="32" customHeight="1">
      <c r="A16" s="7" t="inlineStr">
        <is>
          <t>4) حركات قبل 30-7-2025 ظاهرة بالرمادي في سجل العقود وغير محسوبة: RNT-1789، RNP-1787 (25-7)، RNO-1784، RNO-1799، RNO-1814، RNO-1816.</t>
        </is>
      </c>
    </row>
    <row r="17" ht="32" customHeight="1">
      <c r="A17" s="7" t="inlineStr">
        <is>
          <t>5) ملف النظام الجديد فيه صفوف مكررة في شيتات RNT و TNR و RNP (نفس السند مرتين) – تم احتساب كل سند مرة واحدة.</t>
        </is>
      </c>
    </row>
    <row r="18" ht="32" customHeight="1">
      <c r="A18" s="7" t="inlineStr">
        <is>
          <t>6) السند ISV-0061 (صرف إنتاج 29-6-2026 بقيمة 3,217.50) حالته "مرتجع جزئي" ولا يوضح النظام قيمة المرتجع.</t>
        </is>
      </c>
    </row>
    <row r="19" ht="32" customHeight="1">
      <c r="A19" s="7" t="inlineStr">
        <is>
          <t>7) تواريخ النظام القديم مخزنة بصيغة شهر/يوم مقلوبة (مثال: 2026-01-02 = 1 فبراير) وتم تصحيحها ومطابقتها مع تاريخ الحركة داخل السجل.</t>
        </is>
      </c>
    </row>
    <row r="20" ht="32" customHeight="1">
      <c r="A20" s="7" t="inlineStr">
        <is>
          <t>8) كل القيم شاملة ضريبة 15% كما هي مسجلة.</t>
        </is>
      </c>
    </row>
    <row r="21" ht="32" customHeight="1">
      <c r="A21" s="22" t="inlineStr">
        <is>
          <t>9) العقد RNO-3832 (13-2-2026): مجموع البنود 5,274.48 بينما إجمالي العقد بالسجل 5,550.48 – فرق 276.00 غير مفسر في البنود.</t>
        </is>
      </c>
    </row>
  </sheetData>
  <mergeCells count="13">
    <mergeCell ref="A1:J1"/>
    <mergeCell ref="A14:J14"/>
    <mergeCell ref="A17:J17"/>
    <mergeCell ref="A18:J18"/>
    <mergeCell ref="A16:J16"/>
    <mergeCell ref="A21:J21"/>
    <mergeCell ref="A12:J12"/>
    <mergeCell ref="A15:J15"/>
    <mergeCell ref="A19:J19"/>
    <mergeCell ref="A20:J20"/>
    <mergeCell ref="A2:J2"/>
    <mergeCell ref="A13:J13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4" customWidth="1" min="4" max="4"/>
    <col width="12" customWidth="1" min="5" max="5"/>
    <col width="34" customWidth="1" min="6" max="6"/>
    <col width="9" customWidth="1" min="7" max="7"/>
    <col width="18" customWidth="1" min="8" max="8"/>
    <col width="24" customWidth="1" min="9" max="9"/>
    <col width="11" customWidth="1" min="10" max="10"/>
    <col width="70" customWidth="1" min="11" max="11"/>
  </cols>
  <sheetData>
    <row r="1">
      <c r="A1" s="2" t="inlineStr">
        <is>
          <t>م</t>
        </is>
      </c>
      <c r="B1" s="2" t="inlineStr">
        <is>
          <t>نوع الحركة</t>
        </is>
      </c>
      <c r="C1" s="2" t="inlineStr">
        <is>
          <t>البيان</t>
        </is>
      </c>
      <c r="D1" s="2" t="inlineStr">
        <is>
          <t>رقم العقد / السند</t>
        </is>
      </c>
      <c r="E1" s="2" t="inlineStr">
        <is>
          <t>التاريخ</t>
        </is>
      </c>
      <c r="F1" s="2" t="inlineStr">
        <is>
          <t>الجهة</t>
        </is>
      </c>
      <c r="G1" s="2" t="inlineStr">
        <is>
          <t>عدد البنود</t>
        </is>
      </c>
      <c r="H1" s="2" t="inlineStr">
        <is>
          <t>القيمة (شاملة الضريبة)</t>
        </is>
      </c>
      <c r="I1" s="2" t="inlineStr">
        <is>
          <t>المصدر</t>
        </is>
      </c>
      <c r="J1" s="2" t="inlineStr">
        <is>
          <t>محسوب بالفترة</t>
        </is>
      </c>
      <c r="K1" s="2" t="inlineStr">
        <is>
          <t>ملاحظة</t>
        </is>
      </c>
    </row>
    <row r="2">
      <c r="A2" s="3" t="n">
        <v>1</v>
      </c>
      <c r="B2" s="3" t="inlineStr">
        <is>
          <t>TNR</t>
        </is>
      </c>
      <c r="C2" s="3" t="inlineStr">
        <is>
          <t>ترحيل من تبوك إلى الرياض</t>
        </is>
      </c>
      <c r="D2" s="3" t="inlineStr">
        <is>
          <t>TNR-1867</t>
        </is>
      </c>
      <c r="E2" s="23" t="n">
        <v>45874</v>
      </c>
      <c r="F2" s="3" t="inlineStr">
        <is>
          <t>TRANSACTIONS BETWEEN RIYADH -TABUK NURSERY</t>
        </is>
      </c>
      <c r="G2" s="3" t="n"/>
      <c r="H2" s="4" t="n">
        <v>12165.28</v>
      </c>
      <c r="I2" s="3" t="inlineStr">
        <is>
          <t>النظام القديم (سجل الحركات)</t>
        </is>
      </c>
      <c r="J2" s="3" t="inlineStr">
        <is>
          <t>نعم</t>
        </is>
      </c>
      <c r="K2" s="3" t="inlineStr">
        <is>
          <t>بدون تفصيل بنود في السجل (قيمة إجمالية فقط)</t>
        </is>
      </c>
    </row>
    <row r="3">
      <c r="A3" s="3" t="n">
        <v>2</v>
      </c>
      <c r="B3" s="3" t="inlineStr">
        <is>
          <t>TNR</t>
        </is>
      </c>
      <c r="C3" s="3" t="inlineStr">
        <is>
          <t>ترحيل من تبوك إلى الرياض</t>
        </is>
      </c>
      <c r="D3" s="3" t="inlineStr">
        <is>
          <t>TNR-2689</t>
        </is>
      </c>
      <c r="E3" s="23" t="n">
        <v>45959</v>
      </c>
      <c r="F3" s="3" t="inlineStr">
        <is>
          <t>WHOLESALE DEPARTMENT TABUK NURSERY</t>
        </is>
      </c>
      <c r="G3" s="3" t="n"/>
      <c r="H3" s="4" t="n">
        <v>22137.5</v>
      </c>
      <c r="I3" s="3" t="inlineStr">
        <is>
          <t>النظام القديم (سجل الحركات)</t>
        </is>
      </c>
      <c r="J3" s="3" t="inlineStr">
        <is>
          <t>نعم</t>
        </is>
      </c>
      <c r="K3" s="3" t="inlineStr">
        <is>
          <t>بدون تفصيل بنود في السجل (قيمة إجمالية فقط)</t>
        </is>
      </c>
    </row>
    <row r="4">
      <c r="A4" s="3" t="n">
        <v>3</v>
      </c>
      <c r="B4" s="3" t="inlineStr">
        <is>
          <t>TNR</t>
        </is>
      </c>
      <c r="C4" s="3" t="inlineStr">
        <is>
          <t>ترحيل من تبوك إلى الرياض</t>
        </is>
      </c>
      <c r="D4" s="3" t="inlineStr">
        <is>
          <t>TNR-2792</t>
        </is>
      </c>
      <c r="E4" s="23" t="n">
        <v>45967</v>
      </c>
      <c r="F4" s="3" t="inlineStr">
        <is>
          <t>TRANSACTIONS BETWEEN RIYADH -TABUK NURSERY</t>
        </is>
      </c>
      <c r="G4" s="3" t="n"/>
      <c r="H4" s="4" t="n">
        <v>6828.13</v>
      </c>
      <c r="I4" s="3" t="inlineStr">
        <is>
          <t>النظام القديم (سجل الحركات)</t>
        </is>
      </c>
      <c r="J4" s="3" t="inlineStr">
        <is>
          <t>نعم</t>
        </is>
      </c>
      <c r="K4" s="3" t="inlineStr">
        <is>
          <t>بدون تفصيل بنود في السجل (قيمة إجمالية فقط)</t>
        </is>
      </c>
    </row>
    <row r="5">
      <c r="A5" s="3" t="n">
        <v>4</v>
      </c>
      <c r="B5" s="3" t="inlineStr">
        <is>
          <t>TNR</t>
        </is>
      </c>
      <c r="C5" s="3" t="inlineStr">
        <is>
          <t>ترحيل من تبوك إلى الرياض</t>
        </is>
      </c>
      <c r="D5" s="3" t="inlineStr">
        <is>
          <t>TNR-2888</t>
        </is>
      </c>
      <c r="E5" s="23" t="n">
        <v>45976</v>
      </c>
      <c r="F5" s="3" t="inlineStr">
        <is>
          <t>WHOLESALE DEPARTMENT TABUK NURSERY</t>
        </is>
      </c>
      <c r="G5" s="3" t="n"/>
      <c r="H5" s="4" t="n">
        <v>23797.81</v>
      </c>
      <c r="I5" s="3" t="inlineStr">
        <is>
          <t>النظام القديم (سجل الحركات)</t>
        </is>
      </c>
      <c r="J5" s="3" t="inlineStr">
        <is>
          <t>نعم</t>
        </is>
      </c>
      <c r="K5" s="3" t="inlineStr">
        <is>
          <t>بدون تفصيل بنود في السجل (قيمة إجمالية فقط)</t>
        </is>
      </c>
    </row>
    <row r="6">
      <c r="A6" s="3" t="n">
        <v>5</v>
      </c>
      <c r="B6" s="3" t="inlineStr">
        <is>
          <t>TNR</t>
        </is>
      </c>
      <c r="C6" s="3" t="inlineStr">
        <is>
          <t>ترحيل من تبوك إلى الرياض</t>
        </is>
      </c>
      <c r="D6" s="3" t="inlineStr">
        <is>
          <t>TNR-2938</t>
        </is>
      </c>
      <c r="E6" s="23" t="n">
        <v>45980</v>
      </c>
      <c r="F6" s="3" t="inlineStr">
        <is>
          <t>TRANSACTIONS BETWEEN RIYADH -TABUK NURSERY</t>
        </is>
      </c>
      <c r="G6" s="3" t="n"/>
      <c r="H6" s="4" t="n">
        <v>5724.13</v>
      </c>
      <c r="I6" s="3" t="inlineStr">
        <is>
          <t>النظام القديم (سجل الحركات)</t>
        </is>
      </c>
      <c r="J6" s="3" t="inlineStr">
        <is>
          <t>نعم</t>
        </is>
      </c>
      <c r="K6" s="3" t="inlineStr">
        <is>
          <t>بدون تفصيل بنود في السجل (قيمة إجمالية فقط)</t>
        </is>
      </c>
    </row>
    <row r="7">
      <c r="A7" s="3" t="n">
        <v>6</v>
      </c>
      <c r="B7" s="3" t="inlineStr">
        <is>
          <t>TNR</t>
        </is>
      </c>
      <c r="C7" s="3" t="inlineStr">
        <is>
          <t>ترحيل من تبوك إلى الرياض</t>
        </is>
      </c>
      <c r="D7" s="3" t="inlineStr">
        <is>
          <t>TNR-3201</t>
        </is>
      </c>
      <c r="E7" s="23" t="n">
        <v>46001</v>
      </c>
      <c r="F7" s="3" t="inlineStr">
        <is>
          <t>TRANSACTIONS BETWEEN RIYADH -TABUK NURSERY</t>
        </is>
      </c>
      <c r="G7" s="3" t="n"/>
      <c r="H7" s="4" t="n">
        <v>4232</v>
      </c>
      <c r="I7" s="3" t="inlineStr">
        <is>
          <t>النظام القديم (سجل الحركات)</t>
        </is>
      </c>
      <c r="J7" s="3" t="inlineStr">
        <is>
          <t>نعم</t>
        </is>
      </c>
      <c r="K7" s="3" t="inlineStr">
        <is>
          <t>بدون تفصيل بنود في السجل (قيمة إجمالية فقط)</t>
        </is>
      </c>
    </row>
    <row r="8">
      <c r="A8" s="3" t="n">
        <v>7</v>
      </c>
      <c r="B8" s="3" t="inlineStr">
        <is>
          <t>TNR</t>
        </is>
      </c>
      <c r="C8" s="3" t="inlineStr">
        <is>
          <t>ترحيل من تبوك إلى الرياض</t>
        </is>
      </c>
      <c r="D8" s="3" t="inlineStr">
        <is>
          <t>TNR-3441</t>
        </is>
      </c>
      <c r="E8" s="23" t="n">
        <v>46023</v>
      </c>
      <c r="F8" s="3" t="inlineStr">
        <is>
          <t>TRANSACTIONS BETWEEN RIYADH - TABUK NURSERY</t>
        </is>
      </c>
      <c r="G8" s="3" t="n">
        <v>4</v>
      </c>
      <c r="H8" s="4" t="n">
        <v>8395</v>
      </c>
      <c r="I8" s="3" t="inlineStr">
        <is>
          <t>النظام القديم (سجل الحركات)</t>
        </is>
      </c>
      <c r="J8" s="3" t="inlineStr">
        <is>
          <t>نعم</t>
        </is>
      </c>
      <c r="K8" s="3" t="inlineStr"/>
    </row>
    <row r="9">
      <c r="A9" s="10" t="n">
        <v>8</v>
      </c>
      <c r="B9" s="10" t="inlineStr">
        <is>
          <t>TNR</t>
        </is>
      </c>
      <c r="C9" s="10" t="inlineStr">
        <is>
          <t>ترحيل من تبوك إلى الرياض</t>
        </is>
      </c>
      <c r="D9" s="10" t="inlineStr">
        <is>
          <t>TRF-0120</t>
        </is>
      </c>
      <c r="E9" s="24" t="n">
        <v>46217</v>
      </c>
      <c r="F9" s="10" t="inlineStr">
        <is>
          <t>Riyadh ← Tabuk</t>
        </is>
      </c>
      <c r="G9" s="10" t="n">
        <v>1</v>
      </c>
      <c r="H9" s="12" t="n">
        <v>7375</v>
      </c>
      <c r="I9" s="10" t="inlineStr">
        <is>
          <t>النظام الجديد</t>
        </is>
      </c>
      <c r="J9" s="10" t="inlineStr">
        <is>
          <t>نعم</t>
        </is>
      </c>
      <c r="K9" s="10" t="inlineStr">
        <is>
          <t>النظام الجديد يعطي عدد البنود والقيمة فقط</t>
        </is>
      </c>
    </row>
    <row r="10">
      <c r="A10" s="10" t="n">
        <v>9</v>
      </c>
      <c r="B10" s="10" t="inlineStr">
        <is>
          <t>TNR</t>
        </is>
      </c>
      <c r="C10" s="10" t="inlineStr">
        <is>
          <t>ترحيل من تبوك إلى الرياض</t>
        </is>
      </c>
      <c r="D10" s="10" t="inlineStr">
        <is>
          <t>TRF-0188</t>
        </is>
      </c>
      <c r="E10" s="24" t="n">
        <v>46231</v>
      </c>
      <c r="F10" s="10" t="inlineStr">
        <is>
          <t>Riyadh ← Tabuk</t>
        </is>
      </c>
      <c r="G10" s="10" t="n">
        <v>1</v>
      </c>
      <c r="H10" s="12" t="n">
        <v>937.5</v>
      </c>
      <c r="I10" s="10" t="inlineStr">
        <is>
          <t>النظام الجديد</t>
        </is>
      </c>
      <c r="J10" s="10" t="inlineStr">
        <is>
          <t>نعم</t>
        </is>
      </c>
      <c r="K10" s="10" t="inlineStr">
        <is>
          <t>النظام الجديد يعطي عدد البنود والقيمة فقط</t>
        </is>
      </c>
    </row>
    <row r="11">
      <c r="A11" s="13" t="n">
        <v>10</v>
      </c>
      <c r="B11" s="13" t="inlineStr">
        <is>
          <t>RNT</t>
        </is>
      </c>
      <c r="C11" s="13" t="inlineStr">
        <is>
          <t>ترحيل من الرياض إلى تبوك</t>
        </is>
      </c>
      <c r="D11" s="13" t="inlineStr">
        <is>
          <t>RNT-1789</t>
        </is>
      </c>
      <c r="E11" s="25" t="n">
        <v>45863</v>
      </c>
      <c r="F11" s="13" t="inlineStr">
        <is>
          <t>TRANSACTIONS BETWEEN RIYADH -TABUK NURSERY</t>
        </is>
      </c>
      <c r="G11" s="13" t="n"/>
      <c r="H11" s="15" t="n">
        <v>5483.2</v>
      </c>
      <c r="I11" s="13" t="inlineStr">
        <is>
          <t>النظام القديم (سجل الحركات)</t>
        </is>
      </c>
      <c r="J11" s="13" t="inlineStr">
        <is>
          <t>لا</t>
        </is>
      </c>
      <c r="K11" s="13" t="inlineStr">
        <is>
          <t>قبل بداية الفترة 30-7-2025 – غير محسوب | بدون تفصيل بنود في السجل (قيمة إجمالية فقط)</t>
        </is>
      </c>
    </row>
    <row r="12">
      <c r="A12" s="3" t="n">
        <v>11</v>
      </c>
      <c r="B12" s="3" t="inlineStr">
        <is>
          <t>RNT</t>
        </is>
      </c>
      <c r="C12" s="3" t="inlineStr">
        <is>
          <t>ترحيل من الرياض إلى تبوك</t>
        </is>
      </c>
      <c r="D12" s="3" t="inlineStr">
        <is>
          <t>RNT-2166</t>
        </is>
      </c>
      <c r="E12" s="23" t="n">
        <v>45887</v>
      </c>
      <c r="F12" s="3" t="inlineStr">
        <is>
          <t>TRANSACTIONS BETWEEN RIYADH -TABUK NURSERY</t>
        </is>
      </c>
      <c r="G12" s="3" t="n"/>
      <c r="H12" s="4" t="n">
        <v>7475</v>
      </c>
      <c r="I12" s="3" t="inlineStr">
        <is>
          <t>النظام القديم (سجل الحركات)</t>
        </is>
      </c>
      <c r="J12" s="3" t="inlineStr">
        <is>
          <t>نعم</t>
        </is>
      </c>
      <c r="K12" s="3" t="inlineStr">
        <is>
          <t>بدون تفصيل بنود في السجل (قيمة إجمالية فقط)</t>
        </is>
      </c>
    </row>
    <row r="13">
      <c r="A13" s="3" t="n">
        <v>12</v>
      </c>
      <c r="B13" s="3" t="inlineStr">
        <is>
          <t>RNT</t>
        </is>
      </c>
      <c r="C13" s="3" t="inlineStr">
        <is>
          <t>ترحيل من الرياض إلى تبوك</t>
        </is>
      </c>
      <c r="D13" s="3" t="inlineStr">
        <is>
          <t>RNT-2141</t>
        </is>
      </c>
      <c r="E13" s="23" t="n">
        <v>45909</v>
      </c>
      <c r="F13" s="3" t="inlineStr">
        <is>
          <t>TRANSACTIONS BETWEEN RIYADH -TABUK NURSERY</t>
        </is>
      </c>
      <c r="G13" s="3" t="n"/>
      <c r="H13" s="4" t="n">
        <v>8855</v>
      </c>
      <c r="I13" s="3" t="inlineStr">
        <is>
          <t>النظام القديم (سجل الحركات)</t>
        </is>
      </c>
      <c r="J13" s="3" t="inlineStr">
        <is>
          <t>نعم</t>
        </is>
      </c>
      <c r="K13" s="3" t="inlineStr">
        <is>
          <t>بدون تفصيل بنود في السجل (قيمة إجمالية فقط)</t>
        </is>
      </c>
    </row>
    <row r="14">
      <c r="A14" s="3" t="n">
        <v>13</v>
      </c>
      <c r="B14" s="3" t="inlineStr">
        <is>
          <t>RNT</t>
        </is>
      </c>
      <c r="C14" s="3" t="inlineStr">
        <is>
          <t>ترحيل من الرياض إلى تبوك</t>
        </is>
      </c>
      <c r="D14" s="3" t="inlineStr">
        <is>
          <t>RNT-2395</t>
        </is>
      </c>
      <c r="E14" s="23" t="n">
        <v>45938</v>
      </c>
      <c r="F14" s="3" t="inlineStr">
        <is>
          <t>TRANSACTIONS BETWEEN RIYADH -TABUK NURSERY</t>
        </is>
      </c>
      <c r="G14" s="3" t="n"/>
      <c r="H14" s="4" t="n">
        <v>34535.65</v>
      </c>
      <c r="I14" s="3" t="inlineStr">
        <is>
          <t>النظام القديم (سجل الحركات)</t>
        </is>
      </c>
      <c r="J14" s="3" t="inlineStr">
        <is>
          <t>نعم</t>
        </is>
      </c>
      <c r="K14" s="3" t="inlineStr">
        <is>
          <t>بدون تفصيل بنود في السجل (قيمة إجمالية فقط)</t>
        </is>
      </c>
    </row>
    <row r="15">
      <c r="A15" s="3" t="n">
        <v>14</v>
      </c>
      <c r="B15" s="3" t="inlineStr">
        <is>
          <t>RNT</t>
        </is>
      </c>
      <c r="C15" s="3" t="inlineStr">
        <is>
          <t>ترحيل من الرياض إلى تبوك</t>
        </is>
      </c>
      <c r="D15" s="3" t="inlineStr">
        <is>
          <t>RNT-3077</t>
        </is>
      </c>
      <c r="E15" s="23" t="n">
        <v>45992</v>
      </c>
      <c r="F15" s="3" t="inlineStr">
        <is>
          <t>TRANSACTIONS BETWEEN RIYADH -TABUK NURSERY</t>
        </is>
      </c>
      <c r="G15" s="3" t="n"/>
      <c r="H15" s="4" t="n">
        <v>4305.03</v>
      </c>
      <c r="I15" s="3" t="inlineStr">
        <is>
          <t>النظام القديم (سجل الحركات)</t>
        </is>
      </c>
      <c r="J15" s="3" t="inlineStr">
        <is>
          <t>نعم</t>
        </is>
      </c>
      <c r="K15" s="3" t="inlineStr">
        <is>
          <t>بدون تفصيل بنود في السجل (قيمة إجمالية فقط)</t>
        </is>
      </c>
    </row>
    <row r="16">
      <c r="A16" s="3" t="n">
        <v>15</v>
      </c>
      <c r="B16" s="3" t="inlineStr">
        <is>
          <t>RNT</t>
        </is>
      </c>
      <c r="C16" s="3" t="inlineStr">
        <is>
          <t>ترحيل من الرياض إلى تبوك</t>
        </is>
      </c>
      <c r="D16" s="3" t="inlineStr">
        <is>
          <t>RNT-3346</t>
        </is>
      </c>
      <c r="E16" s="23" t="n">
        <v>46016</v>
      </c>
      <c r="F16" s="3" t="inlineStr">
        <is>
          <t>TRANSACTIONS BETWEEN RIYADH -TABUK NURSERY</t>
        </is>
      </c>
      <c r="G16" s="3" t="n"/>
      <c r="H16" s="4" t="n">
        <v>1765.25</v>
      </c>
      <c r="I16" s="3" t="inlineStr">
        <is>
          <t>النظام القديم (سجل الحركات)</t>
        </is>
      </c>
      <c r="J16" s="3" t="inlineStr">
        <is>
          <t>نعم</t>
        </is>
      </c>
      <c r="K16" s="3" t="inlineStr">
        <is>
          <t>بدون تفصيل بنود في السجل (قيمة إجمالية فقط)</t>
        </is>
      </c>
    </row>
    <row r="17">
      <c r="A17" s="3" t="n">
        <v>16</v>
      </c>
      <c r="B17" s="3" t="inlineStr">
        <is>
          <t>RNT</t>
        </is>
      </c>
      <c r="C17" s="3" t="inlineStr">
        <is>
          <t>ترحيل من الرياض إلى تبوك</t>
        </is>
      </c>
      <c r="D17" s="3" t="inlineStr">
        <is>
          <t>RNT-3434</t>
        </is>
      </c>
      <c r="E17" s="23" t="n">
        <v>46026</v>
      </c>
      <c r="F17" s="3" t="inlineStr">
        <is>
          <t>TRANSACTIONS BETWEEN RIYADH - TABUK NURSERY</t>
        </is>
      </c>
      <c r="G17" s="3" t="n">
        <v>1</v>
      </c>
      <c r="H17" s="4" t="n">
        <v>1380</v>
      </c>
      <c r="I17" s="3" t="inlineStr">
        <is>
          <t>النظام القديم (سجل الحركات)</t>
        </is>
      </c>
      <c r="J17" s="3" t="inlineStr">
        <is>
          <t>نعم</t>
        </is>
      </c>
      <c r="K17" s="3" t="inlineStr"/>
    </row>
    <row r="18">
      <c r="A18" s="3" t="n">
        <v>17</v>
      </c>
      <c r="B18" s="3" t="inlineStr">
        <is>
          <t>RNT</t>
        </is>
      </c>
      <c r="C18" s="3" t="inlineStr">
        <is>
          <t>ترحيل من الرياض إلى تبوك</t>
        </is>
      </c>
      <c r="D18" s="3" t="inlineStr">
        <is>
          <t>RNT-3604</t>
        </is>
      </c>
      <c r="E18" s="23" t="n">
        <v>46042</v>
      </c>
      <c r="F18" s="3" t="inlineStr">
        <is>
          <t>TRANSACTIONS BETWEEN RIYADH - TABUK NURSERY</t>
        </is>
      </c>
      <c r="G18" s="3" t="n">
        <v>3</v>
      </c>
      <c r="H18" s="4" t="n">
        <v>8504.25</v>
      </c>
      <c r="I18" s="3" t="inlineStr">
        <is>
          <t>النظام القديم (سجل الحركات)</t>
        </is>
      </c>
      <c r="J18" s="3" t="inlineStr">
        <is>
          <t>نعم</t>
        </is>
      </c>
      <c r="K18" s="3" t="inlineStr"/>
    </row>
    <row r="19">
      <c r="A19" s="3" t="n">
        <v>18</v>
      </c>
      <c r="B19" s="3" t="inlineStr">
        <is>
          <t>RNT</t>
        </is>
      </c>
      <c r="C19" s="3" t="inlineStr">
        <is>
          <t>ترحيل من الرياض إلى تبوك</t>
        </is>
      </c>
      <c r="D19" s="3" t="inlineStr">
        <is>
          <t>RNT-3805</t>
        </is>
      </c>
      <c r="E19" s="23" t="n">
        <v>46064</v>
      </c>
      <c r="F19" s="3" t="inlineStr">
        <is>
          <t>TRANSACTIONS BETWEEN RIYADH - TABUK NURSERY</t>
        </is>
      </c>
      <c r="G19" s="3" t="n">
        <v>6</v>
      </c>
      <c r="H19" s="4" t="n">
        <v>1681.88</v>
      </c>
      <c r="I19" s="3" t="inlineStr">
        <is>
          <t>النظام القديم (سجل الحركات)</t>
        </is>
      </c>
      <c r="J19" s="3" t="inlineStr">
        <is>
          <t>نعم</t>
        </is>
      </c>
      <c r="K19" s="3" t="inlineStr"/>
    </row>
    <row r="20">
      <c r="A20" s="10" t="n">
        <v>19</v>
      </c>
      <c r="B20" s="10" t="inlineStr">
        <is>
          <t>RNT</t>
        </is>
      </c>
      <c r="C20" s="10" t="inlineStr">
        <is>
          <t>ترحيل من الرياض إلى تبوك</t>
        </is>
      </c>
      <c r="D20" s="10" t="inlineStr">
        <is>
          <t>TRF-0107</t>
        </is>
      </c>
      <c r="E20" s="24" t="n">
        <v>46214</v>
      </c>
      <c r="F20" s="10" t="inlineStr">
        <is>
          <t>Tabuk ← Riyadh</t>
        </is>
      </c>
      <c r="G20" s="10" t="n">
        <v>9</v>
      </c>
      <c r="H20" s="12" t="n">
        <v>32149</v>
      </c>
      <c r="I20" s="10" t="inlineStr">
        <is>
          <t>النظام الجديد</t>
        </is>
      </c>
      <c r="J20" s="10" t="inlineStr">
        <is>
          <t>نعم</t>
        </is>
      </c>
      <c r="K20" s="10" t="inlineStr">
        <is>
          <t>النظام الجديد يعطي عدد البنود والقيمة فقط</t>
        </is>
      </c>
    </row>
    <row r="21">
      <c r="A21" s="10" t="n">
        <v>20</v>
      </c>
      <c r="B21" s="10" t="inlineStr">
        <is>
          <t>RNT</t>
        </is>
      </c>
      <c r="C21" s="10" t="inlineStr">
        <is>
          <t>ترحيل من الرياض إلى تبوك</t>
        </is>
      </c>
      <c r="D21" s="10" t="inlineStr">
        <is>
          <t>TRF-0122</t>
        </is>
      </c>
      <c r="E21" s="24" t="n">
        <v>46217</v>
      </c>
      <c r="F21" s="10" t="inlineStr">
        <is>
          <t>Tabuk ← Riyadh</t>
        </is>
      </c>
      <c r="G21" s="10" t="n">
        <v>1</v>
      </c>
      <c r="H21" s="12" t="n">
        <v>7080</v>
      </c>
      <c r="I21" s="10" t="inlineStr">
        <is>
          <t>النظام الجديد</t>
        </is>
      </c>
      <c r="J21" s="10" t="inlineStr">
        <is>
          <t>نعم</t>
        </is>
      </c>
      <c r="K21" s="10" t="inlineStr">
        <is>
          <t>النظام الجديد يعطي عدد البنود والقيمة فقط</t>
        </is>
      </c>
    </row>
    <row r="22">
      <c r="A22" s="13" t="n">
        <v>21</v>
      </c>
      <c r="B22" s="13" t="inlineStr">
        <is>
          <t>RNP</t>
        </is>
      </c>
      <c r="C22" s="13" t="inlineStr">
        <is>
          <t>ترحيل إلى قسم المشاريع تبوك</t>
        </is>
      </c>
      <c r="D22" s="13" t="inlineStr">
        <is>
          <t>RNP-1787</t>
        </is>
      </c>
      <c r="E22" s="25" t="n">
        <v>45863</v>
      </c>
      <c r="F22" s="13" t="inlineStr">
        <is>
          <t>NESMA ELSHARQ COMPANY-PROJECTS</t>
        </is>
      </c>
      <c r="G22" s="13" t="n"/>
      <c r="H22" s="15" t="n">
        <v>18975</v>
      </c>
      <c r="I22" s="13" t="inlineStr">
        <is>
          <t>النظام القديم (سجل الحركات)</t>
        </is>
      </c>
      <c r="J22" s="13" t="inlineStr">
        <is>
          <t>لا</t>
        </is>
      </c>
      <c r="K22" s="13" t="inlineStr">
        <is>
          <t>رقم العقد مكرر لحركتين مختلفتين في السجل | قبل بداية الفترة 30-7-2025 – غير محسوب | بدون تفصيل بنود في السجل (قيمة إجمالية فقط)</t>
        </is>
      </c>
    </row>
    <row r="23">
      <c r="A23" s="16" t="n">
        <v>22</v>
      </c>
      <c r="B23" s="16" t="inlineStr">
        <is>
          <t>RNP</t>
        </is>
      </c>
      <c r="C23" s="16" t="inlineStr">
        <is>
          <t>ترحيل إلى قسم المشاريع تبوك</t>
        </is>
      </c>
      <c r="D23" s="16" t="inlineStr">
        <is>
          <t>RNP-1787</t>
        </is>
      </c>
      <c r="E23" s="26" t="n">
        <v>45873</v>
      </c>
      <c r="F23" s="16" t="inlineStr">
        <is>
          <t>WHOLESALE DEPARTMENT RIYADH NURSERY</t>
        </is>
      </c>
      <c r="G23" s="16" t="n"/>
      <c r="H23" s="18" t="n">
        <v>20872.5</v>
      </c>
      <c r="I23" s="16" t="inlineStr">
        <is>
          <t>النظام القديم (سجل الحركات)</t>
        </is>
      </c>
      <c r="J23" s="16" t="inlineStr">
        <is>
          <t>نعم</t>
        </is>
      </c>
      <c r="K23" s="16" t="inlineStr">
        <is>
          <t>رقم العقد مكرر لحركتين مختلفتين في السجل | بدون تفصيل بنود في السجل (قيمة إجمالية فقط)</t>
        </is>
      </c>
    </row>
    <row r="24">
      <c r="A24" s="3" t="n">
        <v>23</v>
      </c>
      <c r="B24" s="3" t="inlineStr">
        <is>
          <t>RNP</t>
        </is>
      </c>
      <c r="C24" s="3" t="inlineStr">
        <is>
          <t>ترحيل إلى قسم المشاريع تبوك</t>
        </is>
      </c>
      <c r="D24" s="3" t="inlineStr">
        <is>
          <t>RNP-2113</t>
        </is>
      </c>
      <c r="E24" s="23" t="n">
        <v>45906</v>
      </c>
      <c r="F24" s="3" t="inlineStr">
        <is>
          <t>NESMA ELSHARQ COMPANY-PROJECTS</t>
        </is>
      </c>
      <c r="G24" s="3" t="n"/>
      <c r="H24" s="4" t="n">
        <v>6325</v>
      </c>
      <c r="I24" s="3" t="inlineStr">
        <is>
          <t>النظام القديم (سجل الحركات)</t>
        </is>
      </c>
      <c r="J24" s="3" t="inlineStr">
        <is>
          <t>نعم</t>
        </is>
      </c>
      <c r="K24" s="3" t="inlineStr">
        <is>
          <t>بدون تفصيل بنود في السجل (قيمة إجمالية فقط)</t>
        </is>
      </c>
    </row>
    <row r="25">
      <c r="A25" s="3" t="n">
        <v>24</v>
      </c>
      <c r="B25" s="3" t="inlineStr">
        <is>
          <t>RNP</t>
        </is>
      </c>
      <c r="C25" s="3" t="inlineStr">
        <is>
          <t>ترحيل إلى قسم المشاريع تبوك</t>
        </is>
      </c>
      <c r="D25" s="3" t="inlineStr">
        <is>
          <t>RNP-2293</t>
        </is>
      </c>
      <c r="E25" s="23" t="n">
        <v>45926</v>
      </c>
      <c r="F25" s="3" t="inlineStr">
        <is>
          <t>NESMA ELSHARQ COMPANY-PROJECTS</t>
        </is>
      </c>
      <c r="G25" s="3" t="n"/>
      <c r="H25" s="4" t="n">
        <v>25300</v>
      </c>
      <c r="I25" s="3" t="inlineStr">
        <is>
          <t>النظام القديم (سجل الحركات)</t>
        </is>
      </c>
      <c r="J25" s="3" t="inlineStr">
        <is>
          <t>نعم</t>
        </is>
      </c>
      <c r="K25" s="3" t="inlineStr">
        <is>
          <t>بدون تفصيل بنود في السجل (قيمة إجمالية فقط)</t>
        </is>
      </c>
    </row>
    <row r="26">
      <c r="A26" s="3" t="n">
        <v>25</v>
      </c>
      <c r="B26" s="3" t="inlineStr">
        <is>
          <t>RNP</t>
        </is>
      </c>
      <c r="C26" s="3" t="inlineStr">
        <is>
          <t>ترحيل إلى قسم المشاريع تبوك</t>
        </is>
      </c>
      <c r="D26" s="3" t="inlineStr">
        <is>
          <t>RNP-2297</t>
        </is>
      </c>
      <c r="E26" s="23" t="n">
        <v>45926</v>
      </c>
      <c r="F26" s="3" t="inlineStr">
        <is>
          <t>NESMA ELSHARQ COMPANY-PROJECTS</t>
        </is>
      </c>
      <c r="G26" s="3" t="n"/>
      <c r="H26" s="4" t="n">
        <v>5433.75</v>
      </c>
      <c r="I26" s="3" t="inlineStr">
        <is>
          <t>النظام القديم (سجل الحركات)</t>
        </is>
      </c>
      <c r="J26" s="3" t="inlineStr">
        <is>
          <t>نعم</t>
        </is>
      </c>
      <c r="K26" s="3" t="inlineStr">
        <is>
          <t>بدون تفصيل بنود في السجل (قيمة إجمالية فقط)</t>
        </is>
      </c>
    </row>
    <row r="27">
      <c r="A27" s="3" t="n">
        <v>26</v>
      </c>
      <c r="B27" s="3" t="inlineStr">
        <is>
          <t>RNP</t>
        </is>
      </c>
      <c r="C27" s="3" t="inlineStr">
        <is>
          <t>ترحيل إلى قسم المشاريع تبوك</t>
        </is>
      </c>
      <c r="D27" s="3" t="inlineStr">
        <is>
          <t>RNP-2367</t>
        </is>
      </c>
      <c r="E27" s="23" t="n">
        <v>45935</v>
      </c>
      <c r="F27" s="3" t="inlineStr">
        <is>
          <t>NESMA ELSHARQ COMPANY-PROJECTS</t>
        </is>
      </c>
      <c r="G27" s="3" t="n"/>
      <c r="H27" s="4" t="n">
        <v>13.8</v>
      </c>
      <c r="I27" s="3" t="inlineStr">
        <is>
          <t>النظام القديم (سجل الحركات)</t>
        </is>
      </c>
      <c r="J27" s="3" t="inlineStr">
        <is>
          <t>نعم</t>
        </is>
      </c>
      <c r="K27" s="3" t="inlineStr">
        <is>
          <t>بدون تفصيل بنود في السجل (قيمة إجمالية فقط)</t>
        </is>
      </c>
    </row>
    <row r="28">
      <c r="A28" s="3" t="n">
        <v>27</v>
      </c>
      <c r="B28" s="3" t="inlineStr">
        <is>
          <t>RNP</t>
        </is>
      </c>
      <c r="C28" s="3" t="inlineStr">
        <is>
          <t>ترحيل إلى قسم المشاريع تبوك</t>
        </is>
      </c>
      <c r="D28" s="3" t="inlineStr">
        <is>
          <t>RNP-2427</t>
        </is>
      </c>
      <c r="E28" s="23" t="n">
        <v>45938</v>
      </c>
      <c r="F28" s="3" t="inlineStr">
        <is>
          <t>NESMA ELSHARQ COMPANY-PROJECTS</t>
        </is>
      </c>
      <c r="G28" s="3" t="n"/>
      <c r="H28" s="4" t="n">
        <v>7078.25</v>
      </c>
      <c r="I28" s="3" t="inlineStr">
        <is>
          <t>النظام القديم (سجل الحركات)</t>
        </is>
      </c>
      <c r="J28" s="3" t="inlineStr">
        <is>
          <t>نعم</t>
        </is>
      </c>
      <c r="K28" s="3" t="inlineStr">
        <is>
          <t>بدون تفصيل بنود في السجل (قيمة إجمالية فقط)</t>
        </is>
      </c>
    </row>
    <row r="29">
      <c r="A29" s="3" t="n">
        <v>28</v>
      </c>
      <c r="B29" s="3" t="inlineStr">
        <is>
          <t>RNP</t>
        </is>
      </c>
      <c r="C29" s="3" t="inlineStr">
        <is>
          <t>ترحيل إلى قسم المشاريع تبوك</t>
        </is>
      </c>
      <c r="D29" s="3" t="inlineStr">
        <is>
          <t>RNP-2512</t>
        </is>
      </c>
      <c r="E29" s="23" t="n">
        <v>45947</v>
      </c>
      <c r="F29" s="3" t="inlineStr">
        <is>
          <t>NESMA ELSHARQ COMPANY-PROJECTS</t>
        </is>
      </c>
      <c r="G29" s="3" t="n"/>
      <c r="H29" s="4" t="n">
        <v>3565</v>
      </c>
      <c r="I29" s="3" t="inlineStr">
        <is>
          <t>النظام القديم (سجل الحركات)</t>
        </is>
      </c>
      <c r="J29" s="3" t="inlineStr">
        <is>
          <t>نعم</t>
        </is>
      </c>
      <c r="K29" s="3" t="inlineStr">
        <is>
          <t>بدون تفصيل بنود في السجل (قيمة إجمالية فقط)</t>
        </is>
      </c>
    </row>
    <row r="30">
      <c r="A30" s="3" t="n">
        <v>29</v>
      </c>
      <c r="B30" s="3" t="inlineStr">
        <is>
          <t>RNP</t>
        </is>
      </c>
      <c r="C30" s="3" t="inlineStr">
        <is>
          <t>ترحيل إلى قسم المشاريع تبوك</t>
        </is>
      </c>
      <c r="D30" s="3" t="inlineStr">
        <is>
          <t>RNP-2608</t>
        </is>
      </c>
      <c r="E30" s="23" t="n">
        <v>45954</v>
      </c>
      <c r="F30" s="3" t="inlineStr">
        <is>
          <t>NESMA ELSHARQ COMPANY-PROJECTS</t>
        </is>
      </c>
      <c r="G30" s="3" t="n"/>
      <c r="H30" s="4" t="n">
        <v>12650</v>
      </c>
      <c r="I30" s="3" t="inlineStr">
        <is>
          <t>النظام القديم (سجل الحركات)</t>
        </is>
      </c>
      <c r="J30" s="3" t="inlineStr">
        <is>
          <t>نعم</t>
        </is>
      </c>
      <c r="K30" s="3" t="inlineStr">
        <is>
          <t>بدون تفصيل بنود في السجل (قيمة إجمالية فقط)</t>
        </is>
      </c>
    </row>
    <row r="31">
      <c r="A31" s="3" t="n">
        <v>30</v>
      </c>
      <c r="B31" s="3" t="inlineStr">
        <is>
          <t>RNP</t>
        </is>
      </c>
      <c r="C31" s="3" t="inlineStr">
        <is>
          <t>ترحيل إلى قسم المشاريع تبوك</t>
        </is>
      </c>
      <c r="D31" s="3" t="inlineStr">
        <is>
          <t>RNP-2704</t>
        </is>
      </c>
      <c r="E31" s="23" t="n">
        <v>45962</v>
      </c>
      <c r="F31" s="3" t="inlineStr">
        <is>
          <t>NESMA ELSHARQ COMPANY-PROJECTS</t>
        </is>
      </c>
      <c r="G31" s="3" t="n"/>
      <c r="H31" s="4" t="n">
        <v>2443.75</v>
      </c>
      <c r="I31" s="3" t="inlineStr">
        <is>
          <t>النظام القديم (سجل الحركات)</t>
        </is>
      </c>
      <c r="J31" s="3" t="inlineStr">
        <is>
          <t>نعم</t>
        </is>
      </c>
      <c r="K31" s="3" t="inlineStr">
        <is>
          <t>بدون تفصيل بنود في السجل (قيمة إجمالية فقط)</t>
        </is>
      </c>
    </row>
    <row r="32">
      <c r="A32" s="3" t="n">
        <v>31</v>
      </c>
      <c r="B32" s="3" t="inlineStr">
        <is>
          <t>RNP</t>
        </is>
      </c>
      <c r="C32" s="3" t="inlineStr">
        <is>
          <t>ترحيل إلى قسم المشاريع تبوك</t>
        </is>
      </c>
      <c r="D32" s="3" t="inlineStr">
        <is>
          <t>RNP-2748</t>
        </is>
      </c>
      <c r="E32" s="23" t="n">
        <v>45964</v>
      </c>
      <c r="F32" s="3" t="inlineStr">
        <is>
          <t>NESMA ELSHARQ COMPANY-PROJECTS</t>
        </is>
      </c>
      <c r="G32" s="3" t="n"/>
      <c r="H32" s="4" t="n">
        <v>646.88</v>
      </c>
      <c r="I32" s="3" t="inlineStr">
        <is>
          <t>النظام القديم (سجل الحركات)</t>
        </is>
      </c>
      <c r="J32" s="3" t="inlineStr">
        <is>
          <t>نعم</t>
        </is>
      </c>
      <c r="K32" s="3" t="inlineStr">
        <is>
          <t>بدون تفصيل بنود في السجل (قيمة إجمالية فقط)</t>
        </is>
      </c>
    </row>
    <row r="33">
      <c r="A33" s="3" t="n">
        <v>32</v>
      </c>
      <c r="B33" s="3" t="inlineStr">
        <is>
          <t>RNP</t>
        </is>
      </c>
      <c r="C33" s="3" t="inlineStr">
        <is>
          <t>ترحيل إلى قسم المشاريع تبوك</t>
        </is>
      </c>
      <c r="D33" s="3" t="inlineStr">
        <is>
          <t>RNP-2805</t>
        </is>
      </c>
      <c r="E33" s="23" t="n">
        <v>45969</v>
      </c>
      <c r="F33" s="3" t="inlineStr">
        <is>
          <t>NESMA ELSHARQ COMPANY-PROJECTS</t>
        </is>
      </c>
      <c r="G33" s="3" t="n"/>
      <c r="H33" s="4" t="n">
        <v>31740</v>
      </c>
      <c r="I33" s="3" t="inlineStr">
        <is>
          <t>النظام القديم (سجل الحركات)</t>
        </is>
      </c>
      <c r="J33" s="3" t="inlineStr">
        <is>
          <t>نعم</t>
        </is>
      </c>
      <c r="K33" s="3" t="inlineStr">
        <is>
          <t>بدون تفصيل بنود في السجل (قيمة إجمالية فقط)</t>
        </is>
      </c>
    </row>
    <row r="34">
      <c r="A34" s="3" t="n">
        <v>33</v>
      </c>
      <c r="B34" s="3" t="inlineStr">
        <is>
          <t>RNP</t>
        </is>
      </c>
      <c r="C34" s="3" t="inlineStr">
        <is>
          <t>ترحيل إلى قسم المشاريع تبوك</t>
        </is>
      </c>
      <c r="D34" s="3" t="inlineStr">
        <is>
          <t>RNP-3160</t>
        </is>
      </c>
      <c r="E34" s="23" t="n">
        <v>45999</v>
      </c>
      <c r="F34" s="3" t="inlineStr">
        <is>
          <t>NESMA ELSHARQ COMPANY-PROJECTS</t>
        </is>
      </c>
      <c r="G34" s="3" t="n"/>
      <c r="H34" s="4" t="n">
        <v>76.48</v>
      </c>
      <c r="I34" s="3" t="inlineStr">
        <is>
          <t>النظام القديم (سجل الحركات)</t>
        </is>
      </c>
      <c r="J34" s="3" t="inlineStr">
        <is>
          <t>نعم</t>
        </is>
      </c>
      <c r="K34" s="3" t="inlineStr">
        <is>
          <t>بدون تفصيل بنود في السجل (قيمة إجمالية فقط)</t>
        </is>
      </c>
    </row>
    <row r="35">
      <c r="A35" s="3" t="n">
        <v>34</v>
      </c>
      <c r="B35" s="3" t="inlineStr">
        <is>
          <t>RNP</t>
        </is>
      </c>
      <c r="C35" s="3" t="inlineStr">
        <is>
          <t>ترحيل إلى قسم المشاريع تبوك</t>
        </is>
      </c>
      <c r="D35" s="3" t="inlineStr">
        <is>
          <t>RNP-3165</t>
        </is>
      </c>
      <c r="E35" s="23" t="n">
        <v>45999</v>
      </c>
      <c r="F35" s="3" t="inlineStr">
        <is>
          <t>NESMA ELSHARQ COMPANY-PROJECTS</t>
        </is>
      </c>
      <c r="G35" s="3" t="n"/>
      <c r="H35" s="4" t="n">
        <v>110.69</v>
      </c>
      <c r="I35" s="3" t="inlineStr">
        <is>
          <t>النظام القديم (سجل الحركات)</t>
        </is>
      </c>
      <c r="J35" s="3" t="inlineStr">
        <is>
          <t>نعم</t>
        </is>
      </c>
      <c r="K35" s="3" t="inlineStr">
        <is>
          <t>بدون تفصيل بنود في السجل (قيمة إجمالية فقط)</t>
        </is>
      </c>
    </row>
    <row r="36">
      <c r="A36" s="3" t="n">
        <v>35</v>
      </c>
      <c r="B36" s="3" t="inlineStr">
        <is>
          <t>RNP</t>
        </is>
      </c>
      <c r="C36" s="3" t="inlineStr">
        <is>
          <t>ترحيل إلى قسم المشاريع تبوك</t>
        </is>
      </c>
      <c r="D36" s="3" t="inlineStr">
        <is>
          <t>RNP-3276</t>
        </is>
      </c>
      <c r="E36" s="23" t="n">
        <v>46011</v>
      </c>
      <c r="F36" s="3" t="inlineStr">
        <is>
          <t>NESMA ELSHARQ COMPANY-PROJECTS</t>
        </is>
      </c>
      <c r="G36" s="3" t="n"/>
      <c r="H36" s="4" t="n">
        <v>5180.46</v>
      </c>
      <c r="I36" s="3" t="inlineStr">
        <is>
          <t>النظام القديم (سجل الحركات)</t>
        </is>
      </c>
      <c r="J36" s="3" t="inlineStr">
        <is>
          <t>نعم</t>
        </is>
      </c>
      <c r="K36" s="3" t="inlineStr">
        <is>
          <t>بدون تفصيل بنود في السجل (قيمة إجمالية فقط)</t>
        </is>
      </c>
    </row>
    <row r="37">
      <c r="A37" s="3" t="n">
        <v>36</v>
      </c>
      <c r="B37" s="3" t="inlineStr">
        <is>
          <t>RNP</t>
        </is>
      </c>
      <c r="C37" s="3" t="inlineStr">
        <is>
          <t>ترحيل إلى قسم المشاريع تبوك</t>
        </is>
      </c>
      <c r="D37" s="3" t="inlineStr">
        <is>
          <t>RNP-3433</t>
        </is>
      </c>
      <c r="E37" s="23" t="n">
        <v>46026</v>
      </c>
      <c r="F37" s="3" t="inlineStr">
        <is>
          <t>NESMA ELSHARQ COMPANY- PROJECTS</t>
        </is>
      </c>
      <c r="G37" s="3" t="n">
        <v>4</v>
      </c>
      <c r="H37" s="4" t="n">
        <v>3760.5</v>
      </c>
      <c r="I37" s="3" t="inlineStr">
        <is>
          <t>النظام القديم (سجل الحركات)</t>
        </is>
      </c>
      <c r="J37" s="3" t="inlineStr">
        <is>
          <t>نعم</t>
        </is>
      </c>
      <c r="K37" s="3" t="inlineStr"/>
    </row>
    <row r="38">
      <c r="A38" s="3" t="n">
        <v>37</v>
      </c>
      <c r="B38" s="3" t="inlineStr">
        <is>
          <t>RNP</t>
        </is>
      </c>
      <c r="C38" s="3" t="inlineStr">
        <is>
          <t>ترحيل إلى قسم المشاريع تبوك</t>
        </is>
      </c>
      <c r="D38" s="3" t="inlineStr">
        <is>
          <t>RNP-3432</t>
        </is>
      </c>
      <c r="E38" s="23" t="n">
        <v>46026</v>
      </c>
      <c r="F38" s="3" t="inlineStr">
        <is>
          <t>NESMA ELSHARQ COMPANY- PROJECTS</t>
        </is>
      </c>
      <c r="G38" s="3" t="n">
        <v>2</v>
      </c>
      <c r="H38" s="4" t="n">
        <v>42435</v>
      </c>
      <c r="I38" s="3" t="inlineStr">
        <is>
          <t>النظام القديم (سجل الحركات)</t>
        </is>
      </c>
      <c r="J38" s="3" t="inlineStr">
        <is>
          <t>نعم</t>
        </is>
      </c>
      <c r="K38" s="3" t="inlineStr"/>
    </row>
    <row r="39">
      <c r="A39" s="3" t="n">
        <v>38</v>
      </c>
      <c r="B39" s="3" t="inlineStr">
        <is>
          <t>RNP</t>
        </is>
      </c>
      <c r="C39" s="3" t="inlineStr">
        <is>
          <t>ترحيل إلى قسم المشاريع تبوك</t>
        </is>
      </c>
      <c r="D39" s="3" t="inlineStr">
        <is>
          <t>RNP-3491</t>
        </is>
      </c>
      <c r="E39" s="23" t="n">
        <v>46029</v>
      </c>
      <c r="F39" s="3" t="inlineStr">
        <is>
          <t>NESMA ELSHARQ COMPANY- PROJECTS</t>
        </is>
      </c>
      <c r="G39" s="3" t="n">
        <v>3</v>
      </c>
      <c r="H39" s="4" t="n">
        <v>5284.25</v>
      </c>
      <c r="I39" s="3" t="inlineStr">
        <is>
          <t>النظام القديم (سجل الحركات)</t>
        </is>
      </c>
      <c r="J39" s="3" t="inlineStr">
        <is>
          <t>نعم</t>
        </is>
      </c>
      <c r="K39" s="3" t="inlineStr"/>
    </row>
    <row r="40">
      <c r="A40" s="3" t="n">
        <v>39</v>
      </c>
      <c r="B40" s="3" t="inlineStr">
        <is>
          <t>RNP</t>
        </is>
      </c>
      <c r="C40" s="3" t="inlineStr">
        <is>
          <t>ترحيل إلى قسم المشاريع تبوك</t>
        </is>
      </c>
      <c r="D40" s="3" t="inlineStr">
        <is>
          <t>RNP-3520</t>
        </is>
      </c>
      <c r="E40" s="23" t="n">
        <v>46033</v>
      </c>
      <c r="F40" s="3" t="inlineStr">
        <is>
          <t>NESMA ELSHARQ COMPANY- PROJECTS</t>
        </is>
      </c>
      <c r="G40" s="3" t="n">
        <v>1</v>
      </c>
      <c r="H40" s="4" t="n">
        <v>3795</v>
      </c>
      <c r="I40" s="3" t="inlineStr">
        <is>
          <t>النظام القديم (سجل الحركات)</t>
        </is>
      </c>
      <c r="J40" s="3" t="inlineStr">
        <is>
          <t>نعم</t>
        </is>
      </c>
      <c r="K40" s="3" t="inlineStr"/>
    </row>
    <row r="41">
      <c r="A41" s="3" t="n">
        <v>40</v>
      </c>
      <c r="B41" s="3" t="inlineStr">
        <is>
          <t>RNP</t>
        </is>
      </c>
      <c r="C41" s="3" t="inlineStr">
        <is>
          <t>ترحيل إلى قسم المشاريع تبوك</t>
        </is>
      </c>
      <c r="D41" s="3" t="inlineStr">
        <is>
          <t>RNP-3586</t>
        </is>
      </c>
      <c r="E41" s="23" t="n">
        <v>46039</v>
      </c>
      <c r="F41" s="3" t="inlineStr">
        <is>
          <t>NESMA ELSHARQ COMPANY-PROJECTS</t>
        </is>
      </c>
      <c r="G41" s="3" t="n"/>
      <c r="H41" s="4" t="n">
        <v>97.75</v>
      </c>
      <c r="I41" s="3" t="inlineStr">
        <is>
          <t>النظام القديم (سجل الحركات)</t>
        </is>
      </c>
      <c r="J41" s="3" t="inlineStr">
        <is>
          <t>نعم</t>
        </is>
      </c>
      <c r="K41" s="3" t="inlineStr">
        <is>
          <t>بدون تفصيل بنود في السجل (قيمة إجمالية فقط)</t>
        </is>
      </c>
    </row>
    <row r="42">
      <c r="A42" s="3" t="n">
        <v>41</v>
      </c>
      <c r="B42" s="3" t="inlineStr">
        <is>
          <t>RNP</t>
        </is>
      </c>
      <c r="C42" s="3" t="inlineStr">
        <is>
          <t>ترحيل إلى قسم المشاريع تبوك</t>
        </is>
      </c>
      <c r="D42" s="3" t="inlineStr">
        <is>
          <t>RNP-3613</t>
        </is>
      </c>
      <c r="E42" s="23" t="n">
        <v>46042</v>
      </c>
      <c r="F42" s="3" t="inlineStr">
        <is>
          <t>NESMA ELSHARQ COMPANY-PROJECTS</t>
        </is>
      </c>
      <c r="G42" s="3" t="n"/>
      <c r="H42" s="4" t="n">
        <v>2708.25</v>
      </c>
      <c r="I42" s="3" t="inlineStr">
        <is>
          <t>النظام القديم (سجل الحركات)</t>
        </is>
      </c>
      <c r="J42" s="3" t="inlineStr">
        <is>
          <t>نعم</t>
        </is>
      </c>
      <c r="K42" s="3" t="inlineStr">
        <is>
          <t>بدون تفصيل بنود في السجل (قيمة إجمالية فقط)</t>
        </is>
      </c>
    </row>
    <row r="43">
      <c r="A43" s="3" t="n">
        <v>42</v>
      </c>
      <c r="B43" s="3" t="inlineStr">
        <is>
          <t>RNP</t>
        </is>
      </c>
      <c r="C43" s="3" t="inlineStr">
        <is>
          <t>ترحيل إلى قسم المشاريع تبوك</t>
        </is>
      </c>
      <c r="D43" s="3" t="inlineStr">
        <is>
          <t>RNP-3756</t>
        </is>
      </c>
      <c r="E43" s="23" t="n">
        <v>46057</v>
      </c>
      <c r="F43" s="3" t="inlineStr">
        <is>
          <t>NESMA ELSHARQ COMPANY- PROJECTS</t>
        </is>
      </c>
      <c r="G43" s="3" t="n">
        <v>1</v>
      </c>
      <c r="H43" s="4" t="n">
        <v>747.5</v>
      </c>
      <c r="I43" s="3" t="inlineStr">
        <is>
          <t>النظام القديم (سجل الحركات)</t>
        </is>
      </c>
      <c r="J43" s="3" t="inlineStr">
        <is>
          <t>نعم</t>
        </is>
      </c>
      <c r="K43" s="3" t="inlineStr"/>
    </row>
    <row r="44">
      <c r="A44" s="3" t="n">
        <v>43</v>
      </c>
      <c r="B44" s="3" t="inlineStr">
        <is>
          <t>RNP</t>
        </is>
      </c>
      <c r="C44" s="3" t="inlineStr">
        <is>
          <t>ترحيل إلى قسم المشاريع تبوك</t>
        </is>
      </c>
      <c r="D44" s="3" t="inlineStr">
        <is>
          <t>RNP-3767</t>
        </is>
      </c>
      <c r="E44" s="23" t="n">
        <v>46059</v>
      </c>
      <c r="F44" s="3" t="inlineStr">
        <is>
          <t>NESMA ELSHARQ COMPANY- PROJECTS</t>
        </is>
      </c>
      <c r="G44" s="3" t="n">
        <v>2</v>
      </c>
      <c r="H44" s="4" t="n">
        <v>7423.25</v>
      </c>
      <c r="I44" s="3" t="inlineStr">
        <is>
          <t>النظام القديم (سجل الحركات)</t>
        </is>
      </c>
      <c r="J44" s="3" t="inlineStr">
        <is>
          <t>نعم</t>
        </is>
      </c>
      <c r="K44" s="3" t="inlineStr"/>
    </row>
    <row r="45">
      <c r="A45" s="3" t="n">
        <v>44</v>
      </c>
      <c r="B45" s="3" t="inlineStr">
        <is>
          <t>RNP</t>
        </is>
      </c>
      <c r="C45" s="3" t="inlineStr">
        <is>
          <t>ترحيل إلى قسم المشاريع تبوك</t>
        </is>
      </c>
      <c r="D45" s="3" t="inlineStr">
        <is>
          <t>RNP-3839</t>
        </is>
      </c>
      <c r="E45" s="23" t="n">
        <v>46068</v>
      </c>
      <c r="F45" s="3" t="inlineStr">
        <is>
          <t>NESMA ELSHARQ COMPANY- PROJECTS</t>
        </is>
      </c>
      <c r="G45" s="3" t="n">
        <v>4</v>
      </c>
      <c r="H45" s="4" t="n">
        <v>789.36</v>
      </c>
      <c r="I45" s="3" t="inlineStr">
        <is>
          <t>النظام القديم (سجل الحركات)</t>
        </is>
      </c>
      <c r="J45" s="3" t="inlineStr">
        <is>
          <t>نعم</t>
        </is>
      </c>
      <c r="K45" s="3" t="inlineStr"/>
    </row>
    <row r="46">
      <c r="A46" s="10" t="n">
        <v>45</v>
      </c>
      <c r="B46" s="10" t="inlineStr">
        <is>
          <t>RNP</t>
        </is>
      </c>
      <c r="C46" s="10" t="inlineStr">
        <is>
          <t>ترحيل إلى قسم المشاريع تبوك</t>
        </is>
      </c>
      <c r="D46" s="10" t="inlineStr">
        <is>
          <t>ISV-0017</t>
        </is>
      </c>
      <c r="E46" s="24" t="n">
        <v>46190</v>
      </c>
      <c r="F46" s="10" t="inlineStr">
        <is>
          <t>REQ:ابو زياد</t>
        </is>
      </c>
      <c r="G46" s="10" t="n">
        <v>1</v>
      </c>
      <c r="H46" s="12" t="n">
        <v>463</v>
      </c>
      <c r="I46" s="10" t="inlineStr">
        <is>
          <t>النظام الجديد</t>
        </is>
      </c>
      <c r="J46" s="10" t="inlineStr">
        <is>
          <t>نعم</t>
        </is>
      </c>
      <c r="K46" s="10" t="inlineStr">
        <is>
          <t>النظام الجديد يعطي عدد البنود والقيمة فقط</t>
        </is>
      </c>
    </row>
    <row r="47">
      <c r="A47" s="10" t="n">
        <v>46</v>
      </c>
      <c r="B47" s="10" t="inlineStr">
        <is>
          <t>RNP</t>
        </is>
      </c>
      <c r="C47" s="10" t="inlineStr">
        <is>
          <t>ترحيل إلى قسم المشاريع تبوك</t>
        </is>
      </c>
      <c r="D47" s="10" t="inlineStr">
        <is>
          <t>ISV-0075</t>
        </is>
      </c>
      <c r="E47" s="24" t="n">
        <v>46207</v>
      </c>
      <c r="F47" s="10" t="inlineStr">
        <is>
          <t>REQ:رائد الخير</t>
        </is>
      </c>
      <c r="G47" s="10" t="n">
        <v>2</v>
      </c>
      <c r="H47" s="12" t="n">
        <v>2750</v>
      </c>
      <c r="I47" s="10" t="inlineStr">
        <is>
          <t>النظام الجديد</t>
        </is>
      </c>
      <c r="J47" s="10" t="inlineStr">
        <is>
          <t>نعم</t>
        </is>
      </c>
      <c r="K47" s="10" t="inlineStr">
        <is>
          <t>النظام الجديد يعطي عدد البنود والقيمة فقط</t>
        </is>
      </c>
    </row>
    <row r="48">
      <c r="A48" s="13" t="n">
        <v>47</v>
      </c>
      <c r="B48" s="13" t="inlineStr">
        <is>
          <t>RNO</t>
        </is>
      </c>
      <c r="C48" s="13" t="inlineStr">
        <is>
          <t>صرف مواد للإنتاج – مزرعة الرياض</t>
        </is>
      </c>
      <c r="D48" s="13" t="inlineStr">
        <is>
          <t>RNO-1784</t>
        </is>
      </c>
      <c r="E48" s="25" t="n">
        <v>45863</v>
      </c>
      <c r="F48" s="13" t="inlineStr">
        <is>
          <t>OPERATION RIYADH NURSERY</t>
        </is>
      </c>
      <c r="G48" s="13" t="n"/>
      <c r="H48" s="15" t="n">
        <v>5179.26</v>
      </c>
      <c r="I48" s="13" t="inlineStr">
        <is>
          <t>النظام القديم (سجل الحركات)</t>
        </is>
      </c>
      <c r="J48" s="13" t="inlineStr">
        <is>
          <t>لا</t>
        </is>
      </c>
      <c r="K48" s="13" t="inlineStr">
        <is>
          <t>قبل بداية الفترة 30-7-2025 – غير محسوب | بدون تفصيل بنود في السجل (قيمة إجمالية فقط)</t>
        </is>
      </c>
    </row>
    <row r="49">
      <c r="A49" s="13" t="n">
        <v>48</v>
      </c>
      <c r="B49" s="13" t="inlineStr">
        <is>
          <t>RNO</t>
        </is>
      </c>
      <c r="C49" s="13" t="inlineStr">
        <is>
          <t>صرف مواد للإنتاج – مزرعة الرياض</t>
        </is>
      </c>
      <c r="D49" s="13" t="inlineStr">
        <is>
          <t>RNO-1799</t>
        </is>
      </c>
      <c r="E49" s="25" t="n">
        <v>45865</v>
      </c>
      <c r="F49" s="13" t="inlineStr">
        <is>
          <t>OPERATION RIYADH NURSERY</t>
        </is>
      </c>
      <c r="G49" s="13" t="n"/>
      <c r="H49" s="15" t="n">
        <v>350.75</v>
      </c>
      <c r="I49" s="13" t="inlineStr">
        <is>
          <t>النظام القديم (سجل الحركات)</t>
        </is>
      </c>
      <c r="J49" s="13" t="inlineStr">
        <is>
          <t>لا</t>
        </is>
      </c>
      <c r="K49" s="13" t="inlineStr">
        <is>
          <t>قبل بداية الفترة 30-7-2025 – غير محسوب | بدون تفصيل بنود في السجل (قيمة إجمالية فقط)</t>
        </is>
      </c>
    </row>
    <row r="50">
      <c r="A50" s="13" t="n">
        <v>49</v>
      </c>
      <c r="B50" s="13" t="inlineStr">
        <is>
          <t>RNO</t>
        </is>
      </c>
      <c r="C50" s="13" t="inlineStr">
        <is>
          <t>صرف مواد للإنتاج – مزرعة الرياض</t>
        </is>
      </c>
      <c r="D50" s="13" t="inlineStr">
        <is>
          <t>RNO-1816</t>
        </is>
      </c>
      <c r="E50" s="25" t="n">
        <v>45867</v>
      </c>
      <c r="F50" s="13" t="inlineStr">
        <is>
          <t>OPERATION RIYADH NURSERY</t>
        </is>
      </c>
      <c r="G50" s="13" t="n"/>
      <c r="H50" s="15" t="n">
        <v>200.1</v>
      </c>
      <c r="I50" s="13" t="inlineStr">
        <is>
          <t>النظام القديم (سجل الحركات)</t>
        </is>
      </c>
      <c r="J50" s="13" t="inlineStr">
        <is>
          <t>لا</t>
        </is>
      </c>
      <c r="K50" s="13" t="inlineStr">
        <is>
          <t>قبل بداية الفترة 30-7-2025 – غير محسوب | بدون تفصيل بنود في السجل (قيمة إجمالية فقط)</t>
        </is>
      </c>
    </row>
    <row r="51">
      <c r="A51" s="13" t="n">
        <v>50</v>
      </c>
      <c r="B51" s="13" t="inlineStr">
        <is>
          <t>RNO</t>
        </is>
      </c>
      <c r="C51" s="13" t="inlineStr">
        <is>
          <t>صرف مواد للإنتاج – مزرعة الرياض</t>
        </is>
      </c>
      <c r="D51" s="13" t="inlineStr">
        <is>
          <t>RNO-1814</t>
        </is>
      </c>
      <c r="E51" s="25" t="n">
        <v>45867</v>
      </c>
      <c r="F51" s="13" t="inlineStr">
        <is>
          <t>OPERATION RIYADH NURSERY</t>
        </is>
      </c>
      <c r="G51" s="13" t="n"/>
      <c r="H51" s="15" t="n">
        <v>7590</v>
      </c>
      <c r="I51" s="13" t="inlineStr">
        <is>
          <t>النظام القديم (سجل الحركات)</t>
        </is>
      </c>
      <c r="J51" s="13" t="inlineStr">
        <is>
          <t>لا</t>
        </is>
      </c>
      <c r="K51" s="13" t="inlineStr">
        <is>
          <t>قبل بداية الفترة 30-7-2025 – غير محسوب | بدون تفصيل بنود في السجل (قيمة إجمالية فقط)</t>
        </is>
      </c>
    </row>
    <row r="52">
      <c r="A52" s="3" t="n">
        <v>51</v>
      </c>
      <c r="B52" s="3" t="inlineStr">
        <is>
          <t>RNO</t>
        </is>
      </c>
      <c r="C52" s="3" t="inlineStr">
        <is>
          <t>صرف مواد للإنتاج – مزرعة الرياض</t>
        </is>
      </c>
      <c r="D52" s="3" t="inlineStr">
        <is>
          <t>RNO-1861</t>
        </is>
      </c>
      <c r="E52" s="23" t="n">
        <v>45872</v>
      </c>
      <c r="F52" s="3" t="inlineStr">
        <is>
          <t>OPERATION RIYADH NURSERY</t>
        </is>
      </c>
      <c r="G52" s="3" t="n"/>
      <c r="H52" s="4" t="n">
        <v>287.5</v>
      </c>
      <c r="I52" s="3" t="inlineStr">
        <is>
          <t>النظام القديم (سجل الحركات)</t>
        </is>
      </c>
      <c r="J52" s="3" t="inlineStr">
        <is>
          <t>نعم</t>
        </is>
      </c>
      <c r="K52" s="3" t="inlineStr">
        <is>
          <t>بدون تفصيل بنود في السجل (قيمة إجمالية فقط)</t>
        </is>
      </c>
    </row>
    <row r="53">
      <c r="A53" s="3" t="n">
        <v>52</v>
      </c>
      <c r="B53" s="3" t="inlineStr">
        <is>
          <t>RNO</t>
        </is>
      </c>
      <c r="C53" s="3" t="inlineStr">
        <is>
          <t>صرف مواد للإنتاج – مزرعة الرياض</t>
        </is>
      </c>
      <c r="D53" s="3" t="inlineStr">
        <is>
          <t>RNO-2176</t>
        </is>
      </c>
      <c r="E53" s="23" t="n">
        <v>45873</v>
      </c>
      <c r="F53" s="3" t="inlineStr">
        <is>
          <t>OPERATION RIYADH NURSERY</t>
        </is>
      </c>
      <c r="G53" s="3" t="n"/>
      <c r="H53" s="4" t="n">
        <v>1690.5</v>
      </c>
      <c r="I53" s="3" t="inlineStr">
        <is>
          <t>النظام القديم (سجل الحركات)</t>
        </is>
      </c>
      <c r="J53" s="3" t="inlineStr">
        <is>
          <t>نعم</t>
        </is>
      </c>
      <c r="K53" s="3" t="inlineStr">
        <is>
          <t>بدون تفصيل بنود في السجل (قيمة إجمالية فقط)</t>
        </is>
      </c>
    </row>
    <row r="54">
      <c r="A54" s="3" t="n">
        <v>53</v>
      </c>
      <c r="B54" s="3" t="inlineStr">
        <is>
          <t>RNO</t>
        </is>
      </c>
      <c r="C54" s="3" t="inlineStr">
        <is>
          <t>صرف مواد للإنتاج – مزرعة الرياض</t>
        </is>
      </c>
      <c r="D54" s="3" t="inlineStr">
        <is>
          <t>RNO-1890</t>
        </is>
      </c>
      <c r="E54" s="23" t="n">
        <v>45878</v>
      </c>
      <c r="F54" s="3" t="inlineStr">
        <is>
          <t>OPERATION RIYADH NURSERY</t>
        </is>
      </c>
      <c r="G54" s="3" t="n"/>
      <c r="H54" s="4" t="n">
        <v>4294.1</v>
      </c>
      <c r="I54" s="3" t="inlineStr">
        <is>
          <t>النظام القديم (سجل الحركات)</t>
        </is>
      </c>
      <c r="J54" s="3" t="inlineStr">
        <is>
          <t>نعم</t>
        </is>
      </c>
      <c r="K54" s="3" t="inlineStr">
        <is>
          <t>بدون تفصيل بنود في السجل (قيمة إجمالية فقط)</t>
        </is>
      </c>
    </row>
    <row r="55">
      <c r="A55" s="3" t="n">
        <v>54</v>
      </c>
      <c r="B55" s="3" t="inlineStr">
        <is>
          <t>RNO</t>
        </is>
      </c>
      <c r="C55" s="3" t="inlineStr">
        <is>
          <t>صرف مواد للإنتاج – مزرعة الرياض</t>
        </is>
      </c>
      <c r="D55" s="3" t="inlineStr">
        <is>
          <t>RNO-1895</t>
        </is>
      </c>
      <c r="E55" s="23" t="n">
        <v>45878</v>
      </c>
      <c r="F55" s="3" t="inlineStr">
        <is>
          <t>OPERATION RIYADH NURSERY</t>
        </is>
      </c>
      <c r="G55" s="3" t="n"/>
      <c r="H55" s="4" t="n">
        <v>3775</v>
      </c>
      <c r="I55" s="3" t="inlineStr">
        <is>
          <t>النظام القديم (سجل الحركات)</t>
        </is>
      </c>
      <c r="J55" s="3" t="inlineStr">
        <is>
          <t>نعم</t>
        </is>
      </c>
      <c r="K55" s="3" t="inlineStr">
        <is>
          <t>بدون تفصيل بنود في السجل (قيمة إجمالية فقط)</t>
        </is>
      </c>
    </row>
    <row r="56">
      <c r="A56" s="3" t="n">
        <v>55</v>
      </c>
      <c r="B56" s="3" t="inlineStr">
        <is>
          <t>RNO</t>
        </is>
      </c>
      <c r="C56" s="3" t="inlineStr">
        <is>
          <t>صرف مواد للإنتاج – مزرعة الرياض</t>
        </is>
      </c>
      <c r="D56" s="3" t="inlineStr">
        <is>
          <t>RNO-1899</t>
        </is>
      </c>
      <c r="E56" s="23" t="n">
        <v>45878</v>
      </c>
      <c r="F56" s="3" t="inlineStr">
        <is>
          <t>OPERATION RIYADH NURSERY</t>
        </is>
      </c>
      <c r="G56" s="3" t="n"/>
      <c r="H56" s="4" t="n">
        <v>9043</v>
      </c>
      <c r="I56" s="3" t="inlineStr">
        <is>
          <t>النظام القديم (سجل الحركات)</t>
        </is>
      </c>
      <c r="J56" s="3" t="inlineStr">
        <is>
          <t>نعم</t>
        </is>
      </c>
      <c r="K56" s="3" t="inlineStr">
        <is>
          <t>بدون تفصيل بنود في السجل (قيمة إجمالية فقط)</t>
        </is>
      </c>
    </row>
    <row r="57">
      <c r="A57" s="3" t="n">
        <v>56</v>
      </c>
      <c r="B57" s="3" t="inlineStr">
        <is>
          <t>RNO</t>
        </is>
      </c>
      <c r="C57" s="3" t="inlineStr">
        <is>
          <t>صرف مواد للإنتاج – مزرعة الرياض</t>
        </is>
      </c>
      <c r="D57" s="3" t="inlineStr">
        <is>
          <t>RNO-1900</t>
        </is>
      </c>
      <c r="E57" s="23" t="n">
        <v>45878</v>
      </c>
      <c r="F57" s="3" t="inlineStr">
        <is>
          <t>OPERATION RIYADH NURSERY</t>
        </is>
      </c>
      <c r="G57" s="3" t="n"/>
      <c r="H57" s="4" t="n">
        <v>7500</v>
      </c>
      <c r="I57" s="3" t="inlineStr">
        <is>
          <t>النظام القديم (سجل الحركات)</t>
        </is>
      </c>
      <c r="J57" s="3" t="inlineStr">
        <is>
          <t>نعم</t>
        </is>
      </c>
      <c r="K57" s="3" t="inlineStr">
        <is>
          <t>بدون تفصيل بنود في السجل (قيمة إجمالية فقط)</t>
        </is>
      </c>
    </row>
    <row r="58">
      <c r="A58" s="3" t="n">
        <v>57</v>
      </c>
      <c r="B58" s="3" t="inlineStr">
        <is>
          <t>RNO</t>
        </is>
      </c>
      <c r="C58" s="3" t="inlineStr">
        <is>
          <t>صرف مواد للإنتاج – مزرعة الرياض</t>
        </is>
      </c>
      <c r="D58" s="3" t="inlineStr">
        <is>
          <t>RNO-1922</t>
        </is>
      </c>
      <c r="E58" s="23" t="n">
        <v>45882</v>
      </c>
      <c r="F58" s="3" t="inlineStr">
        <is>
          <t>OPERATION RIYADH NURSERY</t>
        </is>
      </c>
      <c r="G58" s="3" t="n"/>
      <c r="H58" s="4" t="n">
        <v>2855.45</v>
      </c>
      <c r="I58" s="3" t="inlineStr">
        <is>
          <t>النظام القديم (سجل الحركات)</t>
        </is>
      </c>
      <c r="J58" s="3" t="inlineStr">
        <is>
          <t>نعم</t>
        </is>
      </c>
      <c r="K58" s="3" t="inlineStr">
        <is>
          <t>بدون تفصيل بنود في السجل (قيمة إجمالية فقط)</t>
        </is>
      </c>
    </row>
    <row r="59">
      <c r="A59" s="3" t="n">
        <v>58</v>
      </c>
      <c r="B59" s="3" t="inlineStr">
        <is>
          <t>RNO</t>
        </is>
      </c>
      <c r="C59" s="3" t="inlineStr">
        <is>
          <t>صرف مواد للإنتاج – مزرعة الرياض</t>
        </is>
      </c>
      <c r="D59" s="3" t="inlineStr">
        <is>
          <t>RNO-1940</t>
        </is>
      </c>
      <c r="E59" s="23" t="n">
        <v>45885</v>
      </c>
      <c r="F59" s="3" t="inlineStr">
        <is>
          <t>OPERATION RIYADH NURSERY</t>
        </is>
      </c>
      <c r="G59" s="3" t="n"/>
      <c r="H59" s="4" t="n">
        <v>3737.5</v>
      </c>
      <c r="I59" s="3" t="inlineStr">
        <is>
          <t>النظام القديم (سجل الحركات)</t>
        </is>
      </c>
      <c r="J59" s="3" t="inlineStr">
        <is>
          <t>نعم</t>
        </is>
      </c>
      <c r="K59" s="3" t="inlineStr">
        <is>
          <t>بدون تفصيل بنود في السجل (قيمة إجمالية فقط)</t>
        </is>
      </c>
    </row>
    <row r="60">
      <c r="A60" s="3" t="n">
        <v>59</v>
      </c>
      <c r="B60" s="3" t="inlineStr">
        <is>
          <t>RNO</t>
        </is>
      </c>
      <c r="C60" s="3" t="inlineStr">
        <is>
          <t>صرف مواد للإنتاج – مزرعة الرياض</t>
        </is>
      </c>
      <c r="D60" s="3" t="inlineStr">
        <is>
          <t>RNO-1939</t>
        </is>
      </c>
      <c r="E60" s="23" t="n">
        <v>45886</v>
      </c>
      <c r="F60" s="3" t="inlineStr">
        <is>
          <t>OPERATION RIYADH NURSERY</t>
        </is>
      </c>
      <c r="G60" s="3" t="n"/>
      <c r="H60" s="4" t="n">
        <v>1220.15</v>
      </c>
      <c r="I60" s="3" t="inlineStr">
        <is>
          <t>النظام القديم (سجل الحركات)</t>
        </is>
      </c>
      <c r="J60" s="3" t="inlineStr">
        <is>
          <t>نعم</t>
        </is>
      </c>
      <c r="K60" s="3" t="inlineStr">
        <is>
          <t>بدون تفصيل بنود في السجل (قيمة إجمالية فقط)</t>
        </is>
      </c>
    </row>
    <row r="61">
      <c r="A61" s="3" t="n">
        <v>60</v>
      </c>
      <c r="B61" s="3" t="inlineStr">
        <is>
          <t>RNO</t>
        </is>
      </c>
      <c r="C61" s="3" t="inlineStr">
        <is>
          <t>صرف مواد للإنتاج – مزرعة الرياض</t>
        </is>
      </c>
      <c r="D61" s="3" t="inlineStr">
        <is>
          <t>RNO-1959</t>
        </is>
      </c>
      <c r="E61" s="23" t="n">
        <v>45887</v>
      </c>
      <c r="F61" s="3" t="inlineStr">
        <is>
          <t>OPERATION RIYADH NURSERY</t>
        </is>
      </c>
      <c r="G61" s="3" t="n"/>
      <c r="H61" s="4" t="n">
        <v>138</v>
      </c>
      <c r="I61" s="3" t="inlineStr">
        <is>
          <t>النظام القديم (سجل الحركات)</t>
        </is>
      </c>
      <c r="J61" s="3" t="inlineStr">
        <is>
          <t>نعم</t>
        </is>
      </c>
      <c r="K61" s="3" t="inlineStr">
        <is>
          <t>بدون تفصيل بنود في السجل (قيمة إجمالية فقط)</t>
        </is>
      </c>
    </row>
    <row r="62">
      <c r="A62" s="3" t="n">
        <v>61</v>
      </c>
      <c r="B62" s="3" t="inlineStr">
        <is>
          <t>RNO</t>
        </is>
      </c>
      <c r="C62" s="3" t="inlineStr">
        <is>
          <t>صرف مواد للإنتاج – مزرعة الرياض</t>
        </is>
      </c>
      <c r="D62" s="3" t="inlineStr">
        <is>
          <t>RNO-1967</t>
        </is>
      </c>
      <c r="E62" s="23" t="n">
        <v>45889</v>
      </c>
      <c r="F62" s="3" t="inlineStr">
        <is>
          <t>OPERATION RIYADH NURSERY</t>
        </is>
      </c>
      <c r="G62" s="3" t="n"/>
      <c r="H62" s="4" t="n">
        <v>4525.25</v>
      </c>
      <c r="I62" s="3" t="inlineStr">
        <is>
          <t>النظام القديم (سجل الحركات)</t>
        </is>
      </c>
      <c r="J62" s="3" t="inlineStr">
        <is>
          <t>نعم</t>
        </is>
      </c>
      <c r="K62" s="3" t="inlineStr">
        <is>
          <t>بدون تفصيل بنود في السجل (قيمة إجمالية فقط)</t>
        </is>
      </c>
    </row>
    <row r="63">
      <c r="A63" s="3" t="n">
        <v>62</v>
      </c>
      <c r="B63" s="3" t="inlineStr">
        <is>
          <t>RNO</t>
        </is>
      </c>
      <c r="C63" s="3" t="inlineStr">
        <is>
          <t>صرف مواد للإنتاج – مزرعة الرياض</t>
        </is>
      </c>
      <c r="D63" s="3" t="inlineStr">
        <is>
          <t>RNO-1986</t>
        </is>
      </c>
      <c r="E63" s="23" t="n">
        <v>45890</v>
      </c>
      <c r="F63" s="3" t="inlineStr">
        <is>
          <t>OPERATION RIYADH NURSERY</t>
        </is>
      </c>
      <c r="G63" s="3" t="n"/>
      <c r="H63" s="4" t="n">
        <v>920</v>
      </c>
      <c r="I63" s="3" t="inlineStr">
        <is>
          <t>النظام القديم (سجل الحركات)</t>
        </is>
      </c>
      <c r="J63" s="3" t="inlineStr">
        <is>
          <t>نعم</t>
        </is>
      </c>
      <c r="K63" s="3" t="inlineStr">
        <is>
          <t>بدون تفصيل بنود في السجل (قيمة إجمالية فقط)</t>
        </is>
      </c>
    </row>
    <row r="64">
      <c r="A64" s="3" t="n">
        <v>63</v>
      </c>
      <c r="B64" s="3" t="inlineStr">
        <is>
          <t>RNO</t>
        </is>
      </c>
      <c r="C64" s="3" t="inlineStr">
        <is>
          <t>صرف مواد للإنتاج – مزرعة الرياض</t>
        </is>
      </c>
      <c r="D64" s="3" t="inlineStr">
        <is>
          <t>RNO-1989</t>
        </is>
      </c>
      <c r="E64" s="23" t="n">
        <v>45890</v>
      </c>
      <c r="F64" s="3" t="inlineStr">
        <is>
          <t>OPERATION RIYADH NURSERY</t>
        </is>
      </c>
      <c r="G64" s="3" t="n"/>
      <c r="H64" s="4" t="n">
        <v>517.5</v>
      </c>
      <c r="I64" s="3" t="inlineStr">
        <is>
          <t>النظام القديم (سجل الحركات)</t>
        </is>
      </c>
      <c r="J64" s="3" t="inlineStr">
        <is>
          <t>نعم</t>
        </is>
      </c>
      <c r="K64" s="3" t="inlineStr">
        <is>
          <t>بدون تفصيل بنود في السجل (قيمة إجمالية فقط)</t>
        </is>
      </c>
    </row>
    <row r="65">
      <c r="A65" s="3" t="n">
        <v>64</v>
      </c>
      <c r="B65" s="3" t="inlineStr">
        <is>
          <t>RNO</t>
        </is>
      </c>
      <c r="C65" s="3" t="inlineStr">
        <is>
          <t>صرف مواد للإنتاج – مزرعة الرياض</t>
        </is>
      </c>
      <c r="D65" s="3" t="inlineStr">
        <is>
          <t>RNO-1997</t>
        </is>
      </c>
      <c r="E65" s="23" t="n">
        <v>45892</v>
      </c>
      <c r="F65" s="3" t="inlineStr">
        <is>
          <t>OPERATION RIYADH NURSERY</t>
        </is>
      </c>
      <c r="G65" s="3" t="n"/>
      <c r="H65" s="4" t="n">
        <v>1534.68</v>
      </c>
      <c r="I65" s="3" t="inlineStr">
        <is>
          <t>النظام القديم (سجل الحركات)</t>
        </is>
      </c>
      <c r="J65" s="3" t="inlineStr">
        <is>
          <t>نعم</t>
        </is>
      </c>
      <c r="K65" s="3" t="inlineStr">
        <is>
          <t>بدون تفصيل بنود في السجل (قيمة إجمالية فقط)</t>
        </is>
      </c>
    </row>
    <row r="66">
      <c r="A66" s="3" t="n">
        <v>65</v>
      </c>
      <c r="B66" s="3" t="inlineStr">
        <is>
          <t>RNO</t>
        </is>
      </c>
      <c r="C66" s="3" t="inlineStr">
        <is>
          <t>صرف مواد للإنتاج – مزرعة الرياض</t>
        </is>
      </c>
      <c r="D66" s="3" t="inlineStr">
        <is>
          <t>RNO-2000</t>
        </is>
      </c>
      <c r="E66" s="23" t="n">
        <v>45892</v>
      </c>
      <c r="F66" s="3" t="inlineStr">
        <is>
          <t>OPERATION RIYADH NURSERY</t>
        </is>
      </c>
      <c r="G66" s="3" t="n"/>
      <c r="H66" s="4" t="n">
        <v>517.5</v>
      </c>
      <c r="I66" s="3" t="inlineStr">
        <is>
          <t>النظام القديم (سجل الحركات)</t>
        </is>
      </c>
      <c r="J66" s="3" t="inlineStr">
        <is>
          <t>نعم</t>
        </is>
      </c>
      <c r="K66" s="3" t="inlineStr">
        <is>
          <t>بدون تفصيل بنود في السجل (قيمة إجمالية فقط)</t>
        </is>
      </c>
    </row>
    <row r="67">
      <c r="A67" s="3" t="n">
        <v>66</v>
      </c>
      <c r="B67" s="3" t="inlineStr">
        <is>
          <t>RNO</t>
        </is>
      </c>
      <c r="C67" s="3" t="inlineStr">
        <is>
          <t>صرف مواد للإنتاج – مزرعة الرياض</t>
        </is>
      </c>
      <c r="D67" s="3" t="inlineStr">
        <is>
          <t>RNO-2001</t>
        </is>
      </c>
      <c r="E67" s="23" t="n">
        <v>45892</v>
      </c>
      <c r="F67" s="3" t="inlineStr">
        <is>
          <t>OPERATION RIYADH NURSERY</t>
        </is>
      </c>
      <c r="G67" s="3" t="n"/>
      <c r="H67" s="4" t="n">
        <v>517.5</v>
      </c>
      <c r="I67" s="3" t="inlineStr">
        <is>
          <t>النظام القديم (سجل الحركات)</t>
        </is>
      </c>
      <c r="J67" s="3" t="inlineStr">
        <is>
          <t>نعم</t>
        </is>
      </c>
      <c r="K67" s="3" t="inlineStr">
        <is>
          <t>بدون تفصيل بنود في السجل (قيمة إجمالية فقط)</t>
        </is>
      </c>
    </row>
    <row r="68">
      <c r="A68" s="3" t="n">
        <v>67</v>
      </c>
      <c r="B68" s="3" t="inlineStr">
        <is>
          <t>RNO</t>
        </is>
      </c>
      <c r="C68" s="3" t="inlineStr">
        <is>
          <t>صرف مواد للإنتاج – مزرعة الرياض</t>
        </is>
      </c>
      <c r="D68" s="3" t="inlineStr">
        <is>
          <t>RNO-2005</t>
        </is>
      </c>
      <c r="E68" s="23" t="n">
        <v>45893</v>
      </c>
      <c r="F68" s="3" t="inlineStr">
        <is>
          <t>OPERATION RIYADH NURSERY</t>
        </is>
      </c>
      <c r="G68" s="3" t="n"/>
      <c r="H68" s="4" t="n">
        <v>517.5</v>
      </c>
      <c r="I68" s="3" t="inlineStr">
        <is>
          <t>النظام القديم (سجل الحركات)</t>
        </is>
      </c>
      <c r="J68" s="3" t="inlineStr">
        <is>
          <t>نعم</t>
        </is>
      </c>
      <c r="K68" s="3" t="inlineStr">
        <is>
          <t>بدون تفصيل بنود في السجل (قيمة إجمالية فقط)</t>
        </is>
      </c>
    </row>
    <row r="69">
      <c r="A69" s="3" t="n">
        <v>68</v>
      </c>
      <c r="B69" s="3" t="inlineStr">
        <is>
          <t>RNO</t>
        </is>
      </c>
      <c r="C69" s="3" t="inlineStr">
        <is>
          <t>صرف مواد للإنتاج – مزرعة الرياض</t>
        </is>
      </c>
      <c r="D69" s="3" t="inlineStr">
        <is>
          <t>RNO-2013</t>
        </is>
      </c>
      <c r="E69" s="23" t="n">
        <v>45893</v>
      </c>
      <c r="F69" s="3" t="inlineStr">
        <is>
          <t>OPERATION RIYADH NURSERY</t>
        </is>
      </c>
      <c r="G69" s="3" t="n"/>
      <c r="H69" s="4" t="n">
        <v>4439</v>
      </c>
      <c r="I69" s="3" t="inlineStr">
        <is>
          <t>النظام القديم (سجل الحركات)</t>
        </is>
      </c>
      <c r="J69" s="3" t="inlineStr">
        <is>
          <t>نعم</t>
        </is>
      </c>
      <c r="K69" s="3" t="inlineStr">
        <is>
          <t>بدون تفصيل بنود في السجل (قيمة إجمالية فقط)</t>
        </is>
      </c>
    </row>
    <row r="70">
      <c r="A70" s="3" t="n">
        <v>69</v>
      </c>
      <c r="B70" s="3" t="inlineStr">
        <is>
          <t>RNO</t>
        </is>
      </c>
      <c r="C70" s="3" t="inlineStr">
        <is>
          <t>صرف مواد للإنتاج – مزرعة الرياض</t>
        </is>
      </c>
      <c r="D70" s="3" t="inlineStr">
        <is>
          <t>RNO-2028</t>
        </is>
      </c>
      <c r="E70" s="23" t="n">
        <v>45895</v>
      </c>
      <c r="F70" s="3" t="inlineStr">
        <is>
          <t>OPERATION RIYADH NURSERY</t>
        </is>
      </c>
      <c r="G70" s="3" t="n"/>
      <c r="H70" s="4" t="n">
        <v>5847.75</v>
      </c>
      <c r="I70" s="3" t="inlineStr">
        <is>
          <t>النظام القديم (سجل الحركات)</t>
        </is>
      </c>
      <c r="J70" s="3" t="inlineStr">
        <is>
          <t>نعم</t>
        </is>
      </c>
      <c r="K70" s="3" t="inlineStr">
        <is>
          <t>بدون تفصيل بنود في السجل (قيمة إجمالية فقط)</t>
        </is>
      </c>
    </row>
    <row r="71">
      <c r="A71" s="3" t="n">
        <v>70</v>
      </c>
      <c r="B71" s="3" t="inlineStr">
        <is>
          <t>RNO</t>
        </is>
      </c>
      <c r="C71" s="3" t="inlineStr">
        <is>
          <t>صرف مواد للإنتاج – مزرعة الرياض</t>
        </is>
      </c>
      <c r="D71" s="3" t="inlineStr">
        <is>
          <t>RNO-2035</t>
        </is>
      </c>
      <c r="E71" s="23" t="n">
        <v>45896</v>
      </c>
      <c r="F71" s="3" t="inlineStr">
        <is>
          <t>OPERATION RIYADH NURSERY</t>
        </is>
      </c>
      <c r="G71" s="3" t="n"/>
      <c r="H71" s="4" t="n">
        <v>3458.63</v>
      </c>
      <c r="I71" s="3" t="inlineStr">
        <is>
          <t>النظام القديم (سجل الحركات)</t>
        </is>
      </c>
      <c r="J71" s="3" t="inlineStr">
        <is>
          <t>نعم</t>
        </is>
      </c>
      <c r="K71" s="3" t="inlineStr">
        <is>
          <t>بدون تفصيل بنود في السجل (قيمة إجمالية فقط)</t>
        </is>
      </c>
    </row>
    <row r="72">
      <c r="A72" s="3" t="n">
        <v>71</v>
      </c>
      <c r="B72" s="3" t="inlineStr">
        <is>
          <t>RNO</t>
        </is>
      </c>
      <c r="C72" s="3" t="inlineStr">
        <is>
          <t>صرف مواد للإنتاج – مزرعة الرياض</t>
        </is>
      </c>
      <c r="D72" s="3" t="inlineStr">
        <is>
          <t>RNO-2049</t>
        </is>
      </c>
      <c r="E72" s="23" t="n">
        <v>45897</v>
      </c>
      <c r="F72" s="3" t="inlineStr">
        <is>
          <t>OPERATION RIYADH NURSERY</t>
        </is>
      </c>
      <c r="G72" s="3" t="n"/>
      <c r="H72" s="4" t="n">
        <v>4467.75</v>
      </c>
      <c r="I72" s="3" t="inlineStr">
        <is>
          <t>النظام القديم (سجل الحركات)</t>
        </is>
      </c>
      <c r="J72" s="3" t="inlineStr">
        <is>
          <t>نعم</t>
        </is>
      </c>
      <c r="K72" s="3" t="inlineStr">
        <is>
          <t>بدون تفصيل بنود في السجل (قيمة إجمالية فقط)</t>
        </is>
      </c>
    </row>
    <row r="73">
      <c r="A73" s="3" t="n">
        <v>72</v>
      </c>
      <c r="B73" s="3" t="inlineStr">
        <is>
          <t>RNO</t>
        </is>
      </c>
      <c r="C73" s="3" t="inlineStr">
        <is>
          <t>صرف مواد للإنتاج – مزرعة الرياض</t>
        </is>
      </c>
      <c r="D73" s="3" t="inlineStr">
        <is>
          <t>RNO-2218</t>
        </is>
      </c>
      <c r="E73" s="23" t="n">
        <v>45898</v>
      </c>
      <c r="F73" s="3" t="inlineStr">
        <is>
          <t>OPERATION RIYADH NURSERY</t>
        </is>
      </c>
      <c r="G73" s="3" t="n"/>
      <c r="H73" s="4" t="n">
        <v>8625</v>
      </c>
      <c r="I73" s="3" t="inlineStr">
        <is>
          <t>النظام القديم (سجل الحركات)</t>
        </is>
      </c>
      <c r="J73" s="3" t="inlineStr">
        <is>
          <t>نعم</t>
        </is>
      </c>
      <c r="K73" s="3" t="inlineStr">
        <is>
          <t>بدون تفصيل بنود في السجل (قيمة إجمالية فقط)</t>
        </is>
      </c>
    </row>
    <row r="74">
      <c r="A74" s="3" t="n">
        <v>73</v>
      </c>
      <c r="B74" s="3" t="inlineStr">
        <is>
          <t>RNO</t>
        </is>
      </c>
      <c r="C74" s="3" t="inlineStr">
        <is>
          <t>صرف مواد للإنتاج – مزرعة الرياض</t>
        </is>
      </c>
      <c r="D74" s="3" t="inlineStr">
        <is>
          <t>RNO-2063</t>
        </is>
      </c>
      <c r="E74" s="23" t="n">
        <v>45899</v>
      </c>
      <c r="F74" s="3" t="inlineStr">
        <is>
          <t>OPERATION RIYADH NURSERY</t>
        </is>
      </c>
      <c r="G74" s="3" t="n"/>
      <c r="H74" s="4" t="n">
        <v>9617.450000000001</v>
      </c>
      <c r="I74" s="3" t="inlineStr">
        <is>
          <t>النظام القديم (سجل الحركات)</t>
        </is>
      </c>
      <c r="J74" s="3" t="inlineStr">
        <is>
          <t>نعم</t>
        </is>
      </c>
      <c r="K74" s="3" t="inlineStr">
        <is>
          <t>بدون تفصيل بنود في السجل (قيمة إجمالية فقط)</t>
        </is>
      </c>
    </row>
    <row r="75">
      <c r="A75" s="3" t="n">
        <v>74</v>
      </c>
      <c r="B75" s="3" t="inlineStr">
        <is>
          <t>RNO</t>
        </is>
      </c>
      <c r="C75" s="3" t="inlineStr">
        <is>
          <t>صرف مواد للإنتاج – مزرعة الرياض</t>
        </is>
      </c>
      <c r="D75" s="3" t="inlineStr">
        <is>
          <t>RNO-2071</t>
        </is>
      </c>
      <c r="E75" s="23" t="n">
        <v>45901</v>
      </c>
      <c r="F75" s="3" t="inlineStr">
        <is>
          <t>OPERATION RIYADH NURSERY</t>
        </is>
      </c>
      <c r="G75" s="3" t="n"/>
      <c r="H75" s="4" t="n">
        <v>414</v>
      </c>
      <c r="I75" s="3" t="inlineStr">
        <is>
          <t>النظام القديم (سجل الحركات)</t>
        </is>
      </c>
      <c r="J75" s="3" t="inlineStr">
        <is>
          <t>نعم</t>
        </is>
      </c>
      <c r="K75" s="3" t="inlineStr">
        <is>
          <t>بدون تفصيل بنود في السجل (قيمة إجمالية فقط)</t>
        </is>
      </c>
    </row>
    <row r="76">
      <c r="A76" s="3" t="n">
        <v>75</v>
      </c>
      <c r="B76" s="3" t="inlineStr">
        <is>
          <t>RNO</t>
        </is>
      </c>
      <c r="C76" s="3" t="inlineStr">
        <is>
          <t>صرف مواد للإنتاج – مزرعة الرياض</t>
        </is>
      </c>
      <c r="D76" s="3" t="inlineStr">
        <is>
          <t>RNO-2074</t>
        </is>
      </c>
      <c r="E76" s="23" t="n">
        <v>45901</v>
      </c>
      <c r="F76" s="3" t="inlineStr">
        <is>
          <t>OPERATION RIYADH NURSERY</t>
        </is>
      </c>
      <c r="G76" s="3" t="n"/>
      <c r="H76" s="4" t="n">
        <v>17583.5</v>
      </c>
      <c r="I76" s="3" t="inlineStr">
        <is>
          <t>النظام القديم (سجل الحركات)</t>
        </is>
      </c>
      <c r="J76" s="3" t="inlineStr">
        <is>
          <t>نعم</t>
        </is>
      </c>
      <c r="K76" s="3" t="inlineStr">
        <is>
          <t>بدون تفصيل بنود في السجل (قيمة إجمالية فقط)</t>
        </is>
      </c>
    </row>
    <row r="77">
      <c r="A77" s="3" t="n">
        <v>76</v>
      </c>
      <c r="B77" s="3" t="inlineStr">
        <is>
          <t>RNO</t>
        </is>
      </c>
      <c r="C77" s="3" t="inlineStr">
        <is>
          <t>صرف مواد للإنتاج – مزرعة الرياض</t>
        </is>
      </c>
      <c r="D77" s="3" t="inlineStr">
        <is>
          <t>RNO-2082</t>
        </is>
      </c>
      <c r="E77" s="23" t="n">
        <v>45901</v>
      </c>
      <c r="F77" s="3" t="inlineStr">
        <is>
          <t>OPERATION RIYADH NURSERY</t>
        </is>
      </c>
      <c r="G77" s="3" t="n"/>
      <c r="H77" s="4" t="n">
        <v>2551.85</v>
      </c>
      <c r="I77" s="3" t="inlineStr">
        <is>
          <t>النظام القديم (سجل الحركات)</t>
        </is>
      </c>
      <c r="J77" s="3" t="inlineStr">
        <is>
          <t>نعم</t>
        </is>
      </c>
      <c r="K77" s="3" t="inlineStr">
        <is>
          <t>بدون تفصيل بنود في السجل (قيمة إجمالية فقط)</t>
        </is>
      </c>
    </row>
    <row r="78">
      <c r="A78" s="3" t="n">
        <v>77</v>
      </c>
      <c r="B78" s="3" t="inlineStr">
        <is>
          <t>RNO</t>
        </is>
      </c>
      <c r="C78" s="3" t="inlineStr">
        <is>
          <t>صرف مواد للإنتاج – مزرعة الرياض</t>
        </is>
      </c>
      <c r="D78" s="3" t="inlineStr">
        <is>
          <t>RNO-2087</t>
        </is>
      </c>
      <c r="E78" s="23" t="n">
        <v>45902</v>
      </c>
      <c r="F78" s="3" t="inlineStr">
        <is>
          <t>OPERATION RIYADH NURSERY</t>
        </is>
      </c>
      <c r="G78" s="3" t="n"/>
      <c r="H78" s="4" t="n">
        <v>4996.75</v>
      </c>
      <c r="I78" s="3" t="inlineStr">
        <is>
          <t>النظام القديم (سجل الحركات)</t>
        </is>
      </c>
      <c r="J78" s="3" t="inlineStr">
        <is>
          <t>نعم</t>
        </is>
      </c>
      <c r="K78" s="3" t="inlineStr">
        <is>
          <t>بدون تفصيل بنود في السجل (قيمة إجمالية فقط)</t>
        </is>
      </c>
    </row>
    <row r="79">
      <c r="A79" s="3" t="n">
        <v>78</v>
      </c>
      <c r="B79" s="3" t="inlineStr">
        <is>
          <t>RNO</t>
        </is>
      </c>
      <c r="C79" s="3" t="inlineStr">
        <is>
          <t>صرف مواد للإنتاج – مزرعة الرياض</t>
        </is>
      </c>
      <c r="D79" s="3" t="inlineStr">
        <is>
          <t>RNO-2209</t>
        </is>
      </c>
      <c r="E79" s="23" t="n">
        <v>45903</v>
      </c>
      <c r="F79" s="3" t="inlineStr">
        <is>
          <t>OPERATION RIYADH NURSERY</t>
        </is>
      </c>
      <c r="G79" s="3" t="n"/>
      <c r="H79" s="4" t="n">
        <v>1071.8</v>
      </c>
      <c r="I79" s="3" t="inlineStr">
        <is>
          <t>النظام القديم (سجل الحركات)</t>
        </is>
      </c>
      <c r="J79" s="3" t="inlineStr">
        <is>
          <t>نعم</t>
        </is>
      </c>
      <c r="K79" s="3" t="inlineStr">
        <is>
          <t>بدون تفصيل بنود في السجل (قيمة إجمالية فقط)</t>
        </is>
      </c>
    </row>
    <row r="80">
      <c r="A80" s="3" t="n">
        <v>79</v>
      </c>
      <c r="B80" s="3" t="inlineStr">
        <is>
          <t>RNO</t>
        </is>
      </c>
      <c r="C80" s="3" t="inlineStr">
        <is>
          <t>صرف مواد للإنتاج – مزرعة الرياض</t>
        </is>
      </c>
      <c r="D80" s="3" t="inlineStr">
        <is>
          <t>RNO-2109</t>
        </is>
      </c>
      <c r="E80" s="23" t="n">
        <v>45906</v>
      </c>
      <c r="F80" s="3" t="inlineStr">
        <is>
          <t>OPERATION RIYADH NURSERY</t>
        </is>
      </c>
      <c r="G80" s="3" t="n"/>
      <c r="H80" s="4" t="n">
        <v>10309.75</v>
      </c>
      <c r="I80" s="3" t="inlineStr">
        <is>
          <t>النظام القديم (سجل الحركات)</t>
        </is>
      </c>
      <c r="J80" s="3" t="inlineStr">
        <is>
          <t>نعم</t>
        </is>
      </c>
      <c r="K80" s="3" t="inlineStr">
        <is>
          <t>بدون تفصيل بنود في السجل (قيمة إجمالية فقط)</t>
        </is>
      </c>
    </row>
    <row r="81">
      <c r="A81" s="3" t="n">
        <v>80</v>
      </c>
      <c r="B81" s="3" t="inlineStr">
        <is>
          <t>RNO</t>
        </is>
      </c>
      <c r="C81" s="3" t="inlineStr">
        <is>
          <t>صرف مواد للإنتاج – مزرعة الرياض</t>
        </is>
      </c>
      <c r="D81" s="3" t="inlineStr">
        <is>
          <t>RNO-2142</t>
        </is>
      </c>
      <c r="E81" s="23" t="n">
        <v>45910</v>
      </c>
      <c r="F81" s="3" t="inlineStr">
        <is>
          <t>OPERATION RIYADH NURSERY</t>
        </is>
      </c>
      <c r="G81" s="3" t="n"/>
      <c r="H81" s="4" t="n">
        <v>7181.18</v>
      </c>
      <c r="I81" s="3" t="inlineStr">
        <is>
          <t>النظام القديم (سجل الحركات)</t>
        </is>
      </c>
      <c r="J81" s="3" t="inlineStr">
        <is>
          <t>نعم</t>
        </is>
      </c>
      <c r="K81" s="3" t="inlineStr">
        <is>
          <t>بدون تفصيل بنود في السجل (قيمة إجمالية فقط)</t>
        </is>
      </c>
    </row>
    <row r="82">
      <c r="A82" s="3" t="n">
        <v>81</v>
      </c>
      <c r="B82" s="3" t="inlineStr">
        <is>
          <t>RNO</t>
        </is>
      </c>
      <c r="C82" s="3" t="inlineStr">
        <is>
          <t>صرف مواد للإنتاج – مزرعة الرياض</t>
        </is>
      </c>
      <c r="D82" s="3" t="inlineStr">
        <is>
          <t>RNO-2156</t>
        </is>
      </c>
      <c r="E82" s="23" t="n">
        <v>45910</v>
      </c>
      <c r="F82" s="3" t="inlineStr">
        <is>
          <t>OPERATION RIYADH NURSERY</t>
        </is>
      </c>
      <c r="G82" s="3" t="n"/>
      <c r="H82" s="4" t="n">
        <v>1144.25</v>
      </c>
      <c r="I82" s="3" t="inlineStr">
        <is>
          <t>النظام القديم (سجل الحركات)</t>
        </is>
      </c>
      <c r="J82" s="3" t="inlineStr">
        <is>
          <t>نعم</t>
        </is>
      </c>
      <c r="K82" s="3" t="inlineStr">
        <is>
          <t>بدون تفصيل بنود في السجل (قيمة إجمالية فقط)</t>
        </is>
      </c>
    </row>
    <row r="83">
      <c r="A83" s="3" t="n">
        <v>82</v>
      </c>
      <c r="B83" s="3" t="inlineStr">
        <is>
          <t>RNO</t>
        </is>
      </c>
      <c r="C83" s="3" t="inlineStr">
        <is>
          <t>صرف مواد للإنتاج – مزرعة الرياض</t>
        </is>
      </c>
      <c r="D83" s="3" t="inlineStr">
        <is>
          <t>RNO-2219</t>
        </is>
      </c>
      <c r="E83" s="23" t="n">
        <v>45910</v>
      </c>
      <c r="F83" s="3" t="inlineStr">
        <is>
          <t>OPERATION RIYADH NURSERY</t>
        </is>
      </c>
      <c r="G83" s="3" t="n"/>
      <c r="H83" s="4" t="n">
        <v>14202.5</v>
      </c>
      <c r="I83" s="3" t="inlineStr">
        <is>
          <t>النظام القديم (سجل الحركات)</t>
        </is>
      </c>
      <c r="J83" s="3" t="inlineStr">
        <is>
          <t>نعم</t>
        </is>
      </c>
      <c r="K83" s="3" t="inlineStr">
        <is>
          <t>بدون تفصيل بنود في السجل (قيمة إجمالية فقط)</t>
        </is>
      </c>
    </row>
    <row r="84">
      <c r="A84" s="3" t="n">
        <v>83</v>
      </c>
      <c r="B84" s="3" t="inlineStr">
        <is>
          <t>RNO</t>
        </is>
      </c>
      <c r="C84" s="3" t="inlineStr">
        <is>
          <t>صرف مواد للإنتاج – مزرعة الرياض</t>
        </is>
      </c>
      <c r="D84" s="3" t="inlineStr">
        <is>
          <t>RNO-2163</t>
        </is>
      </c>
      <c r="E84" s="23" t="n">
        <v>45911</v>
      </c>
      <c r="F84" s="3" t="inlineStr">
        <is>
          <t>OPERATION RIYADH NURSERY</t>
        </is>
      </c>
      <c r="G84" s="3" t="n"/>
      <c r="H84" s="4" t="n">
        <v>6399.75</v>
      </c>
      <c r="I84" s="3" t="inlineStr">
        <is>
          <t>النظام القديم (سجل الحركات)</t>
        </is>
      </c>
      <c r="J84" s="3" t="inlineStr">
        <is>
          <t>نعم</t>
        </is>
      </c>
      <c r="K84" s="3" t="inlineStr">
        <is>
          <t>بدون تفصيل بنود في السجل (قيمة إجمالية فقط)</t>
        </is>
      </c>
    </row>
    <row r="85">
      <c r="A85" s="3" t="n">
        <v>84</v>
      </c>
      <c r="B85" s="3" t="inlineStr">
        <is>
          <t>RNO</t>
        </is>
      </c>
      <c r="C85" s="3" t="inlineStr">
        <is>
          <t>صرف مواد للإنتاج – مزرعة الرياض</t>
        </is>
      </c>
      <c r="D85" s="3" t="inlineStr">
        <is>
          <t>RNO-2221</t>
        </is>
      </c>
      <c r="E85" s="23" t="n">
        <v>45912</v>
      </c>
      <c r="F85" s="3" t="inlineStr">
        <is>
          <t>OPERATION RIYADH NURSERY</t>
        </is>
      </c>
      <c r="G85" s="3" t="n"/>
      <c r="H85" s="4" t="n">
        <v>15525</v>
      </c>
      <c r="I85" s="3" t="inlineStr">
        <is>
          <t>النظام القديم (سجل الحركات)</t>
        </is>
      </c>
      <c r="J85" s="3" t="inlineStr">
        <is>
          <t>نعم</t>
        </is>
      </c>
      <c r="K85" s="3" t="inlineStr">
        <is>
          <t>بدون تفصيل بنود في السجل (قيمة إجمالية فقط)</t>
        </is>
      </c>
    </row>
    <row r="86">
      <c r="A86" s="3" t="n">
        <v>85</v>
      </c>
      <c r="B86" s="3" t="inlineStr">
        <is>
          <t>RNO</t>
        </is>
      </c>
      <c r="C86" s="3" t="inlineStr">
        <is>
          <t>صرف مواد للإنتاج – مزرعة الرياض</t>
        </is>
      </c>
      <c r="D86" s="3" t="inlineStr">
        <is>
          <t>RNO-2174</t>
        </is>
      </c>
      <c r="E86" s="23" t="n">
        <v>45913</v>
      </c>
      <c r="F86" s="3" t="inlineStr">
        <is>
          <t>OPERATION RIYADH NURSERY</t>
        </is>
      </c>
      <c r="G86" s="3" t="n"/>
      <c r="H86" s="4" t="n">
        <v>1337.45</v>
      </c>
      <c r="I86" s="3" t="inlineStr">
        <is>
          <t>النظام القديم (سجل الحركات)</t>
        </is>
      </c>
      <c r="J86" s="3" t="inlineStr">
        <is>
          <t>نعم</t>
        </is>
      </c>
      <c r="K86" s="3" t="inlineStr">
        <is>
          <t>بدون تفصيل بنود في السجل (قيمة إجمالية فقط)</t>
        </is>
      </c>
    </row>
    <row r="87">
      <c r="A87" s="3" t="n">
        <v>86</v>
      </c>
      <c r="B87" s="3" t="inlineStr">
        <is>
          <t>RNO</t>
        </is>
      </c>
      <c r="C87" s="3" t="inlineStr">
        <is>
          <t>صرف مواد للإنتاج – مزرعة الرياض</t>
        </is>
      </c>
      <c r="D87" s="3" t="inlineStr">
        <is>
          <t>RNO-2189</t>
        </is>
      </c>
      <c r="E87" s="23" t="n">
        <v>45914</v>
      </c>
      <c r="F87" s="3" t="inlineStr">
        <is>
          <t>OPERATION RIYADH NURSERY</t>
        </is>
      </c>
      <c r="G87" s="3" t="n"/>
      <c r="H87" s="4" t="n">
        <v>1920.5</v>
      </c>
      <c r="I87" s="3" t="inlineStr">
        <is>
          <t>النظام القديم (سجل الحركات)</t>
        </is>
      </c>
      <c r="J87" s="3" t="inlineStr">
        <is>
          <t>نعم</t>
        </is>
      </c>
      <c r="K87" s="3" t="inlineStr">
        <is>
          <t>بدون تفصيل بنود في السجل (قيمة إجمالية فقط)</t>
        </is>
      </c>
    </row>
    <row r="88">
      <c r="A88" s="3" t="n">
        <v>87</v>
      </c>
      <c r="B88" s="3" t="inlineStr">
        <is>
          <t>RNO</t>
        </is>
      </c>
      <c r="C88" s="3" t="inlineStr">
        <is>
          <t>صرف مواد للإنتاج – مزرعة الرياض</t>
        </is>
      </c>
      <c r="D88" s="3" t="inlineStr">
        <is>
          <t>RNO-2201</t>
        </is>
      </c>
      <c r="E88" s="23" t="n">
        <v>45915</v>
      </c>
      <c r="F88" s="3" t="inlineStr">
        <is>
          <t>OPERATION RIYADH NURSERY</t>
        </is>
      </c>
      <c r="G88" s="3" t="n"/>
      <c r="H88" s="4" t="n">
        <v>5589</v>
      </c>
      <c r="I88" s="3" t="inlineStr">
        <is>
          <t>النظام القديم (سجل الحركات)</t>
        </is>
      </c>
      <c r="J88" s="3" t="inlineStr">
        <is>
          <t>نعم</t>
        </is>
      </c>
      <c r="K88" s="3" t="inlineStr">
        <is>
          <t>بدون تفصيل بنود في السجل (قيمة إجمالية فقط)</t>
        </is>
      </c>
    </row>
    <row r="89">
      <c r="A89" s="3" t="n">
        <v>88</v>
      </c>
      <c r="B89" s="3" t="inlineStr">
        <is>
          <t>RNO</t>
        </is>
      </c>
      <c r="C89" s="3" t="inlineStr">
        <is>
          <t>صرف مواد للإنتاج – مزرعة الرياض</t>
        </is>
      </c>
      <c r="D89" s="3" t="inlineStr">
        <is>
          <t>RNO-2214</t>
        </is>
      </c>
      <c r="E89" s="23" t="n">
        <v>45916</v>
      </c>
      <c r="F89" s="3" t="inlineStr">
        <is>
          <t>OPERATION RIYADH NURSERY</t>
        </is>
      </c>
      <c r="G89" s="3" t="n"/>
      <c r="H89" s="4" t="n">
        <v>3490.25</v>
      </c>
      <c r="I89" s="3" t="inlineStr">
        <is>
          <t>النظام القديم (سجل الحركات)</t>
        </is>
      </c>
      <c r="J89" s="3" t="inlineStr">
        <is>
          <t>نعم</t>
        </is>
      </c>
      <c r="K89" s="3" t="inlineStr">
        <is>
          <t>بدون تفصيل بنود في السجل (قيمة إجمالية فقط)</t>
        </is>
      </c>
    </row>
    <row r="90">
      <c r="A90" s="3" t="n">
        <v>89</v>
      </c>
      <c r="B90" s="3" t="inlineStr">
        <is>
          <t>RNO</t>
        </is>
      </c>
      <c r="C90" s="3" t="inlineStr">
        <is>
          <t>صرف مواد للإنتاج – مزرعة الرياض</t>
        </is>
      </c>
      <c r="D90" s="3" t="inlineStr">
        <is>
          <t>RNO-2229</t>
        </is>
      </c>
      <c r="E90" s="23" t="n">
        <v>45917</v>
      </c>
      <c r="F90" s="3" t="inlineStr">
        <is>
          <t>OPERATION RIYADH NURSERY</t>
        </is>
      </c>
      <c r="G90" s="3" t="n"/>
      <c r="H90" s="4" t="n">
        <v>3447.13</v>
      </c>
      <c r="I90" s="3" t="inlineStr">
        <is>
          <t>النظام القديم (سجل الحركات)</t>
        </is>
      </c>
      <c r="J90" s="3" t="inlineStr">
        <is>
          <t>نعم</t>
        </is>
      </c>
      <c r="K90" s="3" t="inlineStr">
        <is>
          <t>بدون تفصيل بنود في السجل (قيمة إجمالية فقط)</t>
        </is>
      </c>
    </row>
    <row r="91">
      <c r="A91" s="3" t="n">
        <v>90</v>
      </c>
      <c r="B91" s="3" t="inlineStr">
        <is>
          <t>RNO</t>
        </is>
      </c>
      <c r="C91" s="3" t="inlineStr">
        <is>
          <t>صرف مواد للإنتاج – مزرعة الرياض</t>
        </is>
      </c>
      <c r="D91" s="3" t="inlineStr">
        <is>
          <t>RNO-2235</t>
        </is>
      </c>
      <c r="E91" s="23" t="n">
        <v>45918</v>
      </c>
      <c r="F91" s="3" t="inlineStr">
        <is>
          <t>OPERATION RIYADH NURSERY</t>
        </is>
      </c>
      <c r="G91" s="3" t="n"/>
      <c r="H91" s="4" t="n">
        <v>15525</v>
      </c>
      <c r="I91" s="3" t="inlineStr">
        <is>
          <t>النظام القديم (سجل الحركات)</t>
        </is>
      </c>
      <c r="J91" s="3" t="inlineStr">
        <is>
          <t>نعم</t>
        </is>
      </c>
      <c r="K91" s="3" t="inlineStr">
        <is>
          <t>بدون تفصيل بنود في السجل (قيمة إجمالية فقط)</t>
        </is>
      </c>
    </row>
    <row r="92">
      <c r="A92" s="3" t="n">
        <v>91</v>
      </c>
      <c r="B92" s="3" t="inlineStr">
        <is>
          <t>RNO</t>
        </is>
      </c>
      <c r="C92" s="3" t="inlineStr">
        <is>
          <t>صرف مواد للإنتاج – مزرعة الرياض</t>
        </is>
      </c>
      <c r="D92" s="3" t="inlineStr">
        <is>
          <t>RNO-2245</t>
        </is>
      </c>
      <c r="E92" s="23" t="n">
        <v>45920</v>
      </c>
      <c r="F92" s="3" t="inlineStr">
        <is>
          <t>OPERATION RIYADH NURSERY</t>
        </is>
      </c>
      <c r="G92" s="3" t="n"/>
      <c r="H92" s="4" t="n">
        <v>3450</v>
      </c>
      <c r="I92" s="3" t="inlineStr">
        <is>
          <t>النظام القديم (سجل الحركات)</t>
        </is>
      </c>
      <c r="J92" s="3" t="inlineStr">
        <is>
          <t>نعم</t>
        </is>
      </c>
      <c r="K92" s="3" t="inlineStr">
        <is>
          <t>بدون تفصيل بنود في السجل (قيمة إجمالية فقط)</t>
        </is>
      </c>
    </row>
    <row r="93">
      <c r="A93" s="3" t="n">
        <v>92</v>
      </c>
      <c r="B93" s="3" t="inlineStr">
        <is>
          <t>RNO</t>
        </is>
      </c>
      <c r="C93" s="3" t="inlineStr">
        <is>
          <t>صرف مواد للإنتاج – مزرعة الرياض</t>
        </is>
      </c>
      <c r="D93" s="3" t="inlineStr">
        <is>
          <t>RNO-2269</t>
        </is>
      </c>
      <c r="E93" s="23" t="n">
        <v>45924</v>
      </c>
      <c r="F93" s="3" t="inlineStr">
        <is>
          <t>OPERATION RIYADH NURSERY</t>
        </is>
      </c>
      <c r="G93" s="3" t="n"/>
      <c r="H93" s="4" t="n">
        <v>10898.55</v>
      </c>
      <c r="I93" s="3" t="inlineStr">
        <is>
          <t>النظام القديم (سجل الحركات)</t>
        </is>
      </c>
      <c r="J93" s="3" t="inlineStr">
        <is>
          <t>نعم</t>
        </is>
      </c>
      <c r="K93" s="3" t="inlineStr">
        <is>
          <t>بدون تفصيل بنود في السجل (قيمة إجمالية فقط)</t>
        </is>
      </c>
    </row>
    <row r="94">
      <c r="A94" s="3" t="n">
        <v>93</v>
      </c>
      <c r="B94" s="3" t="inlineStr">
        <is>
          <t>RNO</t>
        </is>
      </c>
      <c r="C94" s="3" t="inlineStr">
        <is>
          <t>صرف مواد للإنتاج – مزرعة الرياض</t>
        </is>
      </c>
      <c r="D94" s="3" t="inlineStr">
        <is>
          <t>RNO-2284</t>
        </is>
      </c>
      <c r="E94" s="23" t="n">
        <v>45924</v>
      </c>
      <c r="F94" s="3" t="inlineStr">
        <is>
          <t>OPERATION RIYADH NURSERY</t>
        </is>
      </c>
      <c r="G94" s="3" t="n"/>
      <c r="H94" s="4" t="n">
        <v>2466.75</v>
      </c>
      <c r="I94" s="3" t="inlineStr">
        <is>
          <t>النظام القديم (سجل الحركات)</t>
        </is>
      </c>
      <c r="J94" s="3" t="inlineStr">
        <is>
          <t>نعم</t>
        </is>
      </c>
      <c r="K94" s="3" t="inlineStr">
        <is>
          <t>بدون تفصيل بنود في السجل (قيمة إجمالية فقط)</t>
        </is>
      </c>
    </row>
    <row r="95">
      <c r="A95" s="3" t="n">
        <v>94</v>
      </c>
      <c r="B95" s="3" t="inlineStr">
        <is>
          <t>RNO</t>
        </is>
      </c>
      <c r="C95" s="3" t="inlineStr">
        <is>
          <t>صرف مواد للإنتاج – مزرعة الرياض</t>
        </is>
      </c>
      <c r="D95" s="3" t="inlineStr">
        <is>
          <t>RNO-2294</t>
        </is>
      </c>
      <c r="E95" s="23" t="n">
        <v>45926</v>
      </c>
      <c r="F95" s="3" t="inlineStr">
        <is>
          <t>OPERATION RIYADH NURSERY</t>
        </is>
      </c>
      <c r="G95" s="3" t="n"/>
      <c r="H95" s="4" t="n">
        <v>303.6</v>
      </c>
      <c r="I95" s="3" t="inlineStr">
        <is>
          <t>النظام القديم (سجل الحركات)</t>
        </is>
      </c>
      <c r="J95" s="3" t="inlineStr">
        <is>
          <t>نعم</t>
        </is>
      </c>
      <c r="K95" s="3" t="inlineStr">
        <is>
          <t>بدون تفصيل بنود في السجل (قيمة إجمالية فقط)</t>
        </is>
      </c>
    </row>
    <row r="96">
      <c r="A96" s="3" t="n">
        <v>95</v>
      </c>
      <c r="B96" s="3" t="inlineStr">
        <is>
          <t>RNO</t>
        </is>
      </c>
      <c r="C96" s="3" t="inlineStr">
        <is>
          <t>صرف مواد للإنتاج – مزرعة الرياض</t>
        </is>
      </c>
      <c r="D96" s="3" t="inlineStr">
        <is>
          <t>RNO-2310</t>
        </is>
      </c>
      <c r="E96" s="23" t="n">
        <v>45927</v>
      </c>
      <c r="F96" s="3" t="inlineStr">
        <is>
          <t>OPERATION RIYADH NURSERY</t>
        </is>
      </c>
      <c r="G96" s="3" t="n"/>
      <c r="H96" s="4" t="n">
        <v>6166.3</v>
      </c>
      <c r="I96" s="3" t="inlineStr">
        <is>
          <t>النظام القديم (سجل الحركات)</t>
        </is>
      </c>
      <c r="J96" s="3" t="inlineStr">
        <is>
          <t>نعم</t>
        </is>
      </c>
      <c r="K96" s="3" t="inlineStr">
        <is>
          <t>بدون تفصيل بنود في السجل (قيمة إجمالية فقط)</t>
        </is>
      </c>
    </row>
    <row r="97">
      <c r="A97" s="3" t="n">
        <v>96</v>
      </c>
      <c r="B97" s="3" t="inlineStr">
        <is>
          <t>RNO</t>
        </is>
      </c>
      <c r="C97" s="3" t="inlineStr">
        <is>
          <t>صرف مواد للإنتاج – مزرعة الرياض</t>
        </is>
      </c>
      <c r="D97" s="3" t="inlineStr">
        <is>
          <t>RNO-2317</t>
        </is>
      </c>
      <c r="E97" s="23" t="n">
        <v>45928</v>
      </c>
      <c r="F97" s="3" t="inlineStr">
        <is>
          <t>OPERATION RIYADH NURSERY</t>
        </is>
      </c>
      <c r="G97" s="3" t="n"/>
      <c r="H97" s="4" t="n">
        <v>2208</v>
      </c>
      <c r="I97" s="3" t="inlineStr">
        <is>
          <t>النظام القديم (سجل الحركات)</t>
        </is>
      </c>
      <c r="J97" s="3" t="inlineStr">
        <is>
          <t>نعم</t>
        </is>
      </c>
      <c r="K97" s="3" t="inlineStr">
        <is>
          <t>بدون تفصيل بنود في السجل (قيمة إجمالية فقط)</t>
        </is>
      </c>
    </row>
    <row r="98">
      <c r="A98" s="3" t="n">
        <v>97</v>
      </c>
      <c r="B98" s="3" t="inlineStr">
        <is>
          <t>RNO</t>
        </is>
      </c>
      <c r="C98" s="3" t="inlineStr">
        <is>
          <t>صرف مواد للإنتاج – مزرعة الرياض</t>
        </is>
      </c>
      <c r="D98" s="3" t="inlineStr">
        <is>
          <t>RNO-2326</t>
        </is>
      </c>
      <c r="E98" s="23" t="n">
        <v>45930</v>
      </c>
      <c r="F98" s="3" t="inlineStr">
        <is>
          <t>OPERATION RIYADH NURSERY</t>
        </is>
      </c>
      <c r="G98" s="3" t="n"/>
      <c r="H98" s="4" t="n">
        <v>20518.3</v>
      </c>
      <c r="I98" s="3" t="inlineStr">
        <is>
          <t>النظام القديم (سجل الحركات)</t>
        </is>
      </c>
      <c r="J98" s="3" t="inlineStr">
        <is>
          <t>نعم</t>
        </is>
      </c>
      <c r="K98" s="3" t="inlineStr">
        <is>
          <t>بدون تفصيل بنود في السجل (قيمة إجمالية فقط)</t>
        </is>
      </c>
    </row>
    <row r="99">
      <c r="A99" s="3" t="n">
        <v>98</v>
      </c>
      <c r="B99" s="3" t="inlineStr">
        <is>
          <t>RNO</t>
        </is>
      </c>
      <c r="C99" s="3" t="inlineStr">
        <is>
          <t>صرف مواد للإنتاج – مزرعة الرياض</t>
        </is>
      </c>
      <c r="D99" s="3" t="inlineStr">
        <is>
          <t>RNO-2342</t>
        </is>
      </c>
      <c r="E99" s="23" t="n">
        <v>45930</v>
      </c>
      <c r="F99" s="3" t="inlineStr">
        <is>
          <t>OPERATION RIYADH NURSERY</t>
        </is>
      </c>
      <c r="G99" s="3" t="n"/>
      <c r="H99" s="4" t="n">
        <v>8400.75</v>
      </c>
      <c r="I99" s="3" t="inlineStr">
        <is>
          <t>النظام القديم (سجل الحركات)</t>
        </is>
      </c>
      <c r="J99" s="3" t="inlineStr">
        <is>
          <t>نعم</t>
        </is>
      </c>
      <c r="K99" s="3" t="inlineStr">
        <is>
          <t>بدون تفصيل بنود في السجل (قيمة إجمالية فقط)</t>
        </is>
      </c>
    </row>
    <row r="100">
      <c r="A100" s="3" t="n">
        <v>99</v>
      </c>
      <c r="B100" s="3" t="inlineStr">
        <is>
          <t>RNO</t>
        </is>
      </c>
      <c r="C100" s="3" t="inlineStr">
        <is>
          <t>صرف مواد للإنتاج – مزرعة الرياض</t>
        </is>
      </c>
      <c r="D100" s="3" t="inlineStr">
        <is>
          <t>RNO-2355</t>
        </is>
      </c>
      <c r="E100" s="23" t="n">
        <v>45933</v>
      </c>
      <c r="F100" s="3" t="inlineStr">
        <is>
          <t>OPERATION RIYADH NURSERY</t>
        </is>
      </c>
      <c r="G100" s="3" t="n"/>
      <c r="H100" s="4" t="n">
        <v>14682.05</v>
      </c>
      <c r="I100" s="3" t="inlineStr">
        <is>
          <t>النظام القديم (سجل الحركات)</t>
        </is>
      </c>
      <c r="J100" s="3" t="inlineStr">
        <is>
          <t>نعم</t>
        </is>
      </c>
      <c r="K100" s="3" t="inlineStr">
        <is>
          <t>بدون تفصيل بنود في السجل (قيمة إجمالية فقط)</t>
        </is>
      </c>
    </row>
    <row r="101">
      <c r="A101" s="3" t="n">
        <v>100</v>
      </c>
      <c r="B101" s="3" t="inlineStr">
        <is>
          <t>RNO</t>
        </is>
      </c>
      <c r="C101" s="3" t="inlineStr">
        <is>
          <t>صرف مواد للإنتاج – مزرعة الرياض</t>
        </is>
      </c>
      <c r="D101" s="3" t="inlineStr">
        <is>
          <t>RNO-2363</t>
        </is>
      </c>
      <c r="E101" s="23" t="n">
        <v>45934</v>
      </c>
      <c r="F101" s="3" t="inlineStr">
        <is>
          <t>OPERATION RIYADH NURSERY</t>
        </is>
      </c>
      <c r="G101" s="3" t="n"/>
      <c r="H101" s="4" t="n">
        <v>24668.08</v>
      </c>
      <c r="I101" s="3" t="inlineStr">
        <is>
          <t>النظام القديم (سجل الحركات)</t>
        </is>
      </c>
      <c r="J101" s="3" t="inlineStr">
        <is>
          <t>نعم</t>
        </is>
      </c>
      <c r="K101" s="3" t="inlineStr">
        <is>
          <t>بدون تفصيل بنود في السجل (قيمة إجمالية فقط)</t>
        </is>
      </c>
    </row>
    <row r="102">
      <c r="A102" s="3" t="n">
        <v>101</v>
      </c>
      <c r="B102" s="3" t="inlineStr">
        <is>
          <t>RNO</t>
        </is>
      </c>
      <c r="C102" s="3" t="inlineStr">
        <is>
          <t>صرف مواد للإنتاج – مزرعة الرياض</t>
        </is>
      </c>
      <c r="D102" s="3" t="inlineStr">
        <is>
          <t>RNO-2399</t>
        </is>
      </c>
      <c r="E102" s="23" t="n">
        <v>45938</v>
      </c>
      <c r="F102" s="3" t="inlineStr">
        <is>
          <t>OPERATION RIYADH NURSERY</t>
        </is>
      </c>
      <c r="G102" s="3" t="n"/>
      <c r="H102" s="4" t="n">
        <v>13531.48</v>
      </c>
      <c r="I102" s="3" t="inlineStr">
        <is>
          <t>النظام القديم (سجل الحركات)</t>
        </is>
      </c>
      <c r="J102" s="3" t="inlineStr">
        <is>
          <t>نعم</t>
        </is>
      </c>
      <c r="K102" s="3" t="inlineStr">
        <is>
          <t>بدون تفصيل بنود في السجل (قيمة إجمالية فقط)</t>
        </is>
      </c>
    </row>
    <row r="103">
      <c r="A103" s="3" t="n">
        <v>102</v>
      </c>
      <c r="B103" s="3" t="inlineStr">
        <is>
          <t>RNO</t>
        </is>
      </c>
      <c r="C103" s="3" t="inlineStr">
        <is>
          <t>صرف مواد للإنتاج – مزرعة الرياض</t>
        </is>
      </c>
      <c r="D103" s="3" t="inlineStr">
        <is>
          <t>RNO-2409</t>
        </is>
      </c>
      <c r="E103" s="23" t="n">
        <v>45938</v>
      </c>
      <c r="F103" s="3" t="inlineStr">
        <is>
          <t>OPERATION RIYADH NURSERY</t>
        </is>
      </c>
      <c r="G103" s="3" t="n"/>
      <c r="H103" s="4" t="n">
        <v>552</v>
      </c>
      <c r="I103" s="3" t="inlineStr">
        <is>
          <t>النظام القديم (سجل الحركات)</t>
        </is>
      </c>
      <c r="J103" s="3" t="inlineStr">
        <is>
          <t>نعم</t>
        </is>
      </c>
      <c r="K103" s="3" t="inlineStr">
        <is>
          <t>بدون تفصيل بنود في السجل (قيمة إجمالية فقط)</t>
        </is>
      </c>
    </row>
    <row r="104">
      <c r="A104" s="3" t="n">
        <v>103</v>
      </c>
      <c r="B104" s="3" t="inlineStr">
        <is>
          <t>RNO</t>
        </is>
      </c>
      <c r="C104" s="3" t="inlineStr">
        <is>
          <t>صرف مواد للإنتاج – مزرعة الرياض</t>
        </is>
      </c>
      <c r="D104" s="3" t="inlineStr">
        <is>
          <t>RNO-2417</t>
        </is>
      </c>
      <c r="E104" s="23" t="n">
        <v>45939</v>
      </c>
      <c r="F104" s="3" t="inlineStr">
        <is>
          <t>OPERATION RIYADH NURSERY</t>
        </is>
      </c>
      <c r="G104" s="3" t="n"/>
      <c r="H104" s="4" t="n">
        <v>56107.93</v>
      </c>
      <c r="I104" s="3" t="inlineStr">
        <is>
          <t>النظام القديم (سجل الحركات)</t>
        </is>
      </c>
      <c r="J104" s="3" t="inlineStr">
        <is>
          <t>نعم</t>
        </is>
      </c>
      <c r="K104" s="3" t="inlineStr">
        <is>
          <t>بدون تفصيل بنود في السجل (قيمة إجمالية فقط)</t>
        </is>
      </c>
    </row>
    <row r="105">
      <c r="A105" s="3" t="n">
        <v>104</v>
      </c>
      <c r="B105" s="3" t="inlineStr">
        <is>
          <t>RNO</t>
        </is>
      </c>
      <c r="C105" s="3" t="inlineStr">
        <is>
          <t>صرف مواد للإنتاج – مزرعة الرياض</t>
        </is>
      </c>
      <c r="D105" s="3" t="inlineStr">
        <is>
          <t>RNO-2432</t>
        </is>
      </c>
      <c r="E105" s="23" t="n">
        <v>45941</v>
      </c>
      <c r="F105" s="3" t="inlineStr">
        <is>
          <t>OPERATION RIYADH NURSERY</t>
        </is>
      </c>
      <c r="G105" s="3" t="n"/>
      <c r="H105" s="4" t="n">
        <v>15117.9</v>
      </c>
      <c r="I105" s="3" t="inlineStr">
        <is>
          <t>النظام القديم (سجل الحركات)</t>
        </is>
      </c>
      <c r="J105" s="3" t="inlineStr">
        <is>
          <t>نعم</t>
        </is>
      </c>
      <c r="K105" s="3" t="inlineStr">
        <is>
          <t>بدون تفصيل بنود في السجل (قيمة إجمالية فقط)</t>
        </is>
      </c>
    </row>
    <row r="106">
      <c r="A106" s="3" t="n">
        <v>105</v>
      </c>
      <c r="B106" s="3" t="inlineStr">
        <is>
          <t>RNO</t>
        </is>
      </c>
      <c r="C106" s="3" t="inlineStr">
        <is>
          <t>صرف مواد للإنتاج – مزرعة الرياض</t>
        </is>
      </c>
      <c r="D106" s="3" t="inlineStr">
        <is>
          <t>RNO-2448</t>
        </is>
      </c>
      <c r="E106" s="23" t="n">
        <v>45942</v>
      </c>
      <c r="F106" s="3" t="inlineStr">
        <is>
          <t>OPERATION RIYADH NURSERY</t>
        </is>
      </c>
      <c r="G106" s="3" t="n"/>
      <c r="H106" s="4" t="n">
        <v>2386.25</v>
      </c>
      <c r="I106" s="3" t="inlineStr">
        <is>
          <t>النظام القديم (سجل الحركات)</t>
        </is>
      </c>
      <c r="J106" s="3" t="inlineStr">
        <is>
          <t>نعم</t>
        </is>
      </c>
      <c r="K106" s="3" t="inlineStr">
        <is>
          <t>بدون تفصيل بنود في السجل (قيمة إجمالية فقط)</t>
        </is>
      </c>
    </row>
    <row r="107">
      <c r="A107" s="3" t="n">
        <v>106</v>
      </c>
      <c r="B107" s="3" t="inlineStr">
        <is>
          <t>RNO</t>
        </is>
      </c>
      <c r="C107" s="3" t="inlineStr">
        <is>
          <t>صرف مواد للإنتاج – مزرعة الرياض</t>
        </is>
      </c>
      <c r="D107" s="3" t="inlineStr">
        <is>
          <t>RNO-2463</t>
        </is>
      </c>
      <c r="E107" s="23" t="n">
        <v>45943</v>
      </c>
      <c r="F107" s="3" t="inlineStr">
        <is>
          <t>OPERATION RIYADH NURSERY</t>
        </is>
      </c>
      <c r="G107" s="3" t="n"/>
      <c r="H107" s="4" t="n">
        <v>8435.25</v>
      </c>
      <c r="I107" s="3" t="inlineStr">
        <is>
          <t>النظام القديم (سجل الحركات)</t>
        </is>
      </c>
      <c r="J107" s="3" t="inlineStr">
        <is>
          <t>نعم</t>
        </is>
      </c>
      <c r="K107" s="3" t="inlineStr">
        <is>
          <t>بدون تفصيل بنود في السجل (قيمة إجمالية فقط)</t>
        </is>
      </c>
    </row>
    <row r="108">
      <c r="A108" s="3" t="n">
        <v>107</v>
      </c>
      <c r="B108" s="3" t="inlineStr">
        <is>
          <t>RNO</t>
        </is>
      </c>
      <c r="C108" s="3" t="inlineStr">
        <is>
          <t>صرف مواد للإنتاج – مزرعة الرياض</t>
        </is>
      </c>
      <c r="D108" s="3" t="inlineStr">
        <is>
          <t>RNO-2478</t>
        </is>
      </c>
      <c r="E108" s="23" t="n">
        <v>45944</v>
      </c>
      <c r="F108" s="3" t="inlineStr">
        <is>
          <t>OPERATION RIYADH NURSERY</t>
        </is>
      </c>
      <c r="G108" s="3" t="n"/>
      <c r="H108" s="4" t="n">
        <v>8223.65</v>
      </c>
      <c r="I108" s="3" t="inlineStr">
        <is>
          <t>النظام القديم (سجل الحركات)</t>
        </is>
      </c>
      <c r="J108" s="3" t="inlineStr">
        <is>
          <t>نعم</t>
        </is>
      </c>
      <c r="K108" s="3" t="inlineStr">
        <is>
          <t>بدون تفصيل بنود في السجل (قيمة إجمالية فقط)</t>
        </is>
      </c>
    </row>
    <row r="109">
      <c r="A109" s="3" t="n">
        <v>108</v>
      </c>
      <c r="B109" s="3" t="inlineStr">
        <is>
          <t>RNO</t>
        </is>
      </c>
      <c r="C109" s="3" t="inlineStr">
        <is>
          <t>صرف مواد للإنتاج – مزرعة الرياض</t>
        </is>
      </c>
      <c r="D109" s="3" t="inlineStr">
        <is>
          <t>RNO-2507</t>
        </is>
      </c>
      <c r="E109" s="23" t="n">
        <v>45946</v>
      </c>
      <c r="F109" s="3" t="inlineStr">
        <is>
          <t>OPERATION RIYADH NURSERY</t>
        </is>
      </c>
      <c r="G109" s="3" t="n"/>
      <c r="H109" s="4" t="n">
        <v>1749.15</v>
      </c>
      <c r="I109" s="3" t="inlineStr">
        <is>
          <t>النظام القديم (سجل الحركات)</t>
        </is>
      </c>
      <c r="J109" s="3" t="inlineStr">
        <is>
          <t>نعم</t>
        </is>
      </c>
      <c r="K109" s="3" t="inlineStr">
        <is>
          <t>بدون تفصيل بنود في السجل (قيمة إجمالية فقط)</t>
        </is>
      </c>
    </row>
    <row r="110">
      <c r="A110" s="3" t="n">
        <v>109</v>
      </c>
      <c r="B110" s="3" t="inlineStr">
        <is>
          <t>RNO</t>
        </is>
      </c>
      <c r="C110" s="3" t="inlineStr">
        <is>
          <t>صرف مواد للإنتاج – مزرعة الرياض</t>
        </is>
      </c>
      <c r="D110" s="3" t="inlineStr">
        <is>
          <t>RNO-2518</t>
        </is>
      </c>
      <c r="E110" s="23" t="n">
        <v>45948</v>
      </c>
      <c r="F110" s="3" t="inlineStr">
        <is>
          <t>OPERATION RIYADH NURSERY</t>
        </is>
      </c>
      <c r="G110" s="3" t="n"/>
      <c r="H110" s="4" t="n">
        <v>6373.3</v>
      </c>
      <c r="I110" s="3" t="inlineStr">
        <is>
          <t>النظام القديم (سجل الحركات)</t>
        </is>
      </c>
      <c r="J110" s="3" t="inlineStr">
        <is>
          <t>نعم</t>
        </is>
      </c>
      <c r="K110" s="3" t="inlineStr">
        <is>
          <t>بدون تفصيل بنود في السجل (قيمة إجمالية فقط)</t>
        </is>
      </c>
    </row>
    <row r="111">
      <c r="A111" s="3" t="n">
        <v>110</v>
      </c>
      <c r="B111" s="3" t="inlineStr">
        <is>
          <t>RNO</t>
        </is>
      </c>
      <c r="C111" s="3" t="inlineStr">
        <is>
          <t>صرف مواد للإنتاج – مزرعة الرياض</t>
        </is>
      </c>
      <c r="D111" s="3" t="inlineStr">
        <is>
          <t>RNO-2538</t>
        </is>
      </c>
      <c r="E111" s="23" t="n">
        <v>45949</v>
      </c>
      <c r="F111" s="3" t="inlineStr">
        <is>
          <t>OPERATION RIYADH NURSERY</t>
        </is>
      </c>
      <c r="G111" s="3" t="n"/>
      <c r="H111" s="4" t="n">
        <v>3151</v>
      </c>
      <c r="I111" s="3" t="inlineStr">
        <is>
          <t>النظام القديم (سجل الحركات)</t>
        </is>
      </c>
      <c r="J111" s="3" t="inlineStr">
        <is>
          <t>نعم</t>
        </is>
      </c>
      <c r="K111" s="3" t="inlineStr">
        <is>
          <t>بدون تفصيل بنود في السجل (قيمة إجمالية فقط)</t>
        </is>
      </c>
    </row>
    <row r="112">
      <c r="A112" s="3" t="n">
        <v>111</v>
      </c>
      <c r="B112" s="3" t="inlineStr">
        <is>
          <t>RNO</t>
        </is>
      </c>
      <c r="C112" s="3" t="inlineStr">
        <is>
          <t>صرف مواد للإنتاج – مزرعة الرياض</t>
        </is>
      </c>
      <c r="D112" s="3" t="inlineStr">
        <is>
          <t>RNO-2547</t>
        </is>
      </c>
      <c r="E112" s="23" t="n">
        <v>45950</v>
      </c>
      <c r="F112" s="3" t="inlineStr">
        <is>
          <t>OPERATION RIYADH NURSERY</t>
        </is>
      </c>
      <c r="G112" s="3" t="n"/>
      <c r="H112" s="4" t="n">
        <v>7997.1</v>
      </c>
      <c r="I112" s="3" t="inlineStr">
        <is>
          <t>النظام القديم (سجل الحركات)</t>
        </is>
      </c>
      <c r="J112" s="3" t="inlineStr">
        <is>
          <t>نعم</t>
        </is>
      </c>
      <c r="K112" s="3" t="inlineStr">
        <is>
          <t>بدون تفصيل بنود في السجل (قيمة إجمالية فقط)</t>
        </is>
      </c>
    </row>
    <row r="113">
      <c r="A113" s="3" t="n">
        <v>112</v>
      </c>
      <c r="B113" s="3" t="inlineStr">
        <is>
          <t>RNO</t>
        </is>
      </c>
      <c r="C113" s="3" t="inlineStr">
        <is>
          <t>صرف مواد للإنتاج – مزرعة الرياض</t>
        </is>
      </c>
      <c r="D113" s="3" t="inlineStr">
        <is>
          <t>RNO-2561</t>
        </is>
      </c>
      <c r="E113" s="23" t="n">
        <v>45951</v>
      </c>
      <c r="F113" s="3" t="inlineStr">
        <is>
          <t>OPERATION RIYADH NURSERY</t>
        </is>
      </c>
      <c r="G113" s="3" t="n"/>
      <c r="H113" s="4" t="n">
        <v>12983.5</v>
      </c>
      <c r="I113" s="3" t="inlineStr">
        <is>
          <t>النظام القديم (سجل الحركات)</t>
        </is>
      </c>
      <c r="J113" s="3" t="inlineStr">
        <is>
          <t>نعم</t>
        </is>
      </c>
      <c r="K113" s="3" t="inlineStr">
        <is>
          <t>بدون تفصيل بنود في السجل (قيمة إجمالية فقط)</t>
        </is>
      </c>
    </row>
    <row r="114">
      <c r="A114" s="3" t="n">
        <v>113</v>
      </c>
      <c r="B114" s="3" t="inlineStr">
        <is>
          <t>RNO</t>
        </is>
      </c>
      <c r="C114" s="3" t="inlineStr">
        <is>
          <t>صرف مواد للإنتاج – مزرعة الرياض</t>
        </is>
      </c>
      <c r="D114" s="3" t="inlineStr">
        <is>
          <t>RNO-2581</t>
        </is>
      </c>
      <c r="E114" s="23" t="n">
        <v>45952</v>
      </c>
      <c r="F114" s="3" t="inlineStr">
        <is>
          <t>OPERATION RIYADH NURSERY</t>
        </is>
      </c>
      <c r="G114" s="3" t="n"/>
      <c r="H114" s="4" t="n">
        <v>11463.78</v>
      </c>
      <c r="I114" s="3" t="inlineStr">
        <is>
          <t>النظام القديم (سجل الحركات)</t>
        </is>
      </c>
      <c r="J114" s="3" t="inlineStr">
        <is>
          <t>نعم</t>
        </is>
      </c>
      <c r="K114" s="3" t="inlineStr">
        <is>
          <t>بدون تفصيل بنود في السجل (قيمة إجمالية فقط)</t>
        </is>
      </c>
    </row>
    <row r="115">
      <c r="A115" s="3" t="n">
        <v>114</v>
      </c>
      <c r="B115" s="3" t="inlineStr">
        <is>
          <t>RNO</t>
        </is>
      </c>
      <c r="C115" s="3" t="inlineStr">
        <is>
          <t>صرف مواد للإنتاج – مزرعة الرياض</t>
        </is>
      </c>
      <c r="D115" s="3" t="inlineStr">
        <is>
          <t>RNO-2603</t>
        </is>
      </c>
      <c r="E115" s="23" t="n">
        <v>45953</v>
      </c>
      <c r="F115" s="3" t="inlineStr">
        <is>
          <t>OPERATION RIYADH NURSERY</t>
        </is>
      </c>
      <c r="G115" s="3" t="n"/>
      <c r="H115" s="4" t="n">
        <v>2823.25</v>
      </c>
      <c r="I115" s="3" t="inlineStr">
        <is>
          <t>النظام القديم (سجل الحركات)</t>
        </is>
      </c>
      <c r="J115" s="3" t="inlineStr">
        <is>
          <t>نعم</t>
        </is>
      </c>
      <c r="K115" s="3" t="inlineStr">
        <is>
          <t>بدون تفصيل بنود في السجل (قيمة إجمالية فقط)</t>
        </is>
      </c>
    </row>
    <row r="116">
      <c r="A116" s="3" t="n">
        <v>115</v>
      </c>
      <c r="B116" s="3" t="inlineStr">
        <is>
          <t>RNO</t>
        </is>
      </c>
      <c r="C116" s="3" t="inlineStr">
        <is>
          <t>صرف مواد للإنتاج – مزرعة الرياض</t>
        </is>
      </c>
      <c r="D116" s="3" t="inlineStr">
        <is>
          <t>RNO-2609</t>
        </is>
      </c>
      <c r="E116" s="23" t="n">
        <v>45954</v>
      </c>
      <c r="F116" s="3" t="inlineStr">
        <is>
          <t>OPERATION RIYADH NURSERY</t>
        </is>
      </c>
      <c r="G116" s="3" t="n"/>
      <c r="H116" s="4" t="n">
        <v>5671.8</v>
      </c>
      <c r="I116" s="3" t="inlineStr">
        <is>
          <t>النظام القديم (سجل الحركات)</t>
        </is>
      </c>
      <c r="J116" s="3" t="inlineStr">
        <is>
          <t>نعم</t>
        </is>
      </c>
      <c r="K116" s="3" t="inlineStr">
        <is>
          <t>بدون تفصيل بنود في السجل (قيمة إجمالية فقط)</t>
        </is>
      </c>
    </row>
    <row r="117">
      <c r="A117" s="3" t="n">
        <v>116</v>
      </c>
      <c r="B117" s="3" t="inlineStr">
        <is>
          <t>RNO</t>
        </is>
      </c>
      <c r="C117" s="3" t="inlineStr">
        <is>
          <t>صرف مواد للإنتاج – مزرعة الرياض</t>
        </is>
      </c>
      <c r="D117" s="3" t="inlineStr">
        <is>
          <t>RNO-2624</t>
        </is>
      </c>
      <c r="E117" s="23" t="n">
        <v>45955</v>
      </c>
      <c r="F117" s="3" t="inlineStr">
        <is>
          <t>OPERATION RIYADH NURSERY</t>
        </is>
      </c>
      <c r="G117" s="3" t="n"/>
      <c r="H117" s="4" t="n">
        <v>7216.83</v>
      </c>
      <c r="I117" s="3" t="inlineStr">
        <is>
          <t>النظام القديم (سجل الحركات)</t>
        </is>
      </c>
      <c r="J117" s="3" t="inlineStr">
        <is>
          <t>نعم</t>
        </is>
      </c>
      <c r="K117" s="3" t="inlineStr">
        <is>
          <t>بدون تفصيل بنود في السجل (قيمة إجمالية فقط)</t>
        </is>
      </c>
    </row>
    <row r="118">
      <c r="A118" s="3" t="n">
        <v>117</v>
      </c>
      <c r="B118" s="3" t="inlineStr">
        <is>
          <t>RNO</t>
        </is>
      </c>
      <c r="C118" s="3" t="inlineStr">
        <is>
          <t>صرف مواد للإنتاج – مزرعة الرياض</t>
        </is>
      </c>
      <c r="D118" s="3" t="inlineStr">
        <is>
          <t>RNO-2640</t>
        </is>
      </c>
      <c r="E118" s="23" t="n">
        <v>45956</v>
      </c>
      <c r="F118" s="3" t="inlineStr">
        <is>
          <t>OPERATION RIYADH NURSERY</t>
        </is>
      </c>
      <c r="G118" s="3" t="n"/>
      <c r="H118" s="4" t="n">
        <v>2702.5</v>
      </c>
      <c r="I118" s="3" t="inlineStr">
        <is>
          <t>النظام القديم (سجل الحركات)</t>
        </is>
      </c>
      <c r="J118" s="3" t="inlineStr">
        <is>
          <t>نعم</t>
        </is>
      </c>
      <c r="K118" s="3" t="inlineStr">
        <is>
          <t>بدون تفصيل بنود في السجل (قيمة إجمالية فقط)</t>
        </is>
      </c>
    </row>
    <row r="119">
      <c r="A119" s="3" t="n">
        <v>118</v>
      </c>
      <c r="B119" s="3" t="inlineStr">
        <is>
          <t>RNO</t>
        </is>
      </c>
      <c r="C119" s="3" t="inlineStr">
        <is>
          <t>صرف مواد للإنتاج – مزرعة الرياض</t>
        </is>
      </c>
      <c r="D119" s="3" t="inlineStr">
        <is>
          <t>RNO-2657</t>
        </is>
      </c>
      <c r="E119" s="23" t="n">
        <v>45957</v>
      </c>
      <c r="F119" s="3" t="inlineStr">
        <is>
          <t>OPERATION RIYADH NURSERY</t>
        </is>
      </c>
      <c r="G119" s="3" t="n"/>
      <c r="H119" s="4" t="n">
        <v>10368.98</v>
      </c>
      <c r="I119" s="3" t="inlineStr">
        <is>
          <t>النظام القديم (سجل الحركات)</t>
        </is>
      </c>
      <c r="J119" s="3" t="inlineStr">
        <is>
          <t>نعم</t>
        </is>
      </c>
      <c r="K119" s="3" t="inlineStr">
        <is>
          <t>بدون تفصيل بنود في السجل (قيمة إجمالية فقط)</t>
        </is>
      </c>
    </row>
    <row r="120">
      <c r="A120" s="3" t="n">
        <v>119</v>
      </c>
      <c r="B120" s="3" t="inlineStr">
        <is>
          <t>RNO</t>
        </is>
      </c>
      <c r="C120" s="3" t="inlineStr">
        <is>
          <t>صرف مواد للإنتاج – مزرعة الرياض</t>
        </is>
      </c>
      <c r="D120" s="3" t="inlineStr">
        <is>
          <t>RNO-2668</t>
        </is>
      </c>
      <c r="E120" s="23" t="n">
        <v>45958</v>
      </c>
      <c r="F120" s="3" t="inlineStr">
        <is>
          <t>OPERATION RIYADH NURSERY</t>
        </is>
      </c>
      <c r="G120" s="3" t="n"/>
      <c r="H120" s="4" t="n">
        <v>6704.5</v>
      </c>
      <c r="I120" s="3" t="inlineStr">
        <is>
          <t>النظام القديم (سجل الحركات)</t>
        </is>
      </c>
      <c r="J120" s="3" t="inlineStr">
        <is>
          <t>نعم</t>
        </is>
      </c>
      <c r="K120" s="3" t="inlineStr">
        <is>
          <t>بدون تفصيل بنود في السجل (قيمة إجمالية فقط)</t>
        </is>
      </c>
    </row>
    <row r="121">
      <c r="A121" s="3" t="n">
        <v>120</v>
      </c>
      <c r="B121" s="3" t="inlineStr">
        <is>
          <t>RNO</t>
        </is>
      </c>
      <c r="C121" s="3" t="inlineStr">
        <is>
          <t>صرف مواد للإنتاج – مزرعة الرياض</t>
        </is>
      </c>
      <c r="D121" s="3" t="inlineStr">
        <is>
          <t>RNO-2678</t>
        </is>
      </c>
      <c r="E121" s="23" t="n">
        <v>45959</v>
      </c>
      <c r="F121" s="3" t="inlineStr">
        <is>
          <t>OPERATION RIYADH NURSERY</t>
        </is>
      </c>
      <c r="G121" s="3" t="n"/>
      <c r="H121" s="4" t="n">
        <v>6857.45</v>
      </c>
      <c r="I121" s="3" t="inlineStr">
        <is>
          <t>النظام القديم (سجل الحركات)</t>
        </is>
      </c>
      <c r="J121" s="3" t="inlineStr">
        <is>
          <t>نعم</t>
        </is>
      </c>
      <c r="K121" s="3" t="inlineStr">
        <is>
          <t>بدون تفصيل بنود في السجل (قيمة إجمالية فقط)</t>
        </is>
      </c>
    </row>
    <row r="122">
      <c r="A122" s="3" t="n">
        <v>121</v>
      </c>
      <c r="B122" s="3" t="inlineStr">
        <is>
          <t>RNO</t>
        </is>
      </c>
      <c r="C122" s="3" t="inlineStr">
        <is>
          <t>صرف مواد للإنتاج – مزرعة الرياض</t>
        </is>
      </c>
      <c r="D122" s="3" t="inlineStr">
        <is>
          <t>RNO-2699</t>
        </is>
      </c>
      <c r="E122" s="23" t="n">
        <v>45960</v>
      </c>
      <c r="F122" s="3" t="inlineStr">
        <is>
          <t>OPERATION RIYADH NURSERY</t>
        </is>
      </c>
      <c r="G122" s="3" t="n"/>
      <c r="H122" s="4" t="n">
        <v>3849.63</v>
      </c>
      <c r="I122" s="3" t="inlineStr">
        <is>
          <t>النظام القديم (سجل الحركات)</t>
        </is>
      </c>
      <c r="J122" s="3" t="inlineStr">
        <is>
          <t>نعم</t>
        </is>
      </c>
      <c r="K122" s="3" t="inlineStr">
        <is>
          <t>بدون تفصيل بنود في السجل (قيمة إجمالية فقط)</t>
        </is>
      </c>
    </row>
    <row r="123">
      <c r="A123" s="3" t="n">
        <v>122</v>
      </c>
      <c r="B123" s="3" t="inlineStr">
        <is>
          <t>RNO</t>
        </is>
      </c>
      <c r="C123" s="3" t="inlineStr">
        <is>
          <t>صرف مواد للإنتاج – مزرعة الرياض</t>
        </is>
      </c>
      <c r="D123" s="3" t="inlineStr">
        <is>
          <t>RNO-2702</t>
        </is>
      </c>
      <c r="E123" s="23" t="n">
        <v>45961</v>
      </c>
      <c r="F123" s="3" t="inlineStr">
        <is>
          <t>OPERATION RIYADH NURSERY</t>
        </is>
      </c>
      <c r="G123" s="3" t="n"/>
      <c r="H123" s="4" t="n">
        <v>4285.48</v>
      </c>
      <c r="I123" s="3" t="inlineStr">
        <is>
          <t>النظام القديم (سجل الحركات)</t>
        </is>
      </c>
      <c r="J123" s="3" t="inlineStr">
        <is>
          <t>نعم</t>
        </is>
      </c>
      <c r="K123" s="3" t="inlineStr">
        <is>
          <t>بدون تفصيل بنود في السجل (قيمة إجمالية فقط)</t>
        </is>
      </c>
    </row>
    <row r="124">
      <c r="A124" s="3" t="n">
        <v>123</v>
      </c>
      <c r="B124" s="3" t="inlineStr">
        <is>
          <t>RNO</t>
        </is>
      </c>
      <c r="C124" s="3" t="inlineStr">
        <is>
          <t>صرف مواد للإنتاج – مزرعة الرياض</t>
        </is>
      </c>
      <c r="D124" s="3" t="inlineStr">
        <is>
          <t>RNO-2709</t>
        </is>
      </c>
      <c r="E124" s="23" t="n">
        <v>45962</v>
      </c>
      <c r="F124" s="3" t="inlineStr">
        <is>
          <t>OPERATION RIYADH NURSERY</t>
        </is>
      </c>
      <c r="G124" s="3" t="n"/>
      <c r="H124" s="4" t="n">
        <v>7096.65</v>
      </c>
      <c r="I124" s="3" t="inlineStr">
        <is>
          <t>النظام القديم (سجل الحركات)</t>
        </is>
      </c>
      <c r="J124" s="3" t="inlineStr">
        <is>
          <t>نعم</t>
        </is>
      </c>
      <c r="K124" s="3" t="inlineStr">
        <is>
          <t>بدون تفصيل بنود في السجل (قيمة إجمالية فقط)</t>
        </is>
      </c>
    </row>
    <row r="125">
      <c r="A125" s="3" t="n">
        <v>124</v>
      </c>
      <c r="B125" s="3" t="inlineStr">
        <is>
          <t>RNO</t>
        </is>
      </c>
      <c r="C125" s="3" t="inlineStr">
        <is>
          <t>صرف مواد للإنتاج – مزرعة الرياض</t>
        </is>
      </c>
      <c r="D125" s="3" t="inlineStr">
        <is>
          <t>RNO-2740</t>
        </is>
      </c>
      <c r="E125" s="23" t="n">
        <v>45963</v>
      </c>
      <c r="F125" s="3" t="inlineStr">
        <is>
          <t>OPERATION RIYADH NURSERY</t>
        </is>
      </c>
      <c r="G125" s="3" t="n"/>
      <c r="H125" s="4" t="n">
        <v>7449.13</v>
      </c>
      <c r="I125" s="3" t="inlineStr">
        <is>
          <t>النظام القديم (سجل الحركات)</t>
        </is>
      </c>
      <c r="J125" s="3" t="inlineStr">
        <is>
          <t>نعم</t>
        </is>
      </c>
      <c r="K125" s="3" t="inlineStr">
        <is>
          <t>بدون تفصيل بنود في السجل (قيمة إجمالية فقط)</t>
        </is>
      </c>
    </row>
    <row r="126">
      <c r="A126" s="3" t="n">
        <v>125</v>
      </c>
      <c r="B126" s="3" t="inlineStr">
        <is>
          <t>RNO</t>
        </is>
      </c>
      <c r="C126" s="3" t="inlineStr">
        <is>
          <t>صرف مواد للإنتاج – مزرعة الرياض</t>
        </is>
      </c>
      <c r="D126" s="3" t="inlineStr">
        <is>
          <t>RNO-2749</t>
        </is>
      </c>
      <c r="E126" s="23" t="n">
        <v>45964</v>
      </c>
      <c r="F126" s="3" t="inlineStr">
        <is>
          <t>OPERATION RIYADH NURSERY</t>
        </is>
      </c>
      <c r="G126" s="3" t="n"/>
      <c r="H126" s="4" t="n">
        <v>2415</v>
      </c>
      <c r="I126" s="3" t="inlineStr">
        <is>
          <t>النظام القديم (سجل الحركات)</t>
        </is>
      </c>
      <c r="J126" s="3" t="inlineStr">
        <is>
          <t>نعم</t>
        </is>
      </c>
      <c r="K126" s="3" t="inlineStr">
        <is>
          <t>بدون تفصيل بنود في السجل (قيمة إجمالية فقط)</t>
        </is>
      </c>
    </row>
    <row r="127">
      <c r="A127" s="3" t="n">
        <v>126</v>
      </c>
      <c r="B127" s="3" t="inlineStr">
        <is>
          <t>RNO</t>
        </is>
      </c>
      <c r="C127" s="3" t="inlineStr">
        <is>
          <t>صرف مواد للإنتاج – مزرعة الرياض</t>
        </is>
      </c>
      <c r="D127" s="3" t="inlineStr">
        <is>
          <t>RNO-2754</t>
        </is>
      </c>
      <c r="E127" s="23" t="n">
        <v>45965</v>
      </c>
      <c r="F127" s="3" t="inlineStr">
        <is>
          <t>OPERATION RIYADH NURSERY</t>
        </is>
      </c>
      <c r="G127" s="3" t="n"/>
      <c r="H127" s="4" t="n">
        <v>16472.03</v>
      </c>
      <c r="I127" s="3" t="inlineStr">
        <is>
          <t>النظام القديم (سجل الحركات)</t>
        </is>
      </c>
      <c r="J127" s="3" t="inlineStr">
        <is>
          <t>نعم</t>
        </is>
      </c>
      <c r="K127" s="3" t="inlineStr">
        <is>
          <t>بدون تفصيل بنود في السجل (قيمة إجمالية فقط)</t>
        </is>
      </c>
    </row>
    <row r="128">
      <c r="A128" s="3" t="n">
        <v>127</v>
      </c>
      <c r="B128" s="3" t="inlineStr">
        <is>
          <t>RNO</t>
        </is>
      </c>
      <c r="C128" s="3" t="inlineStr">
        <is>
          <t>صرف مواد للإنتاج – مزرعة الرياض</t>
        </is>
      </c>
      <c r="D128" s="3" t="inlineStr">
        <is>
          <t>RNO-2774</t>
        </is>
      </c>
      <c r="E128" s="23" t="n">
        <v>45966</v>
      </c>
      <c r="F128" s="3" t="inlineStr">
        <is>
          <t>OPERATION RIYADH NURSERY</t>
        </is>
      </c>
      <c r="G128" s="3" t="n"/>
      <c r="H128" s="4" t="n">
        <v>3987.63</v>
      </c>
      <c r="I128" s="3" t="inlineStr">
        <is>
          <t>النظام القديم (سجل الحركات)</t>
        </is>
      </c>
      <c r="J128" s="3" t="inlineStr">
        <is>
          <t>نعم</t>
        </is>
      </c>
      <c r="K128" s="3" t="inlineStr">
        <is>
          <t>بدون تفصيل بنود في السجل (قيمة إجمالية فقط)</t>
        </is>
      </c>
    </row>
    <row r="129">
      <c r="A129" s="3" t="n">
        <v>128</v>
      </c>
      <c r="B129" s="3" t="inlineStr">
        <is>
          <t>RNO</t>
        </is>
      </c>
      <c r="C129" s="3" t="inlineStr">
        <is>
          <t>صرف مواد للإنتاج – مزرعة الرياض</t>
        </is>
      </c>
      <c r="D129" s="3" t="inlineStr">
        <is>
          <t>RNO-2785</t>
        </is>
      </c>
      <c r="E129" s="23" t="n">
        <v>45967</v>
      </c>
      <c r="F129" s="3" t="inlineStr">
        <is>
          <t>OPERATION RIYADH NURSERY</t>
        </is>
      </c>
      <c r="G129" s="3" t="n"/>
      <c r="H129" s="4" t="n">
        <v>10571.95</v>
      </c>
      <c r="I129" s="3" t="inlineStr">
        <is>
          <t>النظام القديم (سجل الحركات)</t>
        </is>
      </c>
      <c r="J129" s="3" t="inlineStr">
        <is>
          <t>نعم</t>
        </is>
      </c>
      <c r="K129" s="3" t="inlineStr">
        <is>
          <t>بدون تفصيل بنود في السجل (قيمة إجمالية فقط)</t>
        </is>
      </c>
    </row>
    <row r="130">
      <c r="A130" s="3" t="n">
        <v>129</v>
      </c>
      <c r="B130" s="3" t="inlineStr">
        <is>
          <t>RNO</t>
        </is>
      </c>
      <c r="C130" s="3" t="inlineStr">
        <is>
          <t>صرف مواد للإنتاج – مزرعة الرياض</t>
        </is>
      </c>
      <c r="D130" s="3" t="inlineStr">
        <is>
          <t>RNO-2802</t>
        </is>
      </c>
      <c r="E130" s="23" t="n">
        <v>45969</v>
      </c>
      <c r="F130" s="3" t="inlineStr">
        <is>
          <t>OPERATION RIYADH NURSERY</t>
        </is>
      </c>
      <c r="G130" s="3" t="n"/>
      <c r="H130" s="4" t="n">
        <v>16040.2</v>
      </c>
      <c r="I130" s="3" t="inlineStr">
        <is>
          <t>النظام القديم (سجل الحركات)</t>
        </is>
      </c>
      <c r="J130" s="3" t="inlineStr">
        <is>
          <t>نعم</t>
        </is>
      </c>
      <c r="K130" s="3" t="inlineStr">
        <is>
          <t>بدون تفصيل بنود في السجل (قيمة إجمالية فقط)</t>
        </is>
      </c>
    </row>
    <row r="131">
      <c r="A131" s="3" t="n">
        <v>130</v>
      </c>
      <c r="B131" s="3" t="inlineStr">
        <is>
          <t>RNO</t>
        </is>
      </c>
      <c r="C131" s="3" t="inlineStr">
        <is>
          <t>صرف مواد للإنتاج – مزرعة الرياض</t>
        </is>
      </c>
      <c r="D131" s="3" t="inlineStr">
        <is>
          <t>RNO-2817</t>
        </is>
      </c>
      <c r="E131" s="23" t="n">
        <v>45970</v>
      </c>
      <c r="F131" s="3" t="inlineStr">
        <is>
          <t>OPERATION RIYADH NURSERY</t>
        </is>
      </c>
      <c r="G131" s="3" t="n"/>
      <c r="H131" s="4" t="n">
        <v>460</v>
      </c>
      <c r="I131" s="3" t="inlineStr">
        <is>
          <t>النظام القديم (سجل الحركات)</t>
        </is>
      </c>
      <c r="J131" s="3" t="inlineStr">
        <is>
          <t>نعم</t>
        </is>
      </c>
      <c r="K131" s="3" t="inlineStr">
        <is>
          <t>بدون تفصيل بنود في السجل (قيمة إجمالية فقط)</t>
        </is>
      </c>
    </row>
    <row r="132">
      <c r="A132" s="3" t="n">
        <v>131</v>
      </c>
      <c r="B132" s="3" t="inlineStr">
        <is>
          <t>RNO</t>
        </is>
      </c>
      <c r="C132" s="3" t="inlineStr">
        <is>
          <t>صرف مواد للإنتاج – مزرعة الرياض</t>
        </is>
      </c>
      <c r="D132" s="3" t="inlineStr">
        <is>
          <t>RNO-2820</t>
        </is>
      </c>
      <c r="E132" s="23" t="n">
        <v>45970</v>
      </c>
      <c r="F132" s="3" t="inlineStr">
        <is>
          <t>OPERATION RIYADH NURSERY</t>
        </is>
      </c>
      <c r="G132" s="3" t="n"/>
      <c r="H132" s="4" t="n">
        <v>106593.5</v>
      </c>
      <c r="I132" s="3" t="inlineStr">
        <is>
          <t>النظام القديم (سجل الحركات)</t>
        </is>
      </c>
      <c r="J132" s="3" t="inlineStr">
        <is>
          <t>نعم</t>
        </is>
      </c>
      <c r="K132" s="3" t="inlineStr">
        <is>
          <t>بدون تفصيل بنود في السجل (قيمة إجمالية فقط)</t>
        </is>
      </c>
    </row>
    <row r="133">
      <c r="A133" s="3" t="n">
        <v>132</v>
      </c>
      <c r="B133" s="3" t="inlineStr">
        <is>
          <t>RNO</t>
        </is>
      </c>
      <c r="C133" s="3" t="inlineStr">
        <is>
          <t>صرف مواد للإنتاج – مزرعة الرياض</t>
        </is>
      </c>
      <c r="D133" s="3" t="inlineStr">
        <is>
          <t>RNO-2831</t>
        </is>
      </c>
      <c r="E133" s="23" t="n">
        <v>45971</v>
      </c>
      <c r="F133" s="3" t="inlineStr">
        <is>
          <t>OPERATION RIYADH NURSERY</t>
        </is>
      </c>
      <c r="G133" s="3" t="n"/>
      <c r="H133" s="4" t="n">
        <v>2658.23</v>
      </c>
      <c r="I133" s="3" t="inlineStr">
        <is>
          <t>النظام القديم (سجل الحركات)</t>
        </is>
      </c>
      <c r="J133" s="3" t="inlineStr">
        <is>
          <t>نعم</t>
        </is>
      </c>
      <c r="K133" s="3" t="inlineStr">
        <is>
          <t>بدون تفصيل بنود في السجل (قيمة إجمالية فقط)</t>
        </is>
      </c>
    </row>
    <row r="134">
      <c r="A134" s="3" t="n">
        <v>133</v>
      </c>
      <c r="B134" s="3" t="inlineStr">
        <is>
          <t>RNO</t>
        </is>
      </c>
      <c r="C134" s="3" t="inlineStr">
        <is>
          <t>صرف مواد للإنتاج – مزرعة الرياض</t>
        </is>
      </c>
      <c r="D134" s="3" t="inlineStr">
        <is>
          <t>RNO-2851</t>
        </is>
      </c>
      <c r="E134" s="23" t="n">
        <v>45972</v>
      </c>
      <c r="F134" s="3" t="inlineStr">
        <is>
          <t>OPERATION RIYADH NURSERY</t>
        </is>
      </c>
      <c r="G134" s="3" t="n"/>
      <c r="H134" s="4" t="n">
        <v>14145</v>
      </c>
      <c r="I134" s="3" t="inlineStr">
        <is>
          <t>النظام القديم (سجل الحركات)</t>
        </is>
      </c>
      <c r="J134" s="3" t="inlineStr">
        <is>
          <t>نعم</t>
        </is>
      </c>
      <c r="K134" s="3" t="inlineStr">
        <is>
          <t>بدون تفصيل بنود في السجل (قيمة إجمالية فقط)</t>
        </is>
      </c>
    </row>
    <row r="135">
      <c r="A135" s="3" t="n">
        <v>134</v>
      </c>
      <c r="B135" s="3" t="inlineStr">
        <is>
          <t>RNO</t>
        </is>
      </c>
      <c r="C135" s="3" t="inlineStr">
        <is>
          <t>صرف مواد للإنتاج – مزرعة الرياض</t>
        </is>
      </c>
      <c r="D135" s="3" t="inlineStr">
        <is>
          <t>RNO-2866</t>
        </is>
      </c>
      <c r="E135" s="23" t="n">
        <v>45973</v>
      </c>
      <c r="F135" s="3" t="inlineStr">
        <is>
          <t>OPERATION RIYADH NURSERY</t>
        </is>
      </c>
      <c r="G135" s="3" t="n"/>
      <c r="H135" s="4" t="n">
        <v>5618.9</v>
      </c>
      <c r="I135" s="3" t="inlineStr">
        <is>
          <t>النظام القديم (سجل الحركات)</t>
        </is>
      </c>
      <c r="J135" s="3" t="inlineStr">
        <is>
          <t>نعم</t>
        </is>
      </c>
      <c r="K135" s="3" t="inlineStr">
        <is>
          <t>بدون تفصيل بنود في السجل (قيمة إجمالية فقط)</t>
        </is>
      </c>
    </row>
    <row r="136">
      <c r="A136" s="3" t="n">
        <v>135</v>
      </c>
      <c r="B136" s="3" t="inlineStr">
        <is>
          <t>RNO</t>
        </is>
      </c>
      <c r="C136" s="3" t="inlineStr">
        <is>
          <t>صرف مواد للإنتاج – مزرعة الرياض</t>
        </is>
      </c>
      <c r="D136" s="3" t="inlineStr">
        <is>
          <t>RNO-2879</t>
        </is>
      </c>
      <c r="E136" s="23" t="n">
        <v>45974</v>
      </c>
      <c r="F136" s="3" t="inlineStr">
        <is>
          <t>OPERATION RIYADH NURSERY</t>
        </is>
      </c>
      <c r="G136" s="3" t="n"/>
      <c r="H136" s="4" t="n">
        <v>15444.5</v>
      </c>
      <c r="I136" s="3" t="inlineStr">
        <is>
          <t>النظام القديم (سجل الحركات)</t>
        </is>
      </c>
      <c r="J136" s="3" t="inlineStr">
        <is>
          <t>نعم</t>
        </is>
      </c>
      <c r="K136" s="3" t="inlineStr">
        <is>
          <t>بدون تفصيل بنود في السجل (قيمة إجمالية فقط)</t>
        </is>
      </c>
    </row>
    <row r="137">
      <c r="A137" s="3" t="n">
        <v>136</v>
      </c>
      <c r="B137" s="3" t="inlineStr">
        <is>
          <t>RNO</t>
        </is>
      </c>
      <c r="C137" s="3" t="inlineStr">
        <is>
          <t>صرف مواد للإنتاج – مزرعة الرياض</t>
        </is>
      </c>
      <c r="D137" s="3" t="inlineStr">
        <is>
          <t>RNO-2886</t>
        </is>
      </c>
      <c r="E137" s="23" t="n">
        <v>45976</v>
      </c>
      <c r="F137" s="3" t="inlineStr">
        <is>
          <t>OPERATION RIYADH NURSERY</t>
        </is>
      </c>
      <c r="G137" s="3" t="n"/>
      <c r="H137" s="4" t="n">
        <v>3121.1</v>
      </c>
      <c r="I137" s="3" t="inlineStr">
        <is>
          <t>النظام القديم (سجل الحركات)</t>
        </is>
      </c>
      <c r="J137" s="3" t="inlineStr">
        <is>
          <t>نعم</t>
        </is>
      </c>
      <c r="K137" s="3" t="inlineStr">
        <is>
          <t>بدون تفصيل بنود في السجل (قيمة إجمالية فقط)</t>
        </is>
      </c>
    </row>
    <row r="138">
      <c r="A138" s="3" t="n">
        <v>137</v>
      </c>
      <c r="B138" s="3" t="inlineStr">
        <is>
          <t>RNO</t>
        </is>
      </c>
      <c r="C138" s="3" t="inlineStr">
        <is>
          <t>صرف مواد للإنتاج – مزرعة الرياض</t>
        </is>
      </c>
      <c r="D138" s="3" t="inlineStr">
        <is>
          <t>RNO-2895</t>
        </is>
      </c>
      <c r="E138" s="23" t="n">
        <v>45977</v>
      </c>
      <c r="F138" s="3" t="inlineStr">
        <is>
          <t>OPERATION RIYADH NURSERY</t>
        </is>
      </c>
      <c r="G138" s="3" t="n"/>
      <c r="H138" s="4" t="n">
        <v>1162.65</v>
      </c>
      <c r="I138" s="3" t="inlineStr">
        <is>
          <t>النظام القديم (سجل الحركات)</t>
        </is>
      </c>
      <c r="J138" s="3" t="inlineStr">
        <is>
          <t>نعم</t>
        </is>
      </c>
      <c r="K138" s="3" t="inlineStr">
        <is>
          <t>بدون تفصيل بنود في السجل (قيمة إجمالية فقط)</t>
        </is>
      </c>
    </row>
    <row r="139">
      <c r="A139" s="3" t="n">
        <v>138</v>
      </c>
      <c r="B139" s="3" t="inlineStr">
        <is>
          <t>RNO</t>
        </is>
      </c>
      <c r="C139" s="3" t="inlineStr">
        <is>
          <t>صرف مواد للإنتاج – مزرعة الرياض</t>
        </is>
      </c>
      <c r="D139" s="3" t="inlineStr">
        <is>
          <t>RNO-2910</t>
        </is>
      </c>
      <c r="E139" s="23" t="n">
        <v>45978</v>
      </c>
      <c r="F139" s="3" t="inlineStr">
        <is>
          <t>OPERATION RIYADH NURSERY</t>
        </is>
      </c>
      <c r="G139" s="3" t="n"/>
      <c r="H139" s="4" t="n">
        <v>6645.85</v>
      </c>
      <c r="I139" s="3" t="inlineStr">
        <is>
          <t>النظام القديم (سجل الحركات)</t>
        </is>
      </c>
      <c r="J139" s="3" t="inlineStr">
        <is>
          <t>نعم</t>
        </is>
      </c>
      <c r="K139" s="3" t="inlineStr">
        <is>
          <t>بدون تفصيل بنود في السجل (قيمة إجمالية فقط)</t>
        </is>
      </c>
    </row>
    <row r="140">
      <c r="A140" s="3" t="n">
        <v>139</v>
      </c>
      <c r="B140" s="3" t="inlineStr">
        <is>
          <t>RNO</t>
        </is>
      </c>
      <c r="C140" s="3" t="inlineStr">
        <is>
          <t>صرف مواد للإنتاج – مزرعة الرياض</t>
        </is>
      </c>
      <c r="D140" s="3" t="inlineStr">
        <is>
          <t>RNO-2966</t>
        </is>
      </c>
      <c r="E140" s="23" t="n">
        <v>45983</v>
      </c>
      <c r="F140" s="3" t="inlineStr">
        <is>
          <t>OPERATION RIYADH NURSERY</t>
        </is>
      </c>
      <c r="G140" s="3" t="n"/>
      <c r="H140" s="4" t="n">
        <v>4674.75</v>
      </c>
      <c r="I140" s="3" t="inlineStr">
        <is>
          <t>النظام القديم (سجل الحركات)</t>
        </is>
      </c>
      <c r="J140" s="3" t="inlineStr">
        <is>
          <t>نعم</t>
        </is>
      </c>
      <c r="K140" s="3" t="inlineStr">
        <is>
          <t>بدون تفصيل بنود في السجل (قيمة إجمالية فقط)</t>
        </is>
      </c>
    </row>
    <row r="141">
      <c r="A141" s="3" t="n">
        <v>140</v>
      </c>
      <c r="B141" s="3" t="inlineStr">
        <is>
          <t>RNO</t>
        </is>
      </c>
      <c r="C141" s="3" t="inlineStr">
        <is>
          <t>صرف مواد للإنتاج – مزرعة الرياض</t>
        </is>
      </c>
      <c r="D141" s="3" t="inlineStr">
        <is>
          <t>RNO-2978</t>
        </is>
      </c>
      <c r="E141" s="23" t="n">
        <v>45984</v>
      </c>
      <c r="F141" s="3" t="inlineStr">
        <is>
          <t>OPERATION RIYADH NURSERY</t>
        </is>
      </c>
      <c r="G141" s="3" t="n"/>
      <c r="H141" s="4" t="n">
        <v>16836.58</v>
      </c>
      <c r="I141" s="3" t="inlineStr">
        <is>
          <t>النظام القديم (سجل الحركات)</t>
        </is>
      </c>
      <c r="J141" s="3" t="inlineStr">
        <is>
          <t>نعم</t>
        </is>
      </c>
      <c r="K141" s="3" t="inlineStr">
        <is>
          <t>بدون تفصيل بنود في السجل (قيمة إجمالية فقط)</t>
        </is>
      </c>
    </row>
    <row r="142">
      <c r="A142" s="3" t="n">
        <v>141</v>
      </c>
      <c r="B142" s="3" t="inlineStr">
        <is>
          <t>RNO</t>
        </is>
      </c>
      <c r="C142" s="3" t="inlineStr">
        <is>
          <t>صرف مواد للإنتاج – مزرعة الرياض</t>
        </is>
      </c>
      <c r="D142" s="3" t="inlineStr">
        <is>
          <t>RNO-2993</t>
        </is>
      </c>
      <c r="E142" s="23" t="n">
        <v>45985</v>
      </c>
      <c r="F142" s="3" t="inlineStr">
        <is>
          <t>OPERATION RIYADH NURSERY</t>
        </is>
      </c>
      <c r="G142" s="3" t="n"/>
      <c r="H142" s="4" t="n">
        <v>3673.1</v>
      </c>
      <c r="I142" s="3" t="inlineStr">
        <is>
          <t>النظام القديم (سجل الحركات)</t>
        </is>
      </c>
      <c r="J142" s="3" t="inlineStr">
        <is>
          <t>نعم</t>
        </is>
      </c>
      <c r="K142" s="3" t="inlineStr">
        <is>
          <t>بدون تفصيل بنود في السجل (قيمة إجمالية فقط)</t>
        </is>
      </c>
    </row>
    <row r="143">
      <c r="A143" s="3" t="n">
        <v>142</v>
      </c>
      <c r="B143" s="3" t="inlineStr">
        <is>
          <t>RNO</t>
        </is>
      </c>
      <c r="C143" s="3" t="inlineStr">
        <is>
          <t>صرف مواد للإنتاج – مزرعة الرياض</t>
        </is>
      </c>
      <c r="D143" s="3" t="inlineStr">
        <is>
          <t>RNO-3003</t>
        </is>
      </c>
      <c r="E143" s="23" t="n">
        <v>45986</v>
      </c>
      <c r="F143" s="3" t="inlineStr">
        <is>
          <t>OPERATION RIYADH NURSERY</t>
        </is>
      </c>
      <c r="G143" s="3" t="n"/>
      <c r="H143" s="4" t="n">
        <v>12351</v>
      </c>
      <c r="I143" s="3" t="inlineStr">
        <is>
          <t>النظام القديم (سجل الحركات)</t>
        </is>
      </c>
      <c r="J143" s="3" t="inlineStr">
        <is>
          <t>نعم</t>
        </is>
      </c>
      <c r="K143" s="3" t="inlineStr">
        <is>
          <t>بدون تفصيل بنود في السجل (قيمة إجمالية فقط)</t>
        </is>
      </c>
    </row>
    <row r="144">
      <c r="A144" s="3" t="n">
        <v>143</v>
      </c>
      <c r="B144" s="3" t="inlineStr">
        <is>
          <t>RNO</t>
        </is>
      </c>
      <c r="C144" s="3" t="inlineStr">
        <is>
          <t>صرف مواد للإنتاج – مزرعة الرياض</t>
        </is>
      </c>
      <c r="D144" s="3" t="inlineStr">
        <is>
          <t>RNO-3026</t>
        </is>
      </c>
      <c r="E144" s="23" t="n">
        <v>45987</v>
      </c>
      <c r="F144" s="3" t="inlineStr">
        <is>
          <t>OPERATION RIYADH NURSERY</t>
        </is>
      </c>
      <c r="G144" s="3" t="n"/>
      <c r="H144" s="4" t="n">
        <v>6295.68</v>
      </c>
      <c r="I144" s="3" t="inlineStr">
        <is>
          <t>النظام القديم (سجل الحركات)</t>
        </is>
      </c>
      <c r="J144" s="3" t="inlineStr">
        <is>
          <t>نعم</t>
        </is>
      </c>
      <c r="K144" s="3" t="inlineStr">
        <is>
          <t>بدون تفصيل بنود في السجل (قيمة إجمالية فقط)</t>
        </is>
      </c>
    </row>
    <row r="145">
      <c r="A145" s="3" t="n">
        <v>144</v>
      </c>
      <c r="B145" s="3" t="inlineStr">
        <is>
          <t>RNO</t>
        </is>
      </c>
      <c r="C145" s="3" t="inlineStr">
        <is>
          <t>صرف مواد للإنتاج – مزرعة الرياض</t>
        </is>
      </c>
      <c r="D145" s="3" t="inlineStr">
        <is>
          <t>RNO-3037</t>
        </is>
      </c>
      <c r="E145" s="23" t="n">
        <v>45988</v>
      </c>
      <c r="F145" s="3" t="inlineStr">
        <is>
          <t>OPERATION RIYADH NURSERY</t>
        </is>
      </c>
      <c r="G145" s="3" t="n"/>
      <c r="H145" s="4" t="n">
        <v>8245.5</v>
      </c>
      <c r="I145" s="3" t="inlineStr">
        <is>
          <t>النظام القديم (سجل الحركات)</t>
        </is>
      </c>
      <c r="J145" s="3" t="inlineStr">
        <is>
          <t>نعم</t>
        </is>
      </c>
      <c r="K145" s="3" t="inlineStr">
        <is>
          <t>بدون تفصيل بنود في السجل (قيمة إجمالية فقط)</t>
        </is>
      </c>
    </row>
    <row r="146">
      <c r="A146" s="3" t="n">
        <v>145</v>
      </c>
      <c r="B146" s="3" t="inlineStr">
        <is>
          <t>RNO</t>
        </is>
      </c>
      <c r="C146" s="3" t="inlineStr">
        <is>
          <t>صرف مواد للإنتاج – مزرعة الرياض</t>
        </is>
      </c>
      <c r="D146" s="3" t="inlineStr">
        <is>
          <t>RNO-3043</t>
        </is>
      </c>
      <c r="E146" s="23" t="n">
        <v>45990</v>
      </c>
      <c r="F146" s="3" t="inlineStr">
        <is>
          <t>OPERATION RIYADH NURSERY</t>
        </is>
      </c>
      <c r="G146" s="3" t="n"/>
      <c r="H146" s="4" t="n">
        <v>6268.65</v>
      </c>
      <c r="I146" s="3" t="inlineStr">
        <is>
          <t>النظام القديم (سجل الحركات)</t>
        </is>
      </c>
      <c r="J146" s="3" t="inlineStr">
        <is>
          <t>نعم</t>
        </is>
      </c>
      <c r="K146" s="3" t="inlineStr">
        <is>
          <t>بدون تفصيل بنود في السجل (قيمة إجمالية فقط)</t>
        </is>
      </c>
    </row>
    <row r="147">
      <c r="A147" s="3" t="n">
        <v>146</v>
      </c>
      <c r="B147" s="3" t="inlineStr">
        <is>
          <t>RNO</t>
        </is>
      </c>
      <c r="C147" s="3" t="inlineStr">
        <is>
          <t>صرف مواد للإنتاج – مزرعة الرياض</t>
        </is>
      </c>
      <c r="D147" s="3" t="inlineStr">
        <is>
          <t>RNO-3071</t>
        </is>
      </c>
      <c r="E147" s="23" t="n">
        <v>45991</v>
      </c>
      <c r="F147" s="3" t="inlineStr">
        <is>
          <t>OPERATION RIYADH NURSERY</t>
        </is>
      </c>
      <c r="G147" s="3" t="n"/>
      <c r="H147" s="4" t="n">
        <v>2749.65</v>
      </c>
      <c r="I147" s="3" t="inlineStr">
        <is>
          <t>النظام القديم (سجل الحركات)</t>
        </is>
      </c>
      <c r="J147" s="3" t="inlineStr">
        <is>
          <t>نعم</t>
        </is>
      </c>
      <c r="K147" s="3" t="inlineStr">
        <is>
          <t>بدون تفصيل بنود في السجل (قيمة إجمالية فقط)</t>
        </is>
      </c>
    </row>
    <row r="148">
      <c r="A148" s="3" t="n">
        <v>147</v>
      </c>
      <c r="B148" s="3" t="inlineStr">
        <is>
          <t>RNO</t>
        </is>
      </c>
      <c r="C148" s="3" t="inlineStr">
        <is>
          <t>صرف مواد للإنتاج – مزرعة الرياض</t>
        </is>
      </c>
      <c r="D148" s="3" t="inlineStr">
        <is>
          <t>RNO-3086</t>
        </is>
      </c>
      <c r="E148" s="23" t="n">
        <v>45992</v>
      </c>
      <c r="F148" s="3" t="inlineStr">
        <is>
          <t>OPERATION RIYADH NURSERY</t>
        </is>
      </c>
      <c r="G148" s="3" t="n"/>
      <c r="H148" s="4" t="n">
        <v>529</v>
      </c>
      <c r="I148" s="3" t="inlineStr">
        <is>
          <t>النظام القديم (سجل الحركات)</t>
        </is>
      </c>
      <c r="J148" s="3" t="inlineStr">
        <is>
          <t>نعم</t>
        </is>
      </c>
      <c r="K148" s="3" t="inlineStr">
        <is>
          <t>بدون تفصيل بنود في السجل (قيمة إجمالية فقط)</t>
        </is>
      </c>
    </row>
    <row r="149">
      <c r="A149" s="3" t="n">
        <v>148</v>
      </c>
      <c r="B149" s="3" t="inlineStr">
        <is>
          <t>RNO</t>
        </is>
      </c>
      <c r="C149" s="3" t="inlineStr">
        <is>
          <t>صرف مواد للإنتاج – مزرعة الرياض</t>
        </is>
      </c>
      <c r="D149" s="3" t="inlineStr">
        <is>
          <t>RNO-3099</t>
        </is>
      </c>
      <c r="E149" s="23" t="n">
        <v>45993</v>
      </c>
      <c r="F149" s="3" t="inlineStr">
        <is>
          <t>OPERATION RIYADH NURSERY</t>
        </is>
      </c>
      <c r="G149" s="3" t="n"/>
      <c r="H149" s="4" t="n">
        <v>3475.88</v>
      </c>
      <c r="I149" s="3" t="inlineStr">
        <is>
          <t>النظام القديم (سجل الحركات)</t>
        </is>
      </c>
      <c r="J149" s="3" t="inlineStr">
        <is>
          <t>نعم</t>
        </is>
      </c>
      <c r="K149" s="3" t="inlineStr">
        <is>
          <t>بدون تفصيل بنود في السجل (قيمة إجمالية فقط)</t>
        </is>
      </c>
    </row>
    <row r="150">
      <c r="A150" s="3" t="n">
        <v>149</v>
      </c>
      <c r="B150" s="3" t="inlineStr">
        <is>
          <t>RNO</t>
        </is>
      </c>
      <c r="C150" s="3" t="inlineStr">
        <is>
          <t>صرف مواد للإنتاج – مزرعة الرياض</t>
        </is>
      </c>
      <c r="D150" s="3" t="inlineStr">
        <is>
          <t>RNO-3118</t>
        </is>
      </c>
      <c r="E150" s="23" t="n">
        <v>45995</v>
      </c>
      <c r="F150" s="3" t="inlineStr">
        <is>
          <t>OPERATION RIYADH NURSERY</t>
        </is>
      </c>
      <c r="G150" s="3" t="n"/>
      <c r="H150" s="4" t="n">
        <v>9660</v>
      </c>
      <c r="I150" s="3" t="inlineStr">
        <is>
          <t>النظام القديم (سجل الحركات)</t>
        </is>
      </c>
      <c r="J150" s="3" t="inlineStr">
        <is>
          <t>نعم</t>
        </is>
      </c>
      <c r="K150" s="3" t="inlineStr">
        <is>
          <t>بدون تفصيل بنود في السجل (قيمة إجمالية فقط)</t>
        </is>
      </c>
    </row>
    <row r="151">
      <c r="A151" s="3" t="n">
        <v>150</v>
      </c>
      <c r="B151" s="3" t="inlineStr">
        <is>
          <t>RNO</t>
        </is>
      </c>
      <c r="C151" s="3" t="inlineStr">
        <is>
          <t>صرف مواد للإنتاج – مزرعة الرياض</t>
        </is>
      </c>
      <c r="D151" s="3" t="inlineStr">
        <is>
          <t>RNO-3145</t>
        </is>
      </c>
      <c r="E151" s="23" t="n">
        <v>45997</v>
      </c>
      <c r="F151" s="3" t="inlineStr">
        <is>
          <t>OPERATION RIYADH NURSERY</t>
        </is>
      </c>
      <c r="G151" s="3" t="n"/>
      <c r="H151" s="4" t="n">
        <v>4122.75</v>
      </c>
      <c r="I151" s="3" t="inlineStr">
        <is>
          <t>النظام القديم (سجل الحركات)</t>
        </is>
      </c>
      <c r="J151" s="3" t="inlineStr">
        <is>
          <t>نعم</t>
        </is>
      </c>
      <c r="K151" s="3" t="inlineStr">
        <is>
          <t>بدون تفصيل بنود في السجل (قيمة إجمالية فقط)</t>
        </is>
      </c>
    </row>
    <row r="152">
      <c r="A152" s="3" t="n">
        <v>151</v>
      </c>
      <c r="B152" s="3" t="inlineStr">
        <is>
          <t>RNO</t>
        </is>
      </c>
      <c r="C152" s="3" t="inlineStr">
        <is>
          <t>صرف مواد للإنتاج – مزرعة الرياض</t>
        </is>
      </c>
      <c r="D152" s="3" t="inlineStr">
        <is>
          <t>RNO-3158</t>
        </is>
      </c>
      <c r="E152" s="23" t="n">
        <v>45998</v>
      </c>
      <c r="F152" s="3" t="inlineStr">
        <is>
          <t>OPERATION RIYADH NURSERY</t>
        </is>
      </c>
      <c r="G152" s="3" t="n"/>
      <c r="H152" s="4" t="n">
        <v>2866.38</v>
      </c>
      <c r="I152" s="3" t="inlineStr">
        <is>
          <t>النظام القديم (سجل الحركات)</t>
        </is>
      </c>
      <c r="J152" s="3" t="inlineStr">
        <is>
          <t>نعم</t>
        </is>
      </c>
      <c r="K152" s="3" t="inlineStr">
        <is>
          <t>بدون تفصيل بنود في السجل (قيمة إجمالية فقط)</t>
        </is>
      </c>
    </row>
    <row r="153">
      <c r="A153" s="3" t="n">
        <v>152</v>
      </c>
      <c r="B153" s="3" t="inlineStr">
        <is>
          <t>RNO</t>
        </is>
      </c>
      <c r="C153" s="3" t="inlineStr">
        <is>
          <t>صرف مواد للإنتاج – مزرعة الرياض</t>
        </is>
      </c>
      <c r="D153" s="3" t="inlineStr">
        <is>
          <t>RNO-3171</t>
        </is>
      </c>
      <c r="E153" s="23" t="n">
        <v>45999</v>
      </c>
      <c r="F153" s="3" t="inlineStr">
        <is>
          <t>OPERATION RIYADH NURSERY</t>
        </is>
      </c>
      <c r="G153" s="3" t="n"/>
      <c r="H153" s="4" t="n">
        <v>2434.55</v>
      </c>
      <c r="I153" s="3" t="inlineStr">
        <is>
          <t>النظام القديم (سجل الحركات)</t>
        </is>
      </c>
      <c r="J153" s="3" t="inlineStr">
        <is>
          <t>نعم</t>
        </is>
      </c>
      <c r="K153" s="3" t="inlineStr">
        <is>
          <t>بدون تفصيل بنود في السجل (قيمة إجمالية فقط)</t>
        </is>
      </c>
    </row>
    <row r="154">
      <c r="A154" s="3" t="n">
        <v>153</v>
      </c>
      <c r="B154" s="3" t="inlineStr">
        <is>
          <t>RNO</t>
        </is>
      </c>
      <c r="C154" s="3" t="inlineStr">
        <is>
          <t>صرف مواد للإنتاج – مزرعة الرياض</t>
        </is>
      </c>
      <c r="D154" s="3" t="inlineStr">
        <is>
          <t>RNO-3195</t>
        </is>
      </c>
      <c r="E154" s="23" t="n">
        <v>46000</v>
      </c>
      <c r="F154" s="3" t="inlineStr">
        <is>
          <t>OPERATION RIYADH NURSERY</t>
        </is>
      </c>
      <c r="G154" s="3" t="n"/>
      <c r="H154" s="4" t="n">
        <v>8691.129999999999</v>
      </c>
      <c r="I154" s="3" t="inlineStr">
        <is>
          <t>النظام القديم (سجل الحركات)</t>
        </is>
      </c>
      <c r="J154" s="3" t="inlineStr">
        <is>
          <t>نعم</t>
        </is>
      </c>
      <c r="K154" s="3" t="inlineStr">
        <is>
          <t>بدون تفصيل بنود في السجل (قيمة إجمالية فقط)</t>
        </is>
      </c>
    </row>
    <row r="155">
      <c r="A155" s="3" t="n">
        <v>154</v>
      </c>
      <c r="B155" s="3" t="inlineStr">
        <is>
          <t>RNO</t>
        </is>
      </c>
      <c r="C155" s="3" t="inlineStr">
        <is>
          <t>صرف مواد للإنتاج – مزرعة الرياض</t>
        </is>
      </c>
      <c r="D155" s="3" t="inlineStr">
        <is>
          <t>RNO-3205</t>
        </is>
      </c>
      <c r="E155" s="23" t="n">
        <v>46001</v>
      </c>
      <c r="F155" s="3" t="inlineStr">
        <is>
          <t>OPERATION RIYADH NURSERY</t>
        </is>
      </c>
      <c r="G155" s="3" t="n"/>
      <c r="H155" s="4" t="n">
        <v>8366.25</v>
      </c>
      <c r="I155" s="3" t="inlineStr">
        <is>
          <t>النظام القديم (سجل الحركات)</t>
        </is>
      </c>
      <c r="J155" s="3" t="inlineStr">
        <is>
          <t>نعم</t>
        </is>
      </c>
      <c r="K155" s="3" t="inlineStr">
        <is>
          <t>بدون تفصيل بنود في السجل (قيمة إجمالية فقط)</t>
        </is>
      </c>
    </row>
    <row r="156">
      <c r="A156" s="3" t="n">
        <v>155</v>
      </c>
      <c r="B156" s="3" t="inlineStr">
        <is>
          <t>RNO</t>
        </is>
      </c>
      <c r="C156" s="3" t="inlineStr">
        <is>
          <t>صرف مواد للإنتاج – مزرعة الرياض</t>
        </is>
      </c>
      <c r="D156" s="3" t="inlineStr">
        <is>
          <t>RNO-3213</t>
        </is>
      </c>
      <c r="E156" s="23" t="n">
        <v>46002</v>
      </c>
      <c r="F156" s="3" t="inlineStr">
        <is>
          <t>OPERATION RIYADH NURSERY</t>
        </is>
      </c>
      <c r="G156" s="3" t="n"/>
      <c r="H156" s="4" t="n">
        <v>4479.25</v>
      </c>
      <c r="I156" s="3" t="inlineStr">
        <is>
          <t>النظام القديم (سجل الحركات)</t>
        </is>
      </c>
      <c r="J156" s="3" t="inlineStr">
        <is>
          <t>نعم</t>
        </is>
      </c>
      <c r="K156" s="3" t="inlineStr">
        <is>
          <t>بدون تفصيل بنود في السجل (قيمة إجمالية فقط)</t>
        </is>
      </c>
    </row>
    <row r="157">
      <c r="A157" s="3" t="n">
        <v>156</v>
      </c>
      <c r="B157" s="3" t="inlineStr">
        <is>
          <t>RNO</t>
        </is>
      </c>
      <c r="C157" s="3" t="inlineStr">
        <is>
          <t>صرف مواد للإنتاج – مزرعة الرياض</t>
        </is>
      </c>
      <c r="D157" s="3" t="inlineStr">
        <is>
          <t>RNO-3223</t>
        </is>
      </c>
      <c r="E157" s="23" t="n">
        <v>46004</v>
      </c>
      <c r="F157" s="3" t="inlineStr">
        <is>
          <t>OPERATION RIYADH NURSERY</t>
        </is>
      </c>
      <c r="G157" s="3" t="n"/>
      <c r="H157" s="4" t="n">
        <v>4230.85</v>
      </c>
      <c r="I157" s="3" t="inlineStr">
        <is>
          <t>النظام القديم (سجل الحركات)</t>
        </is>
      </c>
      <c r="J157" s="3" t="inlineStr">
        <is>
          <t>نعم</t>
        </is>
      </c>
      <c r="K157" s="3" t="inlineStr">
        <is>
          <t>بدون تفصيل بنود في السجل (قيمة إجمالية فقط)</t>
        </is>
      </c>
    </row>
    <row r="158">
      <c r="A158" s="3" t="n">
        <v>157</v>
      </c>
      <c r="B158" s="3" t="inlineStr">
        <is>
          <t>RNO</t>
        </is>
      </c>
      <c r="C158" s="3" t="inlineStr">
        <is>
          <t>صرف مواد للإنتاج – مزرعة الرياض</t>
        </is>
      </c>
      <c r="D158" s="3" t="inlineStr">
        <is>
          <t>RNO-3239</t>
        </is>
      </c>
      <c r="E158" s="23" t="n">
        <v>46005</v>
      </c>
      <c r="F158" s="3" t="inlineStr">
        <is>
          <t>OPERATION RIYADH NURSERY</t>
        </is>
      </c>
      <c r="G158" s="3" t="n"/>
      <c r="H158" s="4" t="n">
        <v>982.1</v>
      </c>
      <c r="I158" s="3" t="inlineStr">
        <is>
          <t>النظام القديم (سجل الحركات)</t>
        </is>
      </c>
      <c r="J158" s="3" t="inlineStr">
        <is>
          <t>نعم</t>
        </is>
      </c>
      <c r="K158" s="3" t="inlineStr">
        <is>
          <t>بدون تفصيل بنود في السجل (قيمة إجمالية فقط)</t>
        </is>
      </c>
    </row>
    <row r="159">
      <c r="A159" s="3" t="n">
        <v>158</v>
      </c>
      <c r="B159" s="3" t="inlineStr">
        <is>
          <t>RNO</t>
        </is>
      </c>
      <c r="C159" s="3" t="inlineStr">
        <is>
          <t>صرف مواد للإنتاج – مزرعة الرياض</t>
        </is>
      </c>
      <c r="D159" s="3" t="inlineStr">
        <is>
          <t>RNO-3251</t>
        </is>
      </c>
      <c r="E159" s="23" t="n">
        <v>46006</v>
      </c>
      <c r="F159" s="3" t="inlineStr">
        <is>
          <t>OPERATION RIYADH NURSERY</t>
        </is>
      </c>
      <c r="G159" s="3" t="n"/>
      <c r="H159" s="4" t="n">
        <v>6804.55</v>
      </c>
      <c r="I159" s="3" t="inlineStr">
        <is>
          <t>النظام القديم (سجل الحركات)</t>
        </is>
      </c>
      <c r="J159" s="3" t="inlineStr">
        <is>
          <t>نعم</t>
        </is>
      </c>
      <c r="K159" s="3" t="inlineStr">
        <is>
          <t>بدون تفصيل بنود في السجل (قيمة إجمالية فقط)</t>
        </is>
      </c>
    </row>
    <row r="160">
      <c r="A160" s="3" t="n">
        <v>159</v>
      </c>
      <c r="B160" s="3" t="inlineStr">
        <is>
          <t>RNO</t>
        </is>
      </c>
      <c r="C160" s="3" t="inlineStr">
        <is>
          <t>صرف مواد للإنتاج – مزرعة الرياض</t>
        </is>
      </c>
      <c r="D160" s="3" t="inlineStr">
        <is>
          <t>RNO-3263</t>
        </is>
      </c>
      <c r="E160" s="23" t="n">
        <v>46007</v>
      </c>
      <c r="F160" s="3" t="inlineStr">
        <is>
          <t>OPERATION RIYADH NURSERY</t>
        </is>
      </c>
      <c r="G160" s="3" t="n"/>
      <c r="H160" s="4" t="n">
        <v>529</v>
      </c>
      <c r="I160" s="3" t="inlineStr">
        <is>
          <t>النظام القديم (سجل الحركات)</t>
        </is>
      </c>
      <c r="J160" s="3" t="inlineStr">
        <is>
          <t>نعم</t>
        </is>
      </c>
      <c r="K160" s="3" t="inlineStr">
        <is>
          <t>بدون تفصيل بنود في السجل (قيمة إجمالية فقط)</t>
        </is>
      </c>
    </row>
    <row r="161">
      <c r="A161" s="3" t="n">
        <v>160</v>
      </c>
      <c r="B161" s="3" t="inlineStr">
        <is>
          <t>RNO</t>
        </is>
      </c>
      <c r="C161" s="3" t="inlineStr">
        <is>
          <t>صرف مواد للإنتاج – مزرعة الرياض</t>
        </is>
      </c>
      <c r="D161" s="3" t="inlineStr">
        <is>
          <t>RNO-3268</t>
        </is>
      </c>
      <c r="E161" s="23" t="n">
        <v>46008</v>
      </c>
      <c r="F161" s="3" t="inlineStr">
        <is>
          <t>OPERATION RIYADH NURSERY</t>
        </is>
      </c>
      <c r="G161" s="3" t="n"/>
      <c r="H161" s="4" t="n">
        <v>4745.48</v>
      </c>
      <c r="I161" s="3" t="inlineStr">
        <is>
          <t>النظام القديم (سجل الحركات)</t>
        </is>
      </c>
      <c r="J161" s="3" t="inlineStr">
        <is>
          <t>نعم</t>
        </is>
      </c>
      <c r="K161" s="3" t="inlineStr">
        <is>
          <t>بدون تفصيل بنود في السجل (قيمة إجمالية فقط)</t>
        </is>
      </c>
    </row>
    <row r="162">
      <c r="A162" s="3" t="n">
        <v>161</v>
      </c>
      <c r="B162" s="3" t="inlineStr">
        <is>
          <t>RNO</t>
        </is>
      </c>
      <c r="C162" s="3" t="inlineStr">
        <is>
          <t>صرف مواد للإنتاج – مزرعة الرياض</t>
        </is>
      </c>
      <c r="D162" s="3" t="inlineStr">
        <is>
          <t>RNO-3275</t>
        </is>
      </c>
      <c r="E162" s="23" t="n">
        <v>46009</v>
      </c>
      <c r="F162" s="3" t="inlineStr">
        <is>
          <t>OPERATION RIYADH NURSERY</t>
        </is>
      </c>
      <c r="G162" s="3" t="n"/>
      <c r="H162" s="4" t="n">
        <v>2309.2</v>
      </c>
      <c r="I162" s="3" t="inlineStr">
        <is>
          <t>النظام القديم (سجل الحركات)</t>
        </is>
      </c>
      <c r="J162" s="3" t="inlineStr">
        <is>
          <t>نعم</t>
        </is>
      </c>
      <c r="K162" s="3" t="inlineStr">
        <is>
          <t>بدون تفصيل بنود في السجل (قيمة إجمالية فقط)</t>
        </is>
      </c>
    </row>
    <row r="163">
      <c r="A163" s="3" t="n">
        <v>162</v>
      </c>
      <c r="B163" s="3" t="inlineStr">
        <is>
          <t>RNO</t>
        </is>
      </c>
      <c r="C163" s="3" t="inlineStr">
        <is>
          <t>صرف مواد للإنتاج – مزرعة الرياض</t>
        </is>
      </c>
      <c r="D163" s="3" t="inlineStr">
        <is>
          <t>RNO-3297</t>
        </is>
      </c>
      <c r="E163" s="23" t="n">
        <v>46012</v>
      </c>
      <c r="F163" s="3" t="inlineStr">
        <is>
          <t>OPERATION RIYADH NURSERY</t>
        </is>
      </c>
      <c r="G163" s="3" t="n"/>
      <c r="H163" s="4" t="n">
        <v>1351.83</v>
      </c>
      <c r="I163" s="3" t="inlineStr">
        <is>
          <t>النظام القديم (سجل الحركات)</t>
        </is>
      </c>
      <c r="J163" s="3" t="inlineStr">
        <is>
          <t>نعم</t>
        </is>
      </c>
      <c r="K163" s="3" t="inlineStr">
        <is>
          <t>بدون تفصيل بنود في السجل (قيمة إجمالية فقط)</t>
        </is>
      </c>
    </row>
    <row r="164">
      <c r="A164" s="3" t="n">
        <v>163</v>
      </c>
      <c r="B164" s="3" t="inlineStr">
        <is>
          <t>RNO</t>
        </is>
      </c>
      <c r="C164" s="3" t="inlineStr">
        <is>
          <t>صرف مواد للإنتاج – مزرعة الرياض</t>
        </is>
      </c>
      <c r="D164" s="3" t="inlineStr">
        <is>
          <t>RNO-3317</t>
        </is>
      </c>
      <c r="E164" s="23" t="n">
        <v>46014</v>
      </c>
      <c r="F164" s="3" t="inlineStr">
        <is>
          <t>OPERATION RIYADH NURSERY</t>
        </is>
      </c>
      <c r="G164" s="3" t="n"/>
      <c r="H164" s="4" t="n">
        <v>5698.83</v>
      </c>
      <c r="I164" s="3" t="inlineStr">
        <is>
          <t>النظام القديم (سجل الحركات)</t>
        </is>
      </c>
      <c r="J164" s="3" t="inlineStr">
        <is>
          <t>نعم</t>
        </is>
      </c>
      <c r="K164" s="3" t="inlineStr">
        <is>
          <t>بدون تفصيل بنود في السجل (قيمة إجمالية فقط)</t>
        </is>
      </c>
    </row>
    <row r="165">
      <c r="A165" s="3" t="n">
        <v>164</v>
      </c>
      <c r="B165" s="3" t="inlineStr">
        <is>
          <t>RNO</t>
        </is>
      </c>
      <c r="C165" s="3" t="inlineStr">
        <is>
          <t>صرف مواد للإنتاج – مزرعة الرياض</t>
        </is>
      </c>
      <c r="D165" s="3" t="inlineStr">
        <is>
          <t>RNO-3347</t>
        </is>
      </c>
      <c r="E165" s="23" t="n">
        <v>46016</v>
      </c>
      <c r="F165" s="3" t="inlineStr">
        <is>
          <t>OPERATION RIYADH NURSERY</t>
        </is>
      </c>
      <c r="G165" s="3" t="n"/>
      <c r="H165" s="4" t="n">
        <v>2521.38</v>
      </c>
      <c r="I165" s="3" t="inlineStr">
        <is>
          <t>النظام القديم (سجل الحركات)</t>
        </is>
      </c>
      <c r="J165" s="3" t="inlineStr">
        <is>
          <t>نعم</t>
        </is>
      </c>
      <c r="K165" s="3" t="inlineStr">
        <is>
          <t>بدون تفصيل بنود في السجل (قيمة إجمالية فقط)</t>
        </is>
      </c>
    </row>
    <row r="166">
      <c r="A166" s="3" t="n">
        <v>165</v>
      </c>
      <c r="B166" s="3" t="inlineStr">
        <is>
          <t>RNO</t>
        </is>
      </c>
      <c r="C166" s="3" t="inlineStr">
        <is>
          <t>صرف مواد للإنتاج – مزرعة الرياض</t>
        </is>
      </c>
      <c r="D166" s="3" t="inlineStr">
        <is>
          <t>RNO-3353</t>
        </is>
      </c>
      <c r="E166" s="23" t="n">
        <v>46018</v>
      </c>
      <c r="F166" s="3" t="inlineStr">
        <is>
          <t>OPERATION RIYADH NURSERY</t>
        </is>
      </c>
      <c r="G166" s="3" t="n"/>
      <c r="H166" s="4" t="n">
        <v>7453.73</v>
      </c>
      <c r="I166" s="3" t="inlineStr">
        <is>
          <t>النظام القديم (سجل الحركات)</t>
        </is>
      </c>
      <c r="J166" s="3" t="inlineStr">
        <is>
          <t>نعم</t>
        </is>
      </c>
      <c r="K166" s="3" t="inlineStr">
        <is>
          <t>بدون تفصيل بنود في السجل (قيمة إجمالية فقط)</t>
        </is>
      </c>
    </row>
    <row r="167">
      <c r="A167" s="3" t="n">
        <v>166</v>
      </c>
      <c r="B167" s="3" t="inlineStr">
        <is>
          <t>RNO</t>
        </is>
      </c>
      <c r="C167" s="3" t="inlineStr">
        <is>
          <t>صرف مواد للإنتاج – مزرعة الرياض</t>
        </is>
      </c>
      <c r="D167" s="3" t="inlineStr">
        <is>
          <t>RNO-3492</t>
        </is>
      </c>
      <c r="E167" s="23" t="n">
        <v>46029</v>
      </c>
      <c r="F167" s="3" t="inlineStr">
        <is>
          <t>OPERATION RIYADH NURSERY</t>
        </is>
      </c>
      <c r="G167" s="3" t="n"/>
      <c r="H167" s="4" t="n">
        <v>529</v>
      </c>
      <c r="I167" s="3" t="inlineStr">
        <is>
          <t>النظام القديم (سجل الحركات)</t>
        </is>
      </c>
      <c r="J167" s="3" t="inlineStr">
        <is>
          <t>نعم</t>
        </is>
      </c>
      <c r="K167" s="3" t="inlineStr">
        <is>
          <t>بدون تفصيل بنود في السجل (قيمة إجمالية فقط)</t>
        </is>
      </c>
    </row>
    <row r="168">
      <c r="A168" s="3" t="n">
        <v>167</v>
      </c>
      <c r="B168" s="3" t="inlineStr">
        <is>
          <t>RNO</t>
        </is>
      </c>
      <c r="C168" s="3" t="inlineStr">
        <is>
          <t>صرف مواد للإنتاج – مزرعة الرياض</t>
        </is>
      </c>
      <c r="D168" s="3" t="inlineStr">
        <is>
          <t>RNO-3525</t>
        </is>
      </c>
      <c r="E168" s="23" t="n">
        <v>46033</v>
      </c>
      <c r="F168" s="3" t="inlineStr">
        <is>
          <t>OPERATION RIYADH NURSERY</t>
        </is>
      </c>
      <c r="G168" s="3" t="n">
        <v>2</v>
      </c>
      <c r="H168" s="4" t="n">
        <v>1069.5</v>
      </c>
      <c r="I168" s="3" t="inlineStr">
        <is>
          <t>النظام القديم (سجل الحركات)</t>
        </is>
      </c>
      <c r="J168" s="3" t="inlineStr">
        <is>
          <t>نعم</t>
        </is>
      </c>
      <c r="K168" s="3" t="inlineStr"/>
    </row>
    <row r="169">
      <c r="A169" s="3" t="n">
        <v>168</v>
      </c>
      <c r="B169" s="3" t="inlineStr">
        <is>
          <t>RNO</t>
        </is>
      </c>
      <c r="C169" s="3" t="inlineStr">
        <is>
          <t>صرف مواد للإنتاج – مزرعة الرياض</t>
        </is>
      </c>
      <c r="D169" s="3" t="inlineStr">
        <is>
          <t>RNO-3558</t>
        </is>
      </c>
      <c r="E169" s="23" t="n">
        <v>46036</v>
      </c>
      <c r="F169" s="3" t="inlineStr">
        <is>
          <t>OPERATION RIYADH NURSERY</t>
        </is>
      </c>
      <c r="G169" s="3" t="n">
        <v>2</v>
      </c>
      <c r="H169" s="4" t="n">
        <v>1909</v>
      </c>
      <c r="I169" s="3" t="inlineStr">
        <is>
          <t>النظام القديم (سجل الحركات)</t>
        </is>
      </c>
      <c r="J169" s="3" t="inlineStr">
        <is>
          <t>نعم</t>
        </is>
      </c>
      <c r="K169" s="3" t="inlineStr"/>
    </row>
    <row r="170">
      <c r="A170" s="3" t="n">
        <v>169</v>
      </c>
      <c r="B170" s="3" t="inlineStr">
        <is>
          <t>RNO</t>
        </is>
      </c>
      <c r="C170" s="3" t="inlineStr">
        <is>
          <t>صرف مواد للإنتاج – مزرعة الرياض</t>
        </is>
      </c>
      <c r="D170" s="3" t="inlineStr">
        <is>
          <t>RNO-3624</t>
        </is>
      </c>
      <c r="E170" s="23" t="n">
        <v>46046</v>
      </c>
      <c r="F170" s="3" t="inlineStr">
        <is>
          <t>OPERATION RIYADH NURSERY</t>
        </is>
      </c>
      <c r="G170" s="3" t="n">
        <v>2</v>
      </c>
      <c r="H170" s="4" t="n">
        <v>5359</v>
      </c>
      <c r="I170" s="3" t="inlineStr">
        <is>
          <t>النظام القديم (سجل الحركات)</t>
        </is>
      </c>
      <c r="J170" s="3" t="inlineStr">
        <is>
          <t>نعم</t>
        </is>
      </c>
      <c r="K170" s="3" t="inlineStr"/>
    </row>
    <row r="171">
      <c r="A171" s="3" t="n">
        <v>170</v>
      </c>
      <c r="B171" s="3" t="inlineStr">
        <is>
          <t>RNO</t>
        </is>
      </c>
      <c r="C171" s="3" t="inlineStr">
        <is>
          <t>صرف مواد للإنتاج – مزرعة الرياض</t>
        </is>
      </c>
      <c r="D171" s="3" t="inlineStr">
        <is>
          <t>RNO-3637</t>
        </is>
      </c>
      <c r="E171" s="23" t="n">
        <v>46048</v>
      </c>
      <c r="F171" s="3" t="inlineStr">
        <is>
          <t>OPERATION RIYADH NURSERY</t>
        </is>
      </c>
      <c r="G171" s="3" t="n">
        <v>2</v>
      </c>
      <c r="H171" s="4" t="n">
        <v>1230.5</v>
      </c>
      <c r="I171" s="3" t="inlineStr">
        <is>
          <t>النظام القديم (سجل الحركات)</t>
        </is>
      </c>
      <c r="J171" s="3" t="inlineStr">
        <is>
          <t>نعم</t>
        </is>
      </c>
      <c r="K171" s="3" t="inlineStr"/>
    </row>
    <row r="172">
      <c r="A172" s="3" t="n">
        <v>171</v>
      </c>
      <c r="B172" s="3" t="inlineStr">
        <is>
          <t>RNO</t>
        </is>
      </c>
      <c r="C172" s="3" t="inlineStr">
        <is>
          <t>صرف مواد للإنتاج – مزرعة الرياض</t>
        </is>
      </c>
      <c r="D172" s="3" t="inlineStr">
        <is>
          <t>RNO-3673</t>
        </is>
      </c>
      <c r="E172" s="23" t="n">
        <v>46049</v>
      </c>
      <c r="F172" s="3" t="inlineStr">
        <is>
          <t>OPERATION RIYADH NURSERY</t>
        </is>
      </c>
      <c r="G172" s="3" t="n">
        <v>2</v>
      </c>
      <c r="H172" s="4" t="n">
        <v>2603.6</v>
      </c>
      <c r="I172" s="3" t="inlineStr">
        <is>
          <t>النظام القديم (سجل الحركات)</t>
        </is>
      </c>
      <c r="J172" s="3" t="inlineStr">
        <is>
          <t>نعم</t>
        </is>
      </c>
      <c r="K172" s="3" t="inlineStr"/>
    </row>
    <row r="173">
      <c r="A173" s="3" t="n">
        <v>172</v>
      </c>
      <c r="B173" s="3" t="inlineStr">
        <is>
          <t>RNO</t>
        </is>
      </c>
      <c r="C173" s="3" t="inlineStr">
        <is>
          <t>صرف مواد للإنتاج – مزرعة الرياض</t>
        </is>
      </c>
      <c r="D173" s="3" t="inlineStr">
        <is>
          <t>RNO-3684</t>
        </is>
      </c>
      <c r="E173" s="23" t="n">
        <v>46050</v>
      </c>
      <c r="F173" s="3" t="inlineStr">
        <is>
          <t>OPERATION RIYADH NURSERY</t>
        </is>
      </c>
      <c r="G173" s="3" t="n">
        <v>9</v>
      </c>
      <c r="H173" s="4" t="n">
        <v>5577.5</v>
      </c>
      <c r="I173" s="3" t="inlineStr">
        <is>
          <t>النظام القديم (سجل الحركات)</t>
        </is>
      </c>
      <c r="J173" s="3" t="inlineStr">
        <is>
          <t>نعم</t>
        </is>
      </c>
      <c r="K173" s="3" t="inlineStr"/>
    </row>
    <row r="174">
      <c r="A174" s="3" t="n">
        <v>173</v>
      </c>
      <c r="B174" s="3" t="inlineStr">
        <is>
          <t>RNO</t>
        </is>
      </c>
      <c r="C174" s="3" t="inlineStr">
        <is>
          <t>صرف مواد للإنتاج – مزرعة الرياض</t>
        </is>
      </c>
      <c r="D174" s="3" t="inlineStr">
        <is>
          <t>RNO-3695</t>
        </is>
      </c>
      <c r="E174" s="23" t="n">
        <v>46051</v>
      </c>
      <c r="F174" s="3" t="inlineStr">
        <is>
          <t>OPERATION RIYADH NURSERY</t>
        </is>
      </c>
      <c r="G174" s="3" t="n"/>
      <c r="H174" s="4" t="n">
        <v>1679</v>
      </c>
      <c r="I174" s="3" t="inlineStr">
        <is>
          <t>النظام القديم (سجل الحركات)</t>
        </is>
      </c>
      <c r="J174" s="3" t="inlineStr">
        <is>
          <t>نعم</t>
        </is>
      </c>
      <c r="K174" s="3" t="inlineStr">
        <is>
          <t>بدون تفصيل بنود في السجل (قيمة إجمالية فقط)</t>
        </is>
      </c>
    </row>
    <row r="175">
      <c r="A175" s="3" t="n">
        <v>174</v>
      </c>
      <c r="B175" s="3" t="inlineStr">
        <is>
          <t>RNO</t>
        </is>
      </c>
      <c r="C175" s="3" t="inlineStr">
        <is>
          <t>صرف مواد للإنتاج – مزرعة الرياض</t>
        </is>
      </c>
      <c r="D175" s="3" t="inlineStr">
        <is>
          <t>RNO-3707</t>
        </is>
      </c>
      <c r="E175" s="23" t="n">
        <v>46054</v>
      </c>
      <c r="F175" s="3" t="inlineStr">
        <is>
          <t>OPERATION RIYADH NURSERY</t>
        </is>
      </c>
      <c r="G175" s="3" t="n">
        <v>16</v>
      </c>
      <c r="H175" s="4" t="n">
        <v>12882.3</v>
      </c>
      <c r="I175" s="3" t="inlineStr">
        <is>
          <t>النظام القديم (سجل الحركات)</t>
        </is>
      </c>
      <c r="J175" s="3" t="inlineStr">
        <is>
          <t>نعم</t>
        </is>
      </c>
      <c r="K175" s="3" t="inlineStr"/>
    </row>
    <row r="176">
      <c r="A176" s="3" t="n">
        <v>175</v>
      </c>
      <c r="B176" s="3" t="inlineStr">
        <is>
          <t>RNO</t>
        </is>
      </c>
      <c r="C176" s="3" t="inlineStr">
        <is>
          <t>صرف مواد للإنتاج – مزرعة الرياض</t>
        </is>
      </c>
      <c r="D176" s="3" t="inlineStr">
        <is>
          <t>RNO-3762</t>
        </is>
      </c>
      <c r="E176" s="23" t="n">
        <v>46058</v>
      </c>
      <c r="F176" s="3" t="inlineStr">
        <is>
          <t>OPERATION RIYADH NURSERY</t>
        </is>
      </c>
      <c r="G176" s="3" t="n">
        <v>3</v>
      </c>
      <c r="H176" s="4" t="n">
        <v>26234.38</v>
      </c>
      <c r="I176" s="3" t="inlineStr">
        <is>
          <t>النظام القديم (سجل الحركات)</t>
        </is>
      </c>
      <c r="J176" s="3" t="inlineStr">
        <is>
          <t>نعم</t>
        </is>
      </c>
      <c r="K176" s="3" t="inlineStr"/>
    </row>
    <row r="177">
      <c r="A177" s="3" t="n">
        <v>176</v>
      </c>
      <c r="B177" s="3" t="inlineStr">
        <is>
          <t>RNO</t>
        </is>
      </c>
      <c r="C177" s="3" t="inlineStr">
        <is>
          <t>صرف مواد للإنتاج – مزرعة الرياض</t>
        </is>
      </c>
      <c r="D177" s="3" t="inlineStr">
        <is>
          <t>RNO-3777</t>
        </is>
      </c>
      <c r="E177" s="23" t="n">
        <v>46061</v>
      </c>
      <c r="F177" s="3" t="inlineStr">
        <is>
          <t>OPERATION RIYADH NURSERY</t>
        </is>
      </c>
      <c r="G177" s="3" t="n">
        <v>7</v>
      </c>
      <c r="H177" s="4" t="n">
        <v>9674.379999999999</v>
      </c>
      <c r="I177" s="3" t="inlineStr">
        <is>
          <t>النظام القديم (سجل الحركات)</t>
        </is>
      </c>
      <c r="J177" s="3" t="inlineStr">
        <is>
          <t>نعم</t>
        </is>
      </c>
      <c r="K177" s="3" t="inlineStr"/>
    </row>
    <row r="178">
      <c r="A178" s="3" t="n">
        <v>177</v>
      </c>
      <c r="B178" s="3" t="inlineStr">
        <is>
          <t>RNO</t>
        </is>
      </c>
      <c r="C178" s="3" t="inlineStr">
        <is>
          <t>صرف مواد للإنتاج – مزرعة الرياض</t>
        </is>
      </c>
      <c r="D178" s="3" t="inlineStr">
        <is>
          <t>RNO-3800</t>
        </is>
      </c>
      <c r="E178" s="23" t="n">
        <v>46063</v>
      </c>
      <c r="F178" s="3" t="inlineStr">
        <is>
          <t>OPERATION RIYADH NURSERY</t>
        </is>
      </c>
      <c r="G178" s="3" t="n">
        <v>11</v>
      </c>
      <c r="H178" s="4" t="n">
        <v>6039.8</v>
      </c>
      <c r="I178" s="3" t="inlineStr">
        <is>
          <t>النظام القديم (سجل الحركات)</t>
        </is>
      </c>
      <c r="J178" s="3" t="inlineStr">
        <is>
          <t>نعم</t>
        </is>
      </c>
      <c r="K178" s="3" t="inlineStr"/>
    </row>
    <row r="179">
      <c r="A179" s="3" t="n">
        <v>178</v>
      </c>
      <c r="B179" s="3" t="inlineStr">
        <is>
          <t>RNO</t>
        </is>
      </c>
      <c r="C179" s="3" t="inlineStr">
        <is>
          <t>صرف مواد للإنتاج – مزرعة الرياض</t>
        </is>
      </c>
      <c r="D179" s="3" t="inlineStr">
        <is>
          <t>RNO-3829</t>
        </is>
      </c>
      <c r="E179" s="23" t="n">
        <v>46065</v>
      </c>
      <c r="F179" s="3" t="inlineStr">
        <is>
          <t>OPERATION RIYADH NURSERY</t>
        </is>
      </c>
      <c r="G179" s="3" t="n">
        <v>4</v>
      </c>
      <c r="H179" s="4" t="n">
        <v>5417.08</v>
      </c>
      <c r="I179" s="3" t="inlineStr">
        <is>
          <t>النظام القديم (سجل الحركات)</t>
        </is>
      </c>
      <c r="J179" s="3" t="inlineStr">
        <is>
          <t>نعم</t>
        </is>
      </c>
      <c r="K179" s="3" t="inlineStr"/>
    </row>
    <row r="180">
      <c r="A180" s="3" t="n">
        <v>179</v>
      </c>
      <c r="B180" s="3" t="inlineStr">
        <is>
          <t>RNO</t>
        </is>
      </c>
      <c r="C180" s="3" t="inlineStr">
        <is>
          <t>صرف مواد للإنتاج – مزرعة الرياض</t>
        </is>
      </c>
      <c r="D180" s="3" t="inlineStr">
        <is>
          <t>RNO-3832</t>
        </is>
      </c>
      <c r="E180" s="23" t="n">
        <v>46066</v>
      </c>
      <c r="F180" s="3" t="inlineStr">
        <is>
          <t>OPERATION RIYADH NURSERY</t>
        </is>
      </c>
      <c r="G180" s="3" t="n">
        <v>4</v>
      </c>
      <c r="H180" s="4" t="n">
        <v>5550.48</v>
      </c>
      <c r="I180" s="3" t="inlineStr">
        <is>
          <t>النظام القديم (سجل الحركات)</t>
        </is>
      </c>
      <c r="J180" s="3" t="inlineStr">
        <is>
          <t>نعم</t>
        </is>
      </c>
      <c r="K180" s="3" t="inlineStr"/>
    </row>
    <row r="181">
      <c r="A181" s="3" t="n">
        <v>180</v>
      </c>
      <c r="B181" s="3" t="inlineStr">
        <is>
          <t>RNO</t>
        </is>
      </c>
      <c r="C181" s="3" t="inlineStr">
        <is>
          <t>صرف مواد للإنتاج – مزرعة الرياض</t>
        </is>
      </c>
      <c r="D181" s="3" t="inlineStr">
        <is>
          <t>RNO-3848</t>
        </is>
      </c>
      <c r="E181" s="23" t="n">
        <v>46068</v>
      </c>
      <c r="F181" s="3" t="inlineStr">
        <is>
          <t>OPERATION RIYADH NURSERY</t>
        </is>
      </c>
      <c r="G181" s="3" t="n">
        <v>2</v>
      </c>
      <c r="H181" s="4" t="n">
        <v>2133.83</v>
      </c>
      <c r="I181" s="3" t="inlineStr">
        <is>
          <t>النظام القديم (سجل الحركات)</t>
        </is>
      </c>
      <c r="J181" s="3" t="inlineStr">
        <is>
          <t>نعم</t>
        </is>
      </c>
      <c r="K181" s="3" t="inlineStr"/>
    </row>
    <row r="182">
      <c r="A182" s="3" t="n">
        <v>181</v>
      </c>
      <c r="B182" s="3" t="inlineStr">
        <is>
          <t>RNO</t>
        </is>
      </c>
      <c r="C182" s="3" t="inlineStr">
        <is>
          <t>صرف مواد للإنتاج – مزرعة الرياض</t>
        </is>
      </c>
      <c r="D182" s="3" t="inlineStr">
        <is>
          <t>RNO-3853</t>
        </is>
      </c>
      <c r="E182" s="23" t="n">
        <v>46069</v>
      </c>
      <c r="F182" s="3" t="inlineStr">
        <is>
          <t>OPERATION RIYADH NURSERY</t>
        </is>
      </c>
      <c r="G182" s="3" t="n">
        <v>1</v>
      </c>
      <c r="H182" s="4" t="n">
        <v>69</v>
      </c>
      <c r="I182" s="3" t="inlineStr">
        <is>
          <t>النظام القديم (سجل الحركات)</t>
        </is>
      </c>
      <c r="J182" s="3" t="inlineStr">
        <is>
          <t>نعم</t>
        </is>
      </c>
      <c r="K182" s="3" t="inlineStr"/>
    </row>
    <row r="183">
      <c r="A183" s="3" t="n">
        <v>182</v>
      </c>
      <c r="B183" s="3" t="inlineStr">
        <is>
          <t>RNO</t>
        </is>
      </c>
      <c r="C183" s="3" t="inlineStr">
        <is>
          <t>صرف مواد للإنتاج – مزرعة الرياض</t>
        </is>
      </c>
      <c r="D183" s="3" t="inlineStr">
        <is>
          <t>RNO-3862</t>
        </is>
      </c>
      <c r="E183" s="23" t="n">
        <v>46070</v>
      </c>
      <c r="F183" s="3" t="inlineStr">
        <is>
          <t>OPERATION RIYADH NURSERY</t>
        </is>
      </c>
      <c r="G183" s="3" t="n">
        <v>16</v>
      </c>
      <c r="H183" s="4" t="n">
        <v>6766.03</v>
      </c>
      <c r="I183" s="3" t="inlineStr">
        <is>
          <t>النظام القديم (سجل الحركات)</t>
        </is>
      </c>
      <c r="J183" s="3" t="inlineStr">
        <is>
          <t>نعم</t>
        </is>
      </c>
      <c r="K183" s="3" t="inlineStr"/>
    </row>
    <row r="184">
      <c r="A184" s="3" t="n">
        <v>183</v>
      </c>
      <c r="B184" s="3" t="inlineStr">
        <is>
          <t>RNO</t>
        </is>
      </c>
      <c r="C184" s="3" t="inlineStr">
        <is>
          <t>صرف مواد للإنتاج – مزرعة الرياض</t>
        </is>
      </c>
      <c r="D184" s="3" t="inlineStr">
        <is>
          <t>RNO-3879</t>
        </is>
      </c>
      <c r="E184" s="23" t="n">
        <v>46072</v>
      </c>
      <c r="F184" s="3" t="inlineStr">
        <is>
          <t>OPERATION RIYADH NURSERY</t>
        </is>
      </c>
      <c r="G184" s="3" t="n">
        <v>1</v>
      </c>
      <c r="H184" s="4" t="n">
        <v>6555</v>
      </c>
      <c r="I184" s="3" t="inlineStr">
        <is>
          <t>النظام القديم (سجل الحركات)</t>
        </is>
      </c>
      <c r="J184" s="3" t="inlineStr">
        <is>
          <t>نعم</t>
        </is>
      </c>
      <c r="K184" s="3" t="inlineStr"/>
    </row>
    <row r="185">
      <c r="A185" s="3" t="n">
        <v>184</v>
      </c>
      <c r="B185" s="3" t="inlineStr">
        <is>
          <t>RNO</t>
        </is>
      </c>
      <c r="C185" s="3" t="inlineStr">
        <is>
          <t>صرف مواد للإنتاج – مزرعة الرياض</t>
        </is>
      </c>
      <c r="D185" s="3" t="inlineStr">
        <is>
          <t>RNO-3906</t>
        </is>
      </c>
      <c r="E185" s="23" t="n">
        <v>46075</v>
      </c>
      <c r="F185" s="3" t="inlineStr">
        <is>
          <t>OPERATION RIYADH NURSERY</t>
        </is>
      </c>
      <c r="G185" s="3" t="n">
        <v>5</v>
      </c>
      <c r="H185" s="4" t="n">
        <v>11440.78</v>
      </c>
      <c r="I185" s="3" t="inlineStr">
        <is>
          <t>النظام القديم (سجل الحركات)</t>
        </is>
      </c>
      <c r="J185" s="3" t="inlineStr">
        <is>
          <t>نعم</t>
        </is>
      </c>
      <c r="K185" s="3" t="inlineStr"/>
    </row>
    <row r="186">
      <c r="A186" s="10" t="n">
        <v>185</v>
      </c>
      <c r="B186" s="10" t="inlineStr">
        <is>
          <t>RNO</t>
        </is>
      </c>
      <c r="C186" s="10" t="inlineStr">
        <is>
          <t>صرف مواد للإنتاج – مزرعة الرياض</t>
        </is>
      </c>
      <c r="D186" s="10" t="inlineStr">
        <is>
          <t>ISV-0003</t>
        </is>
      </c>
      <c r="E186" s="24" t="n">
        <v>46186</v>
      </c>
      <c r="F186" s="10" t="inlineStr">
        <is>
          <t>PRODUCTION OPERATION-RN</t>
        </is>
      </c>
      <c r="G186" s="10" t="n">
        <v>1</v>
      </c>
      <c r="H186" s="12" t="n">
        <v>310.5</v>
      </c>
      <c r="I186" s="10" t="inlineStr">
        <is>
          <t>النظام الجديد</t>
        </is>
      </c>
      <c r="J186" s="10" t="inlineStr">
        <is>
          <t>نعم</t>
        </is>
      </c>
      <c r="K186" s="10" t="inlineStr">
        <is>
          <t>النظام الجديد يعطي عدد البنود والقيمة فقط</t>
        </is>
      </c>
    </row>
    <row r="187">
      <c r="A187" s="10" t="n">
        <v>186</v>
      </c>
      <c r="B187" s="10" t="inlineStr">
        <is>
          <t>RNO</t>
        </is>
      </c>
      <c r="C187" s="10" t="inlineStr">
        <is>
          <t>صرف مواد للإنتاج – مزرعة الرياض</t>
        </is>
      </c>
      <c r="D187" s="10" t="inlineStr">
        <is>
          <t>ISV-0002</t>
        </is>
      </c>
      <c r="E187" s="24" t="n">
        <v>46186</v>
      </c>
      <c r="F187" s="10" t="inlineStr">
        <is>
          <t>PRODUCTION OPERATION-RN</t>
        </is>
      </c>
      <c r="G187" s="10" t="n">
        <v>2</v>
      </c>
      <c r="H187" s="12" t="n">
        <v>161.5</v>
      </c>
      <c r="I187" s="10" t="inlineStr">
        <is>
          <t>النظام الجديد</t>
        </is>
      </c>
      <c r="J187" s="10" t="inlineStr">
        <is>
          <t>نعم</t>
        </is>
      </c>
      <c r="K187" s="10" t="inlineStr">
        <is>
          <t>النظام الجديد يعطي عدد البنود والقيمة فقط</t>
        </is>
      </c>
    </row>
    <row r="188">
      <c r="A188" s="10" t="n">
        <v>187</v>
      </c>
      <c r="B188" s="10" t="inlineStr">
        <is>
          <t>RNO</t>
        </is>
      </c>
      <c r="C188" s="10" t="inlineStr">
        <is>
          <t>صرف مواد للإنتاج – مزرعة الرياض</t>
        </is>
      </c>
      <c r="D188" s="10" t="inlineStr">
        <is>
          <t>ISV-0008</t>
        </is>
      </c>
      <c r="E188" s="24" t="n">
        <v>46187</v>
      </c>
      <c r="F188" s="10" t="inlineStr">
        <is>
          <t>PRODUCTION OPERATION-RN</t>
        </is>
      </c>
      <c r="G188" s="10" t="n">
        <v>5</v>
      </c>
      <c r="H188" s="12" t="n">
        <v>2796</v>
      </c>
      <c r="I188" s="10" t="inlineStr">
        <is>
          <t>النظام الجديد</t>
        </is>
      </c>
      <c r="J188" s="10" t="inlineStr">
        <is>
          <t>نعم</t>
        </is>
      </c>
      <c r="K188" s="10" t="inlineStr">
        <is>
          <t>النظام الجديد يعطي عدد البنود والقيمة فقط</t>
        </is>
      </c>
    </row>
    <row r="189">
      <c r="A189" s="10" t="n">
        <v>188</v>
      </c>
      <c r="B189" s="10" t="inlineStr">
        <is>
          <t>RNO</t>
        </is>
      </c>
      <c r="C189" s="10" t="inlineStr">
        <is>
          <t>صرف مواد للإنتاج – مزرعة الرياض</t>
        </is>
      </c>
      <c r="D189" s="10" t="inlineStr">
        <is>
          <t>ISV-0018</t>
        </is>
      </c>
      <c r="E189" s="24" t="n">
        <v>46190</v>
      </c>
      <c r="F189" s="10" t="inlineStr">
        <is>
          <t>PRODUCTION OPERATION-RN</t>
        </is>
      </c>
      <c r="G189" s="10" t="n">
        <v>3</v>
      </c>
      <c r="H189" s="12" t="n">
        <v>3028</v>
      </c>
      <c r="I189" s="10" t="inlineStr">
        <is>
          <t>النظام الجديد</t>
        </is>
      </c>
      <c r="J189" s="10" t="inlineStr">
        <is>
          <t>نعم</t>
        </is>
      </c>
      <c r="K189" s="10" t="inlineStr">
        <is>
          <t>النظام الجديد يعطي عدد البنود والقيمة فقط</t>
        </is>
      </c>
    </row>
    <row r="190">
      <c r="A190" s="10" t="n">
        <v>189</v>
      </c>
      <c r="B190" s="10" t="inlineStr">
        <is>
          <t>RNO</t>
        </is>
      </c>
      <c r="C190" s="10" t="inlineStr">
        <is>
          <t>صرف مواد للإنتاج – مزرعة الرياض</t>
        </is>
      </c>
      <c r="D190" s="10" t="inlineStr">
        <is>
          <t>ISV-0023</t>
        </is>
      </c>
      <c r="E190" s="24" t="n">
        <v>46194</v>
      </c>
      <c r="F190" s="10" t="inlineStr">
        <is>
          <t>PRODUCTION OPERATION-RN</t>
        </is>
      </c>
      <c r="G190" s="10" t="n">
        <v>2</v>
      </c>
      <c r="H190" s="12" t="n">
        <v>643.5</v>
      </c>
      <c r="I190" s="10" t="inlineStr">
        <is>
          <t>النظام الجديد</t>
        </is>
      </c>
      <c r="J190" s="10" t="inlineStr">
        <is>
          <t>نعم</t>
        </is>
      </c>
      <c r="K190" s="10" t="inlineStr">
        <is>
          <t>النظام الجديد يعطي عدد البنود والقيمة فقط</t>
        </is>
      </c>
    </row>
    <row r="191">
      <c r="A191" s="10" t="n">
        <v>190</v>
      </c>
      <c r="B191" s="10" t="inlineStr">
        <is>
          <t>RNO</t>
        </is>
      </c>
      <c r="C191" s="10" t="inlineStr">
        <is>
          <t>صرف مواد للإنتاج – مزرعة الرياض</t>
        </is>
      </c>
      <c r="D191" s="10" t="inlineStr">
        <is>
          <t>ISV-0042</t>
        </is>
      </c>
      <c r="E191" s="24" t="n">
        <v>46198</v>
      </c>
      <c r="F191" s="10" t="inlineStr">
        <is>
          <t>PRODUCTION OPERATION-RN</t>
        </is>
      </c>
      <c r="G191" s="10" t="n">
        <v>3</v>
      </c>
      <c r="H191" s="12" t="n">
        <v>2125.5</v>
      </c>
      <c r="I191" s="10" t="inlineStr">
        <is>
          <t>النظام الجديد</t>
        </is>
      </c>
      <c r="J191" s="10" t="inlineStr">
        <is>
          <t>نعم</t>
        </is>
      </c>
      <c r="K191" s="10" t="inlineStr">
        <is>
          <t>النظام الجديد يعطي عدد البنود والقيمة فقط</t>
        </is>
      </c>
    </row>
    <row r="192">
      <c r="A192" s="10" t="n">
        <v>191</v>
      </c>
      <c r="B192" s="10" t="inlineStr">
        <is>
          <t>RNO</t>
        </is>
      </c>
      <c r="C192" s="10" t="inlineStr">
        <is>
          <t>صرف مواد للإنتاج – مزرعة الرياض</t>
        </is>
      </c>
      <c r="D192" s="10" t="inlineStr">
        <is>
          <t>ISV-0047</t>
        </is>
      </c>
      <c r="E192" s="24" t="n">
        <v>46200</v>
      </c>
      <c r="F192" s="10" t="inlineStr">
        <is>
          <t>PRODUCTION OPERATION-RN</t>
        </is>
      </c>
      <c r="G192" s="10" t="n">
        <v>1</v>
      </c>
      <c r="H192" s="12" t="n">
        <v>19584</v>
      </c>
      <c r="I192" s="10" t="inlineStr">
        <is>
          <t>النظام الجديد</t>
        </is>
      </c>
      <c r="J192" s="10" t="inlineStr">
        <is>
          <t>نعم</t>
        </is>
      </c>
      <c r="K192" s="10" t="inlineStr">
        <is>
          <t>النظام الجديد يعطي عدد البنود والقيمة فقط</t>
        </is>
      </c>
    </row>
    <row r="193">
      <c r="A193" s="10" t="n">
        <v>192</v>
      </c>
      <c r="B193" s="10" t="inlineStr">
        <is>
          <t>RNO</t>
        </is>
      </c>
      <c r="C193" s="10" t="inlineStr">
        <is>
          <t>صرف مواد للإنتاج – مزرعة الرياض</t>
        </is>
      </c>
      <c r="D193" s="10" t="inlineStr">
        <is>
          <t>ISV-0046</t>
        </is>
      </c>
      <c r="E193" s="24" t="n">
        <v>46200</v>
      </c>
      <c r="F193" s="10" t="inlineStr">
        <is>
          <t>PRODUCTION OPERATION-RN</t>
        </is>
      </c>
      <c r="G193" s="10" t="n">
        <v>3</v>
      </c>
      <c r="H193" s="12" t="n">
        <v>895.5</v>
      </c>
      <c r="I193" s="10" t="inlineStr">
        <is>
          <t>النظام الجديد</t>
        </is>
      </c>
      <c r="J193" s="10" t="inlineStr">
        <is>
          <t>نعم</t>
        </is>
      </c>
      <c r="K193" s="10" t="inlineStr">
        <is>
          <t>النظام الجديد يعطي عدد البنود والقيمة فقط</t>
        </is>
      </c>
    </row>
    <row r="194">
      <c r="A194" s="10" t="n">
        <v>193</v>
      </c>
      <c r="B194" s="10" t="inlineStr">
        <is>
          <t>RNO</t>
        </is>
      </c>
      <c r="C194" s="10" t="inlineStr">
        <is>
          <t>صرف مواد للإنتاج – مزرعة الرياض</t>
        </is>
      </c>
      <c r="D194" s="10" t="inlineStr">
        <is>
          <t>ISV-0053</t>
        </is>
      </c>
      <c r="E194" s="24" t="n">
        <v>46201</v>
      </c>
      <c r="F194" s="10" t="inlineStr">
        <is>
          <t>PRODUCTION OPERATION-RN</t>
        </is>
      </c>
      <c r="G194" s="10" t="n">
        <v>1</v>
      </c>
      <c r="H194" s="12" t="n">
        <v>13392</v>
      </c>
      <c r="I194" s="10" t="inlineStr">
        <is>
          <t>النظام الجديد</t>
        </is>
      </c>
      <c r="J194" s="10" t="inlineStr">
        <is>
          <t>نعم</t>
        </is>
      </c>
      <c r="K194" s="10" t="inlineStr">
        <is>
          <t>النظام الجديد يعطي عدد البنود والقيمة فقط</t>
        </is>
      </c>
    </row>
    <row r="195">
      <c r="A195" s="10" t="n">
        <v>194</v>
      </c>
      <c r="B195" s="10" t="inlineStr">
        <is>
          <t>RNO</t>
        </is>
      </c>
      <c r="C195" s="10" t="inlineStr">
        <is>
          <t>صرف مواد للإنتاج – مزرعة الرياض</t>
        </is>
      </c>
      <c r="D195" s="10" t="inlineStr">
        <is>
          <t>ISV-0061</t>
        </is>
      </c>
      <c r="E195" s="24" t="n">
        <v>46202</v>
      </c>
      <c r="F195" s="10" t="inlineStr">
        <is>
          <t>PRODUCTION OPERATION-RN</t>
        </is>
      </c>
      <c r="G195" s="10" t="n">
        <v>3</v>
      </c>
      <c r="H195" s="12" t="n">
        <v>3217.5</v>
      </c>
      <c r="I195" s="10" t="inlineStr">
        <is>
          <t>النظام الجديد</t>
        </is>
      </c>
      <c r="J195" s="10" t="inlineStr">
        <is>
          <t>نعم</t>
        </is>
      </c>
      <c r="K195" s="10" t="inlineStr">
        <is>
          <t>مرتجع جزئي (Partial Return) – القيمة كما بالنظام | النظام الجديد يعطي عدد البنود والقيمة فقط</t>
        </is>
      </c>
    </row>
    <row r="196">
      <c r="A196" s="10" t="n">
        <v>195</v>
      </c>
      <c r="B196" s="10" t="inlineStr">
        <is>
          <t>RNO</t>
        </is>
      </c>
      <c r="C196" s="10" t="inlineStr">
        <is>
          <t>صرف مواد للإنتاج – مزرعة الرياض</t>
        </is>
      </c>
      <c r="D196" s="10" t="inlineStr">
        <is>
          <t>ISV-0063</t>
        </is>
      </c>
      <c r="E196" s="24" t="n">
        <v>46203</v>
      </c>
      <c r="F196" s="10" t="inlineStr">
        <is>
          <t>PRODUCTION OPERATION-RN</t>
        </is>
      </c>
      <c r="G196" s="10" t="n">
        <v>1</v>
      </c>
      <c r="H196" s="12" t="n">
        <v>1500</v>
      </c>
      <c r="I196" s="10" t="inlineStr">
        <is>
          <t>النظام الجديد</t>
        </is>
      </c>
      <c r="J196" s="10" t="inlineStr">
        <is>
          <t>نعم</t>
        </is>
      </c>
      <c r="K196" s="10" t="inlineStr">
        <is>
          <t>النظام الجديد يعطي عدد البنود والقيمة فقط</t>
        </is>
      </c>
    </row>
    <row r="197">
      <c r="A197" s="10" t="n">
        <v>196</v>
      </c>
      <c r="B197" s="10" t="inlineStr">
        <is>
          <t>RNO</t>
        </is>
      </c>
      <c r="C197" s="10" t="inlineStr">
        <is>
          <t>صرف مواد للإنتاج – مزرعة الرياض</t>
        </is>
      </c>
      <c r="D197" s="10" t="inlineStr">
        <is>
          <t>ISV-0062</t>
        </is>
      </c>
      <c r="E197" s="24" t="n">
        <v>46203</v>
      </c>
      <c r="F197" s="10" t="inlineStr">
        <is>
          <t>PRODUCTION OPERATION-RN</t>
        </is>
      </c>
      <c r="G197" s="10" t="n">
        <v>4</v>
      </c>
      <c r="H197" s="12" t="n">
        <v>1068.5</v>
      </c>
      <c r="I197" s="10" t="inlineStr">
        <is>
          <t>النظام الجديد</t>
        </is>
      </c>
      <c r="J197" s="10" t="inlineStr">
        <is>
          <t>نعم</t>
        </is>
      </c>
      <c r="K197" s="10" t="inlineStr">
        <is>
          <t>النظام الجديد يعطي عدد البنود والقيمة فقط</t>
        </is>
      </c>
    </row>
    <row r="198">
      <c r="A198" s="10" t="n">
        <v>197</v>
      </c>
      <c r="B198" s="10" t="inlineStr">
        <is>
          <t>RNO</t>
        </is>
      </c>
      <c r="C198" s="10" t="inlineStr">
        <is>
          <t>صرف مواد للإنتاج – مزرعة الرياض</t>
        </is>
      </c>
      <c r="D198" s="10" t="inlineStr">
        <is>
          <t>ISV-0072</t>
        </is>
      </c>
      <c r="E198" s="24" t="n">
        <v>46205</v>
      </c>
      <c r="F198" s="10" t="inlineStr">
        <is>
          <t>PRODUCTION OPERATION-RN</t>
        </is>
      </c>
      <c r="G198" s="10" t="n">
        <v>1</v>
      </c>
      <c r="H198" s="12" t="n">
        <v>2568</v>
      </c>
      <c r="I198" s="10" t="inlineStr">
        <is>
          <t>النظام الجديد</t>
        </is>
      </c>
      <c r="J198" s="10" t="inlineStr">
        <is>
          <t>نعم</t>
        </is>
      </c>
      <c r="K198" s="10" t="inlineStr">
        <is>
          <t>النظام الجديد يعطي عدد البنود والقيمة فقط</t>
        </is>
      </c>
    </row>
    <row r="199">
      <c r="A199" s="10" t="n">
        <v>198</v>
      </c>
      <c r="B199" s="10" t="inlineStr">
        <is>
          <t>RNO</t>
        </is>
      </c>
      <c r="C199" s="10" t="inlineStr">
        <is>
          <t>صرف مواد للإنتاج – مزرعة الرياض</t>
        </is>
      </c>
      <c r="D199" s="10" t="inlineStr">
        <is>
          <t>ISV-0079</t>
        </is>
      </c>
      <c r="E199" s="24" t="n">
        <v>46208</v>
      </c>
      <c r="F199" s="10" t="inlineStr">
        <is>
          <t>PRODUCTION OPERATION-RN</t>
        </is>
      </c>
      <c r="G199" s="10" t="n">
        <v>1</v>
      </c>
      <c r="H199" s="12" t="n">
        <v>1116.5</v>
      </c>
      <c r="I199" s="10" t="inlineStr">
        <is>
          <t>النظام الجديد</t>
        </is>
      </c>
      <c r="J199" s="10" t="inlineStr">
        <is>
          <t>نعم</t>
        </is>
      </c>
      <c r="K199" s="10" t="inlineStr">
        <is>
          <t>النظام الجديد يعطي عدد البنود والقيمة فقط</t>
        </is>
      </c>
    </row>
    <row r="200">
      <c r="A200" s="10" t="n">
        <v>199</v>
      </c>
      <c r="B200" s="10" t="inlineStr">
        <is>
          <t>RNO</t>
        </is>
      </c>
      <c r="C200" s="10" t="inlineStr">
        <is>
          <t>صرف مواد للإنتاج – مزرعة الرياض</t>
        </is>
      </c>
      <c r="D200" s="10" t="inlineStr">
        <is>
          <t>ISV-0099</t>
        </is>
      </c>
      <c r="E200" s="24" t="n">
        <v>46215</v>
      </c>
      <c r="F200" s="10" t="inlineStr">
        <is>
          <t>PRODUCTION OPERATION-RN</t>
        </is>
      </c>
      <c r="G200" s="10" t="n">
        <v>1</v>
      </c>
      <c r="H200" s="12" t="n">
        <v>2144</v>
      </c>
      <c r="I200" s="10" t="inlineStr">
        <is>
          <t>النظام الجديد</t>
        </is>
      </c>
      <c r="J200" s="10" t="inlineStr">
        <is>
          <t>نعم</t>
        </is>
      </c>
      <c r="K200" s="10" t="inlineStr">
        <is>
          <t>النظام الجديد يعطي عدد البنود والقيمة فقط</t>
        </is>
      </c>
    </row>
    <row r="201">
      <c r="A201" s="10" t="n">
        <v>200</v>
      </c>
      <c r="B201" s="10" t="inlineStr">
        <is>
          <t>RNO</t>
        </is>
      </c>
      <c r="C201" s="10" t="inlineStr">
        <is>
          <t>صرف مواد للإنتاج – مزرعة الرياض</t>
        </is>
      </c>
      <c r="D201" s="10" t="inlineStr">
        <is>
          <t>ISV-0110</t>
        </is>
      </c>
      <c r="E201" s="24" t="n">
        <v>46223</v>
      </c>
      <c r="F201" s="10" t="inlineStr">
        <is>
          <t>PRODUCTION OPERATION-RN</t>
        </is>
      </c>
      <c r="G201" s="10" t="n">
        <v>1</v>
      </c>
      <c r="H201" s="12" t="n">
        <v>832</v>
      </c>
      <c r="I201" s="10" t="inlineStr">
        <is>
          <t>النظام الجديد</t>
        </is>
      </c>
      <c r="J201" s="10" t="inlineStr">
        <is>
          <t>نعم</t>
        </is>
      </c>
      <c r="K201" s="10" t="inlineStr">
        <is>
          <t>النظام الجديد يعطي عدد البنود والقيمة فقط</t>
        </is>
      </c>
    </row>
    <row r="202">
      <c r="A202" s="10" t="n">
        <v>201</v>
      </c>
      <c r="B202" s="10" t="inlineStr">
        <is>
          <t>RNO</t>
        </is>
      </c>
      <c r="C202" s="10" t="inlineStr">
        <is>
          <t>صرف مواد للإنتاج – مزرعة الرياض</t>
        </is>
      </c>
      <c r="D202" s="10" t="inlineStr">
        <is>
          <t>ISV-0129</t>
        </is>
      </c>
      <c r="E202" s="24" t="n">
        <v>46229</v>
      </c>
      <c r="F202" s="10" t="inlineStr">
        <is>
          <t>PRODUCTION OPERATION-RN</t>
        </is>
      </c>
      <c r="G202" s="10" t="n">
        <v>2</v>
      </c>
      <c r="H202" s="12" t="n">
        <v>564</v>
      </c>
      <c r="I202" s="10" t="inlineStr">
        <is>
          <t>النظام الجديد</t>
        </is>
      </c>
      <c r="J202" s="10" t="inlineStr">
        <is>
          <t>نعم</t>
        </is>
      </c>
      <c r="K202" s="10" t="inlineStr">
        <is>
          <t>النظام الجديد يعطي عدد البنود والقيمة فقط</t>
        </is>
      </c>
    </row>
    <row r="203">
      <c r="A203" s="10" t="n">
        <v>202</v>
      </c>
      <c r="B203" s="10" t="inlineStr">
        <is>
          <t>RNO</t>
        </is>
      </c>
      <c r="C203" s="10" t="inlineStr">
        <is>
          <t>صرف مواد للإنتاج – مزرعة الرياض</t>
        </is>
      </c>
      <c r="D203" s="10" t="inlineStr">
        <is>
          <t>ISV-0135</t>
        </is>
      </c>
      <c r="E203" s="24" t="n">
        <v>46230</v>
      </c>
      <c r="F203" s="10" t="inlineStr">
        <is>
          <t>PRODUCTION OPERATION-RN</t>
        </is>
      </c>
      <c r="G203" s="10" t="n">
        <v>2</v>
      </c>
      <c r="H203" s="12" t="n">
        <v>886</v>
      </c>
      <c r="I203" s="10" t="inlineStr">
        <is>
          <t>النظام الجديد</t>
        </is>
      </c>
      <c r="J203" s="10" t="inlineStr">
        <is>
          <t>نعم</t>
        </is>
      </c>
      <c r="K203" s="10" t="inlineStr">
        <is>
          <t>النظام الجديد يعطي عدد البنود والقيمة فقط</t>
        </is>
      </c>
    </row>
    <row r="204">
      <c r="A204" s="10" t="n">
        <v>203</v>
      </c>
      <c r="B204" s="10" t="inlineStr">
        <is>
          <t>RNO</t>
        </is>
      </c>
      <c r="C204" s="10" t="inlineStr">
        <is>
          <t>صرف مواد للإنتاج – مزرعة الرياض</t>
        </is>
      </c>
      <c r="D204" s="10" t="inlineStr">
        <is>
          <t>ISV-0139</t>
        </is>
      </c>
      <c r="E204" s="24" t="n">
        <v>46231</v>
      </c>
      <c r="F204" s="10" t="inlineStr">
        <is>
          <t>PRODUCTION OPERATION-RN</t>
        </is>
      </c>
      <c r="G204" s="10" t="n">
        <v>1</v>
      </c>
      <c r="H204" s="12" t="n">
        <v>1796</v>
      </c>
      <c r="I204" s="10" t="inlineStr">
        <is>
          <t>النظام الجديد</t>
        </is>
      </c>
      <c r="J204" s="10" t="inlineStr">
        <is>
          <t>نعم</t>
        </is>
      </c>
      <c r="K204" s="10" t="inlineStr">
        <is>
          <t>النظام الجديد يعطي عدد البنود والقيمة فقط</t>
        </is>
      </c>
    </row>
    <row r="205">
      <c r="A205" s="10" t="n">
        <v>204</v>
      </c>
      <c r="B205" s="10" t="inlineStr">
        <is>
          <t>RNO</t>
        </is>
      </c>
      <c r="C205" s="10" t="inlineStr">
        <is>
          <t>صرف مواد للإنتاج – مزرعة الرياض</t>
        </is>
      </c>
      <c r="D205" s="10" t="inlineStr">
        <is>
          <t>ISV-0145</t>
        </is>
      </c>
      <c r="E205" s="24" t="n">
        <v>46233</v>
      </c>
      <c r="F205" s="10" t="inlineStr">
        <is>
          <t>PRODUCTION OPERATION-RN</t>
        </is>
      </c>
      <c r="G205" s="10" t="n">
        <v>1</v>
      </c>
      <c r="H205" s="12" t="n">
        <v>350</v>
      </c>
      <c r="I205" s="10" t="inlineStr">
        <is>
          <t>النظام الجديد</t>
        </is>
      </c>
      <c r="J205" s="10" t="inlineStr">
        <is>
          <t>نعم</t>
        </is>
      </c>
      <c r="K205" s="10" t="inlineStr">
        <is>
          <t>النظام الجديد يعطي عدد البنود والقيمة فقط</t>
        </is>
      </c>
    </row>
    <row r="206">
      <c r="A206" s="3" t="n">
        <v>205</v>
      </c>
      <c r="B206" s="3" t="inlineStr">
        <is>
          <t>RNL</t>
        </is>
      </c>
      <c r="C206" s="3" t="inlineStr">
        <is>
          <t>كميات هالكة ومفقودة</t>
        </is>
      </c>
      <c r="D206" s="3" t="inlineStr">
        <is>
          <t>RNL-2165</t>
        </is>
      </c>
      <c r="E206" s="23" t="n">
        <v>45924</v>
      </c>
      <c r="F206" s="3" t="inlineStr">
        <is>
          <t>LOSSES AND WASTE-RIYADH NURSERY</t>
        </is>
      </c>
      <c r="G206" s="3" t="n"/>
      <c r="H206" s="4" t="n">
        <v>10649</v>
      </c>
      <c r="I206" s="3" t="inlineStr">
        <is>
          <t>النظام القديم (سجل الحركات)</t>
        </is>
      </c>
      <c r="J206" s="3" t="inlineStr">
        <is>
          <t>نعم</t>
        </is>
      </c>
      <c r="K206" s="3" t="inlineStr">
        <is>
          <t>بدون تفصيل بنود في السجل (قيمة إجمالية فقط)</t>
        </is>
      </c>
    </row>
    <row r="207">
      <c r="A207" s="3" t="n">
        <v>206</v>
      </c>
      <c r="B207" s="3" t="inlineStr">
        <is>
          <t>RNL</t>
        </is>
      </c>
      <c r="C207" s="3" t="inlineStr">
        <is>
          <t>كميات هالكة ومفقودة</t>
        </is>
      </c>
      <c r="D207" s="3" t="inlineStr">
        <is>
          <t>RNL-2356</t>
        </is>
      </c>
      <c r="E207" s="23" t="n">
        <v>45930</v>
      </c>
      <c r="F207" s="3" t="inlineStr">
        <is>
          <t>LOSSES AND WASTE-RIYADH NURSERY</t>
        </is>
      </c>
      <c r="G207" s="3" t="n"/>
      <c r="H207" s="4" t="n">
        <v>695.75</v>
      </c>
      <c r="I207" s="3" t="inlineStr">
        <is>
          <t>النظام القديم (سجل الحركات)</t>
        </is>
      </c>
      <c r="J207" s="3" t="inlineStr">
        <is>
          <t>نعم</t>
        </is>
      </c>
      <c r="K207" s="3" t="inlineStr">
        <is>
          <t>بدون تفصيل بنود في السجل (قيمة إجمالية فقط)</t>
        </is>
      </c>
    </row>
    <row r="208">
      <c r="A208" s="3" t="n">
        <v>207</v>
      </c>
      <c r="B208" s="3" t="inlineStr">
        <is>
          <t>RNL</t>
        </is>
      </c>
      <c r="C208" s="3" t="inlineStr">
        <is>
          <t>كميات هالكة ومفقودة</t>
        </is>
      </c>
      <c r="D208" s="3" t="inlineStr">
        <is>
          <t>RNL-2418</t>
        </is>
      </c>
      <c r="E208" s="23" t="n">
        <v>45939</v>
      </c>
      <c r="F208" s="3" t="inlineStr">
        <is>
          <t>LOSSES AND WASTE-RIYADH NURSERY</t>
        </is>
      </c>
      <c r="G208" s="3" t="n"/>
      <c r="H208" s="4" t="n">
        <v>1834.25</v>
      </c>
      <c r="I208" s="3" t="inlineStr">
        <is>
          <t>النظام القديم (سجل الحركات)</t>
        </is>
      </c>
      <c r="J208" s="3" t="inlineStr">
        <is>
          <t>نعم</t>
        </is>
      </c>
      <c r="K208" s="3" t="inlineStr">
        <is>
          <t>بدون تفصيل بنود في السجل (قيمة إجمالية فقط)</t>
        </is>
      </c>
    </row>
    <row r="209">
      <c r="A209" s="3" t="n">
        <v>208</v>
      </c>
      <c r="B209" s="3" t="inlineStr">
        <is>
          <t>RNL</t>
        </is>
      </c>
      <c r="C209" s="3" t="inlineStr">
        <is>
          <t>كميات هالكة ومفقودة</t>
        </is>
      </c>
      <c r="D209" s="3" t="inlineStr">
        <is>
          <t>RNL-2506</t>
        </is>
      </c>
      <c r="E209" s="23" t="n">
        <v>45946</v>
      </c>
      <c r="F209" s="3" t="inlineStr">
        <is>
          <t>LOSSES AND WASTE-RIYADH NURSERY</t>
        </is>
      </c>
      <c r="G209" s="3" t="n"/>
      <c r="H209" s="4" t="n">
        <v>2362.68</v>
      </c>
      <c r="I209" s="3" t="inlineStr">
        <is>
          <t>النظام القديم (سجل الحركات)</t>
        </is>
      </c>
      <c r="J209" s="3" t="inlineStr">
        <is>
          <t>نعم</t>
        </is>
      </c>
      <c r="K209" s="3" t="inlineStr">
        <is>
          <t>بدون تفصيل بنود في السجل (قيمة إجمالية فقط)</t>
        </is>
      </c>
    </row>
    <row r="210">
      <c r="A210" s="3" t="n">
        <v>209</v>
      </c>
      <c r="B210" s="3" t="inlineStr">
        <is>
          <t>RNL</t>
        </is>
      </c>
      <c r="C210" s="3" t="inlineStr">
        <is>
          <t>كميات هالكة ومفقودة</t>
        </is>
      </c>
      <c r="D210" s="3" t="inlineStr">
        <is>
          <t>RNL-2610</t>
        </is>
      </c>
      <c r="E210" s="23" t="n">
        <v>45954</v>
      </c>
      <c r="F210" s="3" t="inlineStr">
        <is>
          <t>LOSSES AND WASTE-RIYADH NURSERY</t>
        </is>
      </c>
      <c r="G210" s="3" t="n"/>
      <c r="H210" s="4" t="n">
        <v>1897.5</v>
      </c>
      <c r="I210" s="3" t="inlineStr">
        <is>
          <t>النظام القديم (سجل الحركات)</t>
        </is>
      </c>
      <c r="J210" s="3" t="inlineStr">
        <is>
          <t>نعم</t>
        </is>
      </c>
      <c r="K210" s="3" t="inlineStr">
        <is>
          <t>بدون تفصيل بنود في السجل (قيمة إجمالية فقط)</t>
        </is>
      </c>
    </row>
    <row r="211">
      <c r="A211" s="3" t="n">
        <v>210</v>
      </c>
      <c r="B211" s="3" t="inlineStr">
        <is>
          <t>RNL</t>
        </is>
      </c>
      <c r="C211" s="3" t="inlineStr">
        <is>
          <t>كميات هالكة ومفقودة</t>
        </is>
      </c>
      <c r="D211" s="3" t="inlineStr">
        <is>
          <t>RNL-2669</t>
        </is>
      </c>
      <c r="E211" s="23" t="n">
        <v>45958</v>
      </c>
      <c r="F211" s="3" t="inlineStr">
        <is>
          <t>LOSSES AND WASTE-RIYADH NURSERY</t>
        </is>
      </c>
      <c r="G211" s="3" t="n"/>
      <c r="H211" s="4" t="n">
        <v>23363.69</v>
      </c>
      <c r="I211" s="3" t="inlineStr">
        <is>
          <t>النظام القديم (سجل الحركات)</t>
        </is>
      </c>
      <c r="J211" s="3" t="inlineStr">
        <is>
          <t>نعم</t>
        </is>
      </c>
      <c r="K211" s="3" t="inlineStr">
        <is>
          <t>بدون تفصيل بنود في السجل (قيمة إجمالية فقط)</t>
        </is>
      </c>
    </row>
    <row r="212">
      <c r="A212" s="3" t="n">
        <v>211</v>
      </c>
      <c r="B212" s="3" t="inlineStr">
        <is>
          <t>RNL</t>
        </is>
      </c>
      <c r="C212" s="3" t="inlineStr">
        <is>
          <t>كميات هالكة ومفقودة</t>
        </is>
      </c>
      <c r="D212" s="3" t="inlineStr">
        <is>
          <t>RNL-2982</t>
        </is>
      </c>
      <c r="E212" s="23" t="n">
        <v>45985</v>
      </c>
      <c r="F212" s="3" t="inlineStr">
        <is>
          <t>LOSSES AND WASTE-RIYADH NURSERY</t>
        </is>
      </c>
      <c r="G212" s="3" t="n"/>
      <c r="H212" s="4" t="n">
        <v>6296.25</v>
      </c>
      <c r="I212" s="3" t="inlineStr">
        <is>
          <t>النظام القديم (سجل الحركات)</t>
        </is>
      </c>
      <c r="J212" s="3" t="inlineStr">
        <is>
          <t>نعم</t>
        </is>
      </c>
      <c r="K212" s="3" t="inlineStr">
        <is>
          <t>بدون تفصيل بنود في السجل (قيمة إجمالية فقط)</t>
        </is>
      </c>
    </row>
    <row r="213">
      <c r="A213" s="3" t="n">
        <v>212</v>
      </c>
      <c r="B213" s="3" t="inlineStr">
        <is>
          <t>RNL</t>
        </is>
      </c>
      <c r="C213" s="3" t="inlineStr">
        <is>
          <t>كميات هالكة ومفقودة</t>
        </is>
      </c>
      <c r="D213" s="3" t="inlineStr">
        <is>
          <t>RNL-3072</t>
        </is>
      </c>
      <c r="E213" s="23" t="n">
        <v>45991</v>
      </c>
      <c r="F213" s="3" t="inlineStr">
        <is>
          <t>LOSSES AND WASTE-RIYADH NURSERY</t>
        </is>
      </c>
      <c r="G213" s="3" t="n"/>
      <c r="H213" s="4" t="n">
        <v>1776.75</v>
      </c>
      <c r="I213" s="3" t="inlineStr">
        <is>
          <t>النظام القديم (سجل الحركات)</t>
        </is>
      </c>
      <c r="J213" s="3" t="inlineStr">
        <is>
          <t>نعم</t>
        </is>
      </c>
      <c r="K213" s="3" t="inlineStr">
        <is>
          <t>بدون تفصيل بنود في السجل (قيمة إجمالية فقط)</t>
        </is>
      </c>
    </row>
    <row r="214">
      <c r="A214" s="3" t="n">
        <v>213</v>
      </c>
      <c r="B214" s="3" t="inlineStr">
        <is>
          <t>RNL</t>
        </is>
      </c>
      <c r="C214" s="3" t="inlineStr">
        <is>
          <t>كميات هالكة ومفقودة</t>
        </is>
      </c>
      <c r="D214" s="3" t="inlineStr">
        <is>
          <t>RNL-3136</t>
        </is>
      </c>
      <c r="E214" s="23" t="n">
        <v>45995</v>
      </c>
      <c r="F214" s="3" t="inlineStr">
        <is>
          <t>LOSSES AND WASTE-RIYADH NURSERY</t>
        </is>
      </c>
      <c r="G214" s="3" t="n"/>
      <c r="H214" s="4" t="n">
        <v>1600.23</v>
      </c>
      <c r="I214" s="3" t="inlineStr">
        <is>
          <t>النظام القديم (سجل الحركات)</t>
        </is>
      </c>
      <c r="J214" s="3" t="inlineStr">
        <is>
          <t>نعم</t>
        </is>
      </c>
      <c r="K214" s="3" t="inlineStr">
        <is>
          <t>بدون تفصيل بنود في السجل (قيمة إجمالية فقط)</t>
        </is>
      </c>
    </row>
    <row r="215">
      <c r="A215" s="3" t="n">
        <v>214</v>
      </c>
      <c r="B215" s="3" t="inlineStr">
        <is>
          <t>RNL</t>
        </is>
      </c>
      <c r="C215" s="3" t="inlineStr">
        <is>
          <t>كميات هالكة ومفقودة</t>
        </is>
      </c>
      <c r="D215" s="3" t="inlineStr">
        <is>
          <t>RNL-3159</t>
        </is>
      </c>
      <c r="E215" s="23" t="n">
        <v>45998</v>
      </c>
      <c r="F215" s="3" t="inlineStr">
        <is>
          <t>LOSSES AND WASTE-RIYADH NURSERY</t>
        </is>
      </c>
      <c r="G215" s="3" t="n"/>
      <c r="H215" s="4" t="n">
        <v>2613.95</v>
      </c>
      <c r="I215" s="3" t="inlineStr">
        <is>
          <t>النظام القديم (سجل الحركات)</t>
        </is>
      </c>
      <c r="J215" s="3" t="inlineStr">
        <is>
          <t>نعم</t>
        </is>
      </c>
      <c r="K215" s="3" t="inlineStr">
        <is>
          <t>بدون تفصيل بنود في السجل (قيمة إجمالية فقط)</t>
        </is>
      </c>
    </row>
    <row r="216">
      <c r="A216" s="3" t="n">
        <v>215</v>
      </c>
      <c r="B216" s="3" t="inlineStr">
        <is>
          <t>RNL</t>
        </is>
      </c>
      <c r="C216" s="3" t="inlineStr">
        <is>
          <t>كميات هالكة ومفقودة</t>
        </is>
      </c>
      <c r="D216" s="3" t="inlineStr">
        <is>
          <t>RNL-3206</t>
        </is>
      </c>
      <c r="E216" s="23" t="n">
        <v>46001</v>
      </c>
      <c r="F216" s="3" t="inlineStr">
        <is>
          <t>LOSSES AND WASTE-RIYADH NURSERY</t>
        </is>
      </c>
      <c r="G216" s="3" t="n"/>
      <c r="H216" s="4" t="n">
        <v>2064.25</v>
      </c>
      <c r="I216" s="3" t="inlineStr">
        <is>
          <t>النظام القديم (سجل الحركات)</t>
        </is>
      </c>
      <c r="J216" s="3" t="inlineStr">
        <is>
          <t>نعم</t>
        </is>
      </c>
      <c r="K216" s="3" t="inlineStr">
        <is>
          <t>بدون تفصيل بنود في السجل (قيمة إجمالية فقط)</t>
        </is>
      </c>
    </row>
    <row r="217">
      <c r="A217" s="3" t="n">
        <v>216</v>
      </c>
      <c r="B217" s="3" t="inlineStr">
        <is>
          <t>RNL</t>
        </is>
      </c>
      <c r="C217" s="3" t="inlineStr">
        <is>
          <t>كميات هالكة ومفقودة</t>
        </is>
      </c>
      <c r="D217" s="3" t="inlineStr">
        <is>
          <t>RNL-3308</t>
        </is>
      </c>
      <c r="E217" s="23" t="n">
        <v>46013</v>
      </c>
      <c r="F217" s="3" t="inlineStr">
        <is>
          <t>LOSSES AND WASTE-RIYADH NURSERY</t>
        </is>
      </c>
      <c r="G217" s="3" t="n"/>
      <c r="H217" s="4" t="n">
        <v>7144.95</v>
      </c>
      <c r="I217" s="3" t="inlineStr">
        <is>
          <t>النظام القديم (سجل الحركات)</t>
        </is>
      </c>
      <c r="J217" s="3" t="inlineStr">
        <is>
          <t>نعم</t>
        </is>
      </c>
      <c r="K217" s="3" t="inlineStr">
        <is>
          <t>بدون تفصيل بنود في السجل (قيمة إجمالية فقط)</t>
        </is>
      </c>
    </row>
    <row r="218">
      <c r="A218" s="3" t="n">
        <v>217</v>
      </c>
      <c r="B218" s="3" t="inlineStr">
        <is>
          <t>RNL</t>
        </is>
      </c>
      <c r="C218" s="3" t="inlineStr">
        <is>
          <t>كميات هالكة ومفقودة</t>
        </is>
      </c>
      <c r="D218" s="3" t="inlineStr">
        <is>
          <t>RNL-3320</t>
        </is>
      </c>
      <c r="E218" s="23" t="n">
        <v>46014</v>
      </c>
      <c r="F218" s="3" t="inlineStr">
        <is>
          <t>LOSSES AND WASTE-RIYADH NURSERY</t>
        </is>
      </c>
      <c r="G218" s="3" t="n"/>
      <c r="H218" s="4" t="n">
        <v>14912.34</v>
      </c>
      <c r="I218" s="3" t="inlineStr">
        <is>
          <t>النظام القديم (سجل الحركات)</t>
        </is>
      </c>
      <c r="J218" s="3" t="inlineStr">
        <is>
          <t>نعم</t>
        </is>
      </c>
      <c r="K218" s="3" t="inlineStr">
        <is>
          <t>بدون تفصيل بنود في السجل (قيمة إجمالية فقط)</t>
        </is>
      </c>
    </row>
    <row r="219">
      <c r="A219" s="3" t="n">
        <v>218</v>
      </c>
      <c r="B219" s="3" t="inlineStr">
        <is>
          <t>RNL</t>
        </is>
      </c>
      <c r="C219" s="3" t="inlineStr">
        <is>
          <t>كميات هالكة ومفقودة</t>
        </is>
      </c>
      <c r="D219" s="3" t="inlineStr">
        <is>
          <t>RNL-3493</t>
        </is>
      </c>
      <c r="E219" s="23" t="n">
        <v>46029</v>
      </c>
      <c r="F219" s="3" t="inlineStr">
        <is>
          <t>LOSSES AND WASTE-RIYADH NURSERY</t>
        </is>
      </c>
      <c r="G219" s="3" t="n">
        <v>2</v>
      </c>
      <c r="H219" s="4" t="n">
        <v>2213.75</v>
      </c>
      <c r="I219" s="3" t="inlineStr">
        <is>
          <t>النظام القديم (سجل الحركات)</t>
        </is>
      </c>
      <c r="J219" s="3" t="inlineStr">
        <is>
          <t>نعم</t>
        </is>
      </c>
      <c r="K219" s="3" t="inlineStr"/>
    </row>
    <row r="220">
      <c r="A220" s="3" t="n">
        <v>219</v>
      </c>
      <c r="B220" s="3" t="inlineStr">
        <is>
          <t>RNL</t>
        </is>
      </c>
      <c r="C220" s="3" t="inlineStr">
        <is>
          <t>كميات هالكة ومفقودة</t>
        </is>
      </c>
      <c r="D220" s="3" t="inlineStr">
        <is>
          <t>RNL-3497</t>
        </is>
      </c>
      <c r="E220" s="23" t="n">
        <v>46030</v>
      </c>
      <c r="F220" s="3" t="inlineStr">
        <is>
          <t>LOSSES AND WASTE-RIYADH NURSERY</t>
        </is>
      </c>
      <c r="G220" s="3" t="n">
        <v>2</v>
      </c>
      <c r="H220" s="4" t="n">
        <v>1644.5</v>
      </c>
      <c r="I220" s="3" t="inlineStr">
        <is>
          <t>النظام القديم (سجل الحركات)</t>
        </is>
      </c>
      <c r="J220" s="3" t="inlineStr">
        <is>
          <t>نعم</t>
        </is>
      </c>
      <c r="K220" s="3" t="inlineStr"/>
    </row>
    <row r="221">
      <c r="A221" s="3" t="n">
        <v>220</v>
      </c>
      <c r="B221" s="3" t="inlineStr">
        <is>
          <t>RNL</t>
        </is>
      </c>
      <c r="C221" s="3" t="inlineStr">
        <is>
          <t>كميات هالكة ومفقودة</t>
        </is>
      </c>
      <c r="D221" s="3" t="inlineStr">
        <is>
          <t>RNL-3524</t>
        </is>
      </c>
      <c r="E221" s="23" t="n">
        <v>46033</v>
      </c>
      <c r="F221" s="3" t="inlineStr">
        <is>
          <t>LOSSES AND WASTE-RIYADH NURSERY</t>
        </is>
      </c>
      <c r="G221" s="3" t="n">
        <v>5</v>
      </c>
      <c r="H221" s="4" t="n">
        <v>2906.63</v>
      </c>
      <c r="I221" s="3" t="inlineStr">
        <is>
          <t>النظام القديم (سجل الحركات)</t>
        </is>
      </c>
      <c r="J221" s="3" t="inlineStr">
        <is>
          <t>نعم</t>
        </is>
      </c>
      <c r="K221" s="3" t="inlineStr"/>
    </row>
    <row r="222">
      <c r="A222" s="3" t="n">
        <v>221</v>
      </c>
      <c r="B222" s="3" t="inlineStr">
        <is>
          <t>RNL</t>
        </is>
      </c>
      <c r="C222" s="3" t="inlineStr">
        <is>
          <t>كميات هالكة ومفقودة</t>
        </is>
      </c>
      <c r="D222" s="3" t="inlineStr">
        <is>
          <t>RNL-3625</t>
        </is>
      </c>
      <c r="E222" s="23" t="n">
        <v>46046</v>
      </c>
      <c r="F222" s="3" t="inlineStr">
        <is>
          <t>LOSSES AND WASTE-RIYADH NURSERY</t>
        </is>
      </c>
      <c r="G222" s="3" t="n">
        <v>1</v>
      </c>
      <c r="H222" s="4" t="n">
        <v>948.75</v>
      </c>
      <c r="I222" s="3" t="inlineStr">
        <is>
          <t>النظام القديم (سجل الحركات)</t>
        </is>
      </c>
      <c r="J222" s="3" t="inlineStr">
        <is>
          <t>نعم</t>
        </is>
      </c>
      <c r="K222" s="3" t="inlineStr"/>
    </row>
    <row r="223">
      <c r="A223" s="3" t="n">
        <v>222</v>
      </c>
      <c r="B223" s="3" t="inlineStr">
        <is>
          <t>RNL</t>
        </is>
      </c>
      <c r="C223" s="3" t="inlineStr">
        <is>
          <t>كميات هالكة ومفقودة</t>
        </is>
      </c>
      <c r="D223" s="3" t="inlineStr">
        <is>
          <t>RNL-3718</t>
        </is>
      </c>
      <c r="E223" s="23" t="n">
        <v>46054</v>
      </c>
      <c r="F223" s="3" t="inlineStr">
        <is>
          <t>LOSSES AND WASTE-RIYADH NURSERY</t>
        </is>
      </c>
      <c r="G223" s="3" t="n">
        <v>1</v>
      </c>
      <c r="H223" s="4" t="n">
        <v>316.25</v>
      </c>
      <c r="I223" s="3" t="inlineStr">
        <is>
          <t>النظام القديم (سجل الحركات)</t>
        </is>
      </c>
      <c r="J223" s="3" t="inlineStr">
        <is>
          <t>نعم</t>
        </is>
      </c>
      <c r="K223" s="3" t="inlineStr"/>
    </row>
    <row r="224">
      <c r="A224" s="3" t="n">
        <v>223</v>
      </c>
      <c r="B224" s="3" t="inlineStr">
        <is>
          <t>RNL</t>
        </is>
      </c>
      <c r="C224" s="3" t="inlineStr">
        <is>
          <t>كميات هالكة ومفقودة</t>
        </is>
      </c>
      <c r="D224" s="3" t="inlineStr">
        <is>
          <t>RNL-3740</t>
        </is>
      </c>
      <c r="E224" s="23" t="n">
        <v>46056</v>
      </c>
      <c r="F224" s="3" t="inlineStr">
        <is>
          <t>LOSSES AND WASTE-RIYADH NURSERY</t>
        </is>
      </c>
      <c r="G224" s="3" t="n">
        <v>1</v>
      </c>
      <c r="H224" s="4" t="n">
        <v>442.75</v>
      </c>
      <c r="I224" s="3" t="inlineStr">
        <is>
          <t>النظام القديم (سجل الحركات)</t>
        </is>
      </c>
      <c r="J224" s="3" t="inlineStr">
        <is>
          <t>نعم</t>
        </is>
      </c>
      <c r="K224" s="3" t="inlineStr"/>
    </row>
    <row r="225">
      <c r="A225" s="3" t="n">
        <v>224</v>
      </c>
      <c r="B225" s="3" t="inlineStr">
        <is>
          <t>RNL</t>
        </is>
      </c>
      <c r="C225" s="3" t="inlineStr">
        <is>
          <t>كميات هالكة ومفقودة</t>
        </is>
      </c>
      <c r="D225" s="3" t="inlineStr">
        <is>
          <t>RNL-3778</t>
        </is>
      </c>
      <c r="E225" s="23" t="n">
        <v>46061</v>
      </c>
      <c r="F225" s="3" t="inlineStr">
        <is>
          <t>LOSSES AND WASTE-RIYADH NURSERY</t>
        </is>
      </c>
      <c r="G225" s="3" t="n">
        <v>2</v>
      </c>
      <c r="H225" s="4" t="n">
        <v>1454.75</v>
      </c>
      <c r="I225" s="3" t="inlineStr">
        <is>
          <t>النظام القديم (سجل الحركات)</t>
        </is>
      </c>
      <c r="J225" s="3" t="inlineStr">
        <is>
          <t>نعم</t>
        </is>
      </c>
      <c r="K225" s="3" t="inlineStr"/>
    </row>
    <row r="226">
      <c r="A226" s="3" t="n">
        <v>225</v>
      </c>
      <c r="B226" s="3" t="inlineStr">
        <is>
          <t>RNL</t>
        </is>
      </c>
      <c r="C226" s="3" t="inlineStr">
        <is>
          <t>كميات هالكة ومفقودة</t>
        </is>
      </c>
      <c r="D226" s="3" t="inlineStr">
        <is>
          <t>RNL-3852</t>
        </is>
      </c>
      <c r="E226" s="23" t="n">
        <v>46069</v>
      </c>
      <c r="F226" s="3" t="inlineStr">
        <is>
          <t>LOSSES AND WASTE-RIYADH NURSERY</t>
        </is>
      </c>
      <c r="G226" s="3" t="n">
        <v>3</v>
      </c>
      <c r="H226" s="4" t="n">
        <v>280.31</v>
      </c>
      <c r="I226" s="3" t="inlineStr">
        <is>
          <t>النظام القديم (سجل الحركات)</t>
        </is>
      </c>
      <c r="J226" s="3" t="inlineStr">
        <is>
          <t>نعم</t>
        </is>
      </c>
      <c r="K226" s="3" t="inlineStr"/>
    </row>
    <row r="227">
      <c r="A227" s="10" t="n">
        <v>226</v>
      </c>
      <c r="B227" s="10" t="inlineStr">
        <is>
          <t>RNL</t>
        </is>
      </c>
      <c r="C227" s="10" t="inlineStr">
        <is>
          <t>كميات هالكة ومفقودة</t>
        </is>
      </c>
      <c r="D227" s="10" t="inlineStr">
        <is>
          <t>ISV-0001</t>
        </is>
      </c>
      <c r="E227" s="24" t="n">
        <v>46186</v>
      </c>
      <c r="F227" s="10" t="inlineStr">
        <is>
          <t>PRODUCTION WASTE-RN</t>
        </is>
      </c>
      <c r="G227" s="10" t="n">
        <v>10</v>
      </c>
      <c r="H227" s="12" t="n">
        <v>1842.5</v>
      </c>
      <c r="I227" s="10" t="inlineStr">
        <is>
          <t>النظام الجديد</t>
        </is>
      </c>
      <c r="J227" s="10" t="inlineStr">
        <is>
          <t>نعم</t>
        </is>
      </c>
      <c r="K227" s="10" t="inlineStr">
        <is>
          <t>النظام الجديد يعطي عدد البنود والقيمة فقط</t>
        </is>
      </c>
    </row>
    <row r="228">
      <c r="A228" s="10" t="n">
        <v>227</v>
      </c>
      <c r="B228" s="10" t="inlineStr">
        <is>
          <t>RNL</t>
        </is>
      </c>
      <c r="C228" s="10" t="inlineStr">
        <is>
          <t>كميات هالكة ومفقودة</t>
        </is>
      </c>
      <c r="D228" s="10" t="inlineStr">
        <is>
          <t>ISV-0009</t>
        </is>
      </c>
      <c r="E228" s="24" t="n">
        <v>46187</v>
      </c>
      <c r="F228" s="10" t="inlineStr">
        <is>
          <t>PRODUCTION WASTE-RN</t>
        </is>
      </c>
      <c r="G228" s="10" t="n">
        <v>7</v>
      </c>
      <c r="H228" s="12" t="n">
        <v>1952.5</v>
      </c>
      <c r="I228" s="10" t="inlineStr">
        <is>
          <t>النظام الجديد</t>
        </is>
      </c>
      <c r="J228" s="10" t="inlineStr">
        <is>
          <t>نعم</t>
        </is>
      </c>
      <c r="K228" s="10" t="inlineStr">
        <is>
          <t>النظام الجديد يعطي عدد البنود والقيمة فقط</t>
        </is>
      </c>
    </row>
    <row r="229">
      <c r="A229" s="10" t="n">
        <v>228</v>
      </c>
      <c r="B229" s="10" t="inlineStr">
        <is>
          <t>RNL</t>
        </is>
      </c>
      <c r="C229" s="10" t="inlineStr">
        <is>
          <t>كميات هالكة ومفقودة</t>
        </is>
      </c>
      <c r="D229" s="10" t="inlineStr">
        <is>
          <t>ISV-0045</t>
        </is>
      </c>
      <c r="E229" s="24" t="n">
        <v>46198</v>
      </c>
      <c r="F229" s="10" t="inlineStr">
        <is>
          <t>PRODUCTION WASTE-RN</t>
        </is>
      </c>
      <c r="G229" s="10" t="n">
        <v>6</v>
      </c>
      <c r="H229" s="12" t="n">
        <v>2406.25</v>
      </c>
      <c r="I229" s="10" t="inlineStr">
        <is>
          <t>النظام الجديد</t>
        </is>
      </c>
      <c r="J229" s="10" t="inlineStr">
        <is>
          <t>نعم</t>
        </is>
      </c>
      <c r="K229" s="10" t="inlineStr">
        <is>
          <t>النظام الجديد يعطي عدد البنود والقيمة فقط</t>
        </is>
      </c>
    </row>
    <row r="230">
      <c r="A230" s="10" t="n">
        <v>229</v>
      </c>
      <c r="B230" s="10" t="inlineStr">
        <is>
          <t>RNL</t>
        </is>
      </c>
      <c r="C230" s="10" t="inlineStr">
        <is>
          <t>كميات هالكة ومفقودة</t>
        </is>
      </c>
      <c r="D230" s="10" t="inlineStr">
        <is>
          <t>ISV-0068</t>
        </is>
      </c>
      <c r="E230" s="24" t="n">
        <v>46204</v>
      </c>
      <c r="F230" s="10" t="inlineStr">
        <is>
          <t>PRODUCTION WASTE-RN</t>
        </is>
      </c>
      <c r="G230" s="10" t="n">
        <v>9</v>
      </c>
      <c r="H230" s="12" t="n">
        <v>1773.75</v>
      </c>
      <c r="I230" s="10" t="inlineStr">
        <is>
          <t>النظام الجديد</t>
        </is>
      </c>
      <c r="J230" s="10" t="inlineStr">
        <is>
          <t>نعم</t>
        </is>
      </c>
      <c r="K230" s="10" t="inlineStr">
        <is>
          <t>النظام الجديد يعطي عدد البنود والقيمة فقط</t>
        </is>
      </c>
    </row>
    <row r="231">
      <c r="A231" s="10" t="n">
        <v>230</v>
      </c>
      <c r="B231" s="10" t="inlineStr">
        <is>
          <t>RNL</t>
        </is>
      </c>
      <c r="C231" s="10" t="inlineStr">
        <is>
          <t>كميات هالكة ومفقودة</t>
        </is>
      </c>
      <c r="D231" s="10" t="inlineStr">
        <is>
          <t>ISV-0089</t>
        </is>
      </c>
      <c r="E231" s="24" t="n">
        <v>46214</v>
      </c>
      <c r="F231" s="10" t="inlineStr">
        <is>
          <t>PRODUCTION WASTE-RN</t>
        </is>
      </c>
      <c r="G231" s="10" t="n">
        <v>5</v>
      </c>
      <c r="H231" s="12" t="n">
        <v>3767.5</v>
      </c>
      <c r="I231" s="10" t="inlineStr">
        <is>
          <t>النظام الجديد</t>
        </is>
      </c>
      <c r="J231" s="10" t="inlineStr">
        <is>
          <t>نعم</t>
        </is>
      </c>
      <c r="K231" s="10" t="inlineStr">
        <is>
          <t>النظام الجديد يعطي عدد البنود والقيمة فقط</t>
        </is>
      </c>
    </row>
    <row r="232">
      <c r="A232" s="10" t="n">
        <v>231</v>
      </c>
      <c r="B232" s="10" t="inlineStr">
        <is>
          <t>RNL</t>
        </is>
      </c>
      <c r="C232" s="10" t="inlineStr">
        <is>
          <t>كميات هالكة ومفقودة</t>
        </is>
      </c>
      <c r="D232" s="10" t="inlineStr">
        <is>
          <t>ISV-0104</t>
        </is>
      </c>
      <c r="E232" s="24" t="n">
        <v>46218</v>
      </c>
      <c r="F232" s="10" t="inlineStr">
        <is>
          <t>PRODUCTION WASTE-RN</t>
        </is>
      </c>
      <c r="G232" s="10" t="n">
        <v>4</v>
      </c>
      <c r="H232" s="12" t="n">
        <v>2942.5</v>
      </c>
      <c r="I232" s="10" t="inlineStr">
        <is>
          <t>النظام الجديد</t>
        </is>
      </c>
      <c r="J232" s="10" t="inlineStr">
        <is>
          <t>نعم</t>
        </is>
      </c>
      <c r="K232" s="10" t="inlineStr">
        <is>
          <t>النظام الجديد يعطي عدد البنود والقيمة فقط</t>
        </is>
      </c>
    </row>
    <row r="233">
      <c r="A233" s="10" t="n">
        <v>232</v>
      </c>
      <c r="B233" s="10" t="inlineStr">
        <is>
          <t>RNL</t>
        </is>
      </c>
      <c r="C233" s="10" t="inlineStr">
        <is>
          <t>كميات هالكة ومفقودة</t>
        </is>
      </c>
      <c r="D233" s="10" t="inlineStr">
        <is>
          <t>ISV-0103</t>
        </is>
      </c>
      <c r="E233" s="24" t="n">
        <v>46218</v>
      </c>
      <c r="F233" s="10" t="inlineStr">
        <is>
          <t>PRODUCTION WASTE-RN</t>
        </is>
      </c>
      <c r="G233" s="10" t="n">
        <v>8</v>
      </c>
      <c r="H233" s="12" t="n">
        <v>1993.75</v>
      </c>
      <c r="I233" s="10" t="inlineStr">
        <is>
          <t>النظام الجديد</t>
        </is>
      </c>
      <c r="J233" s="10" t="inlineStr">
        <is>
          <t>نعم</t>
        </is>
      </c>
      <c r="K233" s="10" t="inlineStr">
        <is>
          <t>النظام الجديد يعطي عدد البنود والقيمة فقط</t>
        </is>
      </c>
    </row>
    <row r="234">
      <c r="A234" s="10" t="n">
        <v>233</v>
      </c>
      <c r="B234" s="10" t="inlineStr">
        <is>
          <t>RNL</t>
        </is>
      </c>
      <c r="C234" s="10" t="inlineStr">
        <is>
          <t>كميات هالكة ومفقودة</t>
        </is>
      </c>
      <c r="D234" s="10" t="inlineStr">
        <is>
          <t>ISV-0109</t>
        </is>
      </c>
      <c r="E234" s="24" t="n">
        <v>46222</v>
      </c>
      <c r="F234" s="10" t="inlineStr">
        <is>
          <t>PRODUCTION WASTE-RN</t>
        </is>
      </c>
      <c r="G234" s="10" t="n">
        <v>5</v>
      </c>
      <c r="H234" s="12" t="n">
        <v>3613.5</v>
      </c>
      <c r="I234" s="10" t="inlineStr">
        <is>
          <t>النظام الجديد</t>
        </is>
      </c>
      <c r="J234" s="10" t="inlineStr">
        <is>
          <t>نعم</t>
        </is>
      </c>
      <c r="K234" s="10" t="inlineStr">
        <is>
          <t>النظام الجديد يعطي عدد البنود والقيمة فقط</t>
        </is>
      </c>
    </row>
    <row r="235">
      <c r="A235" s="10" t="n">
        <v>234</v>
      </c>
      <c r="B235" s="10" t="inlineStr">
        <is>
          <t>RNL</t>
        </is>
      </c>
      <c r="C235" s="10" t="inlineStr">
        <is>
          <t>كميات هالكة ومفقودة</t>
        </is>
      </c>
      <c r="D235" s="10" t="inlineStr">
        <is>
          <t>ISV-0121</t>
        </is>
      </c>
      <c r="E235" s="24" t="n">
        <v>46226</v>
      </c>
      <c r="F235" s="10" t="inlineStr">
        <is>
          <t>PRODUCTION WASTE-RN</t>
        </is>
      </c>
      <c r="G235" s="10" t="n">
        <v>1</v>
      </c>
      <c r="H235" s="12" t="n">
        <v>3586.25</v>
      </c>
      <c r="I235" s="10" t="inlineStr">
        <is>
          <t>النظام الجديد</t>
        </is>
      </c>
      <c r="J235" s="10" t="inlineStr">
        <is>
          <t>نعم</t>
        </is>
      </c>
      <c r="K235" s="10" t="inlineStr">
        <is>
          <t>النظام الجديد يعطي عدد البنود والقيمة فقط</t>
        </is>
      </c>
    </row>
    <row r="236">
      <c r="A236" s="10" t="n">
        <v>235</v>
      </c>
      <c r="B236" s="10" t="inlineStr">
        <is>
          <t>RNL</t>
        </is>
      </c>
      <c r="C236" s="10" t="inlineStr">
        <is>
          <t>كميات هالكة ومفقودة</t>
        </is>
      </c>
      <c r="D236" s="10" t="inlineStr">
        <is>
          <t>ISV-0125</t>
        </is>
      </c>
      <c r="E236" s="24" t="n">
        <v>46228</v>
      </c>
      <c r="F236" s="10" t="inlineStr">
        <is>
          <t>PRODUCTION WASTE-RN</t>
        </is>
      </c>
      <c r="G236" s="10" t="n">
        <v>4</v>
      </c>
      <c r="H236" s="12" t="n">
        <v>3080</v>
      </c>
      <c r="I236" s="10" t="inlineStr">
        <is>
          <t>النظام الجديد</t>
        </is>
      </c>
      <c r="J236" s="10" t="inlineStr">
        <is>
          <t>نعم</t>
        </is>
      </c>
      <c r="K236" s="10" t="inlineStr">
        <is>
          <t>النظام الجديد يعطي عدد البنود والقيمة فقط</t>
        </is>
      </c>
    </row>
    <row r="237">
      <c r="A237" s="10" t="n">
        <v>236</v>
      </c>
      <c r="B237" s="10" t="inlineStr">
        <is>
          <t>RNL</t>
        </is>
      </c>
      <c r="C237" s="10" t="inlineStr">
        <is>
          <t>كميات هالكة ومفقودة</t>
        </is>
      </c>
      <c r="D237" s="10" t="inlineStr">
        <is>
          <t>ISV-0124</t>
        </is>
      </c>
      <c r="E237" s="24" t="n">
        <v>46228</v>
      </c>
      <c r="F237" s="10" t="inlineStr">
        <is>
          <t>PRODUCTION WASTE-RN</t>
        </is>
      </c>
      <c r="G237" s="10" t="n">
        <v>1</v>
      </c>
      <c r="H237" s="12" t="n">
        <v>3150</v>
      </c>
      <c r="I237" s="10" t="inlineStr">
        <is>
          <t>النظام الجديد</t>
        </is>
      </c>
      <c r="J237" s="10" t="inlineStr">
        <is>
          <t>نعم</t>
        </is>
      </c>
      <c r="K237" s="10" t="inlineStr">
        <is>
          <t>النظام الجديد يعطي عدد البنود والقيمة فقط</t>
        </is>
      </c>
    </row>
    <row r="238">
      <c r="A238" s="10" t="n">
        <v>237</v>
      </c>
      <c r="B238" s="10" t="inlineStr">
        <is>
          <t>RNL</t>
        </is>
      </c>
      <c r="C238" s="10" t="inlineStr">
        <is>
          <t>كميات هالكة ومفقودة</t>
        </is>
      </c>
      <c r="D238" s="10" t="inlineStr">
        <is>
          <t>ISV-0140</t>
        </is>
      </c>
      <c r="E238" s="24" t="n">
        <v>46231</v>
      </c>
      <c r="F238" s="10" t="inlineStr">
        <is>
          <t>PRODUCTION WASTE-RN</t>
        </is>
      </c>
      <c r="G238" s="10" t="n">
        <v>4</v>
      </c>
      <c r="H238" s="12" t="n">
        <v>1787.5</v>
      </c>
      <c r="I238" s="10" t="inlineStr">
        <is>
          <t>النظام الجديد</t>
        </is>
      </c>
      <c r="J238" s="10" t="inlineStr">
        <is>
          <t>نعم</t>
        </is>
      </c>
      <c r="K238" s="10" t="inlineStr">
        <is>
          <t>النظام الجديد يعطي عدد البنود والقيمة فقط</t>
        </is>
      </c>
    </row>
  </sheetData>
  <autoFilter ref="A1:K2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3" customWidth="1" min="4" max="4"/>
    <col width="40" customWidth="1" min="5" max="5"/>
    <col width="11" customWidth="1" min="6" max="6"/>
    <col width="7" customWidth="1" min="7" max="7"/>
    <col width="11" customWidth="1" min="8" max="8"/>
    <col width="11" customWidth="1" min="9" max="9"/>
    <col width="18" customWidth="1" min="10" max="10"/>
    <col width="11" customWidth="1" min="11" max="11"/>
  </cols>
  <sheetData>
    <row r="1">
      <c r="A1" s="2" t="inlineStr">
        <is>
          <t>نوع الحركة</t>
        </is>
      </c>
      <c r="B1" s="2" t="inlineStr">
        <is>
          <t>رقم العقد</t>
        </is>
      </c>
      <c r="C1" s="2" t="inlineStr">
        <is>
          <t>التاريخ</t>
        </is>
      </c>
      <c r="D1" s="2" t="inlineStr">
        <is>
          <t>كود الصنف</t>
        </is>
      </c>
      <c r="E1" s="2" t="inlineStr">
        <is>
          <t>اسم الصنف</t>
        </is>
      </c>
      <c r="F1" s="2" t="inlineStr">
        <is>
          <t>الكمية</t>
        </is>
      </c>
      <c r="G1" s="2" t="inlineStr">
        <is>
          <t>الوحدة</t>
        </is>
      </c>
      <c r="H1" s="2" t="inlineStr">
        <is>
          <t>سعر الوحدة</t>
        </is>
      </c>
      <c r="I1" s="2" t="inlineStr">
        <is>
          <t>الضريبة</t>
        </is>
      </c>
      <c r="J1" s="2" t="inlineStr">
        <is>
          <t>الإجمالي (شامل الضريبة)</t>
        </is>
      </c>
      <c r="K1" s="2" t="inlineStr">
        <is>
          <t>محسوب بالفترة</t>
        </is>
      </c>
    </row>
    <row r="2">
      <c r="A2" s="3" t="inlineStr">
        <is>
          <t>TNR</t>
        </is>
      </c>
      <c r="B2" s="3" t="inlineStr">
        <is>
          <t>TNR-3441</t>
        </is>
      </c>
      <c r="C2" s="23" t="n">
        <v>46023</v>
      </c>
      <c r="D2" s="3" t="inlineStr">
        <is>
          <t>TN-OD456</t>
        </is>
      </c>
      <c r="E2" s="3" t="inlineStr">
        <is>
          <t>دورانتا أخضر</t>
        </is>
      </c>
      <c r="F2" s="3" t="n">
        <v>1200</v>
      </c>
      <c r="G2" s="3" t="inlineStr">
        <is>
          <t>EA</t>
        </is>
      </c>
      <c r="H2" s="4" t="n">
        <v>2.5</v>
      </c>
      <c r="I2" s="4" t="n">
        <v>450</v>
      </c>
      <c r="J2" s="4" t="n">
        <v>3450</v>
      </c>
      <c r="K2" s="3" t="inlineStr">
        <is>
          <t>نعم</t>
        </is>
      </c>
    </row>
    <row r="3">
      <c r="A3" s="3" t="inlineStr">
        <is>
          <t>TNR</t>
        </is>
      </c>
      <c r="B3" s="3" t="inlineStr">
        <is>
          <t>TNR-3441</t>
        </is>
      </c>
      <c r="C3" s="23" t="n">
        <v>46023</v>
      </c>
      <c r="D3" s="3" t="inlineStr">
        <is>
          <t>TN-OD454</t>
        </is>
      </c>
      <c r="E3" s="3" t="inlineStr">
        <is>
          <t>تيكوماريا 50 سم</t>
        </is>
      </c>
      <c r="F3" s="3" t="n">
        <v>740</v>
      </c>
      <c r="G3" s="3" t="inlineStr">
        <is>
          <t>EA</t>
        </is>
      </c>
      <c r="H3" s="4" t="n">
        <v>2.5</v>
      </c>
      <c r="I3" s="4" t="n">
        <v>277.5</v>
      </c>
      <c r="J3" s="4" t="n">
        <v>2127.5</v>
      </c>
      <c r="K3" s="3" t="inlineStr">
        <is>
          <t>نعم</t>
        </is>
      </c>
    </row>
    <row r="4">
      <c r="A4" s="3" t="inlineStr">
        <is>
          <t>TNR</t>
        </is>
      </c>
      <c r="B4" s="3" t="inlineStr">
        <is>
          <t>TNR-3441</t>
        </is>
      </c>
      <c r="C4" s="23" t="n">
        <v>46023</v>
      </c>
      <c r="D4" s="3" t="inlineStr">
        <is>
          <t>TN-OD458</t>
        </is>
      </c>
      <c r="E4" s="3" t="inlineStr">
        <is>
          <t>صنف OD458 (الاسم غير واضح بالسجل)</t>
        </is>
      </c>
      <c r="F4" s="3" t="n">
        <v>6</v>
      </c>
      <c r="G4" s="3" t="inlineStr">
        <is>
          <t>EA</t>
        </is>
      </c>
      <c r="H4" s="4" t="n">
        <v>25</v>
      </c>
      <c r="I4" s="4" t="n">
        <v>22.5</v>
      </c>
      <c r="J4" s="4" t="n">
        <v>172.5</v>
      </c>
      <c r="K4" s="3" t="inlineStr">
        <is>
          <t>نعم</t>
        </is>
      </c>
    </row>
    <row r="5">
      <c r="A5" s="3" t="inlineStr">
        <is>
          <t>TNR</t>
        </is>
      </c>
      <c r="B5" s="3" t="inlineStr">
        <is>
          <t>TNR-3441</t>
        </is>
      </c>
      <c r="C5" s="23" t="n">
        <v>46023</v>
      </c>
      <c r="D5" s="3" t="inlineStr">
        <is>
          <t>TN-NP-B-WT</t>
        </is>
      </c>
      <c r="E5" s="3" t="inlineStr">
        <is>
          <t>حجر ديكوري أبيض مطفي 3:5 سم (10 كجم)</t>
        </is>
      </c>
      <c r="F5" s="3" t="n">
        <v>200</v>
      </c>
      <c r="G5" s="3" t="inlineStr">
        <is>
          <t>EA</t>
        </is>
      </c>
      <c r="H5" s="4" t="n">
        <v>11.5</v>
      </c>
      <c r="I5" s="4" t="n">
        <v>345</v>
      </c>
      <c r="J5" s="4" t="n">
        <v>2645</v>
      </c>
      <c r="K5" s="3" t="inlineStr">
        <is>
          <t>نعم</t>
        </is>
      </c>
    </row>
    <row r="6">
      <c r="A6" s="5" t="inlineStr"/>
      <c r="B6" s="5" t="inlineStr">
        <is>
          <t>إجمالي TNR-3441</t>
        </is>
      </c>
      <c r="C6" s="5" t="inlineStr"/>
      <c r="D6" s="5" t="inlineStr"/>
      <c r="E6" s="5" t="inlineStr"/>
      <c r="F6" s="5">
        <f>SUM(F2:F5)</f>
        <v/>
      </c>
      <c r="G6" s="5" t="inlineStr"/>
      <c r="H6" s="5" t="inlineStr"/>
      <c r="I6" s="6">
        <f>SUM(I2:I5)</f>
        <v/>
      </c>
      <c r="J6" s="6">
        <f>SUM(J2:J5)</f>
        <v/>
      </c>
      <c r="K6" s="5" t="n"/>
    </row>
    <row r="7">
      <c r="A7" s="3" t="inlineStr">
        <is>
          <t>RNT</t>
        </is>
      </c>
      <c r="B7" s="3" t="inlineStr">
        <is>
          <t>RNT-3434</t>
        </is>
      </c>
      <c r="C7" s="23" t="n">
        <v>46026</v>
      </c>
      <c r="D7" s="3" t="inlineStr">
        <is>
          <t>RN-OD561</t>
        </is>
      </c>
      <c r="E7" s="3" t="inlineStr">
        <is>
          <t>زهور مارى جولد</t>
        </is>
      </c>
      <c r="F7" s="3" t="n">
        <v>2000</v>
      </c>
      <c r="G7" s="3" t="inlineStr">
        <is>
          <t>EA</t>
        </is>
      </c>
      <c r="H7" s="4" t="n">
        <v>0.6</v>
      </c>
      <c r="I7" s="4" t="n">
        <v>180</v>
      </c>
      <c r="J7" s="4" t="n">
        <v>1380</v>
      </c>
      <c r="K7" s="3" t="inlineStr">
        <is>
          <t>نعم</t>
        </is>
      </c>
    </row>
    <row r="8">
      <c r="A8" s="5" t="inlineStr"/>
      <c r="B8" s="5" t="inlineStr">
        <is>
          <t>إجمالي RNT-3434</t>
        </is>
      </c>
      <c r="C8" s="5" t="inlineStr"/>
      <c r="D8" s="5" t="inlineStr"/>
      <c r="E8" s="5" t="inlineStr"/>
      <c r="F8" s="5">
        <f>SUM(F7:F7)</f>
        <v/>
      </c>
      <c r="G8" s="5" t="inlineStr"/>
      <c r="H8" s="5" t="inlineStr"/>
      <c r="I8" s="6">
        <f>SUM(I7:I7)</f>
        <v/>
      </c>
      <c r="J8" s="6">
        <f>SUM(J7:J7)</f>
        <v/>
      </c>
      <c r="K8" s="5" t="n"/>
    </row>
    <row r="9">
      <c r="A9" s="3" t="inlineStr">
        <is>
          <t>RNT</t>
        </is>
      </c>
      <c r="B9" s="3" t="inlineStr">
        <is>
          <t>RNT-3604</t>
        </is>
      </c>
      <c r="C9" s="23" t="n">
        <v>46042</v>
      </c>
      <c r="D9" s="3" t="inlineStr">
        <is>
          <t>RN-ID1501</t>
        </is>
      </c>
      <c r="E9" s="3" t="inlineStr">
        <is>
          <t>ترادسكانتيا ان اس مركن19 سم عالقى</t>
        </is>
      </c>
      <c r="F9" s="3" t="n">
        <v>270</v>
      </c>
      <c r="G9" s="3" t="inlineStr">
        <is>
          <t>EA</t>
        </is>
      </c>
      <c r="H9" s="4" t="n">
        <v>8.5</v>
      </c>
      <c r="I9" s="4" t="n">
        <v>344.25</v>
      </c>
      <c r="J9" s="4" t="n">
        <v>2639.25</v>
      </c>
      <c r="K9" s="3" t="inlineStr">
        <is>
          <t>نعم</t>
        </is>
      </c>
    </row>
    <row r="10">
      <c r="A10" s="3" t="inlineStr">
        <is>
          <t>RNT</t>
        </is>
      </c>
      <c r="B10" s="3" t="inlineStr">
        <is>
          <t>RNT-3604</t>
        </is>
      </c>
      <c r="C10" s="23" t="n">
        <v>46042</v>
      </c>
      <c r="D10" s="3" t="inlineStr">
        <is>
          <t>RN-OD694</t>
        </is>
      </c>
      <c r="E10" s="3" t="inlineStr">
        <is>
          <t>كالنشو هولندى مركن12 سم</t>
        </is>
      </c>
      <c r="F10" s="3" t="n">
        <v>1500</v>
      </c>
      <c r="G10" s="3" t="inlineStr">
        <is>
          <t>EA</t>
        </is>
      </c>
      <c r="H10" s="4" t="n">
        <v>3</v>
      </c>
      <c r="I10" s="4" t="n">
        <v>675</v>
      </c>
      <c r="J10" s="4" t="n">
        <v>5175</v>
      </c>
      <c r="K10" s="3" t="inlineStr">
        <is>
          <t>نعم</t>
        </is>
      </c>
    </row>
    <row r="11">
      <c r="A11" s="3" t="inlineStr">
        <is>
          <t>RNT</t>
        </is>
      </c>
      <c r="B11" s="3" t="inlineStr">
        <is>
          <t>RNT-3604</t>
        </is>
      </c>
      <c r="C11" s="23" t="n">
        <v>46042</v>
      </c>
      <c r="D11" s="3" t="inlineStr">
        <is>
          <t>RN-OD641</t>
        </is>
      </c>
      <c r="E11" s="3" t="inlineStr">
        <is>
          <t>زهور قرنفل صيني مركن9 سم</t>
        </is>
      </c>
      <c r="F11" s="3" t="n">
        <v>1000</v>
      </c>
      <c r="G11" s="3" t="inlineStr">
        <is>
          <t>EA</t>
        </is>
      </c>
      <c r="H11" s="4" t="n">
        <v>0.6</v>
      </c>
      <c r="I11" s="4" t="n">
        <v>90</v>
      </c>
      <c r="J11" s="4" t="n">
        <v>690</v>
      </c>
      <c r="K11" s="3" t="inlineStr">
        <is>
          <t>نعم</t>
        </is>
      </c>
    </row>
    <row r="12">
      <c r="A12" s="5" t="inlineStr"/>
      <c r="B12" s="5" t="inlineStr">
        <is>
          <t>إجمالي RNT-3604</t>
        </is>
      </c>
      <c r="C12" s="5" t="inlineStr"/>
      <c r="D12" s="5" t="inlineStr"/>
      <c r="E12" s="5" t="inlineStr"/>
      <c r="F12" s="5">
        <f>SUM(F9:F11)</f>
        <v/>
      </c>
      <c r="G12" s="5" t="inlineStr"/>
      <c r="H12" s="5" t="inlineStr"/>
      <c r="I12" s="6">
        <f>SUM(I9:I11)</f>
        <v/>
      </c>
      <c r="J12" s="6">
        <f>SUM(J9:J11)</f>
        <v/>
      </c>
      <c r="K12" s="5" t="n"/>
    </row>
    <row r="13">
      <c r="A13" s="3" t="inlineStr">
        <is>
          <t>RNT</t>
        </is>
      </c>
      <c r="B13" s="3" t="inlineStr">
        <is>
          <t>RNT-3805</t>
        </is>
      </c>
      <c r="C13" s="23" t="n">
        <v>46064</v>
      </c>
      <c r="D13" s="3" t="inlineStr">
        <is>
          <t>RN-OD696</t>
        </is>
      </c>
      <c r="E13" s="3" t="inlineStr">
        <is>
          <t>زهور اقحوان افريقي مركن9 سم</t>
        </is>
      </c>
      <c r="F13" s="3" t="n">
        <v>150</v>
      </c>
      <c r="G13" s="3" t="inlineStr">
        <is>
          <t>EA</t>
        </is>
      </c>
      <c r="H13" s="4" t="n">
        <v>1.5</v>
      </c>
      <c r="I13" s="4" t="n">
        <v>33.75</v>
      </c>
      <c r="J13" s="4" t="n">
        <v>258.75</v>
      </c>
      <c r="K13" s="3" t="inlineStr">
        <is>
          <t>نعم</t>
        </is>
      </c>
    </row>
    <row r="14">
      <c r="A14" s="3" t="inlineStr">
        <is>
          <t>RNT</t>
        </is>
      </c>
      <c r="B14" s="3" t="inlineStr">
        <is>
          <t>RNT-3805</t>
        </is>
      </c>
      <c r="C14" s="23" t="n">
        <v>46064</v>
      </c>
      <c r="D14" s="3" t="inlineStr">
        <is>
          <t>RN-OD695</t>
        </is>
      </c>
      <c r="E14" s="3" t="inlineStr">
        <is>
          <t>زهور اقحوان افريقي هولندى مركن12 سم</t>
        </is>
      </c>
      <c r="F14" s="3" t="n">
        <v>90</v>
      </c>
      <c r="G14" s="3" t="inlineStr">
        <is>
          <t>EA</t>
        </is>
      </c>
      <c r="H14" s="4" t="n">
        <v>3</v>
      </c>
      <c r="I14" s="4" t="n">
        <v>40.5</v>
      </c>
      <c r="J14" s="4" t="n">
        <v>310.5</v>
      </c>
      <c r="K14" s="3" t="inlineStr">
        <is>
          <t>نعم</t>
        </is>
      </c>
    </row>
    <row r="15">
      <c r="A15" s="3" t="inlineStr">
        <is>
          <t>RNT</t>
        </is>
      </c>
      <c r="B15" s="3" t="inlineStr">
        <is>
          <t>RNT-3805</t>
        </is>
      </c>
      <c r="C15" s="23" t="n">
        <v>46064</v>
      </c>
      <c r="D15" s="3" t="inlineStr">
        <is>
          <t>RN-OD636</t>
        </is>
      </c>
      <c r="E15" s="3" t="inlineStr">
        <is>
          <t>زهور منثور مركن9 سم</t>
        </is>
      </c>
      <c r="F15" s="3" t="n">
        <v>150</v>
      </c>
      <c r="G15" s="3" t="inlineStr">
        <is>
          <t>EA</t>
        </is>
      </c>
      <c r="H15" s="4" t="n">
        <v>0.55</v>
      </c>
      <c r="I15" s="4" t="n">
        <v>12.375</v>
      </c>
      <c r="J15" s="4" t="n">
        <v>94.875</v>
      </c>
      <c r="K15" s="3" t="inlineStr">
        <is>
          <t>نعم</t>
        </is>
      </c>
    </row>
    <row r="16">
      <c r="A16" s="3" t="inlineStr">
        <is>
          <t>RNT</t>
        </is>
      </c>
      <c r="B16" s="3" t="inlineStr">
        <is>
          <t>RNT-3805</t>
        </is>
      </c>
      <c r="C16" s="23" t="n">
        <v>46064</v>
      </c>
      <c r="D16" s="3" t="inlineStr">
        <is>
          <t>RN-OD693</t>
        </is>
      </c>
      <c r="E16" s="3" t="inlineStr">
        <is>
          <t>زهور جيرانيوم هولندى مركن12 سم</t>
        </is>
      </c>
      <c r="F16" s="3" t="n">
        <v>180</v>
      </c>
      <c r="G16" s="3" t="inlineStr">
        <is>
          <t>EA</t>
        </is>
      </c>
      <c r="H16" s="4" t="n">
        <v>3</v>
      </c>
      <c r="I16" s="4" t="n">
        <v>81</v>
      </c>
      <c r="J16" s="4" t="n">
        <v>621</v>
      </c>
      <c r="K16" s="3" t="inlineStr">
        <is>
          <t>نعم</t>
        </is>
      </c>
    </row>
    <row r="17">
      <c r="A17" s="3" t="inlineStr">
        <is>
          <t>RNT</t>
        </is>
      </c>
      <c r="B17" s="3" t="inlineStr">
        <is>
          <t>RNT-3805</t>
        </is>
      </c>
      <c r="C17" s="23" t="n">
        <v>46064</v>
      </c>
      <c r="D17" s="3" t="inlineStr">
        <is>
          <t>RN-OD639</t>
        </is>
      </c>
      <c r="E17" s="3" t="inlineStr">
        <is>
          <t>زهور قرنفل امريكي مركن12 سم</t>
        </is>
      </c>
      <c r="F17" s="3" t="n">
        <v>90</v>
      </c>
      <c r="G17" s="3" t="inlineStr">
        <is>
          <t>EA</t>
        </is>
      </c>
      <c r="H17" s="4" t="n">
        <v>2.5</v>
      </c>
      <c r="I17" s="4" t="n">
        <v>33.75</v>
      </c>
      <c r="J17" s="4" t="n">
        <v>258.75</v>
      </c>
      <c r="K17" s="3" t="inlineStr">
        <is>
          <t>نعم</t>
        </is>
      </c>
    </row>
    <row r="18">
      <c r="A18" s="3" t="inlineStr">
        <is>
          <t>RNT</t>
        </is>
      </c>
      <c r="B18" s="3" t="inlineStr">
        <is>
          <t>RNT-3805</t>
        </is>
      </c>
      <c r="C18" s="23" t="n">
        <v>46064</v>
      </c>
      <c r="D18" s="3" t="inlineStr">
        <is>
          <t>RN-OD643</t>
        </is>
      </c>
      <c r="E18" s="3" t="inlineStr">
        <is>
          <t>زهور سينيراريا مركن12 سم</t>
        </is>
      </c>
      <c r="F18" s="3" t="n">
        <v>48</v>
      </c>
      <c r="G18" s="3" t="inlineStr">
        <is>
          <t>EA</t>
        </is>
      </c>
      <c r="H18" s="4" t="n">
        <v>2.5</v>
      </c>
      <c r="I18" s="4" t="n">
        <v>18</v>
      </c>
      <c r="J18" s="4" t="n">
        <v>138</v>
      </c>
      <c r="K18" s="3" t="inlineStr">
        <is>
          <t>نعم</t>
        </is>
      </c>
    </row>
    <row r="19">
      <c r="A19" s="5" t="inlineStr"/>
      <c r="B19" s="5" t="inlineStr">
        <is>
          <t>إجمالي RNT-3805</t>
        </is>
      </c>
      <c r="C19" s="5" t="inlineStr"/>
      <c r="D19" s="5" t="inlineStr"/>
      <c r="E19" s="5" t="inlineStr"/>
      <c r="F19" s="5">
        <f>SUM(F13:F18)</f>
        <v/>
      </c>
      <c r="G19" s="5" t="inlineStr"/>
      <c r="H19" s="5" t="inlineStr"/>
      <c r="I19" s="6">
        <f>SUM(I13:I18)</f>
        <v/>
      </c>
      <c r="J19" s="6">
        <f>SUM(J13:J18)</f>
        <v/>
      </c>
      <c r="K19" s="5" t="n"/>
    </row>
    <row r="20">
      <c r="A20" s="3" t="inlineStr">
        <is>
          <t>RNP</t>
        </is>
      </c>
      <c r="B20" s="3" t="inlineStr">
        <is>
          <t>RNP-3432</t>
        </is>
      </c>
      <c r="C20" s="23" t="n">
        <v>46026</v>
      </c>
      <c r="D20" s="3" t="inlineStr">
        <is>
          <t>RN-OD620</t>
        </is>
      </c>
      <c r="E20" s="3" t="inlineStr">
        <is>
          <t>زهور جيرانيوم مركن12 سم</t>
        </is>
      </c>
      <c r="F20" s="3" t="n">
        <v>17900</v>
      </c>
      <c r="G20" s="3" t="inlineStr">
        <is>
          <t>EA</t>
        </is>
      </c>
      <c r="H20" s="4" t="n">
        <v>2</v>
      </c>
      <c r="I20" s="4" t="n">
        <v>5370</v>
      </c>
      <c r="J20" s="4" t="n">
        <v>41170</v>
      </c>
      <c r="K20" s="3" t="inlineStr">
        <is>
          <t>نعم</t>
        </is>
      </c>
    </row>
    <row r="21">
      <c r="A21" s="3" t="inlineStr">
        <is>
          <t>RNP</t>
        </is>
      </c>
      <c r="B21" s="3" t="inlineStr">
        <is>
          <t>RNP-3432</t>
        </is>
      </c>
      <c r="C21" s="23" t="n">
        <v>46026</v>
      </c>
      <c r="D21" s="3" t="inlineStr">
        <is>
          <t>RN-OD642</t>
        </is>
      </c>
      <c r="E21" s="3" t="inlineStr">
        <is>
          <t>زهور اليسوم مركن9 سم</t>
        </is>
      </c>
      <c r="F21" s="3" t="n">
        <v>2000</v>
      </c>
      <c r="G21" s="3" t="inlineStr">
        <is>
          <t>EA</t>
        </is>
      </c>
      <c r="H21" s="4" t="n">
        <v>0.55</v>
      </c>
      <c r="I21" s="4" t="n">
        <v>165</v>
      </c>
      <c r="J21" s="4" t="n">
        <v>1265</v>
      </c>
      <c r="K21" s="3" t="inlineStr">
        <is>
          <t>نعم</t>
        </is>
      </c>
    </row>
    <row r="22">
      <c r="A22" s="5" t="inlineStr"/>
      <c r="B22" s="5" t="inlineStr">
        <is>
          <t>إجمالي RNP-3432</t>
        </is>
      </c>
      <c r="C22" s="5" t="inlineStr"/>
      <c r="D22" s="5" t="inlineStr"/>
      <c r="E22" s="5" t="inlineStr"/>
      <c r="F22" s="5">
        <f>SUM(F20:F21)</f>
        <v/>
      </c>
      <c r="G22" s="5" t="inlineStr"/>
      <c r="H22" s="5" t="inlineStr"/>
      <c r="I22" s="6">
        <f>SUM(I20:I21)</f>
        <v/>
      </c>
      <c r="J22" s="6">
        <f>SUM(J20:J21)</f>
        <v/>
      </c>
      <c r="K22" s="5" t="n"/>
    </row>
    <row r="23">
      <c r="A23" s="3" t="inlineStr">
        <is>
          <t>RNP</t>
        </is>
      </c>
      <c r="B23" s="3" t="inlineStr">
        <is>
          <t>RNP-3433</t>
        </is>
      </c>
      <c r="C23" s="23" t="n">
        <v>46026</v>
      </c>
      <c r="D23" s="3" t="inlineStr">
        <is>
          <t>RN-OD603</t>
        </is>
      </c>
      <c r="E23" s="3" t="inlineStr">
        <is>
          <t>زهور جرانيوم مركن9 سم</t>
        </is>
      </c>
      <c r="F23" s="3" t="n">
        <v>1400</v>
      </c>
      <c r="G23" s="3" t="inlineStr">
        <is>
          <t>EA</t>
        </is>
      </c>
      <c r="H23" s="4" t="n">
        <v>0.9</v>
      </c>
      <c r="I23" s="4" t="n">
        <v>189</v>
      </c>
      <c r="J23" s="4" t="n">
        <v>1449</v>
      </c>
      <c r="K23" s="3" t="inlineStr">
        <is>
          <t>نعم</t>
        </is>
      </c>
    </row>
    <row r="24">
      <c r="A24" s="3" t="inlineStr">
        <is>
          <t>RNP</t>
        </is>
      </c>
      <c r="B24" s="3" t="inlineStr">
        <is>
          <t>RNP-3433</t>
        </is>
      </c>
      <c r="C24" s="23" t="n">
        <v>46026</v>
      </c>
      <c r="D24" s="3" t="inlineStr">
        <is>
          <t>RN-OD560</t>
        </is>
      </c>
      <c r="E24" s="3" t="inlineStr">
        <is>
          <t>زهور بيتونيا</t>
        </is>
      </c>
      <c r="F24" s="3" t="n">
        <v>1000</v>
      </c>
      <c r="G24" s="3" t="inlineStr">
        <is>
          <t>EA</t>
        </is>
      </c>
      <c r="H24" s="4" t="n">
        <v>0.55</v>
      </c>
      <c r="I24" s="4" t="n">
        <v>82.5</v>
      </c>
      <c r="J24" s="4" t="n">
        <v>632.5</v>
      </c>
      <c r="K24" s="3" t="inlineStr">
        <is>
          <t>نعم</t>
        </is>
      </c>
    </row>
    <row r="25">
      <c r="A25" s="3" t="inlineStr">
        <is>
          <t>RNP</t>
        </is>
      </c>
      <c r="B25" s="3" t="inlineStr">
        <is>
          <t>RNP-3433</t>
        </is>
      </c>
      <c r="C25" s="23" t="n">
        <v>46026</v>
      </c>
      <c r="D25" s="3" t="inlineStr">
        <is>
          <t>RN-OD561</t>
        </is>
      </c>
      <c r="E25" s="3" t="inlineStr">
        <is>
          <t>زهور مارى جولد</t>
        </is>
      </c>
      <c r="F25" s="3" t="n">
        <v>600</v>
      </c>
      <c r="G25" s="3" t="inlineStr">
        <is>
          <t>EA</t>
        </is>
      </c>
      <c r="H25" s="4" t="n">
        <v>0.6</v>
      </c>
      <c r="I25" s="4" t="n">
        <v>54</v>
      </c>
      <c r="J25" s="4" t="n">
        <v>414</v>
      </c>
      <c r="K25" s="3" t="inlineStr">
        <is>
          <t>نعم</t>
        </is>
      </c>
    </row>
    <row r="26">
      <c r="A26" s="3" t="inlineStr">
        <is>
          <t>RNP</t>
        </is>
      </c>
      <c r="B26" s="3" t="inlineStr">
        <is>
          <t>RNP-3433</t>
        </is>
      </c>
      <c r="C26" s="23" t="n">
        <v>46026</v>
      </c>
      <c r="D26" s="3" t="inlineStr">
        <is>
          <t>RN-OD642</t>
        </is>
      </c>
      <c r="E26" s="3" t="inlineStr">
        <is>
          <t>زهور اليسوم مركن9 سم</t>
        </is>
      </c>
      <c r="F26" s="3" t="n">
        <v>2000</v>
      </c>
      <c r="G26" s="3" t="inlineStr">
        <is>
          <t>EA</t>
        </is>
      </c>
      <c r="H26" s="4" t="n">
        <v>0.55</v>
      </c>
      <c r="I26" s="4" t="n">
        <v>165</v>
      </c>
      <c r="J26" s="4" t="n">
        <v>1265</v>
      </c>
      <c r="K26" s="3" t="inlineStr">
        <is>
          <t>نعم</t>
        </is>
      </c>
    </row>
    <row r="27">
      <c r="A27" s="5" t="inlineStr"/>
      <c r="B27" s="5" t="inlineStr">
        <is>
          <t>إجمالي RNP-3433</t>
        </is>
      </c>
      <c r="C27" s="5" t="inlineStr"/>
      <c r="D27" s="5" t="inlineStr"/>
      <c r="E27" s="5" t="inlineStr"/>
      <c r="F27" s="5">
        <f>SUM(F23:F26)</f>
        <v/>
      </c>
      <c r="G27" s="5" t="inlineStr"/>
      <c r="H27" s="5" t="inlineStr"/>
      <c r="I27" s="6">
        <f>SUM(I23:I26)</f>
        <v/>
      </c>
      <c r="J27" s="6">
        <f>SUM(J23:J26)</f>
        <v/>
      </c>
      <c r="K27" s="5" t="n"/>
    </row>
    <row r="28">
      <c r="A28" s="3" t="inlineStr">
        <is>
          <t>RNP</t>
        </is>
      </c>
      <c r="B28" s="3" t="inlineStr">
        <is>
          <t>RNP-3491</t>
        </is>
      </c>
      <c r="C28" s="23" t="n">
        <v>46029</v>
      </c>
      <c r="D28" s="3" t="inlineStr">
        <is>
          <t>RN-OD560</t>
        </is>
      </c>
      <c r="E28" s="3" t="inlineStr">
        <is>
          <t>زهور بيتونيا</t>
        </is>
      </c>
      <c r="F28" s="3" t="n">
        <v>2200</v>
      </c>
      <c r="G28" s="3" t="inlineStr">
        <is>
          <t>EA</t>
        </is>
      </c>
      <c r="H28" s="4" t="n">
        <v>0.55</v>
      </c>
      <c r="I28" s="4" t="n">
        <v>181.5</v>
      </c>
      <c r="J28" s="4" t="n">
        <v>1391.5</v>
      </c>
      <c r="K28" s="3" t="inlineStr">
        <is>
          <t>نعم</t>
        </is>
      </c>
    </row>
    <row r="29">
      <c r="A29" s="3" t="inlineStr">
        <is>
          <t>RNP</t>
        </is>
      </c>
      <c r="B29" s="3" t="inlineStr">
        <is>
          <t>RNP-3491</t>
        </is>
      </c>
      <c r="C29" s="23" t="n">
        <v>46029</v>
      </c>
      <c r="D29" s="3" t="inlineStr">
        <is>
          <t>RN-OD642</t>
        </is>
      </c>
      <c r="E29" s="3" t="inlineStr">
        <is>
          <t>زهور اليسوم مركن9 سم</t>
        </is>
      </c>
      <c r="F29" s="3" t="n">
        <v>700</v>
      </c>
      <c r="G29" s="3" t="inlineStr">
        <is>
          <t>EA</t>
        </is>
      </c>
      <c r="H29" s="4" t="n">
        <v>0.55</v>
      </c>
      <c r="I29" s="4" t="n">
        <v>57.75</v>
      </c>
      <c r="J29" s="4" t="n">
        <v>442.75</v>
      </c>
      <c r="K29" s="3" t="inlineStr">
        <is>
          <t>نعم</t>
        </is>
      </c>
    </row>
    <row r="30">
      <c r="A30" s="3" t="inlineStr">
        <is>
          <t>RNP</t>
        </is>
      </c>
      <c r="B30" s="3" t="inlineStr">
        <is>
          <t>RNP-3491</t>
        </is>
      </c>
      <c r="C30" s="23" t="n">
        <v>46029</v>
      </c>
      <c r="D30" s="3" t="inlineStr">
        <is>
          <t>RN-OD456</t>
        </is>
      </c>
      <c r="E30" s="3" t="inlineStr">
        <is>
          <t>دورانتا اخضر</t>
        </is>
      </c>
      <c r="F30" s="3" t="n">
        <v>1200</v>
      </c>
      <c r="G30" s="3" t="inlineStr">
        <is>
          <t>EA</t>
        </is>
      </c>
      <c r="H30" s="4" t="n">
        <v>2.5</v>
      </c>
      <c r="I30" s="4" t="n">
        <v>450</v>
      </c>
      <c r="J30" s="4" t="n">
        <v>3450</v>
      </c>
      <c r="K30" s="3" t="inlineStr">
        <is>
          <t>نعم</t>
        </is>
      </c>
    </row>
    <row r="31">
      <c r="A31" s="5" t="inlineStr"/>
      <c r="B31" s="5" t="inlineStr">
        <is>
          <t>إجمالي RNP-3491</t>
        </is>
      </c>
      <c r="C31" s="5" t="inlineStr"/>
      <c r="D31" s="5" t="inlineStr"/>
      <c r="E31" s="5" t="inlineStr"/>
      <c r="F31" s="5">
        <f>SUM(F28:F30)</f>
        <v/>
      </c>
      <c r="G31" s="5" t="inlineStr"/>
      <c r="H31" s="5" t="inlineStr"/>
      <c r="I31" s="6">
        <f>SUM(I28:I30)</f>
        <v/>
      </c>
      <c r="J31" s="6">
        <f>SUM(J28:J30)</f>
        <v/>
      </c>
      <c r="K31" s="5" t="n"/>
    </row>
    <row r="32">
      <c r="A32" s="3" t="inlineStr">
        <is>
          <t>RNP</t>
        </is>
      </c>
      <c r="B32" s="3" t="inlineStr">
        <is>
          <t>RNP-3520</t>
        </is>
      </c>
      <c r="C32" s="23" t="n">
        <v>46033</v>
      </c>
      <c r="D32" s="3" t="inlineStr">
        <is>
          <t>RN-OD560</t>
        </is>
      </c>
      <c r="E32" s="3" t="inlineStr">
        <is>
          <t>زهور بيتونيا</t>
        </is>
      </c>
      <c r="F32" s="3" t="n">
        <v>6000</v>
      </c>
      <c r="G32" s="3" t="inlineStr">
        <is>
          <t>EA</t>
        </is>
      </c>
      <c r="H32" s="4" t="n">
        <v>0.55</v>
      </c>
      <c r="I32" s="4" t="n">
        <v>495</v>
      </c>
      <c r="J32" s="4" t="n">
        <v>3795</v>
      </c>
      <c r="K32" s="3" t="inlineStr">
        <is>
          <t>نعم</t>
        </is>
      </c>
    </row>
    <row r="33">
      <c r="A33" s="5" t="inlineStr"/>
      <c r="B33" s="5" t="inlineStr">
        <is>
          <t>إجمالي RNP-3520</t>
        </is>
      </c>
      <c r="C33" s="5" t="inlineStr"/>
      <c r="D33" s="5" t="inlineStr"/>
      <c r="E33" s="5" t="inlineStr"/>
      <c r="F33" s="5">
        <f>SUM(F32:F32)</f>
        <v/>
      </c>
      <c r="G33" s="5" t="inlineStr"/>
      <c r="H33" s="5" t="inlineStr"/>
      <c r="I33" s="6">
        <f>SUM(I32:I32)</f>
        <v/>
      </c>
      <c r="J33" s="6">
        <f>SUM(J32:J32)</f>
        <v/>
      </c>
      <c r="K33" s="5" t="n"/>
    </row>
    <row r="34">
      <c r="A34" s="3" t="inlineStr">
        <is>
          <t>RNP</t>
        </is>
      </c>
      <c r="B34" s="3" t="inlineStr">
        <is>
          <t>RNP-3756</t>
        </is>
      </c>
      <c r="C34" s="23" t="n">
        <v>46057</v>
      </c>
      <c r="D34" s="3" t="inlineStr">
        <is>
          <t>RN-OD411</t>
        </is>
      </c>
      <c r="E34" s="3" t="inlineStr">
        <is>
          <t>ياسمين هندي كبير</t>
        </is>
      </c>
      <c r="F34" s="3" t="n">
        <v>20</v>
      </c>
      <c r="G34" s="3" t="inlineStr">
        <is>
          <t>EA</t>
        </is>
      </c>
      <c r="H34" s="4" t="n">
        <v>32.5</v>
      </c>
      <c r="I34" s="4" t="n">
        <v>97.5</v>
      </c>
      <c r="J34" s="4" t="n">
        <v>747.5</v>
      </c>
      <c r="K34" s="3" t="inlineStr">
        <is>
          <t>نعم</t>
        </is>
      </c>
    </row>
    <row r="35">
      <c r="A35" s="5" t="inlineStr"/>
      <c r="B35" s="5" t="inlineStr">
        <is>
          <t>إجمالي RNP-3756</t>
        </is>
      </c>
      <c r="C35" s="5" t="inlineStr"/>
      <c r="D35" s="5" t="inlineStr"/>
      <c r="E35" s="5" t="inlineStr"/>
      <c r="F35" s="5">
        <f>SUM(F34:F34)</f>
        <v/>
      </c>
      <c r="G35" s="5" t="inlineStr"/>
      <c r="H35" s="5" t="inlineStr"/>
      <c r="I35" s="6">
        <f>SUM(I34:I34)</f>
        <v/>
      </c>
      <c r="J35" s="6">
        <f>SUM(J34:J34)</f>
        <v/>
      </c>
      <c r="K35" s="5" t="n"/>
    </row>
    <row r="36">
      <c r="A36" s="3" t="inlineStr">
        <is>
          <t>RNP</t>
        </is>
      </c>
      <c r="B36" s="3" t="inlineStr">
        <is>
          <t>RNP-3767</t>
        </is>
      </c>
      <c r="C36" s="23" t="n">
        <v>46059</v>
      </c>
      <c r="D36" s="3" t="inlineStr">
        <is>
          <t>RN-OD695</t>
        </is>
      </c>
      <c r="E36" s="3" t="inlineStr">
        <is>
          <t>زهور اقحوان افريقي هولندى مركن12 سم</t>
        </is>
      </c>
      <c r="F36" s="3" t="n">
        <v>1785</v>
      </c>
      <c r="G36" s="3" t="inlineStr">
        <is>
          <t>EA</t>
        </is>
      </c>
      <c r="H36" s="4" t="n">
        <v>3</v>
      </c>
      <c r="I36" s="4" t="n">
        <v>803.25</v>
      </c>
      <c r="J36" s="4" t="n">
        <v>6158.25</v>
      </c>
      <c r="K36" s="3" t="inlineStr">
        <is>
          <t>نعم</t>
        </is>
      </c>
    </row>
    <row r="37">
      <c r="A37" s="3" t="inlineStr">
        <is>
          <t>RNP</t>
        </is>
      </c>
      <c r="B37" s="3" t="inlineStr">
        <is>
          <t>RNP-3767</t>
        </is>
      </c>
      <c r="C37" s="23" t="n">
        <v>46059</v>
      </c>
      <c r="D37" s="3" t="inlineStr">
        <is>
          <t>RN-OD634</t>
        </is>
      </c>
      <c r="E37" s="3" t="inlineStr">
        <is>
          <t>زهور ملفوف براسيكا مركن9 سم</t>
        </is>
      </c>
      <c r="F37" s="3" t="n">
        <v>2000</v>
      </c>
      <c r="G37" s="3" t="inlineStr">
        <is>
          <t>EA</t>
        </is>
      </c>
      <c r="H37" s="4" t="n">
        <v>0.55</v>
      </c>
      <c r="I37" s="4" t="n">
        <v>165</v>
      </c>
      <c r="J37" s="4" t="n">
        <v>1265</v>
      </c>
      <c r="K37" s="3" t="inlineStr">
        <is>
          <t>نعم</t>
        </is>
      </c>
    </row>
    <row r="38">
      <c r="A38" s="5" t="inlineStr"/>
      <c r="B38" s="5" t="inlineStr">
        <is>
          <t>إجمالي RNP-3767</t>
        </is>
      </c>
      <c r="C38" s="5" t="inlineStr"/>
      <c r="D38" s="5" t="inlineStr"/>
      <c r="E38" s="5" t="inlineStr"/>
      <c r="F38" s="5">
        <f>SUM(F36:F37)</f>
        <v/>
      </c>
      <c r="G38" s="5" t="inlineStr"/>
      <c r="H38" s="5" t="inlineStr"/>
      <c r="I38" s="6">
        <f>SUM(I36:I37)</f>
        <v/>
      </c>
      <c r="J38" s="6">
        <f>SUM(J36:J37)</f>
        <v/>
      </c>
      <c r="K38" s="5" t="n"/>
    </row>
    <row r="39">
      <c r="A39" s="3" t="inlineStr">
        <is>
          <t>RNP</t>
        </is>
      </c>
      <c r="B39" s="3" t="inlineStr">
        <is>
          <t>RNP-3839</t>
        </is>
      </c>
      <c r="C39" s="23" t="n">
        <v>46068</v>
      </c>
      <c r="D39" s="3" t="inlineStr">
        <is>
          <t>RN-OD560</t>
        </is>
      </c>
      <c r="E39" s="3" t="inlineStr">
        <is>
          <t>زهور بيتونيا</t>
        </is>
      </c>
      <c r="F39" s="3" t="n">
        <v>312</v>
      </c>
      <c r="G39" s="3" t="inlineStr">
        <is>
          <t>EA</t>
        </is>
      </c>
      <c r="H39" s="4" t="n">
        <v>0.55</v>
      </c>
      <c r="I39" s="4" t="n">
        <v>25.74</v>
      </c>
      <c r="J39" s="4" t="n">
        <v>197.34</v>
      </c>
      <c r="K39" s="3" t="inlineStr">
        <is>
          <t>نعم</t>
        </is>
      </c>
    </row>
    <row r="40">
      <c r="A40" s="3" t="inlineStr">
        <is>
          <t>RNP</t>
        </is>
      </c>
      <c r="B40" s="3" t="inlineStr">
        <is>
          <t>RNP-3839</t>
        </is>
      </c>
      <c r="C40" s="23" t="n">
        <v>46068</v>
      </c>
      <c r="D40" s="3" t="inlineStr">
        <is>
          <t>RN-OD636</t>
        </is>
      </c>
      <c r="E40" s="3" t="inlineStr">
        <is>
          <t>زهور منثور مركن9 سم</t>
        </is>
      </c>
      <c r="F40" s="3" t="n">
        <v>312</v>
      </c>
      <c r="G40" s="3" t="inlineStr">
        <is>
          <t>EA</t>
        </is>
      </c>
      <c r="H40" s="4" t="n">
        <v>0.55</v>
      </c>
      <c r="I40" s="4" t="n">
        <v>25.74</v>
      </c>
      <c r="J40" s="4" t="n">
        <v>197.34</v>
      </c>
      <c r="K40" s="3" t="inlineStr">
        <is>
          <t>نعم</t>
        </is>
      </c>
    </row>
    <row r="41">
      <c r="A41" s="3" t="inlineStr">
        <is>
          <t>RNP</t>
        </is>
      </c>
      <c r="B41" s="3" t="inlineStr">
        <is>
          <t>RNP-3839</t>
        </is>
      </c>
      <c r="C41" s="23" t="n">
        <v>46068</v>
      </c>
      <c r="D41" s="3" t="inlineStr">
        <is>
          <t>RN-OD637</t>
        </is>
      </c>
      <c r="E41" s="3" t="inlineStr">
        <is>
          <t>زهور سالفيا مركن9 سم</t>
        </is>
      </c>
      <c r="F41" s="3" t="n">
        <v>312</v>
      </c>
      <c r="G41" s="3" t="inlineStr">
        <is>
          <t>EA</t>
        </is>
      </c>
      <c r="H41" s="4" t="n">
        <v>0.55</v>
      </c>
      <c r="I41" s="4" t="n">
        <v>25.74</v>
      </c>
      <c r="J41" s="4" t="n">
        <v>197.34</v>
      </c>
      <c r="K41" s="3" t="inlineStr">
        <is>
          <t>نعم</t>
        </is>
      </c>
    </row>
    <row r="42">
      <c r="A42" s="3" t="inlineStr">
        <is>
          <t>RNP</t>
        </is>
      </c>
      <c r="B42" s="3" t="inlineStr">
        <is>
          <t>RNP-3839</t>
        </is>
      </c>
      <c r="C42" s="23" t="n">
        <v>46068</v>
      </c>
      <c r="D42" s="3" t="inlineStr">
        <is>
          <t>RN-OD634</t>
        </is>
      </c>
      <c r="E42" s="3" t="inlineStr">
        <is>
          <t>زهور ملفوف براسيكا مركن9 سم</t>
        </is>
      </c>
      <c r="F42" s="3" t="n">
        <v>312</v>
      </c>
      <c r="G42" s="3" t="inlineStr">
        <is>
          <t>EA</t>
        </is>
      </c>
      <c r="H42" s="4" t="n">
        <v>0.55</v>
      </c>
      <c r="I42" s="4" t="n">
        <v>25.74</v>
      </c>
      <c r="J42" s="4" t="n">
        <v>197.34</v>
      </c>
      <c r="K42" s="3" t="inlineStr">
        <is>
          <t>نعم</t>
        </is>
      </c>
    </row>
    <row r="43">
      <c r="A43" s="5" t="inlineStr"/>
      <c r="B43" s="5" t="inlineStr">
        <is>
          <t>إجمالي RNP-3839</t>
        </is>
      </c>
      <c r="C43" s="5" t="inlineStr"/>
      <c r="D43" s="5" t="inlineStr"/>
      <c r="E43" s="5" t="inlineStr"/>
      <c r="F43" s="5">
        <f>SUM(F39:F42)</f>
        <v/>
      </c>
      <c r="G43" s="5" t="inlineStr"/>
      <c r="H43" s="5" t="inlineStr"/>
      <c r="I43" s="6">
        <f>SUM(I39:I42)</f>
        <v/>
      </c>
      <c r="J43" s="6">
        <f>SUM(J39:J42)</f>
        <v/>
      </c>
      <c r="K43" s="5" t="n"/>
    </row>
    <row r="44">
      <c r="A44" s="3" t="inlineStr">
        <is>
          <t>RNO</t>
        </is>
      </c>
      <c r="B44" s="3" t="inlineStr">
        <is>
          <t>RNO-3525</t>
        </is>
      </c>
      <c r="C44" s="23" t="n">
        <v>46033</v>
      </c>
      <c r="D44" s="3" t="inlineStr">
        <is>
          <t>RN-PL1</t>
        </is>
      </c>
      <c r="E44" s="3" t="inlineStr">
        <is>
          <t>مركن زراعي خفيف ملون 9 سم</t>
        </is>
      </c>
      <c r="F44" s="3" t="n">
        <v>2000</v>
      </c>
      <c r="G44" s="3" t="inlineStr">
        <is>
          <t>EA</t>
        </is>
      </c>
      <c r="H44" s="4" t="n">
        <v>0.06</v>
      </c>
      <c r="I44" s="4" t="n">
        <v>18</v>
      </c>
      <c r="J44" s="4" t="n">
        <v>138</v>
      </c>
      <c r="K44" s="3" t="inlineStr">
        <is>
          <t>نعم</t>
        </is>
      </c>
    </row>
    <row r="45">
      <c r="A45" s="3" t="inlineStr">
        <is>
          <t>RNO</t>
        </is>
      </c>
      <c r="B45" s="3" t="inlineStr">
        <is>
          <t>RNO-3525</t>
        </is>
      </c>
      <c r="C45" s="23" t="n">
        <v>46033</v>
      </c>
      <c r="D45" s="3" t="inlineStr">
        <is>
          <t>RN-PL9</t>
        </is>
      </c>
      <c r="E45" s="3" t="inlineStr">
        <is>
          <t>مركن زراعي 40 سم</t>
        </is>
      </c>
      <c r="F45" s="3" t="n">
        <v>180</v>
      </c>
      <c r="G45" s="3" t="inlineStr">
        <is>
          <t>EA</t>
        </is>
      </c>
      <c r="H45" s="4" t="n">
        <v>4.5</v>
      </c>
      <c r="I45" s="4" t="n">
        <v>121.5</v>
      </c>
      <c r="J45" s="4" t="n">
        <v>931.5</v>
      </c>
      <c r="K45" s="3" t="inlineStr">
        <is>
          <t>نعم</t>
        </is>
      </c>
    </row>
    <row r="46">
      <c r="A46" s="5" t="inlineStr"/>
      <c r="B46" s="5" t="inlineStr">
        <is>
          <t>إجمالي RNO-3525</t>
        </is>
      </c>
      <c r="C46" s="5" t="inlineStr"/>
      <c r="D46" s="5" t="inlineStr"/>
      <c r="E46" s="5" t="inlineStr"/>
      <c r="F46" s="5">
        <f>SUM(F44:F45)</f>
        <v/>
      </c>
      <c r="G46" s="5" t="inlineStr"/>
      <c r="H46" s="5" t="inlineStr"/>
      <c r="I46" s="6">
        <f>SUM(I44:I45)</f>
        <v/>
      </c>
      <c r="J46" s="6">
        <f>SUM(J44:J45)</f>
        <v/>
      </c>
      <c r="K46" s="5" t="n"/>
    </row>
    <row r="47">
      <c r="A47" s="3" t="inlineStr">
        <is>
          <t>RNO</t>
        </is>
      </c>
      <c r="B47" s="3" t="inlineStr">
        <is>
          <t>RNO-3558</t>
        </is>
      </c>
      <c r="C47" s="23" t="n">
        <v>46036</v>
      </c>
      <c r="D47" s="3" t="inlineStr">
        <is>
          <t>RN-FR1004</t>
        </is>
      </c>
      <c r="E47" s="3" t="inlineStr">
        <is>
          <t>حديد مخلبي 16 كجم</t>
        </is>
      </c>
      <c r="F47" s="3" t="n">
        <v>1</v>
      </c>
      <c r="G47" s="3" t="inlineStr">
        <is>
          <t>EA</t>
        </is>
      </c>
      <c r="H47" s="4" t="n">
        <v>60</v>
      </c>
      <c r="I47" s="4" t="n">
        <v>9</v>
      </c>
      <c r="J47" s="4" t="n">
        <v>69</v>
      </c>
      <c r="K47" s="3" t="inlineStr">
        <is>
          <t>نعم</t>
        </is>
      </c>
    </row>
    <row r="48">
      <c r="A48" s="3" t="inlineStr">
        <is>
          <t>RNO</t>
        </is>
      </c>
      <c r="B48" s="3" t="inlineStr">
        <is>
          <t>RNO-3558</t>
        </is>
      </c>
      <c r="C48" s="23" t="n">
        <v>46036</v>
      </c>
      <c r="D48" s="3" t="inlineStr">
        <is>
          <t>RN-PL12</t>
        </is>
      </c>
      <c r="E48" s="3" t="inlineStr">
        <is>
          <t>صندوق فلين للزهور</t>
        </is>
      </c>
      <c r="F48" s="3" t="n">
        <v>400</v>
      </c>
      <c r="G48" s="3" t="inlineStr">
        <is>
          <t>EA</t>
        </is>
      </c>
      <c r="H48" s="4" t="n">
        <v>4</v>
      </c>
      <c r="I48" s="4" t="n">
        <v>240</v>
      </c>
      <c r="J48" s="4" t="n">
        <v>1840</v>
      </c>
      <c r="K48" s="3" t="inlineStr">
        <is>
          <t>نعم</t>
        </is>
      </c>
    </row>
    <row r="49">
      <c r="A49" s="5" t="inlineStr"/>
      <c r="B49" s="5" t="inlineStr">
        <is>
          <t>إجمالي RNO-3558</t>
        </is>
      </c>
      <c r="C49" s="5" t="inlineStr"/>
      <c r="D49" s="5" t="inlineStr"/>
      <c r="E49" s="5" t="inlineStr"/>
      <c r="F49" s="5">
        <f>SUM(F47:F48)</f>
        <v/>
      </c>
      <c r="G49" s="5" t="inlineStr"/>
      <c r="H49" s="5" t="inlineStr"/>
      <c r="I49" s="6">
        <f>SUM(I47:I48)</f>
        <v/>
      </c>
      <c r="J49" s="6">
        <f>SUM(J47:J48)</f>
        <v/>
      </c>
      <c r="K49" s="5" t="n"/>
    </row>
    <row r="50">
      <c r="A50" s="3" t="inlineStr">
        <is>
          <t>RNO</t>
        </is>
      </c>
      <c r="B50" s="3" t="inlineStr">
        <is>
          <t>RNO-3624</t>
        </is>
      </c>
      <c r="C50" s="23" t="n">
        <v>46046</v>
      </c>
      <c r="D50" s="3" t="inlineStr">
        <is>
          <t>RN-FR1004</t>
        </is>
      </c>
      <c r="E50" s="3" t="inlineStr">
        <is>
          <t>حديد مخلبي 16 كجم</t>
        </is>
      </c>
      <c r="F50" s="3" t="n">
        <v>1</v>
      </c>
      <c r="G50" s="3" t="inlineStr">
        <is>
          <t>EA</t>
        </is>
      </c>
      <c r="H50" s="4" t="n">
        <v>60</v>
      </c>
      <c r="I50" s="4" t="n">
        <v>9</v>
      </c>
      <c r="J50" s="4" t="n">
        <v>69</v>
      </c>
      <c r="K50" s="3" t="inlineStr">
        <is>
          <t>نعم</t>
        </is>
      </c>
    </row>
    <row r="51">
      <c r="A51" s="3" t="inlineStr">
        <is>
          <t>RNO</t>
        </is>
      </c>
      <c r="B51" s="3" t="inlineStr">
        <is>
          <t>RNO-3624</t>
        </is>
      </c>
      <c r="C51" s="23" t="n">
        <v>46046</v>
      </c>
      <c r="D51" s="3" t="inlineStr">
        <is>
          <t>RN-PL12</t>
        </is>
      </c>
      <c r="E51" s="3" t="inlineStr">
        <is>
          <t>صندوق فلين للزهور</t>
        </is>
      </c>
      <c r="F51" s="3" t="n">
        <v>1150</v>
      </c>
      <c r="G51" s="3" t="inlineStr">
        <is>
          <t>EA</t>
        </is>
      </c>
      <c r="H51" s="4" t="n">
        <v>4</v>
      </c>
      <c r="I51" s="4" t="n">
        <v>690</v>
      </c>
      <c r="J51" s="4" t="n">
        <v>5290</v>
      </c>
      <c r="K51" s="3" t="inlineStr">
        <is>
          <t>نعم</t>
        </is>
      </c>
    </row>
    <row r="52">
      <c r="A52" s="5" t="inlineStr"/>
      <c r="B52" s="5" t="inlineStr">
        <is>
          <t>إجمالي RNO-3624</t>
        </is>
      </c>
      <c r="C52" s="5" t="inlineStr"/>
      <c r="D52" s="5" t="inlineStr"/>
      <c r="E52" s="5" t="inlineStr"/>
      <c r="F52" s="5">
        <f>SUM(F50:F51)</f>
        <v/>
      </c>
      <c r="G52" s="5" t="inlineStr"/>
      <c r="H52" s="5" t="inlineStr"/>
      <c r="I52" s="6">
        <f>SUM(I50:I51)</f>
        <v/>
      </c>
      <c r="J52" s="6">
        <f>SUM(J50:J51)</f>
        <v/>
      </c>
      <c r="K52" s="5" t="n"/>
    </row>
    <row r="53">
      <c r="A53" s="3" t="inlineStr">
        <is>
          <t>RNO</t>
        </is>
      </c>
      <c r="B53" s="3" t="inlineStr">
        <is>
          <t>RNO-3637</t>
        </is>
      </c>
      <c r="C53" s="23" t="n">
        <v>46048</v>
      </c>
      <c r="D53" s="3" t="inlineStr">
        <is>
          <t>RN-FR1017</t>
        </is>
      </c>
      <c r="E53" s="3" t="inlineStr">
        <is>
          <t>بوتنج سويل 70 لتر (KLAS)</t>
        </is>
      </c>
      <c r="F53" s="3" t="n">
        <v>20</v>
      </c>
      <c r="G53" s="3" t="inlineStr">
        <is>
          <t>EA</t>
        </is>
      </c>
      <c r="H53" s="4" t="n">
        <v>46</v>
      </c>
      <c r="I53" s="4" t="n">
        <v>138</v>
      </c>
      <c r="J53" s="4" t="n">
        <v>1058</v>
      </c>
      <c r="K53" s="3" t="inlineStr">
        <is>
          <t>نعم</t>
        </is>
      </c>
    </row>
    <row r="54">
      <c r="A54" s="3" t="inlineStr">
        <is>
          <t>RNO</t>
        </is>
      </c>
      <c r="B54" s="3" t="inlineStr">
        <is>
          <t>RNO-3637</t>
        </is>
      </c>
      <c r="C54" s="23" t="n">
        <v>46048</v>
      </c>
      <c r="D54" s="3" t="inlineStr">
        <is>
          <t>RN-FR1018</t>
        </is>
      </c>
      <c r="E54" s="3" t="inlineStr">
        <is>
          <t>فيرموكلايت 100 لتر</t>
        </is>
      </c>
      <c r="F54" s="3" t="n">
        <v>2</v>
      </c>
      <c r="G54" s="3" t="inlineStr">
        <is>
          <t>EA</t>
        </is>
      </c>
      <c r="H54" s="4" t="n">
        <v>75</v>
      </c>
      <c r="I54" s="4" t="n">
        <v>22.5</v>
      </c>
      <c r="J54" s="4" t="n">
        <v>172.5</v>
      </c>
      <c r="K54" s="3" t="inlineStr">
        <is>
          <t>نعم</t>
        </is>
      </c>
    </row>
    <row r="55">
      <c r="A55" s="5" t="inlineStr"/>
      <c r="B55" s="5" t="inlineStr">
        <is>
          <t>إجمالي RNO-3637</t>
        </is>
      </c>
      <c r="C55" s="5" t="inlineStr"/>
      <c r="D55" s="5" t="inlineStr"/>
      <c r="E55" s="5" t="inlineStr"/>
      <c r="F55" s="5">
        <f>SUM(F53:F54)</f>
        <v/>
      </c>
      <c r="G55" s="5" t="inlineStr"/>
      <c r="H55" s="5" t="inlineStr"/>
      <c r="I55" s="6">
        <f>SUM(I53:I54)</f>
        <v/>
      </c>
      <c r="J55" s="6">
        <f>SUM(J53:J54)</f>
        <v/>
      </c>
      <c r="K55" s="5" t="n"/>
    </row>
    <row r="56">
      <c r="A56" s="3" t="inlineStr">
        <is>
          <t>RNO</t>
        </is>
      </c>
      <c r="B56" s="3" t="inlineStr">
        <is>
          <t>RNO-3673</t>
        </is>
      </c>
      <c r="C56" s="23" t="n">
        <v>46049</v>
      </c>
      <c r="D56" s="3" t="inlineStr">
        <is>
          <t>RN-FR1017</t>
        </is>
      </c>
      <c r="E56" s="3" t="inlineStr">
        <is>
          <t>بوتنج سويل 70 لتر (KLAS)</t>
        </is>
      </c>
      <c r="F56" s="3" t="n">
        <v>4</v>
      </c>
      <c r="G56" s="3" t="inlineStr">
        <is>
          <t>EA</t>
        </is>
      </c>
      <c r="H56" s="4" t="n">
        <v>46</v>
      </c>
      <c r="I56" s="4" t="n">
        <v>27.6</v>
      </c>
      <c r="J56" s="4" t="n">
        <v>211.6</v>
      </c>
      <c r="K56" s="3" t="inlineStr">
        <is>
          <t>نعم</t>
        </is>
      </c>
    </row>
    <row r="57">
      <c r="A57" s="3" t="inlineStr">
        <is>
          <t>RNO</t>
        </is>
      </c>
      <c r="B57" s="3" t="inlineStr">
        <is>
          <t>RNO-3673</t>
        </is>
      </c>
      <c r="C57" s="23" t="n">
        <v>46049</v>
      </c>
      <c r="D57" s="3" t="inlineStr">
        <is>
          <t>RN-PL12</t>
        </is>
      </c>
      <c r="E57" s="3" t="inlineStr">
        <is>
          <t>صندوق فلين للزهور</t>
        </is>
      </c>
      <c r="F57" s="3" t="n">
        <v>520</v>
      </c>
      <c r="G57" s="3" t="inlineStr">
        <is>
          <t>EA</t>
        </is>
      </c>
      <c r="H57" s="4" t="n">
        <v>4</v>
      </c>
      <c r="I57" s="4" t="n">
        <v>312</v>
      </c>
      <c r="J57" s="4" t="n">
        <v>2392</v>
      </c>
      <c r="K57" s="3" t="inlineStr">
        <is>
          <t>نعم</t>
        </is>
      </c>
    </row>
    <row r="58">
      <c r="A58" s="5" t="inlineStr"/>
      <c r="B58" s="5" t="inlineStr">
        <is>
          <t>إجمالي RNO-3673</t>
        </is>
      </c>
      <c r="C58" s="5" t="inlineStr"/>
      <c r="D58" s="5" t="inlineStr"/>
      <c r="E58" s="5" t="inlineStr"/>
      <c r="F58" s="5">
        <f>SUM(F56:F57)</f>
        <v/>
      </c>
      <c r="G58" s="5" t="inlineStr"/>
      <c r="H58" s="5" t="inlineStr"/>
      <c r="I58" s="6">
        <f>SUM(I56:I57)</f>
        <v/>
      </c>
      <c r="J58" s="6">
        <f>SUM(J56:J57)</f>
        <v/>
      </c>
      <c r="K58" s="5" t="n"/>
    </row>
    <row r="59">
      <c r="A59" s="3" t="inlineStr">
        <is>
          <t>RNO</t>
        </is>
      </c>
      <c r="B59" s="3" t="inlineStr">
        <is>
          <t>RNO-3684</t>
        </is>
      </c>
      <c r="C59" s="23" t="n">
        <v>46050</v>
      </c>
      <c r="D59" s="3" t="inlineStr">
        <is>
          <t>RN-SE100</t>
        </is>
      </c>
      <c r="E59" s="3" t="inlineStr">
        <is>
          <t>بذور فينكا فيكتوري أبيض</t>
        </is>
      </c>
      <c r="F59" s="3" t="n">
        <v>30000</v>
      </c>
      <c r="G59" s="3" t="inlineStr">
        <is>
          <t>EA</t>
        </is>
      </c>
      <c r="H59" s="4" t="n">
        <v>0.035</v>
      </c>
      <c r="I59" s="4" t="n">
        <v>157.5</v>
      </c>
      <c r="J59" s="4" t="n">
        <v>1207.5</v>
      </c>
      <c r="K59" s="3" t="inlineStr">
        <is>
          <t>نعم</t>
        </is>
      </c>
    </row>
    <row r="60">
      <c r="A60" s="3" t="inlineStr">
        <is>
          <t>RNO</t>
        </is>
      </c>
      <c r="B60" s="3" t="inlineStr">
        <is>
          <t>RNO-3684</t>
        </is>
      </c>
      <c r="C60" s="23" t="n">
        <v>46050</v>
      </c>
      <c r="D60" s="3" t="inlineStr">
        <is>
          <t>RN-SE101</t>
        </is>
      </c>
      <c r="E60" s="3" t="inlineStr">
        <is>
          <t>جذور فينكا باسيفيكا أحمر داكن</t>
        </is>
      </c>
      <c r="F60" s="3" t="n">
        <v>30000</v>
      </c>
      <c r="G60" s="3" t="inlineStr">
        <is>
          <t>EA</t>
        </is>
      </c>
      <c r="H60" s="4" t="n">
        <v>0.035</v>
      </c>
      <c r="I60" s="4" t="n">
        <v>157.5</v>
      </c>
      <c r="J60" s="4" t="n">
        <v>1207.5</v>
      </c>
      <c r="K60" s="3" t="inlineStr">
        <is>
          <t>نعم</t>
        </is>
      </c>
    </row>
    <row r="61">
      <c r="A61" s="3" t="inlineStr">
        <is>
          <t>RNO</t>
        </is>
      </c>
      <c r="B61" s="3" t="inlineStr">
        <is>
          <t>RNO-3684</t>
        </is>
      </c>
      <c r="C61" s="23" t="n">
        <v>46050</v>
      </c>
      <c r="D61" s="3" t="inlineStr">
        <is>
          <t>RN-SE103</t>
        </is>
      </c>
      <c r="E61" s="3" t="inlineStr">
        <is>
          <t>جذور فينكا باسيفيكا أوركيد عميق</t>
        </is>
      </c>
      <c r="F61" s="3" t="n">
        <v>20000</v>
      </c>
      <c r="G61" s="3" t="inlineStr">
        <is>
          <t>EA</t>
        </is>
      </c>
      <c r="H61" s="4" t="n">
        <v>0.035</v>
      </c>
      <c r="I61" s="4" t="n">
        <v>105</v>
      </c>
      <c r="J61" s="4" t="n">
        <v>805</v>
      </c>
      <c r="K61" s="3" t="inlineStr">
        <is>
          <t>نعم</t>
        </is>
      </c>
    </row>
    <row r="62">
      <c r="A62" s="3" t="inlineStr">
        <is>
          <t>RNO</t>
        </is>
      </c>
      <c r="B62" s="3" t="inlineStr">
        <is>
          <t>RNO-3684</t>
        </is>
      </c>
      <c r="C62" s="23" t="n">
        <v>46050</v>
      </c>
      <c r="D62" s="3" t="inlineStr">
        <is>
          <t>RN-SE104</t>
        </is>
      </c>
      <c r="E62" s="3" t="inlineStr">
        <is>
          <t>جذور فينكا باسيفيكا برغندي</t>
        </is>
      </c>
      <c r="F62" s="3" t="n">
        <v>10000</v>
      </c>
      <c r="G62" s="3" t="inlineStr">
        <is>
          <t>EA</t>
        </is>
      </c>
      <c r="H62" s="4" t="n">
        <v>0.035</v>
      </c>
      <c r="I62" s="4" t="n">
        <v>52.5</v>
      </c>
      <c r="J62" s="4" t="n">
        <v>402.5</v>
      </c>
      <c r="K62" s="3" t="inlineStr">
        <is>
          <t>نعم</t>
        </is>
      </c>
    </row>
    <row r="63">
      <c r="A63" s="3" t="inlineStr">
        <is>
          <t>RNO</t>
        </is>
      </c>
      <c r="B63" s="3" t="inlineStr">
        <is>
          <t>RNO-3684</t>
        </is>
      </c>
      <c r="C63" s="23" t="n">
        <v>46050</v>
      </c>
      <c r="D63" s="3" t="inlineStr">
        <is>
          <t>RN-SE105</t>
        </is>
      </c>
      <c r="E63" s="3" t="inlineStr">
        <is>
          <t>جذور فينكا باسيفيكا برغندي هالو</t>
        </is>
      </c>
      <c r="F63" s="3" t="n">
        <v>10000</v>
      </c>
      <c r="G63" s="3" t="inlineStr">
        <is>
          <t>EA</t>
        </is>
      </c>
      <c r="H63" s="4" t="n">
        <v>0.035</v>
      </c>
      <c r="I63" s="4" t="n">
        <v>52.5</v>
      </c>
      <c r="J63" s="4" t="n">
        <v>402.5</v>
      </c>
      <c r="K63" s="3" t="inlineStr">
        <is>
          <t>نعم</t>
        </is>
      </c>
    </row>
    <row r="64">
      <c r="A64" s="3" t="inlineStr">
        <is>
          <t>RNO</t>
        </is>
      </c>
      <c r="B64" s="3" t="inlineStr">
        <is>
          <t>RNO-3684</t>
        </is>
      </c>
      <c r="C64" s="23" t="n">
        <v>46050</v>
      </c>
      <c r="D64" s="3" t="inlineStr">
        <is>
          <t>RN-SE106</t>
        </is>
      </c>
      <c r="E64" s="3" t="inlineStr">
        <is>
          <t>بذور فينكا باسيفيكا أحمر</t>
        </is>
      </c>
      <c r="F64" s="3" t="n">
        <v>10000</v>
      </c>
      <c r="G64" s="3" t="inlineStr">
        <is>
          <t>EA</t>
        </is>
      </c>
      <c r="H64" s="4" t="n">
        <v>0.035</v>
      </c>
      <c r="I64" s="4" t="n">
        <v>52.5</v>
      </c>
      <c r="J64" s="4" t="n">
        <v>402.5</v>
      </c>
      <c r="K64" s="3" t="inlineStr">
        <is>
          <t>نعم</t>
        </is>
      </c>
    </row>
    <row r="65">
      <c r="A65" s="3" t="inlineStr">
        <is>
          <t>RNO</t>
        </is>
      </c>
      <c r="B65" s="3" t="inlineStr">
        <is>
          <t>RNO-3684</t>
        </is>
      </c>
      <c r="C65" s="23" t="n">
        <v>46050</v>
      </c>
      <c r="D65" s="3" t="inlineStr">
        <is>
          <t>RN-SE107</t>
        </is>
      </c>
      <c r="E65" s="3" t="inlineStr">
        <is>
          <t>بذور فينكا باسيفيكا مشمشي</t>
        </is>
      </c>
      <c r="F65" s="3" t="n">
        <v>10000</v>
      </c>
      <c r="G65" s="3" t="inlineStr">
        <is>
          <t>EA</t>
        </is>
      </c>
      <c r="H65" s="4" t="n">
        <v>0.035</v>
      </c>
      <c r="I65" s="4" t="n">
        <v>52.5</v>
      </c>
      <c r="J65" s="4" t="n">
        <v>402.5</v>
      </c>
      <c r="K65" s="3" t="inlineStr">
        <is>
          <t>نعم</t>
        </is>
      </c>
    </row>
    <row r="66">
      <c r="A66" s="3" t="inlineStr">
        <is>
          <t>RNO</t>
        </is>
      </c>
      <c r="B66" s="3" t="inlineStr">
        <is>
          <t>RNO-3684</t>
        </is>
      </c>
      <c r="C66" s="23" t="n">
        <v>46050</v>
      </c>
      <c r="D66" s="3" t="inlineStr">
        <is>
          <t>RN-SE109</t>
        </is>
      </c>
      <c r="E66" s="3" t="inlineStr">
        <is>
          <t>جذور فينكا باسيفيكا بولكا دوت</t>
        </is>
      </c>
      <c r="F66" s="3" t="n">
        <v>10000</v>
      </c>
      <c r="G66" s="3" t="inlineStr">
        <is>
          <t>EA</t>
        </is>
      </c>
      <c r="H66" s="4" t="n">
        <v>0.035</v>
      </c>
      <c r="I66" s="4" t="n">
        <v>52.5</v>
      </c>
      <c r="J66" s="4" t="n">
        <v>402.5</v>
      </c>
      <c r="K66" s="3" t="inlineStr">
        <is>
          <t>نعم</t>
        </is>
      </c>
    </row>
    <row r="67">
      <c r="A67" s="3" t="inlineStr">
        <is>
          <t>RNO</t>
        </is>
      </c>
      <c r="B67" s="3" t="inlineStr">
        <is>
          <t>RNO-3684</t>
        </is>
      </c>
      <c r="C67" s="23" t="n">
        <v>46050</v>
      </c>
      <c r="D67" s="3" t="inlineStr">
        <is>
          <t>RN-SE20</t>
        </is>
      </c>
      <c r="E67" s="3" t="inlineStr">
        <is>
          <t>جذور فضية</t>
        </is>
      </c>
      <c r="F67" s="3" t="n">
        <v>20000</v>
      </c>
      <c r="G67" s="3" t="inlineStr">
        <is>
          <t>EA</t>
        </is>
      </c>
      <c r="H67" s="4" t="n">
        <v>0.015</v>
      </c>
      <c r="I67" s="4" t="n">
        <v>45</v>
      </c>
      <c r="J67" s="4" t="n">
        <v>345</v>
      </c>
      <c r="K67" s="3" t="inlineStr">
        <is>
          <t>نعم</t>
        </is>
      </c>
    </row>
    <row r="68">
      <c r="A68" s="5" t="inlineStr"/>
      <c r="B68" s="5" t="inlineStr">
        <is>
          <t>إجمالي RNO-3684</t>
        </is>
      </c>
      <c r="C68" s="5" t="inlineStr"/>
      <c r="D68" s="5" t="inlineStr"/>
      <c r="E68" s="5" t="inlineStr"/>
      <c r="F68" s="5">
        <f>SUM(F59:F67)</f>
        <v/>
      </c>
      <c r="G68" s="5" t="inlineStr"/>
      <c r="H68" s="5" t="inlineStr"/>
      <c r="I68" s="6">
        <f>SUM(I59:I67)</f>
        <v/>
      </c>
      <c r="J68" s="6">
        <f>SUM(J59:J67)</f>
        <v/>
      </c>
      <c r="K68" s="5" t="n"/>
    </row>
    <row r="69">
      <c r="A69" s="3" t="inlineStr">
        <is>
          <t>RNO</t>
        </is>
      </c>
      <c r="B69" s="3" t="inlineStr">
        <is>
          <t>RNO-3707</t>
        </is>
      </c>
      <c r="C69" s="23" t="n">
        <v>46054</v>
      </c>
      <c r="D69" s="3" t="inlineStr">
        <is>
          <t>RN-FR1017</t>
        </is>
      </c>
      <c r="E69" s="3" t="inlineStr">
        <is>
          <t>بوتنج سويل 70 لتر (KLAS)</t>
        </is>
      </c>
      <c r="F69" s="3" t="n">
        <v>12</v>
      </c>
      <c r="G69" s="3" t="inlineStr">
        <is>
          <t>EA</t>
        </is>
      </c>
      <c r="H69" s="4" t="n">
        <v>46</v>
      </c>
      <c r="I69" s="4" t="n">
        <v>82.8</v>
      </c>
      <c r="J69" s="4" t="n">
        <v>634.8</v>
      </c>
      <c r="K69" s="3" t="inlineStr">
        <is>
          <t>نعم</t>
        </is>
      </c>
    </row>
    <row r="70">
      <c r="A70" s="3" t="inlineStr">
        <is>
          <t>RNO</t>
        </is>
      </c>
      <c r="B70" s="3" t="inlineStr">
        <is>
          <t>RNO-3707</t>
        </is>
      </c>
      <c r="C70" s="23" t="n">
        <v>46054</v>
      </c>
      <c r="D70" s="3" t="inlineStr">
        <is>
          <t>RN-FR1018</t>
        </is>
      </c>
      <c r="E70" s="3" t="inlineStr">
        <is>
          <t>فيرموكلايت 100 لتر</t>
        </is>
      </c>
      <c r="F70" s="3" t="n">
        <v>2</v>
      </c>
      <c r="G70" s="3" t="inlineStr">
        <is>
          <t>EA</t>
        </is>
      </c>
      <c r="H70" s="4" t="n">
        <v>75</v>
      </c>
      <c r="I70" s="4" t="n">
        <v>22.5</v>
      </c>
      <c r="J70" s="4" t="n">
        <v>172.5</v>
      </c>
      <c r="K70" s="3" t="inlineStr">
        <is>
          <t>نعم</t>
        </is>
      </c>
    </row>
    <row r="71">
      <c r="A71" s="3" t="inlineStr">
        <is>
          <t>RNO</t>
        </is>
      </c>
      <c r="B71" s="3" t="inlineStr">
        <is>
          <t>RNO-3707</t>
        </is>
      </c>
      <c r="C71" s="23" t="n">
        <v>46054</v>
      </c>
      <c r="D71" s="3" t="inlineStr">
        <is>
          <t>RN-SE112</t>
        </is>
      </c>
      <c r="E71" s="3" t="inlineStr">
        <is>
          <t>بذور زينيا بروفيوجن أبيض</t>
        </is>
      </c>
      <c r="F71" s="3" t="n">
        <v>5000</v>
      </c>
      <c r="G71" s="3" t="inlineStr">
        <is>
          <t>EA</t>
        </is>
      </c>
      <c r="H71" s="4" t="n">
        <v>0.15</v>
      </c>
      <c r="I71" s="4" t="n">
        <v>112.5</v>
      </c>
      <c r="J71" s="4" t="n">
        <v>862.5</v>
      </c>
      <c r="K71" s="3" t="inlineStr">
        <is>
          <t>نعم</t>
        </is>
      </c>
    </row>
    <row r="72">
      <c r="A72" s="3" t="inlineStr">
        <is>
          <t>RNO</t>
        </is>
      </c>
      <c r="B72" s="3" t="inlineStr">
        <is>
          <t>RNO-3707</t>
        </is>
      </c>
      <c r="C72" s="23" t="n">
        <v>46054</v>
      </c>
      <c r="D72" s="3" t="inlineStr">
        <is>
          <t>RN-SE113</t>
        </is>
      </c>
      <c r="E72" s="3" t="inlineStr">
        <is>
          <t>بذور زينيا بروفيوجن أحمر</t>
        </is>
      </c>
      <c r="F72" s="3" t="n">
        <v>5000</v>
      </c>
      <c r="G72" s="3" t="inlineStr">
        <is>
          <t>EA</t>
        </is>
      </c>
      <c r="H72" s="4" t="n">
        <v>0.15</v>
      </c>
      <c r="I72" s="4" t="n">
        <v>112.5</v>
      </c>
      <c r="J72" s="4" t="n">
        <v>862.5</v>
      </c>
      <c r="K72" s="3" t="inlineStr">
        <is>
          <t>نعم</t>
        </is>
      </c>
    </row>
    <row r="73">
      <c r="A73" s="3" t="inlineStr">
        <is>
          <t>RNO</t>
        </is>
      </c>
      <c r="B73" s="3" t="inlineStr">
        <is>
          <t>RNO-3707</t>
        </is>
      </c>
      <c r="C73" s="23" t="n">
        <v>46054</v>
      </c>
      <c r="D73" s="3" t="inlineStr">
        <is>
          <t>RN-SE114</t>
        </is>
      </c>
      <c r="E73" s="3" t="inlineStr">
        <is>
          <t>بذور زينيا بروفيوجن أصفر</t>
        </is>
      </c>
      <c r="F73" s="3" t="n">
        <v>5000</v>
      </c>
      <c r="G73" s="3" t="inlineStr">
        <is>
          <t>EA</t>
        </is>
      </c>
      <c r="H73" s="4" t="n">
        <v>0.15</v>
      </c>
      <c r="I73" s="4" t="n">
        <v>112.5</v>
      </c>
      <c r="J73" s="4" t="n">
        <v>862.5</v>
      </c>
      <c r="K73" s="3" t="inlineStr">
        <is>
          <t>نعم</t>
        </is>
      </c>
    </row>
    <row r="74">
      <c r="A74" s="3" t="inlineStr">
        <is>
          <t>RNO</t>
        </is>
      </c>
      <c r="B74" s="3" t="inlineStr">
        <is>
          <t>RNO-3707</t>
        </is>
      </c>
      <c r="C74" s="23" t="n">
        <v>46054</v>
      </c>
      <c r="D74" s="3" t="inlineStr">
        <is>
          <t>RN-SE115</t>
        </is>
      </c>
      <c r="E74" s="3" t="inlineStr">
        <is>
          <t>بذور زينيا بروفيوجن برتقالي</t>
        </is>
      </c>
      <c r="F74" s="3" t="n">
        <v>5000</v>
      </c>
      <c r="G74" s="3" t="inlineStr">
        <is>
          <t>EA</t>
        </is>
      </c>
      <c r="H74" s="4" t="n">
        <v>0.15</v>
      </c>
      <c r="I74" s="4" t="n">
        <v>112.5</v>
      </c>
      <c r="J74" s="4" t="n">
        <v>862.5</v>
      </c>
      <c r="K74" s="3" t="inlineStr">
        <is>
          <t>نعم</t>
        </is>
      </c>
    </row>
    <row r="75">
      <c r="A75" s="3" t="inlineStr">
        <is>
          <t>RNO</t>
        </is>
      </c>
      <c r="B75" s="3" t="inlineStr">
        <is>
          <t>RNO-3707</t>
        </is>
      </c>
      <c r="C75" s="23" t="n">
        <v>46054</v>
      </c>
      <c r="D75" s="3" t="inlineStr">
        <is>
          <t>RN-SE116</t>
        </is>
      </c>
      <c r="E75" s="3" t="inlineStr">
        <is>
          <t>بذور زينيا بروفيوجن ناري</t>
        </is>
      </c>
      <c r="F75" s="3" t="n">
        <v>5000</v>
      </c>
      <c r="G75" s="3" t="inlineStr">
        <is>
          <t>EA</t>
        </is>
      </c>
      <c r="H75" s="4" t="n">
        <v>0.15</v>
      </c>
      <c r="I75" s="4" t="n">
        <v>112.5</v>
      </c>
      <c r="J75" s="4" t="n">
        <v>862.5</v>
      </c>
      <c r="K75" s="3" t="inlineStr">
        <is>
          <t>نعم</t>
        </is>
      </c>
    </row>
    <row r="76">
      <c r="A76" s="3" t="inlineStr">
        <is>
          <t>RNO</t>
        </is>
      </c>
      <c r="B76" s="3" t="inlineStr">
        <is>
          <t>RNO-3707</t>
        </is>
      </c>
      <c r="C76" s="23" t="n">
        <v>46054</v>
      </c>
      <c r="D76" s="3" t="inlineStr">
        <is>
          <t>RN-SE117</t>
        </is>
      </c>
      <c r="E76" s="3" t="inlineStr">
        <is>
          <t>بذور زينيا بروفيوجن ليموني</t>
        </is>
      </c>
      <c r="F76" s="3" t="n">
        <v>5000</v>
      </c>
      <c r="G76" s="3" t="inlineStr">
        <is>
          <t>EA</t>
        </is>
      </c>
      <c r="H76" s="4" t="n">
        <v>0.15</v>
      </c>
      <c r="I76" s="4" t="n">
        <v>112.5</v>
      </c>
      <c r="J76" s="4" t="n">
        <v>862.5</v>
      </c>
      <c r="K76" s="3" t="inlineStr">
        <is>
          <t>نعم</t>
        </is>
      </c>
    </row>
    <row r="77">
      <c r="A77" s="3" t="inlineStr">
        <is>
          <t>RNO</t>
        </is>
      </c>
      <c r="B77" s="3" t="inlineStr">
        <is>
          <t>RNO-3707</t>
        </is>
      </c>
      <c r="C77" s="23" t="n">
        <v>46054</v>
      </c>
      <c r="D77" s="3" t="inlineStr">
        <is>
          <t>RN-SE118</t>
        </is>
      </c>
      <c r="E77" s="3" t="inlineStr">
        <is>
          <t>بذور زينيا بروفيوجن كرزي</t>
        </is>
      </c>
      <c r="F77" s="3" t="n">
        <v>5000</v>
      </c>
      <c r="G77" s="3" t="inlineStr">
        <is>
          <t>EA</t>
        </is>
      </c>
      <c r="H77" s="4" t="n">
        <v>0.15</v>
      </c>
      <c r="I77" s="4" t="n">
        <v>112.5</v>
      </c>
      <c r="J77" s="4" t="n">
        <v>862.5</v>
      </c>
      <c r="K77" s="3" t="inlineStr">
        <is>
          <t>نعم</t>
        </is>
      </c>
    </row>
    <row r="78">
      <c r="A78" s="3" t="inlineStr">
        <is>
          <t>RNO</t>
        </is>
      </c>
      <c r="B78" s="3" t="inlineStr">
        <is>
          <t>RNO-3707</t>
        </is>
      </c>
      <c r="C78" s="23" t="n">
        <v>46054</v>
      </c>
      <c r="D78" s="3" t="inlineStr">
        <is>
          <t>RN-SE119</t>
        </is>
      </c>
      <c r="E78" s="3" t="inlineStr">
        <is>
          <t>بذور زينيا بروفيوجن كرزي ثنائي اللون</t>
        </is>
      </c>
      <c r="F78" s="3" t="n">
        <v>5000</v>
      </c>
      <c r="G78" s="3" t="inlineStr">
        <is>
          <t>EA</t>
        </is>
      </c>
      <c r="H78" s="4" t="n">
        <v>0.15</v>
      </c>
      <c r="I78" s="4" t="n">
        <v>112.5</v>
      </c>
      <c r="J78" s="4" t="n">
        <v>862.5</v>
      </c>
      <c r="K78" s="3" t="inlineStr">
        <is>
          <t>نعم</t>
        </is>
      </c>
    </row>
    <row r="79">
      <c r="A79" s="3" t="inlineStr">
        <is>
          <t>RNO</t>
        </is>
      </c>
      <c r="B79" s="3" t="inlineStr">
        <is>
          <t>RNO-3707</t>
        </is>
      </c>
      <c r="C79" s="23" t="n">
        <v>46054</v>
      </c>
      <c r="D79" s="3" t="inlineStr">
        <is>
          <t>RN-SE120</t>
        </is>
      </c>
      <c r="E79" s="3" t="inlineStr">
        <is>
          <t>بذور زينيا بروفيوجن أحمر وأأصفر ثنائي اللون</t>
        </is>
      </c>
      <c r="F79" s="3" t="n">
        <v>5000</v>
      </c>
      <c r="G79" s="3" t="inlineStr">
        <is>
          <t>EA</t>
        </is>
      </c>
      <c r="H79" s="4" t="n">
        <v>0.15</v>
      </c>
      <c r="I79" s="4" t="n">
        <v>112.5</v>
      </c>
      <c r="J79" s="4" t="n">
        <v>862.5</v>
      </c>
      <c r="K79" s="3" t="inlineStr">
        <is>
          <t>نعم</t>
        </is>
      </c>
    </row>
    <row r="80">
      <c r="A80" s="3" t="inlineStr">
        <is>
          <t>RNO</t>
        </is>
      </c>
      <c r="B80" s="3" t="inlineStr">
        <is>
          <t>RNO-3707</t>
        </is>
      </c>
      <c r="C80" s="23" t="n">
        <v>46054</v>
      </c>
      <c r="D80" s="3" t="inlineStr">
        <is>
          <t>RN-SE121</t>
        </is>
      </c>
      <c r="E80" s="3" t="inlineStr">
        <is>
          <t>بذور زينيا بروفيوجن مزدوج أبيض</t>
        </is>
      </c>
      <c r="F80" s="3" t="n">
        <v>5000</v>
      </c>
      <c r="G80" s="3" t="inlineStr">
        <is>
          <t>EA</t>
        </is>
      </c>
      <c r="H80" s="4" t="n">
        <v>0.15</v>
      </c>
      <c r="I80" s="4" t="n">
        <v>112.5</v>
      </c>
      <c r="J80" s="4" t="n">
        <v>862.5</v>
      </c>
      <c r="K80" s="3" t="inlineStr">
        <is>
          <t>نعم</t>
        </is>
      </c>
    </row>
    <row r="81">
      <c r="A81" s="3" t="inlineStr">
        <is>
          <t>RNO</t>
        </is>
      </c>
      <c r="B81" s="3" t="inlineStr">
        <is>
          <t>RNO-3707</t>
        </is>
      </c>
      <c r="C81" s="23" t="n">
        <v>46054</v>
      </c>
      <c r="D81" s="3" t="inlineStr">
        <is>
          <t>RN-SE122</t>
        </is>
      </c>
      <c r="E81" s="3" t="inlineStr">
        <is>
          <t>بذور زينيا بروفيوجن مزدوج أحمر</t>
        </is>
      </c>
      <c r="F81" s="3" t="n">
        <v>5000</v>
      </c>
      <c r="G81" s="3" t="inlineStr">
        <is>
          <t>EA</t>
        </is>
      </c>
      <c r="H81" s="4" t="n">
        <v>0.15</v>
      </c>
      <c r="I81" s="4" t="n">
        <v>112.5</v>
      </c>
      <c r="J81" s="4" t="n">
        <v>862.5</v>
      </c>
      <c r="K81" s="3" t="inlineStr">
        <is>
          <t>نعم</t>
        </is>
      </c>
    </row>
    <row r="82">
      <c r="A82" s="3" t="inlineStr">
        <is>
          <t>RNO</t>
        </is>
      </c>
      <c r="B82" s="3" t="inlineStr">
        <is>
          <t>RNO-3707</t>
        </is>
      </c>
      <c r="C82" s="23" t="n">
        <v>46054</v>
      </c>
      <c r="D82" s="3" t="inlineStr">
        <is>
          <t>RN-SE123</t>
        </is>
      </c>
      <c r="E82" s="3" t="inlineStr">
        <is>
          <t>بذور زينيا بروفيوجن مزدوج أصفر</t>
        </is>
      </c>
      <c r="F82" s="3" t="n">
        <v>5000</v>
      </c>
      <c r="G82" s="3" t="inlineStr">
        <is>
          <t>EA</t>
        </is>
      </c>
      <c r="H82" s="4" t="n">
        <v>0.15</v>
      </c>
      <c r="I82" s="4" t="n">
        <v>112.5</v>
      </c>
      <c r="J82" s="4" t="n">
        <v>862.5</v>
      </c>
      <c r="K82" s="3" t="inlineStr">
        <is>
          <t>نعم</t>
        </is>
      </c>
    </row>
    <row r="83">
      <c r="A83" s="3" t="inlineStr">
        <is>
          <t>RNO</t>
        </is>
      </c>
      <c r="B83" s="3" t="inlineStr">
        <is>
          <t>RNO-3707</t>
        </is>
      </c>
      <c r="C83" s="23" t="n">
        <v>46054</v>
      </c>
      <c r="D83" s="3" t="inlineStr">
        <is>
          <t>RN-SE124</t>
        </is>
      </c>
      <c r="E83" s="3" t="inlineStr">
        <is>
          <t>بذور زينيا بروفيوجن مزدوج ناري</t>
        </is>
      </c>
      <c r="F83" s="3" t="n">
        <v>5000</v>
      </c>
      <c r="G83" s="3" t="inlineStr">
        <is>
          <t>EA</t>
        </is>
      </c>
      <c r="H83" s="4" t="n">
        <v>0.15</v>
      </c>
      <c r="I83" s="4" t="n">
        <v>112.5</v>
      </c>
      <c r="J83" s="4" t="n">
        <v>862.5</v>
      </c>
      <c r="K83" s="3" t="inlineStr">
        <is>
          <t>نعم</t>
        </is>
      </c>
    </row>
    <row r="84">
      <c r="A84" s="3" t="inlineStr">
        <is>
          <t>RNO</t>
        </is>
      </c>
      <c r="B84" s="3" t="inlineStr">
        <is>
          <t>RNO-3707</t>
        </is>
      </c>
      <c r="C84" s="23" t="n">
        <v>46054</v>
      </c>
      <c r="D84" s="3" t="inlineStr">
        <is>
          <t>RN-SE125</t>
        </is>
      </c>
      <c r="E84" s="3" t="inlineStr">
        <is>
          <t>بذور زينيا بروفيوجن مزدوج كرزي حار</t>
        </is>
      </c>
      <c r="F84" s="3" t="n">
        <v>5000</v>
      </c>
      <c r="G84" s="3" t="inlineStr">
        <is>
          <t>EA</t>
        </is>
      </c>
      <c r="H84" s="4" t="n">
        <v>0.15</v>
      </c>
      <c r="I84" s="4" t="n">
        <v>112.5</v>
      </c>
      <c r="J84" s="4" t="n">
        <v>862.5</v>
      </c>
      <c r="K84" s="3" t="inlineStr">
        <is>
          <t>نعم</t>
        </is>
      </c>
    </row>
    <row r="85">
      <c r="A85" s="5" t="inlineStr"/>
      <c r="B85" s="5" t="inlineStr">
        <is>
          <t>إجمالي RNO-3707</t>
        </is>
      </c>
      <c r="C85" s="5" t="inlineStr"/>
      <c r="D85" s="5" t="inlineStr"/>
      <c r="E85" s="5" t="inlineStr"/>
      <c r="F85" s="5">
        <f>SUM(F69:F84)</f>
        <v/>
      </c>
      <c r="G85" s="5" t="inlineStr"/>
      <c r="H85" s="5" t="inlineStr"/>
      <c r="I85" s="6">
        <f>SUM(I69:I84)</f>
        <v/>
      </c>
      <c r="J85" s="6">
        <f>SUM(J69:J84)</f>
        <v/>
      </c>
      <c r="K85" s="5" t="n"/>
    </row>
    <row r="86">
      <c r="A86" s="3" t="inlineStr">
        <is>
          <t>RNO</t>
        </is>
      </c>
      <c r="B86" s="3" t="inlineStr">
        <is>
          <t>RNO-3762</t>
        </is>
      </c>
      <c r="C86" s="23" t="n">
        <v>46058</v>
      </c>
      <c r="D86" s="3" t="inlineStr">
        <is>
          <t>RN-FR1033</t>
        </is>
      </c>
      <c r="E86" s="3" t="inlineStr">
        <is>
          <t>بيتموس تي اس مخصب 210 لتر</t>
        </is>
      </c>
      <c r="F86" s="3" t="n">
        <v>5</v>
      </c>
      <c r="G86" s="3" t="inlineStr">
        <is>
          <t>EA</t>
        </is>
      </c>
      <c r="H86" s="4" t="n">
        <v>101.5</v>
      </c>
      <c r="I86" s="4" t="n">
        <v>76.125</v>
      </c>
      <c r="J86" s="4" t="n">
        <v>583.625</v>
      </c>
      <c r="K86" s="3" t="inlineStr">
        <is>
          <t>نعم</t>
        </is>
      </c>
    </row>
    <row r="87">
      <c r="A87" s="3" t="inlineStr">
        <is>
          <t>RNO</t>
        </is>
      </c>
      <c r="B87" s="3" t="inlineStr">
        <is>
          <t>RNO-3762</t>
        </is>
      </c>
      <c r="C87" s="23" t="n">
        <v>46058</v>
      </c>
      <c r="D87" s="3" t="inlineStr">
        <is>
          <t>RN-FR368</t>
        </is>
      </c>
      <c r="E87" s="3" t="inlineStr">
        <is>
          <t>بيرلايت 100 لتر</t>
        </is>
      </c>
      <c r="F87" s="3" t="n">
        <v>2</v>
      </c>
      <c r="G87" s="3" t="inlineStr">
        <is>
          <t>EA</t>
        </is>
      </c>
      <c r="H87" s="4" t="n">
        <v>32.5</v>
      </c>
      <c r="I87" s="4" t="n">
        <v>9.75</v>
      </c>
      <c r="J87" s="4" t="n">
        <v>74.75</v>
      </c>
      <c r="K87" s="3" t="inlineStr">
        <is>
          <t>نعم</t>
        </is>
      </c>
    </row>
    <row r="88">
      <c r="A88" s="3" t="inlineStr">
        <is>
          <t>RNO</t>
        </is>
      </c>
      <c r="B88" s="3" t="inlineStr">
        <is>
          <t>RNO-3762</t>
        </is>
      </c>
      <c r="C88" s="23" t="n">
        <v>46058</v>
      </c>
      <c r="D88" s="3" t="inlineStr">
        <is>
          <t>RN-PL12</t>
        </is>
      </c>
      <c r="E88" s="3" t="inlineStr">
        <is>
          <t>صندوق فلين للزهور</t>
        </is>
      </c>
      <c r="F88" s="3" t="n">
        <v>5560</v>
      </c>
      <c r="G88" s="3" t="inlineStr">
        <is>
          <t>EA</t>
        </is>
      </c>
      <c r="H88" s="4" t="n">
        <v>4</v>
      </c>
      <c r="I88" s="4" t="n">
        <v>3336</v>
      </c>
      <c r="J88" s="4" t="n">
        <v>25576</v>
      </c>
      <c r="K88" s="3" t="inlineStr">
        <is>
          <t>نعم</t>
        </is>
      </c>
    </row>
    <row r="89">
      <c r="A89" s="5" t="inlineStr"/>
      <c r="B89" s="5" t="inlineStr">
        <is>
          <t>إجمالي RNO-3762</t>
        </is>
      </c>
      <c r="C89" s="5" t="inlineStr"/>
      <c r="D89" s="5" t="inlineStr"/>
      <c r="E89" s="5" t="inlineStr"/>
      <c r="F89" s="5">
        <f>SUM(F86:F88)</f>
        <v/>
      </c>
      <c r="G89" s="5" t="inlineStr"/>
      <c r="H89" s="5" t="inlineStr"/>
      <c r="I89" s="6">
        <f>SUM(I86:I88)</f>
        <v/>
      </c>
      <c r="J89" s="6">
        <f>SUM(J86:J88)</f>
        <v/>
      </c>
      <c r="K89" s="5" t="n"/>
    </row>
    <row r="90">
      <c r="A90" s="3" t="inlineStr">
        <is>
          <t>RNO</t>
        </is>
      </c>
      <c r="B90" s="3" t="inlineStr">
        <is>
          <t>RNO-3777</t>
        </is>
      </c>
      <c r="C90" s="23" t="n">
        <v>46061</v>
      </c>
      <c r="D90" s="3" t="inlineStr">
        <is>
          <t>RN-SE126</t>
        </is>
      </c>
      <c r="E90" s="3" t="inlineStr">
        <is>
          <t>جذور جازانيا كيس أبيض</t>
        </is>
      </c>
      <c r="F90" s="3" t="n">
        <v>5000</v>
      </c>
      <c r="G90" s="3" t="inlineStr">
        <is>
          <t>EA</t>
        </is>
      </c>
      <c r="H90" s="4" t="n">
        <v>0.095</v>
      </c>
      <c r="I90" s="4" t="n">
        <v>71.25</v>
      </c>
      <c r="J90" s="4" t="n">
        <v>546.25</v>
      </c>
      <c r="K90" s="3" t="inlineStr">
        <is>
          <t>نعم</t>
        </is>
      </c>
    </row>
    <row r="91">
      <c r="A91" s="3" t="inlineStr">
        <is>
          <t>RNO</t>
        </is>
      </c>
      <c r="B91" s="3" t="inlineStr">
        <is>
          <t>RNO-3777</t>
        </is>
      </c>
      <c r="C91" s="23" t="n">
        <v>46061</v>
      </c>
      <c r="D91" s="3" t="inlineStr">
        <is>
          <t>RN-SE127</t>
        </is>
      </c>
      <c r="E91" s="3" t="inlineStr">
        <is>
          <t>بذور جازانيا كيس برتقالي</t>
        </is>
      </c>
      <c r="F91" s="3" t="n">
        <v>5000</v>
      </c>
      <c r="G91" s="3" t="inlineStr">
        <is>
          <t>EA</t>
        </is>
      </c>
      <c r="H91" s="4" t="n">
        <v>0.095</v>
      </c>
      <c r="I91" s="4" t="n">
        <v>71.25</v>
      </c>
      <c r="J91" s="4" t="n">
        <v>546.25</v>
      </c>
      <c r="K91" s="3" t="inlineStr">
        <is>
          <t>نعم</t>
        </is>
      </c>
    </row>
    <row r="92">
      <c r="A92" s="3" t="inlineStr">
        <is>
          <t>RNO</t>
        </is>
      </c>
      <c r="B92" s="3" t="inlineStr">
        <is>
          <t>RNO-3777</t>
        </is>
      </c>
      <c r="C92" s="23" t="n">
        <v>46061</v>
      </c>
      <c r="D92" s="3" t="inlineStr">
        <is>
          <t>RN-SE128</t>
        </is>
      </c>
      <c r="E92" s="3" t="inlineStr">
        <is>
          <t>بذور جازانيا كيس أصفر</t>
        </is>
      </c>
      <c r="F92" s="3" t="n">
        <v>5000</v>
      </c>
      <c r="G92" s="3" t="inlineStr">
        <is>
          <t>EA</t>
        </is>
      </c>
      <c r="H92" s="4" t="n">
        <v>0.095</v>
      </c>
      <c r="I92" s="4" t="n">
        <v>71.25</v>
      </c>
      <c r="J92" s="4" t="n">
        <v>546.25</v>
      </c>
      <c r="K92" s="3" t="inlineStr">
        <is>
          <t>نعم</t>
        </is>
      </c>
    </row>
    <row r="93">
      <c r="A93" s="3" t="inlineStr">
        <is>
          <t>RNO</t>
        </is>
      </c>
      <c r="B93" s="3" t="inlineStr">
        <is>
          <t>RNO-3777</t>
        </is>
      </c>
      <c r="C93" s="23" t="n">
        <v>46061</v>
      </c>
      <c r="D93" s="3" t="inlineStr">
        <is>
          <t>RN-FR1033</t>
        </is>
      </c>
      <c r="E93" s="3" t="inlineStr">
        <is>
          <t>بيتموس تي اس مخصب 210 لتر</t>
        </is>
      </c>
      <c r="F93" s="3" t="n">
        <v>2</v>
      </c>
      <c r="G93" s="3" t="inlineStr">
        <is>
          <t>EA</t>
        </is>
      </c>
      <c r="H93" s="4" t="n">
        <v>101.5</v>
      </c>
      <c r="I93" s="4" t="n">
        <v>30.45</v>
      </c>
      <c r="J93" s="4" t="n">
        <v>233.45</v>
      </c>
      <c r="K93" s="3" t="inlineStr">
        <is>
          <t>نعم</t>
        </is>
      </c>
    </row>
    <row r="94">
      <c r="A94" s="3" t="inlineStr">
        <is>
          <t>RNO</t>
        </is>
      </c>
      <c r="B94" s="3" t="inlineStr">
        <is>
          <t>RNO-3777</t>
        </is>
      </c>
      <c r="C94" s="23" t="n">
        <v>46061</v>
      </c>
      <c r="D94" s="3" t="inlineStr">
        <is>
          <t>RN-FR368</t>
        </is>
      </c>
      <c r="E94" s="3" t="inlineStr">
        <is>
          <t>بيرلايت 100 لتر</t>
        </is>
      </c>
      <c r="F94" s="3" t="n">
        <v>1</v>
      </c>
      <c r="G94" s="3" t="inlineStr">
        <is>
          <t>EA</t>
        </is>
      </c>
      <c r="H94" s="4" t="n">
        <v>32.5</v>
      </c>
      <c r="I94" s="4" t="n">
        <v>4.875</v>
      </c>
      <c r="J94" s="4" t="n">
        <v>37.375</v>
      </c>
      <c r="K94" s="3" t="inlineStr">
        <is>
          <t>نعم</t>
        </is>
      </c>
    </row>
    <row r="95">
      <c r="A95" s="3" t="inlineStr">
        <is>
          <t>RNO</t>
        </is>
      </c>
      <c r="B95" s="3" t="inlineStr">
        <is>
          <t>RNO-3777</t>
        </is>
      </c>
      <c r="C95" s="23" t="n">
        <v>46061</v>
      </c>
      <c r="D95" s="3" t="inlineStr">
        <is>
          <t>RN-FR1017</t>
        </is>
      </c>
      <c r="E95" s="3" t="inlineStr">
        <is>
          <t>بوتنج سويل 70 لتر (KLAS)</t>
        </is>
      </c>
      <c r="F95" s="3" t="n">
        <v>12</v>
      </c>
      <c r="G95" s="3" t="inlineStr">
        <is>
          <t>EA</t>
        </is>
      </c>
      <c r="H95" s="4" t="n">
        <v>46</v>
      </c>
      <c r="I95" s="4" t="n">
        <v>82.8</v>
      </c>
      <c r="J95" s="4" t="n">
        <v>634.8</v>
      </c>
      <c r="K95" s="3" t="inlineStr">
        <is>
          <t>نعم</t>
        </is>
      </c>
    </row>
    <row r="96">
      <c r="A96" s="3" t="inlineStr">
        <is>
          <t>RNO</t>
        </is>
      </c>
      <c r="B96" s="3" t="inlineStr">
        <is>
          <t>RNO-3777</t>
        </is>
      </c>
      <c r="C96" s="23" t="n">
        <v>46061</v>
      </c>
      <c r="D96" s="3" t="inlineStr">
        <is>
          <t>RN-PL12</t>
        </is>
      </c>
      <c r="E96" s="3" t="inlineStr">
        <is>
          <t>صندوق فلين للزهور</t>
        </is>
      </c>
      <c r="F96" s="3" t="n">
        <v>1550</v>
      </c>
      <c r="G96" s="3" t="inlineStr">
        <is>
          <t>EA</t>
        </is>
      </c>
      <c r="H96" s="4" t="n">
        <v>4</v>
      </c>
      <c r="I96" s="4" t="n">
        <v>930</v>
      </c>
      <c r="J96" s="4" t="n">
        <v>7130</v>
      </c>
      <c r="K96" s="3" t="inlineStr">
        <is>
          <t>نعم</t>
        </is>
      </c>
    </row>
    <row r="97">
      <c r="A97" s="5" t="inlineStr"/>
      <c r="B97" s="5" t="inlineStr">
        <is>
          <t>إجمالي RNO-3777</t>
        </is>
      </c>
      <c r="C97" s="5" t="inlineStr"/>
      <c r="D97" s="5" t="inlineStr"/>
      <c r="E97" s="5" t="inlineStr"/>
      <c r="F97" s="5">
        <f>SUM(F90:F96)</f>
        <v/>
      </c>
      <c r="G97" s="5" t="inlineStr"/>
      <c r="H97" s="5" t="inlineStr"/>
      <c r="I97" s="6">
        <f>SUM(I90:I96)</f>
        <v/>
      </c>
      <c r="J97" s="6">
        <f>SUM(J90:J96)</f>
        <v/>
      </c>
      <c r="K97" s="5" t="n"/>
    </row>
    <row r="98">
      <c r="A98" s="3" t="inlineStr">
        <is>
          <t>RNO</t>
        </is>
      </c>
      <c r="B98" s="3" t="inlineStr">
        <is>
          <t>RNO-3800</t>
        </is>
      </c>
      <c r="C98" s="23" t="n">
        <v>46063</v>
      </c>
      <c r="D98" s="3" t="inlineStr">
        <is>
          <t>RN-SE100</t>
        </is>
      </c>
      <c r="E98" s="3" t="inlineStr">
        <is>
          <t>بذور فينكا فيكتوري أبيض</t>
        </is>
      </c>
      <c r="F98" s="3" t="n">
        <v>30000</v>
      </c>
      <c r="G98" s="3" t="inlineStr">
        <is>
          <t>EA</t>
        </is>
      </c>
      <c r="H98" s="4" t="n">
        <v>0.035</v>
      </c>
      <c r="I98" s="4" t="n">
        <v>157.5</v>
      </c>
      <c r="J98" s="4" t="n">
        <v>1207.5</v>
      </c>
      <c r="K98" s="3" t="inlineStr">
        <is>
          <t>نعم</t>
        </is>
      </c>
    </row>
    <row r="99">
      <c r="A99" s="3" t="inlineStr">
        <is>
          <t>RNO</t>
        </is>
      </c>
      <c r="B99" s="3" t="inlineStr">
        <is>
          <t>RNO-3800</t>
        </is>
      </c>
      <c r="C99" s="23" t="n">
        <v>46063</v>
      </c>
      <c r="D99" s="3" t="inlineStr">
        <is>
          <t>RN-SE102</t>
        </is>
      </c>
      <c r="E99" s="3" t="inlineStr">
        <is>
          <t>جذور فينكا فيكتوري أحمر</t>
        </is>
      </c>
      <c r="F99" s="3" t="n">
        <v>30000</v>
      </c>
      <c r="G99" s="3" t="inlineStr">
        <is>
          <t>EA</t>
        </is>
      </c>
      <c r="H99" s="4" t="n">
        <v>0.035</v>
      </c>
      <c r="I99" s="4" t="n">
        <v>157.5</v>
      </c>
      <c r="J99" s="4" t="n">
        <v>1207.5</v>
      </c>
      <c r="K99" s="3" t="inlineStr">
        <is>
          <t>نعم</t>
        </is>
      </c>
    </row>
    <row r="100">
      <c r="A100" s="3" t="inlineStr">
        <is>
          <t>RNO</t>
        </is>
      </c>
      <c r="B100" s="3" t="inlineStr">
        <is>
          <t>RNO-3800</t>
        </is>
      </c>
      <c r="C100" s="23" t="n">
        <v>46063</v>
      </c>
      <c r="D100" s="3" t="inlineStr">
        <is>
          <t>RN-SE103</t>
        </is>
      </c>
      <c r="E100" s="3" t="inlineStr">
        <is>
          <t>جذور فينكا باسيفيكا أوركيد عميق</t>
        </is>
      </c>
      <c r="F100" s="3" t="n">
        <v>20000</v>
      </c>
      <c r="G100" s="3" t="inlineStr">
        <is>
          <t>EA</t>
        </is>
      </c>
      <c r="H100" s="4" t="n">
        <v>0.035</v>
      </c>
      <c r="I100" s="4" t="n">
        <v>105</v>
      </c>
      <c r="J100" s="4" t="n">
        <v>805</v>
      </c>
      <c r="K100" s="3" t="inlineStr">
        <is>
          <t>نعم</t>
        </is>
      </c>
    </row>
    <row r="101">
      <c r="A101" s="3" t="inlineStr">
        <is>
          <t>RNO</t>
        </is>
      </c>
      <c r="B101" s="3" t="inlineStr">
        <is>
          <t>RNO-3800</t>
        </is>
      </c>
      <c r="C101" s="23" t="n">
        <v>46063</v>
      </c>
      <c r="D101" s="3" t="inlineStr">
        <is>
          <t>RN-SE104</t>
        </is>
      </c>
      <c r="E101" s="3" t="inlineStr">
        <is>
          <t>جذور فينكا باسيفيكا برغندي</t>
        </is>
      </c>
      <c r="F101" s="3" t="n">
        <v>10000</v>
      </c>
      <c r="G101" s="3" t="inlineStr">
        <is>
          <t>EA</t>
        </is>
      </c>
      <c r="H101" s="4" t="n">
        <v>0.035</v>
      </c>
      <c r="I101" s="4" t="n">
        <v>52.5</v>
      </c>
      <c r="J101" s="4" t="n">
        <v>402.5</v>
      </c>
      <c r="K101" s="3" t="inlineStr">
        <is>
          <t>نعم</t>
        </is>
      </c>
    </row>
    <row r="102">
      <c r="A102" s="3" t="inlineStr">
        <is>
          <t>RNO</t>
        </is>
      </c>
      <c r="B102" s="3" t="inlineStr">
        <is>
          <t>RNO-3800</t>
        </is>
      </c>
      <c r="C102" s="23" t="n">
        <v>46063</v>
      </c>
      <c r="D102" s="3" t="inlineStr">
        <is>
          <t>RN-SE105</t>
        </is>
      </c>
      <c r="E102" s="3" t="inlineStr">
        <is>
          <t>جذور فينكا باسيفيكا برغندي هالو</t>
        </is>
      </c>
      <c r="F102" s="3" t="n">
        <v>10000</v>
      </c>
      <c r="G102" s="3" t="inlineStr">
        <is>
          <t>EA</t>
        </is>
      </c>
      <c r="H102" s="4" t="n">
        <v>0.035</v>
      </c>
      <c r="I102" s="4" t="n">
        <v>52.5</v>
      </c>
      <c r="J102" s="4" t="n">
        <v>402.5</v>
      </c>
      <c r="K102" s="3" t="inlineStr">
        <is>
          <t>نعم</t>
        </is>
      </c>
    </row>
    <row r="103">
      <c r="A103" s="3" t="inlineStr">
        <is>
          <t>RNO</t>
        </is>
      </c>
      <c r="B103" s="3" t="inlineStr">
        <is>
          <t>RNO-3800</t>
        </is>
      </c>
      <c r="C103" s="23" t="n">
        <v>46063</v>
      </c>
      <c r="D103" s="3" t="inlineStr">
        <is>
          <t>RN-SE106</t>
        </is>
      </c>
      <c r="E103" s="3" t="inlineStr">
        <is>
          <t>بذور فينكا باسيفيكا أحمر</t>
        </is>
      </c>
      <c r="F103" s="3" t="n">
        <v>10000</v>
      </c>
      <c r="G103" s="3" t="inlineStr">
        <is>
          <t>EA</t>
        </is>
      </c>
      <c r="H103" s="4" t="n">
        <v>0.035</v>
      </c>
      <c r="I103" s="4" t="n">
        <v>52.5</v>
      </c>
      <c r="J103" s="4" t="n">
        <v>402.5</v>
      </c>
      <c r="K103" s="3" t="inlineStr">
        <is>
          <t>نعم</t>
        </is>
      </c>
    </row>
    <row r="104">
      <c r="A104" s="3" t="inlineStr">
        <is>
          <t>RNO</t>
        </is>
      </c>
      <c r="B104" s="3" t="inlineStr">
        <is>
          <t>RNO-3800</t>
        </is>
      </c>
      <c r="C104" s="23" t="n">
        <v>46063</v>
      </c>
      <c r="D104" s="3" t="inlineStr">
        <is>
          <t>RN-SE107</t>
        </is>
      </c>
      <c r="E104" s="3" t="inlineStr">
        <is>
          <t>بذور فينكا باسيفيكا مشمشي</t>
        </is>
      </c>
      <c r="F104" s="3" t="n">
        <v>10000</v>
      </c>
      <c r="G104" s="3" t="inlineStr">
        <is>
          <t>EA</t>
        </is>
      </c>
      <c r="H104" s="4" t="n">
        <v>0.035</v>
      </c>
      <c r="I104" s="4" t="n">
        <v>52.5</v>
      </c>
      <c r="J104" s="4" t="n">
        <v>402.5</v>
      </c>
      <c r="K104" s="3" t="inlineStr">
        <is>
          <t>نعم</t>
        </is>
      </c>
    </row>
    <row r="105">
      <c r="A105" s="3" t="inlineStr">
        <is>
          <t>RNO</t>
        </is>
      </c>
      <c r="B105" s="3" t="inlineStr">
        <is>
          <t>RNO-3800</t>
        </is>
      </c>
      <c r="C105" s="23" t="n">
        <v>46063</v>
      </c>
      <c r="D105" s="3" t="inlineStr">
        <is>
          <t>RN-SE108</t>
        </is>
      </c>
      <c r="E105" s="3" t="inlineStr">
        <is>
          <t>جذور فينكا من ستورم مشمشي</t>
        </is>
      </c>
      <c r="F105" s="3" t="n">
        <v>10000</v>
      </c>
      <c r="G105" s="3" t="inlineStr">
        <is>
          <t>EA</t>
        </is>
      </c>
      <c r="H105" s="4" t="n">
        <v>0.03</v>
      </c>
      <c r="I105" s="4" t="n">
        <v>45</v>
      </c>
      <c r="J105" s="4" t="n">
        <v>345</v>
      </c>
      <c r="K105" s="3" t="inlineStr">
        <is>
          <t>نعم</t>
        </is>
      </c>
    </row>
    <row r="106">
      <c r="A106" s="3" t="inlineStr">
        <is>
          <t>RNO</t>
        </is>
      </c>
      <c r="B106" s="3" t="inlineStr">
        <is>
          <t>RNO-3800</t>
        </is>
      </c>
      <c r="C106" s="23" t="n">
        <v>46063</v>
      </c>
      <c r="D106" s="3" t="inlineStr">
        <is>
          <t>RN-FR1017</t>
        </is>
      </c>
      <c r="E106" s="3" t="inlineStr">
        <is>
          <t>بوتنج سويل 70 لتر (KLAS)</t>
        </is>
      </c>
      <c r="F106" s="3" t="n">
        <v>7</v>
      </c>
      <c r="G106" s="3" t="inlineStr">
        <is>
          <t>EA</t>
        </is>
      </c>
      <c r="H106" s="4" t="n">
        <v>46</v>
      </c>
      <c r="I106" s="4" t="n">
        <v>48.3</v>
      </c>
      <c r="J106" s="4" t="n">
        <v>370.3</v>
      </c>
      <c r="K106" s="3" t="inlineStr">
        <is>
          <t>نعم</t>
        </is>
      </c>
    </row>
    <row r="107">
      <c r="A107" s="3" t="inlineStr">
        <is>
          <t>RNO</t>
        </is>
      </c>
      <c r="B107" s="3" t="inlineStr">
        <is>
          <t>RNO-3800</t>
        </is>
      </c>
      <c r="C107" s="23" t="n">
        <v>46063</v>
      </c>
      <c r="D107" s="3" t="inlineStr">
        <is>
          <t>RN-FR1018</t>
        </is>
      </c>
      <c r="E107" s="3" t="inlineStr">
        <is>
          <t>فيرموكلايت 100 لتر</t>
        </is>
      </c>
      <c r="F107" s="3" t="n">
        <v>2</v>
      </c>
      <c r="G107" s="3" t="inlineStr">
        <is>
          <t>EA</t>
        </is>
      </c>
      <c r="H107" s="4" t="n">
        <v>75</v>
      </c>
      <c r="I107" s="4" t="n">
        <v>22.5</v>
      </c>
      <c r="J107" s="4" t="n">
        <v>172.5</v>
      </c>
      <c r="K107" s="3" t="inlineStr">
        <is>
          <t>نعم</t>
        </is>
      </c>
    </row>
    <row r="108">
      <c r="A108" s="3" t="inlineStr">
        <is>
          <t>RNO</t>
        </is>
      </c>
      <c r="B108" s="3" t="inlineStr">
        <is>
          <t>RNO-3800</t>
        </is>
      </c>
      <c r="C108" s="23" t="n">
        <v>46063</v>
      </c>
      <c r="D108" s="3" t="inlineStr">
        <is>
          <t>RN-FR1023</t>
        </is>
      </c>
      <c r="E108" s="3" t="inlineStr">
        <is>
          <t>سماد سنجر 20-20-20 + ع ن (25 كجم)</t>
        </is>
      </c>
      <c r="F108" s="3" t="n">
        <v>1</v>
      </c>
      <c r="G108" s="3" t="inlineStr">
        <is>
          <t>EA</t>
        </is>
      </c>
      <c r="H108" s="4" t="n">
        <v>280</v>
      </c>
      <c r="I108" s="4" t="n">
        <v>42</v>
      </c>
      <c r="J108" s="4" t="n">
        <v>322</v>
      </c>
      <c r="K108" s="3" t="inlineStr">
        <is>
          <t>نعم</t>
        </is>
      </c>
    </row>
    <row r="109">
      <c r="A109" s="5" t="inlineStr"/>
      <c r="B109" s="5" t="inlineStr">
        <is>
          <t>إجمالي RNO-3800</t>
        </is>
      </c>
      <c r="C109" s="5" t="inlineStr"/>
      <c r="D109" s="5" t="inlineStr"/>
      <c r="E109" s="5" t="inlineStr"/>
      <c r="F109" s="5">
        <f>SUM(F98:F108)</f>
        <v/>
      </c>
      <c r="G109" s="5" t="inlineStr"/>
      <c r="H109" s="5" t="inlineStr"/>
      <c r="I109" s="6">
        <f>SUM(I98:I108)</f>
        <v/>
      </c>
      <c r="J109" s="6">
        <f>SUM(J98:J108)</f>
        <v/>
      </c>
      <c r="K109" s="5" t="n"/>
    </row>
    <row r="110">
      <c r="A110" s="3" t="inlineStr">
        <is>
          <t>RNO</t>
        </is>
      </c>
      <c r="B110" s="3" t="inlineStr">
        <is>
          <t>RNO-3829</t>
        </is>
      </c>
      <c r="C110" s="23" t="n">
        <v>46065</v>
      </c>
      <c r="D110" s="3" t="inlineStr">
        <is>
          <t>RN-FR1033</t>
        </is>
      </c>
      <c r="E110" s="3" t="inlineStr">
        <is>
          <t>بيتموس تي اس مخصب 210 لتر</t>
        </is>
      </c>
      <c r="F110" s="3" t="n">
        <v>2</v>
      </c>
      <c r="G110" s="3" t="inlineStr">
        <is>
          <t>EA</t>
        </is>
      </c>
      <c r="H110" s="4" t="n">
        <v>101.5</v>
      </c>
      <c r="I110" s="4" t="n">
        <v>30.45</v>
      </c>
      <c r="J110" s="4" t="n">
        <v>233.45</v>
      </c>
      <c r="K110" s="3" t="inlineStr">
        <is>
          <t>نعم</t>
        </is>
      </c>
    </row>
    <row r="111">
      <c r="A111" s="3" t="inlineStr">
        <is>
          <t>RNO</t>
        </is>
      </c>
      <c r="B111" s="3" t="inlineStr">
        <is>
          <t>RNO-3829</t>
        </is>
      </c>
      <c r="C111" s="23" t="n">
        <v>46065</v>
      </c>
      <c r="D111" s="3" t="inlineStr">
        <is>
          <t>RN-FR368</t>
        </is>
      </c>
      <c r="E111" s="3" t="inlineStr">
        <is>
          <t>بيرلايت 100 لتر</t>
        </is>
      </c>
      <c r="F111" s="3" t="n">
        <v>1</v>
      </c>
      <c r="G111" s="3" t="inlineStr">
        <is>
          <t>EA</t>
        </is>
      </c>
      <c r="H111" s="4" t="n">
        <v>32.5</v>
      </c>
      <c r="I111" s="4" t="n">
        <v>4.875</v>
      </c>
      <c r="J111" s="4" t="n">
        <v>37.375</v>
      </c>
      <c r="K111" s="3" t="inlineStr">
        <is>
          <t>نعم</t>
        </is>
      </c>
    </row>
    <row r="112">
      <c r="A112" s="3" t="inlineStr">
        <is>
          <t>RNO</t>
        </is>
      </c>
      <c r="B112" s="3" t="inlineStr">
        <is>
          <t>RNO-3829</t>
        </is>
      </c>
      <c r="C112" s="23" t="n">
        <v>46065</v>
      </c>
      <c r="D112" s="3" t="inlineStr">
        <is>
          <t>RN-PL14</t>
        </is>
      </c>
      <c r="E112" s="3" t="inlineStr">
        <is>
          <t>مركن زراعي علاقي 19 سم</t>
        </is>
      </c>
      <c r="F112" s="3" t="n">
        <v>750</v>
      </c>
      <c r="G112" s="3" t="inlineStr">
        <is>
          <t>EA</t>
        </is>
      </c>
      <c r="H112" s="4" t="n">
        <v>2.5</v>
      </c>
      <c r="I112" s="4" t="n">
        <v>281.25</v>
      </c>
      <c r="J112" s="4" t="n">
        <v>2156.25</v>
      </c>
      <c r="K112" s="3" t="inlineStr">
        <is>
          <t>نعم</t>
        </is>
      </c>
    </row>
    <row r="113">
      <c r="A113" s="3" t="inlineStr">
        <is>
          <t>RNO</t>
        </is>
      </c>
      <c r="B113" s="3" t="inlineStr">
        <is>
          <t>RNO-3829</t>
        </is>
      </c>
      <c r="C113" s="23" t="n">
        <v>46065</v>
      </c>
      <c r="D113" s="3" t="inlineStr">
        <is>
          <t>RN-PL12</t>
        </is>
      </c>
      <c r="E113" s="3" t="inlineStr">
        <is>
          <t>صندوق فلين للزهور</t>
        </is>
      </c>
      <c r="F113" s="3" t="n">
        <v>650</v>
      </c>
      <c r="G113" s="3" t="inlineStr">
        <is>
          <t>EA</t>
        </is>
      </c>
      <c r="H113" s="4" t="n">
        <v>4</v>
      </c>
      <c r="I113" s="4" t="n">
        <v>390</v>
      </c>
      <c r="J113" s="4" t="n">
        <v>2990</v>
      </c>
      <c r="K113" s="3" t="inlineStr">
        <is>
          <t>نعم</t>
        </is>
      </c>
    </row>
    <row r="114">
      <c r="A114" s="5" t="inlineStr"/>
      <c r="B114" s="5" t="inlineStr">
        <is>
          <t>إجمالي RNO-3829</t>
        </is>
      </c>
      <c r="C114" s="5" t="inlineStr"/>
      <c r="D114" s="5" t="inlineStr"/>
      <c r="E114" s="5" t="inlineStr"/>
      <c r="F114" s="5">
        <f>SUM(F110:F113)</f>
        <v/>
      </c>
      <c r="G114" s="5" t="inlineStr"/>
      <c r="H114" s="5" t="inlineStr"/>
      <c r="I114" s="6">
        <f>SUM(I110:I113)</f>
        <v/>
      </c>
      <c r="J114" s="6">
        <f>SUM(J110:J113)</f>
        <v/>
      </c>
      <c r="K114" s="5" t="n"/>
    </row>
    <row r="115">
      <c r="A115" s="3" t="inlineStr">
        <is>
          <t>RNO</t>
        </is>
      </c>
      <c r="B115" s="3" t="inlineStr">
        <is>
          <t>RNO-3832</t>
        </is>
      </c>
      <c r="C115" s="23" t="n">
        <v>46066</v>
      </c>
      <c r="D115" s="3" t="inlineStr">
        <is>
          <t>RN-FR1033</t>
        </is>
      </c>
      <c r="E115" s="3" t="inlineStr">
        <is>
          <t>بيتموس تي اس مخصب 210 لتر</t>
        </is>
      </c>
      <c r="F115" s="3" t="n">
        <v>21</v>
      </c>
      <c r="G115" s="3" t="inlineStr">
        <is>
          <t>EA</t>
        </is>
      </c>
      <c r="H115" s="4" t="n">
        <v>101.5</v>
      </c>
      <c r="I115" s="4" t="n">
        <v>319.725</v>
      </c>
      <c r="J115" s="4" t="n">
        <v>2451.225</v>
      </c>
      <c r="K115" s="3" t="inlineStr">
        <is>
          <t>نعم</t>
        </is>
      </c>
    </row>
    <row r="116">
      <c r="A116" s="3" t="inlineStr">
        <is>
          <t>RNO</t>
        </is>
      </c>
      <c r="B116" s="3" t="inlineStr">
        <is>
          <t>RNO-3832</t>
        </is>
      </c>
      <c r="C116" s="23" t="n">
        <v>46066</v>
      </c>
      <c r="D116" s="3" t="inlineStr">
        <is>
          <t>RN-FR368</t>
        </is>
      </c>
      <c r="E116" s="3" t="inlineStr">
        <is>
          <t>بيرلايت 100 لتر</t>
        </is>
      </c>
      <c r="F116" s="3" t="n">
        <v>6</v>
      </c>
      <c r="G116" s="3" t="inlineStr">
        <is>
          <t>EA</t>
        </is>
      </c>
      <c r="H116" s="4" t="n">
        <v>32.5</v>
      </c>
      <c r="I116" s="4" t="n">
        <v>29.25</v>
      </c>
      <c r="J116" s="4" t="n">
        <v>224.25</v>
      </c>
      <c r="K116" s="3" t="inlineStr">
        <is>
          <t>نعم</t>
        </is>
      </c>
    </row>
    <row r="117">
      <c r="A117" s="3" t="inlineStr">
        <is>
          <t>RNO</t>
        </is>
      </c>
      <c r="B117" s="3" t="inlineStr">
        <is>
          <t>RNO-3832</t>
        </is>
      </c>
      <c r="C117" s="23" t="n">
        <v>46066</v>
      </c>
      <c r="D117" s="3" t="inlineStr">
        <is>
          <t>RN-PL1</t>
        </is>
      </c>
      <c r="E117" s="3" t="inlineStr">
        <is>
          <t>مركن زراعي خفيف ملون 9 سم</t>
        </is>
      </c>
      <c r="F117" s="3" t="n">
        <v>30000</v>
      </c>
      <c r="G117" s="3" t="inlineStr">
        <is>
          <t>EA</t>
        </is>
      </c>
      <c r="H117" s="4" t="n">
        <v>0.06</v>
      </c>
      <c r="I117" s="4" t="n">
        <v>270</v>
      </c>
      <c r="J117" s="4" t="n">
        <v>1794</v>
      </c>
      <c r="K117" s="3" t="inlineStr">
        <is>
          <t>نعم</t>
        </is>
      </c>
    </row>
    <row r="118">
      <c r="A118" s="3" t="inlineStr">
        <is>
          <t>RNO</t>
        </is>
      </c>
      <c r="B118" s="3" t="inlineStr">
        <is>
          <t>RNO-3832</t>
        </is>
      </c>
      <c r="C118" s="23" t="n">
        <v>46066</v>
      </c>
      <c r="D118" s="3" t="inlineStr">
        <is>
          <t>RN-ID1503</t>
        </is>
      </c>
      <c r="E118" s="3" t="inlineStr">
        <is>
          <t>هيدرا ان اس مركن9 سم</t>
        </is>
      </c>
      <c r="F118" s="3" t="n">
        <v>350</v>
      </c>
      <c r="G118" s="3" t="inlineStr">
        <is>
          <t>EA</t>
        </is>
      </c>
      <c r="H118" s="4" t="n">
        <v>2</v>
      </c>
      <c r="I118" s="4" t="n">
        <v>105</v>
      </c>
      <c r="J118" s="4" t="n">
        <v>805</v>
      </c>
      <c r="K118" s="3" t="inlineStr">
        <is>
          <t>نعم</t>
        </is>
      </c>
    </row>
    <row r="119">
      <c r="A119" s="5" t="inlineStr"/>
      <c r="B119" s="5" t="inlineStr">
        <is>
          <t>إجمالي RNO-3832</t>
        </is>
      </c>
      <c r="C119" s="5" t="inlineStr"/>
      <c r="D119" s="5" t="inlineStr"/>
      <c r="E119" s="5" t="inlineStr"/>
      <c r="F119" s="5">
        <f>SUM(F115:F118)</f>
        <v/>
      </c>
      <c r="G119" s="5" t="inlineStr"/>
      <c r="H119" s="5" t="inlineStr"/>
      <c r="I119" s="6">
        <f>SUM(I115:I118)</f>
        <v/>
      </c>
      <c r="J119" s="6">
        <f>SUM(J115:J118)</f>
        <v/>
      </c>
      <c r="K119" s="5" t="n"/>
    </row>
    <row r="120">
      <c r="A120" s="3" t="inlineStr">
        <is>
          <t>RNO</t>
        </is>
      </c>
      <c r="B120" s="3" t="inlineStr">
        <is>
          <t>RNO-3848</t>
        </is>
      </c>
      <c r="C120" s="23" t="n">
        <v>46068</v>
      </c>
      <c r="D120" s="3" t="inlineStr">
        <is>
          <t>RN-FR1033</t>
        </is>
      </c>
      <c r="E120" s="3" t="inlineStr">
        <is>
          <t>بيتموس تي اس مخصب 210 لتر</t>
        </is>
      </c>
      <c r="F120" s="3" t="n">
        <v>17</v>
      </c>
      <c r="G120" s="3" t="inlineStr">
        <is>
          <t>EA</t>
        </is>
      </c>
      <c r="H120" s="4" t="n">
        <v>101.5</v>
      </c>
      <c r="I120" s="4" t="n">
        <v>258.825</v>
      </c>
      <c r="J120" s="4" t="n">
        <v>1984.325</v>
      </c>
      <c r="K120" s="3" t="inlineStr">
        <is>
          <t>نعم</t>
        </is>
      </c>
    </row>
    <row r="121">
      <c r="A121" s="3" t="inlineStr">
        <is>
          <t>RNO</t>
        </is>
      </c>
      <c r="B121" s="3" t="inlineStr">
        <is>
          <t>RNO-3848</t>
        </is>
      </c>
      <c r="C121" s="23" t="n">
        <v>46068</v>
      </c>
      <c r="D121" s="3" t="inlineStr">
        <is>
          <t>RN-FR368</t>
        </is>
      </c>
      <c r="E121" s="3" t="inlineStr">
        <is>
          <t>بيرلايت 100 لتر</t>
        </is>
      </c>
      <c r="F121" s="3" t="n">
        <v>4</v>
      </c>
      <c r="G121" s="3" t="inlineStr">
        <is>
          <t>EA</t>
        </is>
      </c>
      <c r="H121" s="4" t="n">
        <v>32.5</v>
      </c>
      <c r="I121" s="4" t="n">
        <v>19.5</v>
      </c>
      <c r="J121" s="4" t="n">
        <v>149.5</v>
      </c>
      <c r="K121" s="3" t="inlineStr">
        <is>
          <t>نعم</t>
        </is>
      </c>
    </row>
    <row r="122">
      <c r="A122" s="5" t="inlineStr"/>
      <c r="B122" s="5" t="inlineStr">
        <is>
          <t>إجمالي RNO-3848</t>
        </is>
      </c>
      <c r="C122" s="5" t="inlineStr"/>
      <c r="D122" s="5" t="inlineStr"/>
      <c r="E122" s="5" t="inlineStr"/>
      <c r="F122" s="5">
        <f>SUM(F120:F121)</f>
        <v/>
      </c>
      <c r="G122" s="5" t="inlineStr"/>
      <c r="H122" s="5" t="inlineStr"/>
      <c r="I122" s="6">
        <f>SUM(I120:I121)</f>
        <v/>
      </c>
      <c r="J122" s="6">
        <f>SUM(J120:J121)</f>
        <v/>
      </c>
      <c r="K122" s="5" t="n"/>
    </row>
    <row r="123">
      <c r="A123" s="3" t="inlineStr">
        <is>
          <t>RNO</t>
        </is>
      </c>
      <c r="B123" s="3" t="inlineStr">
        <is>
          <t>RNO-3853</t>
        </is>
      </c>
      <c r="C123" s="23" t="n">
        <v>46069</v>
      </c>
      <c r="D123" s="3" t="inlineStr">
        <is>
          <t>RN-FR1004</t>
        </is>
      </c>
      <c r="E123" s="3" t="inlineStr">
        <is>
          <t>حديد مخلبي 16 كجم</t>
        </is>
      </c>
      <c r="F123" s="3" t="n">
        <v>1</v>
      </c>
      <c r="G123" s="3" t="inlineStr">
        <is>
          <t>EA</t>
        </is>
      </c>
      <c r="H123" s="4" t="n">
        <v>60</v>
      </c>
      <c r="I123" s="4" t="n">
        <v>9</v>
      </c>
      <c r="J123" s="4" t="n">
        <v>69</v>
      </c>
      <c r="K123" s="3" t="inlineStr">
        <is>
          <t>نعم</t>
        </is>
      </c>
    </row>
    <row r="124">
      <c r="A124" s="5" t="inlineStr"/>
      <c r="B124" s="5" t="inlineStr">
        <is>
          <t>إجمالي RNO-3853</t>
        </is>
      </c>
      <c r="C124" s="5" t="inlineStr"/>
      <c r="D124" s="5" t="inlineStr"/>
      <c r="E124" s="5" t="inlineStr"/>
      <c r="F124" s="5">
        <f>SUM(F123:F123)</f>
        <v/>
      </c>
      <c r="G124" s="5" t="inlineStr"/>
      <c r="H124" s="5" t="inlineStr"/>
      <c r="I124" s="6">
        <f>SUM(I123:I123)</f>
        <v/>
      </c>
      <c r="J124" s="6">
        <f>SUM(J123:J123)</f>
        <v/>
      </c>
      <c r="K124" s="5" t="n"/>
    </row>
    <row r="125">
      <c r="A125" s="3" t="inlineStr">
        <is>
          <t>RNO</t>
        </is>
      </c>
      <c r="B125" s="3" t="inlineStr">
        <is>
          <t>RNO-3862</t>
        </is>
      </c>
      <c r="C125" s="23" t="n">
        <v>46070</v>
      </c>
      <c r="D125" s="3" t="inlineStr">
        <is>
          <t>RN-SE21</t>
        </is>
      </c>
      <c r="E125" s="3" t="inlineStr">
        <is>
          <t>جذور سيلوزيا احمر</t>
        </is>
      </c>
      <c r="F125" s="3" t="n">
        <v>5000</v>
      </c>
      <c r="G125" s="3" t="inlineStr">
        <is>
          <t>EA</t>
        </is>
      </c>
      <c r="H125" s="4" t="n">
        <v>0.025</v>
      </c>
      <c r="I125" s="4" t="n">
        <v>18.75</v>
      </c>
      <c r="J125" s="4" t="n">
        <v>143.75</v>
      </c>
      <c r="K125" s="3" t="inlineStr">
        <is>
          <t>نعم</t>
        </is>
      </c>
    </row>
    <row r="126">
      <c r="A126" s="3" t="inlineStr">
        <is>
          <t>RNO</t>
        </is>
      </c>
      <c r="B126" s="3" t="inlineStr">
        <is>
          <t>RNO-3862</t>
        </is>
      </c>
      <c r="C126" s="23" t="n">
        <v>46070</v>
      </c>
      <c r="D126" s="3" t="inlineStr">
        <is>
          <t>RN-SE22</t>
        </is>
      </c>
      <c r="E126" s="3" t="inlineStr">
        <is>
          <t>جذور سيلوزيا اصفر</t>
        </is>
      </c>
      <c r="F126" s="3" t="n">
        <v>5000</v>
      </c>
      <c r="G126" s="3" t="inlineStr">
        <is>
          <t>EA</t>
        </is>
      </c>
      <c r="H126" s="4" t="n">
        <v>0.025</v>
      </c>
      <c r="I126" s="4" t="n">
        <v>18.75</v>
      </c>
      <c r="J126" s="4" t="n">
        <v>143.75</v>
      </c>
      <c r="K126" s="3" t="inlineStr">
        <is>
          <t>نعم</t>
        </is>
      </c>
    </row>
    <row r="127">
      <c r="A127" s="3" t="inlineStr">
        <is>
          <t>RNO</t>
        </is>
      </c>
      <c r="B127" s="3" t="inlineStr">
        <is>
          <t>RNO-3862</t>
        </is>
      </c>
      <c r="C127" s="23" t="n">
        <v>46070</v>
      </c>
      <c r="D127" s="3" t="inlineStr">
        <is>
          <t>RN-SE23</t>
        </is>
      </c>
      <c r="E127" s="3" t="inlineStr">
        <is>
          <t>بذور سيلوزيا برتقالي</t>
        </is>
      </c>
      <c r="F127" s="3" t="n">
        <v>5000</v>
      </c>
      <c r="G127" s="3" t="inlineStr">
        <is>
          <t>EA</t>
        </is>
      </c>
      <c r="H127" s="4" t="n">
        <v>0.025</v>
      </c>
      <c r="I127" s="4" t="n">
        <v>18.75</v>
      </c>
      <c r="J127" s="4" t="n">
        <v>143.75</v>
      </c>
      <c r="K127" s="3" t="inlineStr">
        <is>
          <t>نعم</t>
        </is>
      </c>
    </row>
    <row r="128">
      <c r="A128" s="3" t="inlineStr">
        <is>
          <t>RNO</t>
        </is>
      </c>
      <c r="B128" s="3" t="inlineStr">
        <is>
          <t>RNO-3862</t>
        </is>
      </c>
      <c r="C128" s="23" t="n">
        <v>46070</v>
      </c>
      <c r="D128" s="3" t="inlineStr">
        <is>
          <t>RN-SE131</t>
        </is>
      </c>
      <c r="E128" s="3" t="inlineStr">
        <is>
          <t>بذور سيلوزيا قرمزي</t>
        </is>
      </c>
      <c r="F128" s="3" t="n">
        <v>5000</v>
      </c>
      <c r="G128" s="3" t="inlineStr">
        <is>
          <t>EA</t>
        </is>
      </c>
      <c r="H128" s="4" t="n">
        <v>0.03</v>
      </c>
      <c r="I128" s="4" t="n">
        <v>22.5</v>
      </c>
      <c r="J128" s="4" t="n">
        <v>172.5</v>
      </c>
      <c r="K128" s="3" t="inlineStr">
        <is>
          <t>نعم</t>
        </is>
      </c>
    </row>
    <row r="129">
      <c r="A129" s="3" t="inlineStr">
        <is>
          <t>RNO</t>
        </is>
      </c>
      <c r="B129" s="3" t="inlineStr">
        <is>
          <t>RNO-3862</t>
        </is>
      </c>
      <c r="C129" s="23" t="n">
        <v>46070</v>
      </c>
      <c r="D129" s="3" t="inlineStr">
        <is>
          <t>RN-SE132</t>
        </is>
      </c>
      <c r="E129" s="3" t="inlineStr">
        <is>
          <t>جذور سيلوزيا كيمونو شيري ريد</t>
        </is>
      </c>
      <c r="F129" s="3" t="n">
        <v>5000</v>
      </c>
      <c r="G129" s="3" t="inlineStr">
        <is>
          <t>EA</t>
        </is>
      </c>
      <c r="H129" s="4" t="n">
        <v>0.03</v>
      </c>
      <c r="I129" s="4" t="n">
        <v>22.5</v>
      </c>
      <c r="J129" s="4" t="n">
        <v>172.5</v>
      </c>
      <c r="K129" s="3" t="inlineStr">
        <is>
          <t>نعم</t>
        </is>
      </c>
    </row>
    <row r="130">
      <c r="A130" s="3" t="inlineStr">
        <is>
          <t>RNO</t>
        </is>
      </c>
      <c r="B130" s="3" t="inlineStr">
        <is>
          <t>RNO-3862</t>
        </is>
      </c>
      <c r="C130" s="23" t="n">
        <v>46070</v>
      </c>
      <c r="D130" s="3" t="inlineStr">
        <is>
          <t>RN-SE88</t>
        </is>
      </c>
      <c r="E130" s="3" t="inlineStr">
        <is>
          <t>بذور بيلكترانثوس فير واى احمر</t>
        </is>
      </c>
      <c r="F130" s="3" t="n">
        <v>5000</v>
      </c>
      <c r="G130" s="3" t="inlineStr">
        <is>
          <t>EA</t>
        </is>
      </c>
      <c r="H130" s="4" t="n">
        <v>0.035</v>
      </c>
      <c r="I130" s="4" t="n">
        <v>26.25</v>
      </c>
      <c r="J130" s="4" t="n">
        <v>201.25</v>
      </c>
      <c r="K130" s="3" t="inlineStr">
        <is>
          <t>نعم</t>
        </is>
      </c>
    </row>
    <row r="131">
      <c r="A131" s="3" t="inlineStr">
        <is>
          <t>RNO</t>
        </is>
      </c>
      <c r="B131" s="3" t="inlineStr">
        <is>
          <t>RNO-3862</t>
        </is>
      </c>
      <c r="C131" s="23" t="n">
        <v>46070</v>
      </c>
      <c r="D131" s="3" t="inlineStr">
        <is>
          <t>RN-SE89</t>
        </is>
      </c>
      <c r="E131" s="3" t="inlineStr">
        <is>
          <t>بذور بيلكترانثوس فير واى روبي</t>
        </is>
      </c>
      <c r="F131" s="3" t="n">
        <v>5000</v>
      </c>
      <c r="G131" s="3" t="inlineStr">
        <is>
          <t>EA</t>
        </is>
      </c>
      <c r="H131" s="4" t="n">
        <v>0.035</v>
      </c>
      <c r="I131" s="4" t="n">
        <v>26.25</v>
      </c>
      <c r="J131" s="4" t="n">
        <v>201.25</v>
      </c>
      <c r="K131" s="3" t="inlineStr">
        <is>
          <t>نعم</t>
        </is>
      </c>
    </row>
    <row r="132">
      <c r="A132" s="3" t="inlineStr">
        <is>
          <t>RNO</t>
        </is>
      </c>
      <c r="B132" s="3" t="inlineStr">
        <is>
          <t>RNO-3862</t>
        </is>
      </c>
      <c r="C132" s="23" t="n">
        <v>46070</v>
      </c>
      <c r="D132" s="3" t="inlineStr">
        <is>
          <t>RN-SE90</t>
        </is>
      </c>
      <c r="E132" s="3" t="inlineStr">
        <is>
          <t>جذور بيلكترانثوس فير واى بينك غامق</t>
        </is>
      </c>
      <c r="F132" s="3" t="n">
        <v>5000</v>
      </c>
      <c r="G132" s="3" t="inlineStr">
        <is>
          <t>EA</t>
        </is>
      </c>
      <c r="H132" s="4" t="n">
        <v>0.035</v>
      </c>
      <c r="I132" s="4" t="n">
        <v>26.25</v>
      </c>
      <c r="J132" s="4" t="n">
        <v>201.25</v>
      </c>
      <c r="K132" s="3" t="inlineStr">
        <is>
          <t>نعم</t>
        </is>
      </c>
    </row>
    <row r="133">
      <c r="A133" s="3" t="inlineStr">
        <is>
          <t>RNO</t>
        </is>
      </c>
      <c r="B133" s="3" t="inlineStr">
        <is>
          <t>RNO-3862</t>
        </is>
      </c>
      <c r="C133" s="23" t="n">
        <v>46070</v>
      </c>
      <c r="D133" s="3" t="inlineStr">
        <is>
          <t>RN-SE129</t>
        </is>
      </c>
      <c r="E133" s="3" t="inlineStr">
        <is>
          <t>بذور بيلكترانثوس فير واى برتقالى</t>
        </is>
      </c>
      <c r="F133" s="3" t="n">
        <v>5000</v>
      </c>
      <c r="G133" s="3" t="inlineStr">
        <is>
          <t>EA</t>
        </is>
      </c>
      <c r="H133" s="4" t="n">
        <v>0.035</v>
      </c>
      <c r="I133" s="4" t="n">
        <v>26.25</v>
      </c>
      <c r="J133" s="4" t="n">
        <v>201.25</v>
      </c>
      <c r="K133" s="3" t="inlineStr">
        <is>
          <t>نعم</t>
        </is>
      </c>
    </row>
    <row r="134">
      <c r="A134" s="3" t="inlineStr">
        <is>
          <t>RNO</t>
        </is>
      </c>
      <c r="B134" s="3" t="inlineStr">
        <is>
          <t>RNO-3862</t>
        </is>
      </c>
      <c r="C134" s="23" t="n">
        <v>46070</v>
      </c>
      <c r="D134" s="3" t="inlineStr">
        <is>
          <t>RN-SE130</t>
        </is>
      </c>
      <c r="E134" s="3" t="inlineStr">
        <is>
          <t>بذور بيلكترانثوس فير واى موزابيك</t>
        </is>
      </c>
      <c r="F134" s="3" t="n">
        <v>5000</v>
      </c>
      <c r="G134" s="3" t="inlineStr">
        <is>
          <t>EA</t>
        </is>
      </c>
      <c r="H134" s="4" t="n">
        <v>0.035</v>
      </c>
      <c r="I134" s="4" t="n">
        <v>26.25</v>
      </c>
      <c r="J134" s="4" t="n">
        <v>201.25</v>
      </c>
      <c r="K134" s="3" t="inlineStr">
        <is>
          <t>نعم</t>
        </is>
      </c>
    </row>
    <row r="135">
      <c r="A135" s="3" t="inlineStr">
        <is>
          <t>RNO</t>
        </is>
      </c>
      <c r="B135" s="3" t="inlineStr">
        <is>
          <t>RNO-3862</t>
        </is>
      </c>
      <c r="C135" s="23" t="n">
        <v>46070</v>
      </c>
      <c r="D135" s="3" t="inlineStr">
        <is>
          <t>RN-SE111</t>
        </is>
      </c>
      <c r="E135" s="3" t="inlineStr">
        <is>
          <t>بذور أمارانتس</t>
        </is>
      </c>
      <c r="F135" s="3" t="n">
        <v>5000</v>
      </c>
      <c r="G135" s="3" t="inlineStr">
        <is>
          <t>EA</t>
        </is>
      </c>
      <c r="H135" s="4" t="n">
        <v>0.01</v>
      </c>
      <c r="I135" s="4" t="n">
        <v>7.5</v>
      </c>
      <c r="J135" s="4" t="n">
        <v>57.5</v>
      </c>
      <c r="K135" s="3" t="inlineStr">
        <is>
          <t>نعم</t>
        </is>
      </c>
    </row>
    <row r="136">
      <c r="A136" s="3" t="inlineStr">
        <is>
          <t>RNO</t>
        </is>
      </c>
      <c r="B136" s="3" t="inlineStr">
        <is>
          <t>RNO-3862</t>
        </is>
      </c>
      <c r="C136" s="23" t="n">
        <v>46070</v>
      </c>
      <c r="D136" s="3" t="inlineStr">
        <is>
          <t>RN-FR1033</t>
        </is>
      </c>
      <c r="E136" s="3" t="inlineStr">
        <is>
          <t>بيتموس تي اس مخصب 210 لتر</t>
        </is>
      </c>
      <c r="F136" s="3" t="n">
        <v>21</v>
      </c>
      <c r="G136" s="3" t="inlineStr">
        <is>
          <t>EA</t>
        </is>
      </c>
      <c r="H136" s="4" t="n">
        <v>101.5</v>
      </c>
      <c r="I136" s="4" t="n">
        <v>319.725</v>
      </c>
      <c r="J136" s="4" t="n">
        <v>2451.225</v>
      </c>
      <c r="K136" s="3" t="inlineStr">
        <is>
          <t>نعم</t>
        </is>
      </c>
    </row>
    <row r="137">
      <c r="A137" s="3" t="inlineStr">
        <is>
          <t>RNO</t>
        </is>
      </c>
      <c r="B137" s="3" t="inlineStr">
        <is>
          <t>RNO-3862</t>
        </is>
      </c>
      <c r="C137" s="23" t="n">
        <v>46070</v>
      </c>
      <c r="D137" s="3" t="inlineStr">
        <is>
          <t>RN-FR368</t>
        </is>
      </c>
      <c r="E137" s="3" t="inlineStr">
        <is>
          <t>بيرلايت 100 لتر</t>
        </is>
      </c>
      <c r="F137" s="3" t="n">
        <v>6</v>
      </c>
      <c r="G137" s="3" t="inlineStr">
        <is>
          <t>EA</t>
        </is>
      </c>
      <c r="H137" s="4" t="n">
        <v>32.5</v>
      </c>
      <c r="I137" s="4" t="n">
        <v>29.25</v>
      </c>
      <c r="J137" s="4" t="n">
        <v>224.25</v>
      </c>
      <c r="K137" s="3" t="inlineStr">
        <is>
          <t>نعم</t>
        </is>
      </c>
    </row>
    <row r="138">
      <c r="A138" s="3" t="inlineStr">
        <is>
          <t>RNO</t>
        </is>
      </c>
      <c r="B138" s="3" t="inlineStr">
        <is>
          <t>RNO-3862</t>
        </is>
      </c>
      <c r="C138" s="23" t="n">
        <v>46070</v>
      </c>
      <c r="D138" s="3" t="inlineStr">
        <is>
          <t>RN-PL1</t>
        </is>
      </c>
      <c r="E138" s="3" t="inlineStr">
        <is>
          <t>مركن زراعي خفيف ملون 9 سم</t>
        </is>
      </c>
      <c r="F138" s="3" t="n">
        <v>26000</v>
      </c>
      <c r="G138" s="3" t="inlineStr">
        <is>
          <t>EA</t>
        </is>
      </c>
      <c r="H138" s="4" t="n">
        <v>0.06</v>
      </c>
      <c r="I138" s="4" t="n">
        <v>234</v>
      </c>
      <c r="J138" s="4" t="n">
        <v>1794</v>
      </c>
      <c r="K138" s="3" t="inlineStr">
        <is>
          <t>نعم</t>
        </is>
      </c>
    </row>
    <row r="139">
      <c r="A139" s="3" t="inlineStr">
        <is>
          <t>RNO</t>
        </is>
      </c>
      <c r="B139" s="3" t="inlineStr">
        <is>
          <t>RNO-3862</t>
        </is>
      </c>
      <c r="C139" s="23" t="n">
        <v>46070</v>
      </c>
      <c r="D139" s="3" t="inlineStr">
        <is>
          <t>RN-FR1017</t>
        </is>
      </c>
      <c r="E139" s="3" t="inlineStr">
        <is>
          <t>بوتنج سويل 70 لتر (KLAS)</t>
        </is>
      </c>
      <c r="F139" s="3" t="n">
        <v>7</v>
      </c>
      <c r="G139" s="3" t="inlineStr">
        <is>
          <t>EA</t>
        </is>
      </c>
      <c r="H139" s="4" t="n">
        <v>46</v>
      </c>
      <c r="I139" s="4" t="n">
        <v>48.3</v>
      </c>
      <c r="J139" s="4" t="n">
        <v>370.3</v>
      </c>
      <c r="K139" s="3" t="inlineStr">
        <is>
          <t>نعم</t>
        </is>
      </c>
    </row>
    <row r="140">
      <c r="A140" s="3" t="inlineStr">
        <is>
          <t>RNO</t>
        </is>
      </c>
      <c r="B140" s="3" t="inlineStr">
        <is>
          <t>RNO-3862</t>
        </is>
      </c>
      <c r="C140" s="23" t="n">
        <v>46070</v>
      </c>
      <c r="D140" s="3" t="inlineStr">
        <is>
          <t>RN-FR1018</t>
        </is>
      </c>
      <c r="E140" s="3" t="inlineStr">
        <is>
          <t>فيرموكلايت 100 لتر</t>
        </is>
      </c>
      <c r="F140" s="3" t="n">
        <v>1</v>
      </c>
      <c r="G140" s="3" t="inlineStr">
        <is>
          <t>EA</t>
        </is>
      </c>
      <c r="H140" s="4" t="n">
        <v>75</v>
      </c>
      <c r="I140" s="4" t="n">
        <v>11.25</v>
      </c>
      <c r="J140" s="4" t="n">
        <v>86.25</v>
      </c>
      <c r="K140" s="3" t="inlineStr">
        <is>
          <t>نعم</t>
        </is>
      </c>
    </row>
    <row r="141">
      <c r="A141" s="5" t="inlineStr"/>
      <c r="B141" s="5" t="inlineStr">
        <is>
          <t>إجمالي RNO-3862</t>
        </is>
      </c>
      <c r="C141" s="5" t="inlineStr"/>
      <c r="D141" s="5" t="inlineStr"/>
      <c r="E141" s="5" t="inlineStr"/>
      <c r="F141" s="5">
        <f>SUM(F125:F140)</f>
        <v/>
      </c>
      <c r="G141" s="5" t="inlineStr"/>
      <c r="H141" s="5" t="inlineStr"/>
      <c r="I141" s="6">
        <f>SUM(I125:I140)</f>
        <v/>
      </c>
      <c r="J141" s="6">
        <f>SUM(J125:J140)</f>
        <v/>
      </c>
      <c r="K141" s="5" t="n"/>
    </row>
    <row r="142">
      <c r="A142" s="3" t="inlineStr">
        <is>
          <t>RNO</t>
        </is>
      </c>
      <c r="B142" s="3" t="inlineStr">
        <is>
          <t>RNO-3879</t>
        </is>
      </c>
      <c r="C142" s="23" t="n">
        <v>46072</v>
      </c>
      <c r="D142" s="3" t="inlineStr">
        <is>
          <t>RN-PL12</t>
        </is>
      </c>
      <c r="E142" s="3" t="inlineStr">
        <is>
          <t>RN12 صندوق فلين للزهور</t>
        </is>
      </c>
      <c r="F142" s="3" t="n">
        <v>1425</v>
      </c>
      <c r="G142" s="3" t="inlineStr">
        <is>
          <t>EA</t>
        </is>
      </c>
      <c r="H142" s="4" t="n">
        <v>4</v>
      </c>
      <c r="I142" s="4" t="n">
        <v>855</v>
      </c>
      <c r="J142" s="4" t="n">
        <v>6555</v>
      </c>
      <c r="K142" s="3" t="inlineStr">
        <is>
          <t>نعم</t>
        </is>
      </c>
    </row>
    <row r="143">
      <c r="A143" s="5" t="inlineStr"/>
      <c r="B143" s="5" t="inlineStr">
        <is>
          <t>إجمالي RNO-3879</t>
        </is>
      </c>
      <c r="C143" s="5" t="inlineStr"/>
      <c r="D143" s="5" t="inlineStr"/>
      <c r="E143" s="5" t="inlineStr"/>
      <c r="F143" s="5">
        <f>SUM(F142:F142)</f>
        <v/>
      </c>
      <c r="G143" s="5" t="inlineStr"/>
      <c r="H143" s="5" t="inlineStr"/>
      <c r="I143" s="6">
        <f>SUM(I142:I142)</f>
        <v/>
      </c>
      <c r="J143" s="6">
        <f>SUM(J142:J142)</f>
        <v/>
      </c>
      <c r="K143" s="5" t="n"/>
    </row>
    <row r="144">
      <c r="A144" s="3" t="inlineStr">
        <is>
          <t>RNO</t>
        </is>
      </c>
      <c r="B144" s="3" t="inlineStr">
        <is>
          <t>RNO-3906</t>
        </is>
      </c>
      <c r="C144" s="23" t="n">
        <v>46075</v>
      </c>
      <c r="D144" s="3" t="inlineStr">
        <is>
          <t>RN-FR1033</t>
        </is>
      </c>
      <c r="E144" s="3" t="inlineStr">
        <is>
          <t>بيتموس تي اس مخصب 210 لتر</t>
        </is>
      </c>
      <c r="F144" s="3" t="n">
        <v>17</v>
      </c>
      <c r="G144" s="3" t="inlineStr">
        <is>
          <t>EA</t>
        </is>
      </c>
      <c r="H144" s="4" t="n">
        <v>101.5</v>
      </c>
      <c r="I144" s="4" t="n">
        <v>258.825</v>
      </c>
      <c r="J144" s="4" t="n">
        <v>1984.325</v>
      </c>
      <c r="K144" s="3" t="inlineStr">
        <is>
          <t>نعم</t>
        </is>
      </c>
    </row>
    <row r="145">
      <c r="A145" s="3" t="inlineStr">
        <is>
          <t>RNO</t>
        </is>
      </c>
      <c r="B145" s="3" t="inlineStr">
        <is>
          <t>RNO-3906</t>
        </is>
      </c>
      <c r="C145" s="23" t="n">
        <v>46075</v>
      </c>
      <c r="D145" s="3" t="inlineStr">
        <is>
          <t>RN-FR368</t>
        </is>
      </c>
      <c r="E145" s="3" t="inlineStr">
        <is>
          <t>بيرلايت 100 لتر</t>
        </is>
      </c>
      <c r="F145" s="3" t="n">
        <v>6</v>
      </c>
      <c r="G145" s="3" t="inlineStr">
        <is>
          <t>EA</t>
        </is>
      </c>
      <c r="H145" s="4" t="n">
        <v>32.5</v>
      </c>
      <c r="I145" s="4" t="n">
        <v>29.25</v>
      </c>
      <c r="J145" s="4" t="n">
        <v>224.25</v>
      </c>
      <c r="K145" s="3" t="inlineStr">
        <is>
          <t>نعم</t>
        </is>
      </c>
    </row>
    <row r="146">
      <c r="A146" s="3" t="inlineStr">
        <is>
          <t>RNO</t>
        </is>
      </c>
      <c r="B146" s="3" t="inlineStr">
        <is>
          <t>RNO-3906</t>
        </is>
      </c>
      <c r="C146" s="23" t="n">
        <v>46075</v>
      </c>
      <c r="D146" s="3" t="inlineStr">
        <is>
          <t>RN-PL1</t>
        </is>
      </c>
      <c r="E146" s="3" t="inlineStr">
        <is>
          <t>مركن زراعي خفيف ملون 9 سم</t>
        </is>
      </c>
      <c r="F146" s="3" t="n">
        <v>6000</v>
      </c>
      <c r="G146" s="3" t="inlineStr">
        <is>
          <t>EA</t>
        </is>
      </c>
      <c r="H146" s="4" t="n">
        <v>0.06</v>
      </c>
      <c r="I146" s="4" t="n">
        <v>54</v>
      </c>
      <c r="J146" s="4" t="n">
        <v>414</v>
      </c>
      <c r="K146" s="3" t="inlineStr">
        <is>
          <t>نعم</t>
        </is>
      </c>
    </row>
    <row r="147">
      <c r="A147" s="3" t="inlineStr">
        <is>
          <t>RNO</t>
        </is>
      </c>
      <c r="B147" s="3" t="inlineStr">
        <is>
          <t>RNO-3906</t>
        </is>
      </c>
      <c r="C147" s="23" t="n">
        <v>46075</v>
      </c>
      <c r="D147" s="3" t="inlineStr">
        <is>
          <t>RN-PL9</t>
        </is>
      </c>
      <c r="E147" s="3" t="inlineStr">
        <is>
          <t>مركن زراعي 40 سم</t>
        </is>
      </c>
      <c r="F147" s="3" t="n">
        <v>1304</v>
      </c>
      <c r="G147" s="3" t="inlineStr">
        <is>
          <t>EA</t>
        </is>
      </c>
      <c r="H147" s="4" t="n">
        <v>4.5</v>
      </c>
      <c r="I147" s="4" t="n">
        <v>880.2</v>
      </c>
      <c r="J147" s="4" t="n">
        <v>6748.2</v>
      </c>
      <c r="K147" s="3" t="inlineStr">
        <is>
          <t>نعم</t>
        </is>
      </c>
    </row>
    <row r="148">
      <c r="A148" s="3" t="inlineStr">
        <is>
          <t>RNO</t>
        </is>
      </c>
      <c r="B148" s="3" t="inlineStr">
        <is>
          <t>RNO-3906</t>
        </is>
      </c>
      <c r="C148" s="23" t="n">
        <v>46075</v>
      </c>
      <c r="D148" s="3" t="inlineStr">
        <is>
          <t>RN-PL12</t>
        </is>
      </c>
      <c r="E148" s="3" t="inlineStr">
        <is>
          <t>صندوق فلين للزهور</t>
        </is>
      </c>
      <c r="F148" s="3" t="n">
        <v>450</v>
      </c>
      <c r="G148" s="3" t="inlineStr">
        <is>
          <t>EA</t>
        </is>
      </c>
      <c r="H148" s="4" t="n">
        <v>4</v>
      </c>
      <c r="I148" s="4" t="n">
        <v>270</v>
      </c>
      <c r="J148" s="4" t="n">
        <v>2070</v>
      </c>
      <c r="K148" s="3" t="inlineStr">
        <is>
          <t>نعم</t>
        </is>
      </c>
    </row>
    <row r="149">
      <c r="A149" s="5" t="inlineStr"/>
      <c r="B149" s="5" t="inlineStr">
        <is>
          <t>إجمالي RNO-3906</t>
        </is>
      </c>
      <c r="C149" s="5" t="inlineStr"/>
      <c r="D149" s="5" t="inlineStr"/>
      <c r="E149" s="5" t="inlineStr"/>
      <c r="F149" s="5">
        <f>SUM(F144:F148)</f>
        <v/>
      </c>
      <c r="G149" s="5" t="inlineStr"/>
      <c r="H149" s="5" t="inlineStr"/>
      <c r="I149" s="6">
        <f>SUM(I144:I148)</f>
        <v/>
      </c>
      <c r="J149" s="6">
        <f>SUM(J144:J148)</f>
        <v/>
      </c>
      <c r="K149" s="5" t="n"/>
    </row>
    <row r="150">
      <c r="A150" s="3" t="inlineStr">
        <is>
          <t>RNL</t>
        </is>
      </c>
      <c r="B150" s="3" t="inlineStr">
        <is>
          <t>RNL-3493</t>
        </is>
      </c>
      <c r="C150" s="23" t="n">
        <v>46029</v>
      </c>
      <c r="D150" s="3" t="inlineStr">
        <is>
          <t>RN-OD560</t>
        </is>
      </c>
      <c r="E150" s="3" t="inlineStr">
        <is>
          <t>زهور بيتونيا</t>
        </is>
      </c>
      <c r="F150" s="3" t="n">
        <v>3000</v>
      </c>
      <c r="G150" s="3" t="inlineStr">
        <is>
          <t>EA</t>
        </is>
      </c>
      <c r="H150" s="4" t="n">
        <v>0.55</v>
      </c>
      <c r="I150" s="4" t="n">
        <v>247.5</v>
      </c>
      <c r="J150" s="4" t="n">
        <v>1897.5</v>
      </c>
      <c r="K150" s="3" t="inlineStr">
        <is>
          <t>نعم</t>
        </is>
      </c>
    </row>
    <row r="151">
      <c r="A151" s="3" t="inlineStr">
        <is>
          <t>RNL</t>
        </is>
      </c>
      <c r="B151" s="3" t="inlineStr">
        <is>
          <t>RNL-3493</t>
        </is>
      </c>
      <c r="C151" s="23" t="n">
        <v>46029</v>
      </c>
      <c r="D151" s="3" t="inlineStr">
        <is>
          <t>RN-OD635</t>
        </is>
      </c>
      <c r="E151" s="3" t="inlineStr">
        <is>
          <t>زهور فم السمكة مركن9 سم</t>
        </is>
      </c>
      <c r="F151" s="3" t="n">
        <v>500</v>
      </c>
      <c r="G151" s="3" t="inlineStr">
        <is>
          <t>EA</t>
        </is>
      </c>
      <c r="H151" s="4" t="n">
        <v>0.55</v>
      </c>
      <c r="I151" s="4" t="n">
        <v>41.25</v>
      </c>
      <c r="J151" s="4" t="n">
        <v>316.25</v>
      </c>
      <c r="K151" s="3" t="inlineStr">
        <is>
          <t>نعم</t>
        </is>
      </c>
    </row>
    <row r="152">
      <c r="A152" s="5" t="inlineStr"/>
      <c r="B152" s="5" t="inlineStr">
        <is>
          <t>إجمالي RNL-3493</t>
        </is>
      </c>
      <c r="C152" s="5" t="inlineStr"/>
      <c r="D152" s="5" t="inlineStr"/>
      <c r="E152" s="5" t="inlineStr"/>
      <c r="F152" s="5">
        <f>SUM(F150:F151)</f>
        <v/>
      </c>
      <c r="G152" s="5" t="inlineStr"/>
      <c r="H152" s="5" t="inlineStr"/>
      <c r="I152" s="6">
        <f>SUM(I150:I151)</f>
        <v/>
      </c>
      <c r="J152" s="6">
        <f>SUM(J150:J151)</f>
        <v/>
      </c>
      <c r="K152" s="5" t="n"/>
    </row>
    <row r="153">
      <c r="A153" s="3" t="inlineStr">
        <is>
          <t>RNL</t>
        </is>
      </c>
      <c r="B153" s="3" t="inlineStr">
        <is>
          <t>RNL-3497</t>
        </is>
      </c>
      <c r="C153" s="23" t="n">
        <v>46030</v>
      </c>
      <c r="D153" s="3" t="inlineStr">
        <is>
          <t>RN-OD560</t>
        </is>
      </c>
      <c r="E153" s="3" t="inlineStr">
        <is>
          <t>زهور بيتونيا</t>
        </is>
      </c>
      <c r="F153" s="3" t="n">
        <v>2300</v>
      </c>
      <c r="G153" s="3" t="inlineStr">
        <is>
          <t>EA</t>
        </is>
      </c>
      <c r="H153" s="4" t="n">
        <v>0.55</v>
      </c>
      <c r="I153" s="4" t="n">
        <v>189.75</v>
      </c>
      <c r="J153" s="4" t="n">
        <v>1454.75</v>
      </c>
      <c r="K153" s="3" t="inlineStr">
        <is>
          <t>نعم</t>
        </is>
      </c>
    </row>
    <row r="154">
      <c r="A154" s="3" t="inlineStr">
        <is>
          <t>RNL</t>
        </is>
      </c>
      <c r="B154" s="3" t="inlineStr">
        <is>
          <t>RNL-3497</t>
        </is>
      </c>
      <c r="C154" s="23" t="n">
        <v>46030</v>
      </c>
      <c r="D154" s="3" t="inlineStr">
        <is>
          <t>RN-OD642</t>
        </is>
      </c>
      <c r="E154" s="3" t="inlineStr">
        <is>
          <t>زهور اليسوم مركن9 سم</t>
        </is>
      </c>
      <c r="F154" s="3" t="n">
        <v>300</v>
      </c>
      <c r="G154" s="3" t="inlineStr">
        <is>
          <t>EA</t>
        </is>
      </c>
      <c r="H154" s="4" t="n">
        <v>0.55</v>
      </c>
      <c r="I154" s="4" t="n">
        <v>24.75</v>
      </c>
      <c r="J154" s="4" t="n">
        <v>189.75</v>
      </c>
      <c r="K154" s="3" t="inlineStr">
        <is>
          <t>نعم</t>
        </is>
      </c>
    </row>
    <row r="155">
      <c r="A155" s="5" t="inlineStr"/>
      <c r="B155" s="5" t="inlineStr">
        <is>
          <t>إجمالي RNL-3497</t>
        </is>
      </c>
      <c r="C155" s="5" t="inlineStr"/>
      <c r="D155" s="5" t="inlineStr"/>
      <c r="E155" s="5" t="inlineStr"/>
      <c r="F155" s="5">
        <f>SUM(F153:F154)</f>
        <v/>
      </c>
      <c r="G155" s="5" t="inlineStr"/>
      <c r="H155" s="5" t="inlineStr"/>
      <c r="I155" s="6">
        <f>SUM(I153:I154)</f>
        <v/>
      </c>
      <c r="J155" s="6">
        <f>SUM(J153:J154)</f>
        <v/>
      </c>
      <c r="K155" s="5" t="n"/>
    </row>
    <row r="156">
      <c r="A156" s="3" t="inlineStr">
        <is>
          <t>RNL</t>
        </is>
      </c>
      <c r="B156" s="3" t="inlineStr">
        <is>
          <t>RNL-3524</t>
        </is>
      </c>
      <c r="C156" s="23" t="n">
        <v>46033</v>
      </c>
      <c r="D156" s="3" t="inlineStr">
        <is>
          <t>RN-OD564</t>
        </is>
      </c>
      <c r="E156" s="3" t="inlineStr">
        <is>
          <t>زهور امرانتس</t>
        </is>
      </c>
      <c r="F156" s="3" t="n">
        <v>150</v>
      </c>
      <c r="G156" s="3" t="inlineStr">
        <is>
          <t>EA</t>
        </is>
      </c>
      <c r="H156" s="4" t="n">
        <v>0.55</v>
      </c>
      <c r="I156" s="4" t="n">
        <v>12.375</v>
      </c>
      <c r="J156" s="4" t="n">
        <v>94.875</v>
      </c>
      <c r="K156" s="3" t="inlineStr">
        <is>
          <t>نعم</t>
        </is>
      </c>
    </row>
    <row r="157">
      <c r="A157" s="3" t="inlineStr">
        <is>
          <t>RNL</t>
        </is>
      </c>
      <c r="B157" s="3" t="inlineStr">
        <is>
          <t>RNL-3524</t>
        </is>
      </c>
      <c r="C157" s="23" t="n">
        <v>46033</v>
      </c>
      <c r="D157" s="3" t="inlineStr">
        <is>
          <t>RN-OD603</t>
        </is>
      </c>
      <c r="E157" s="3" t="inlineStr">
        <is>
          <t>زهور جرانيوم مركن9 سم</t>
        </is>
      </c>
      <c r="F157" s="3" t="n">
        <v>150</v>
      </c>
      <c r="G157" s="3" t="inlineStr">
        <is>
          <t>EA</t>
        </is>
      </c>
      <c r="H157" s="4" t="n">
        <v>0.9</v>
      </c>
      <c r="I157" s="4" t="n">
        <v>20.25</v>
      </c>
      <c r="J157" s="4" t="n">
        <v>155.25</v>
      </c>
      <c r="K157" s="3" t="inlineStr">
        <is>
          <t>نعم</t>
        </is>
      </c>
    </row>
    <row r="158">
      <c r="A158" s="3" t="inlineStr">
        <is>
          <t>RNL</t>
        </is>
      </c>
      <c r="B158" s="3" t="inlineStr">
        <is>
          <t>RNL-3524</t>
        </is>
      </c>
      <c r="C158" s="23" t="n">
        <v>46033</v>
      </c>
      <c r="D158" s="3" t="inlineStr">
        <is>
          <t>RN-OD560</t>
        </is>
      </c>
      <c r="E158" s="3" t="inlineStr">
        <is>
          <t>زهور بيتونيا</t>
        </is>
      </c>
      <c r="F158" s="3" t="n">
        <v>3300</v>
      </c>
      <c r="G158" s="3" t="inlineStr">
        <is>
          <t>EA</t>
        </is>
      </c>
      <c r="H158" s="4" t="n">
        <v>0.55</v>
      </c>
      <c r="I158" s="4" t="n">
        <v>272.25</v>
      </c>
      <c r="J158" s="4" t="n">
        <v>2087.25</v>
      </c>
      <c r="K158" s="3" t="inlineStr">
        <is>
          <t>نعم</t>
        </is>
      </c>
    </row>
    <row r="159">
      <c r="A159" s="3" t="inlineStr">
        <is>
          <t>RNL</t>
        </is>
      </c>
      <c r="B159" s="3" t="inlineStr">
        <is>
          <t>RNL-3524</t>
        </is>
      </c>
      <c r="C159" s="23" t="n">
        <v>46033</v>
      </c>
      <c r="D159" s="3" t="inlineStr">
        <is>
          <t>RN-OD637</t>
        </is>
      </c>
      <c r="E159" s="3" t="inlineStr">
        <is>
          <t>زهور سالفيا مركن9 سم</t>
        </is>
      </c>
      <c r="F159" s="3" t="n">
        <v>400</v>
      </c>
      <c r="G159" s="3" t="inlineStr">
        <is>
          <t>EA</t>
        </is>
      </c>
      <c r="H159" s="4" t="n">
        <v>0.55</v>
      </c>
      <c r="I159" s="4" t="n">
        <v>33</v>
      </c>
      <c r="J159" s="4" t="n">
        <v>253</v>
      </c>
      <c r="K159" s="3" t="inlineStr">
        <is>
          <t>نعم</t>
        </is>
      </c>
    </row>
    <row r="160">
      <c r="A160" s="3" t="inlineStr">
        <is>
          <t>RNL</t>
        </is>
      </c>
      <c r="B160" s="3" t="inlineStr">
        <is>
          <t>RNL-3524</t>
        </is>
      </c>
      <c r="C160" s="23" t="n">
        <v>46033</v>
      </c>
      <c r="D160" s="3" t="inlineStr">
        <is>
          <t>RN-OD635</t>
        </is>
      </c>
      <c r="E160" s="3" t="inlineStr">
        <is>
          <t>زهور فم السمكة مركن9 سم</t>
        </is>
      </c>
      <c r="F160" s="3" t="n">
        <v>500</v>
      </c>
      <c r="G160" s="3" t="inlineStr">
        <is>
          <t>EA</t>
        </is>
      </c>
      <c r="H160" s="4" t="n">
        <v>0.55</v>
      </c>
      <c r="I160" s="4" t="n">
        <v>41.25</v>
      </c>
      <c r="J160" s="4" t="n">
        <v>316.25</v>
      </c>
      <c r="K160" s="3" t="inlineStr">
        <is>
          <t>نعم</t>
        </is>
      </c>
    </row>
    <row r="161">
      <c r="A161" s="5" t="inlineStr"/>
      <c r="B161" s="5" t="inlineStr">
        <is>
          <t>إجمالي RNL-3524</t>
        </is>
      </c>
      <c r="C161" s="5" t="inlineStr"/>
      <c r="D161" s="5" t="inlineStr"/>
      <c r="E161" s="5" t="inlineStr"/>
      <c r="F161" s="5">
        <f>SUM(F156:F160)</f>
        <v/>
      </c>
      <c r="G161" s="5" t="inlineStr"/>
      <c r="H161" s="5" t="inlineStr"/>
      <c r="I161" s="6">
        <f>SUM(I156:I160)</f>
        <v/>
      </c>
      <c r="J161" s="6">
        <f>SUM(J156:J160)</f>
        <v/>
      </c>
      <c r="K161" s="5" t="n"/>
    </row>
    <row r="162">
      <c r="A162" s="3" t="inlineStr">
        <is>
          <t>RNL</t>
        </is>
      </c>
      <c r="B162" s="3" t="inlineStr">
        <is>
          <t>RNL-3625</t>
        </is>
      </c>
      <c r="C162" s="23" t="n">
        <v>46046</v>
      </c>
      <c r="D162" s="3" t="inlineStr">
        <is>
          <t>RN-OD560</t>
        </is>
      </c>
      <c r="E162" s="3" t="inlineStr">
        <is>
          <t>زهور بيتونيا</t>
        </is>
      </c>
      <c r="F162" s="3" t="n">
        <v>1500</v>
      </c>
      <c r="G162" s="3" t="inlineStr">
        <is>
          <t>EA</t>
        </is>
      </c>
      <c r="H162" s="4" t="n">
        <v>0.55</v>
      </c>
      <c r="I162" s="4" t="n">
        <v>123.75</v>
      </c>
      <c r="J162" s="4" t="n">
        <v>948.75</v>
      </c>
      <c r="K162" s="3" t="inlineStr">
        <is>
          <t>نعم</t>
        </is>
      </c>
    </row>
    <row r="163">
      <c r="A163" s="5" t="inlineStr"/>
      <c r="B163" s="5" t="inlineStr">
        <is>
          <t>إجمالي RNL-3625</t>
        </is>
      </c>
      <c r="C163" s="5" t="inlineStr"/>
      <c r="D163" s="5" t="inlineStr"/>
      <c r="E163" s="5" t="inlineStr"/>
      <c r="F163" s="5">
        <f>SUM(F162:F162)</f>
        <v/>
      </c>
      <c r="G163" s="5" t="inlineStr"/>
      <c r="H163" s="5" t="inlineStr"/>
      <c r="I163" s="6">
        <f>SUM(I162:I162)</f>
        <v/>
      </c>
      <c r="J163" s="6">
        <f>SUM(J162:J162)</f>
        <v/>
      </c>
      <c r="K163" s="5" t="n"/>
    </row>
    <row r="164">
      <c r="A164" s="3" t="inlineStr">
        <is>
          <t>RNL</t>
        </is>
      </c>
      <c r="B164" s="3" t="inlineStr">
        <is>
          <t>RNL-3718</t>
        </is>
      </c>
      <c r="C164" s="23" t="n">
        <v>46054</v>
      </c>
      <c r="D164" s="3" t="inlineStr">
        <is>
          <t>RN-OD635</t>
        </is>
      </c>
      <c r="E164" s="3" t="inlineStr">
        <is>
          <t>زهور فم السمكة مركن9 سم</t>
        </is>
      </c>
      <c r="F164" s="3" t="n">
        <v>500</v>
      </c>
      <c r="G164" s="3" t="inlineStr">
        <is>
          <t>EA</t>
        </is>
      </c>
      <c r="H164" s="4" t="n">
        <v>0.55</v>
      </c>
      <c r="I164" s="4" t="n">
        <v>41.25</v>
      </c>
      <c r="J164" s="4" t="n">
        <v>316.25</v>
      </c>
      <c r="K164" s="3" t="inlineStr">
        <is>
          <t>نعم</t>
        </is>
      </c>
    </row>
    <row r="165">
      <c r="A165" s="5" t="inlineStr"/>
      <c r="B165" s="5" t="inlineStr">
        <is>
          <t>إجمالي RNL-3718</t>
        </is>
      </c>
      <c r="C165" s="5" t="inlineStr"/>
      <c r="D165" s="5" t="inlineStr"/>
      <c r="E165" s="5" t="inlineStr"/>
      <c r="F165" s="5">
        <f>SUM(F164:F164)</f>
        <v/>
      </c>
      <c r="G165" s="5" t="inlineStr"/>
      <c r="H165" s="5" t="inlineStr"/>
      <c r="I165" s="6">
        <f>SUM(I164:I164)</f>
        <v/>
      </c>
      <c r="J165" s="6">
        <f>SUM(J164:J164)</f>
        <v/>
      </c>
      <c r="K165" s="5" t="n"/>
    </row>
    <row r="166">
      <c r="A166" s="3" t="inlineStr">
        <is>
          <t>RNL</t>
        </is>
      </c>
      <c r="B166" s="3" t="inlineStr">
        <is>
          <t>RNL-3740</t>
        </is>
      </c>
      <c r="C166" s="23" t="n">
        <v>46056</v>
      </c>
      <c r="D166" s="3" t="inlineStr">
        <is>
          <t>RN-OD560</t>
        </is>
      </c>
      <c r="E166" s="3" t="inlineStr">
        <is>
          <t>زهور بيتونيا</t>
        </is>
      </c>
      <c r="F166" s="3" t="n">
        <v>700</v>
      </c>
      <c r="G166" s="3" t="inlineStr">
        <is>
          <t>EA</t>
        </is>
      </c>
      <c r="H166" s="4" t="n">
        <v>0.55</v>
      </c>
      <c r="I166" s="4" t="n">
        <v>57.75</v>
      </c>
      <c r="J166" s="4" t="n">
        <v>442.75</v>
      </c>
      <c r="K166" s="3" t="inlineStr">
        <is>
          <t>نعم</t>
        </is>
      </c>
    </row>
    <row r="167">
      <c r="A167" s="5" t="inlineStr"/>
      <c r="B167" s="5" t="inlineStr">
        <is>
          <t>إجمالي RNL-3740</t>
        </is>
      </c>
      <c r="C167" s="5" t="inlineStr"/>
      <c r="D167" s="5" t="inlineStr"/>
      <c r="E167" s="5" t="inlineStr"/>
      <c r="F167" s="5">
        <f>SUM(F166:F166)</f>
        <v/>
      </c>
      <c r="G167" s="5" t="inlineStr"/>
      <c r="H167" s="5" t="inlineStr"/>
      <c r="I167" s="6">
        <f>SUM(I166:I166)</f>
        <v/>
      </c>
      <c r="J167" s="6">
        <f>SUM(J166:J166)</f>
        <v/>
      </c>
      <c r="K167" s="5" t="n"/>
    </row>
    <row r="168">
      <c r="A168" s="3" t="inlineStr">
        <is>
          <t>RNL</t>
        </is>
      </c>
      <c r="B168" s="3" t="inlineStr">
        <is>
          <t>RNL-3778</t>
        </is>
      </c>
      <c r="C168" s="23" t="n">
        <v>46061</v>
      </c>
      <c r="D168" s="3" t="inlineStr">
        <is>
          <t>RN-OD560</t>
        </is>
      </c>
      <c r="E168" s="3" t="inlineStr">
        <is>
          <t>زهور بيتونيا</t>
        </is>
      </c>
      <c r="F168" s="3" t="n">
        <v>1600</v>
      </c>
      <c r="G168" s="3" t="inlineStr">
        <is>
          <t>EA</t>
        </is>
      </c>
      <c r="H168" s="4" t="n">
        <v>0.55</v>
      </c>
      <c r="I168" s="4" t="n">
        <v>132</v>
      </c>
      <c r="J168" s="4" t="n">
        <v>1012</v>
      </c>
      <c r="K168" s="3" t="inlineStr">
        <is>
          <t>نعم</t>
        </is>
      </c>
    </row>
    <row r="169">
      <c r="A169" s="3" t="inlineStr">
        <is>
          <t>RNL</t>
        </is>
      </c>
      <c r="B169" s="3" t="inlineStr">
        <is>
          <t>RNL-3778</t>
        </is>
      </c>
      <c r="C169" s="23" t="n">
        <v>46061</v>
      </c>
      <c r="D169" s="3" t="inlineStr">
        <is>
          <t>RN-OD635</t>
        </is>
      </c>
      <c r="E169" s="3" t="inlineStr">
        <is>
          <t>زهور فم السمكة مركن9 سم</t>
        </is>
      </c>
      <c r="F169" s="3" t="n">
        <v>700</v>
      </c>
      <c r="G169" s="3" t="inlineStr">
        <is>
          <t>EA</t>
        </is>
      </c>
      <c r="H169" s="4" t="n">
        <v>0.55</v>
      </c>
      <c r="I169" s="4" t="n">
        <v>57.75</v>
      </c>
      <c r="J169" s="4" t="n">
        <v>442.75</v>
      </c>
      <c r="K169" s="3" t="inlineStr">
        <is>
          <t>نعم</t>
        </is>
      </c>
    </row>
    <row r="170">
      <c r="A170" s="5" t="inlineStr"/>
      <c r="B170" s="5" t="inlineStr">
        <is>
          <t>إجمالي RNL-3778</t>
        </is>
      </c>
      <c r="C170" s="5" t="inlineStr"/>
      <c r="D170" s="5" t="inlineStr"/>
      <c r="E170" s="5" t="inlineStr"/>
      <c r="F170" s="5">
        <f>SUM(F168:F169)</f>
        <v/>
      </c>
      <c r="G170" s="5" t="inlineStr"/>
      <c r="H170" s="5" t="inlineStr"/>
      <c r="I170" s="6">
        <f>SUM(I168:I169)</f>
        <v/>
      </c>
      <c r="J170" s="6">
        <f>SUM(J168:J169)</f>
        <v/>
      </c>
      <c r="K170" s="5" t="n"/>
    </row>
    <row r="171">
      <c r="A171" s="3" t="inlineStr">
        <is>
          <t>RNL</t>
        </is>
      </c>
      <c r="B171" s="3" t="inlineStr">
        <is>
          <t>RNL-3852</t>
        </is>
      </c>
      <c r="C171" s="23" t="n">
        <v>46069</v>
      </c>
      <c r="D171" s="3" t="inlineStr">
        <is>
          <t>RN-OD694</t>
        </is>
      </c>
      <c r="E171" s="3" t="inlineStr">
        <is>
          <t>كالنشو هولندى مركن12 سم</t>
        </is>
      </c>
      <c r="F171" s="3" t="n">
        <v>20</v>
      </c>
      <c r="G171" s="3" t="inlineStr">
        <is>
          <t>EA</t>
        </is>
      </c>
      <c r="H171" s="4" t="n">
        <v>3</v>
      </c>
      <c r="I171" s="4" t="n">
        <v>9</v>
      </c>
      <c r="J171" s="4" t="n">
        <v>69</v>
      </c>
      <c r="K171" s="3" t="inlineStr">
        <is>
          <t>نعم</t>
        </is>
      </c>
    </row>
    <row r="172">
      <c r="A172" s="3" t="inlineStr">
        <is>
          <t>RNL</t>
        </is>
      </c>
      <c r="B172" s="3" t="inlineStr">
        <is>
          <t>RNL-3852</t>
        </is>
      </c>
      <c r="C172" s="23" t="n">
        <v>46069</v>
      </c>
      <c r="D172" s="3" t="inlineStr">
        <is>
          <t>RN-OD695</t>
        </is>
      </c>
      <c r="E172" s="3" t="inlineStr">
        <is>
          <t>زهور اقحوان افريقي هولندى مركن12 سم</t>
        </is>
      </c>
      <c r="F172" s="3" t="n">
        <v>20</v>
      </c>
      <c r="G172" s="3" t="inlineStr">
        <is>
          <t>EA</t>
        </is>
      </c>
      <c r="H172" s="4" t="n">
        <v>3</v>
      </c>
      <c r="I172" s="4" t="n">
        <v>9</v>
      </c>
      <c r="J172" s="4" t="n">
        <v>69</v>
      </c>
      <c r="K172" s="3" t="inlineStr">
        <is>
          <t>نعم</t>
        </is>
      </c>
    </row>
    <row r="173">
      <c r="A173" s="3" t="inlineStr">
        <is>
          <t>RNL</t>
        </is>
      </c>
      <c r="B173" s="3" t="inlineStr">
        <is>
          <t>RNL-3852</t>
        </is>
      </c>
      <c r="C173" s="23" t="n">
        <v>46069</v>
      </c>
      <c r="D173" s="3" t="inlineStr">
        <is>
          <t>RN-OD635</t>
        </is>
      </c>
      <c r="E173" s="3" t="inlineStr">
        <is>
          <t>زهور فم السمكة مركن9 سم</t>
        </is>
      </c>
      <c r="F173" s="3" t="n">
        <v>225</v>
      </c>
      <c r="G173" s="3" t="inlineStr">
        <is>
          <t>EA</t>
        </is>
      </c>
      <c r="H173" s="4" t="n">
        <v>0.55</v>
      </c>
      <c r="I173" s="4" t="n">
        <v>18.562</v>
      </c>
      <c r="J173" s="4" t="n">
        <v>142.312</v>
      </c>
      <c r="K173" s="3" t="inlineStr">
        <is>
          <t>نعم</t>
        </is>
      </c>
    </row>
    <row r="174">
      <c r="A174" s="5" t="inlineStr"/>
      <c r="B174" s="5" t="inlineStr">
        <is>
          <t>إجمالي RNL-3852</t>
        </is>
      </c>
      <c r="C174" s="5" t="inlineStr"/>
      <c r="D174" s="5" t="inlineStr"/>
      <c r="E174" s="5" t="inlineStr"/>
      <c r="F174" s="5">
        <f>SUM(F171:F173)</f>
        <v/>
      </c>
      <c r="G174" s="5" t="inlineStr"/>
      <c r="H174" s="5" t="inlineStr"/>
      <c r="I174" s="6">
        <f>SUM(I171:I173)</f>
        <v/>
      </c>
      <c r="J174" s="6">
        <f>SUM(J171:J173)</f>
        <v/>
      </c>
      <c r="K174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7" customWidth="1" min="5" max="5"/>
    <col width="14" customWidth="1" min="6" max="6"/>
    <col width="12" customWidth="1" min="7" max="7"/>
    <col width="20" customWidth="1" min="8" max="8"/>
    <col width="10" customWidth="1" min="9" max="9"/>
  </cols>
  <sheetData>
    <row r="1">
      <c r="A1" s="27" t="inlineStr">
        <is>
          <t>نوع الحركة</t>
        </is>
      </c>
      <c r="B1" s="27" t="inlineStr">
        <is>
          <t>البيان</t>
        </is>
      </c>
      <c r="C1" s="27" t="inlineStr">
        <is>
          <t>كود الصنف</t>
        </is>
      </c>
      <c r="D1" s="27" t="inlineStr">
        <is>
          <t>اسم الصنف</t>
        </is>
      </c>
      <c r="E1" s="27" t="inlineStr">
        <is>
          <t>الوحدة</t>
        </is>
      </c>
      <c r="F1" s="27" t="inlineStr">
        <is>
          <t>إجمالي الكمية</t>
        </is>
      </c>
      <c r="G1" s="27" t="inlineStr">
        <is>
          <t>متوسط السعر</t>
        </is>
      </c>
      <c r="H1" s="27" t="inlineStr">
        <is>
          <t>إجمالي القيمة (شامل الضريبة)</t>
        </is>
      </c>
      <c r="I1" s="27" t="inlineStr">
        <is>
          <t>عدد العقود</t>
        </is>
      </c>
    </row>
    <row r="2">
      <c r="A2" s="3" t="inlineStr">
        <is>
          <t>TNR</t>
        </is>
      </c>
      <c r="B2" s="3" t="inlineStr">
        <is>
          <t>ترحيل من تبوك إلى الرياض</t>
        </is>
      </c>
      <c r="C2" s="3" t="inlineStr">
        <is>
          <t>TN-NP-B-WT</t>
        </is>
      </c>
      <c r="D2" s="3" t="inlineStr">
        <is>
          <t>حجر ديكوري أبيض مطفي 3:5 سم (10 كجم)</t>
        </is>
      </c>
      <c r="E2" s="3" t="inlineStr">
        <is>
          <t>EA</t>
        </is>
      </c>
      <c r="F2" s="28" t="n">
        <v>200</v>
      </c>
      <c r="G2" s="3" t="n">
        <v>11.5</v>
      </c>
      <c r="H2" s="4" t="n">
        <v>2645</v>
      </c>
      <c r="I2" s="3" t="n">
        <v>1</v>
      </c>
    </row>
    <row r="3">
      <c r="A3" s="3" t="inlineStr">
        <is>
          <t>TNR</t>
        </is>
      </c>
      <c r="B3" s="3" t="inlineStr">
        <is>
          <t>ترحيل من تبوك إلى الرياض</t>
        </is>
      </c>
      <c r="C3" s="3" t="inlineStr">
        <is>
          <t>TN-OD454</t>
        </is>
      </c>
      <c r="D3" s="3" t="inlineStr">
        <is>
          <t>تيكوماريا 50 سم</t>
        </is>
      </c>
      <c r="E3" s="3" t="inlineStr">
        <is>
          <t>EA</t>
        </is>
      </c>
      <c r="F3" s="28" t="n">
        <v>740</v>
      </c>
      <c r="G3" s="3" t="n">
        <v>2.5</v>
      </c>
      <c r="H3" s="4" t="n">
        <v>2127.5</v>
      </c>
      <c r="I3" s="3" t="n">
        <v>1</v>
      </c>
    </row>
    <row r="4">
      <c r="A4" s="3" t="inlineStr">
        <is>
          <t>TNR</t>
        </is>
      </c>
      <c r="B4" s="3" t="inlineStr">
        <is>
          <t>ترحيل من تبوك إلى الرياض</t>
        </is>
      </c>
      <c r="C4" s="3" t="inlineStr">
        <is>
          <t>TN-OD456</t>
        </is>
      </c>
      <c r="D4" s="3" t="inlineStr">
        <is>
          <t>دورانتا أخضر</t>
        </is>
      </c>
      <c r="E4" s="3" t="inlineStr">
        <is>
          <t>EA</t>
        </is>
      </c>
      <c r="F4" s="28" t="n">
        <v>1200</v>
      </c>
      <c r="G4" s="3" t="n">
        <v>2.5</v>
      </c>
      <c r="H4" s="4" t="n">
        <v>3450</v>
      </c>
      <c r="I4" s="3" t="n">
        <v>1</v>
      </c>
    </row>
    <row r="5">
      <c r="A5" s="3" t="inlineStr">
        <is>
          <t>TNR</t>
        </is>
      </c>
      <c r="B5" s="3" t="inlineStr">
        <is>
          <t>ترحيل من تبوك إلى الرياض</t>
        </is>
      </c>
      <c r="C5" s="3" t="inlineStr">
        <is>
          <t>TN-OD458</t>
        </is>
      </c>
      <c r="D5" s="3" t="inlineStr">
        <is>
          <t>صنف OD458 (الاسم غير واضح بالسجل)</t>
        </is>
      </c>
      <c r="E5" s="3" t="inlineStr">
        <is>
          <t>EA</t>
        </is>
      </c>
      <c r="F5" s="28" t="n">
        <v>6</v>
      </c>
      <c r="G5" s="3" t="n">
        <v>25</v>
      </c>
      <c r="H5" s="4" t="n">
        <v>172.5</v>
      </c>
      <c r="I5" s="3" t="n">
        <v>1</v>
      </c>
    </row>
    <row r="6">
      <c r="A6" s="5" t="inlineStr"/>
      <c r="B6" s="5" t="inlineStr">
        <is>
          <t>إجمالي ترحيل من تبوك إلى الرياض</t>
        </is>
      </c>
      <c r="C6" s="5" t="inlineStr"/>
      <c r="D6" s="5" t="inlineStr"/>
      <c r="E6" s="5" t="inlineStr"/>
      <c r="F6" s="5">
        <f>SUM(F2:F5)</f>
        <v/>
      </c>
      <c r="G6" s="5" t="inlineStr"/>
      <c r="H6" s="6">
        <f>SUM(H2:H5)</f>
        <v/>
      </c>
      <c r="I6" s="5" t="inlineStr"/>
    </row>
    <row r="7">
      <c r="A7" s="3" t="inlineStr">
        <is>
          <t>RNT</t>
        </is>
      </c>
      <c r="B7" s="3" t="inlineStr">
        <is>
          <t>ترحيل من الرياض إلى تبوك</t>
        </is>
      </c>
      <c r="C7" s="3" t="inlineStr">
        <is>
          <t>RN-ID1501</t>
        </is>
      </c>
      <c r="D7" s="3" t="inlineStr">
        <is>
          <t>ترادسكانتيا ان اس مركن19 سم عالقى</t>
        </is>
      </c>
      <c r="E7" s="3" t="inlineStr">
        <is>
          <t>EA</t>
        </is>
      </c>
      <c r="F7" s="28" t="n">
        <v>270</v>
      </c>
      <c r="G7" s="3" t="n">
        <v>8.5</v>
      </c>
      <c r="H7" s="4" t="n">
        <v>2639.25</v>
      </c>
      <c r="I7" s="3" t="n">
        <v>1</v>
      </c>
    </row>
    <row r="8">
      <c r="A8" s="3" t="inlineStr">
        <is>
          <t>RNT</t>
        </is>
      </c>
      <c r="B8" s="3" t="inlineStr">
        <is>
          <t>ترحيل من الرياض إلى تبوك</t>
        </is>
      </c>
      <c r="C8" s="3" t="inlineStr">
        <is>
          <t>RN-OD561</t>
        </is>
      </c>
      <c r="D8" s="3" t="inlineStr">
        <is>
          <t>زهور مارى جولد</t>
        </is>
      </c>
      <c r="E8" s="3" t="inlineStr">
        <is>
          <t>EA</t>
        </is>
      </c>
      <c r="F8" s="28" t="n">
        <v>2000</v>
      </c>
      <c r="G8" s="3" t="n">
        <v>0.6</v>
      </c>
      <c r="H8" s="4" t="n">
        <v>1380</v>
      </c>
      <c r="I8" s="3" t="n">
        <v>1</v>
      </c>
    </row>
    <row r="9">
      <c r="A9" s="3" t="inlineStr">
        <is>
          <t>RNT</t>
        </is>
      </c>
      <c r="B9" s="3" t="inlineStr">
        <is>
          <t>ترحيل من الرياض إلى تبوك</t>
        </is>
      </c>
      <c r="C9" s="3" t="inlineStr">
        <is>
          <t>RN-OD636</t>
        </is>
      </c>
      <c r="D9" s="3" t="inlineStr">
        <is>
          <t>زهور منثور مركن9 سم</t>
        </is>
      </c>
      <c r="E9" s="3" t="inlineStr">
        <is>
          <t>EA</t>
        </is>
      </c>
      <c r="F9" s="28" t="n">
        <v>150</v>
      </c>
      <c r="G9" s="3" t="n">
        <v>0.55</v>
      </c>
      <c r="H9" s="4" t="n">
        <v>94.88</v>
      </c>
      <c r="I9" s="3" t="n">
        <v>1</v>
      </c>
    </row>
    <row r="10">
      <c r="A10" s="3" t="inlineStr">
        <is>
          <t>RNT</t>
        </is>
      </c>
      <c r="B10" s="3" t="inlineStr">
        <is>
          <t>ترحيل من الرياض إلى تبوك</t>
        </is>
      </c>
      <c r="C10" s="3" t="inlineStr">
        <is>
          <t>RN-OD639</t>
        </is>
      </c>
      <c r="D10" s="3" t="inlineStr">
        <is>
          <t>زهور قرنفل امريكي مركن12 سم</t>
        </is>
      </c>
      <c r="E10" s="3" t="inlineStr">
        <is>
          <t>EA</t>
        </is>
      </c>
      <c r="F10" s="28" t="n">
        <v>90</v>
      </c>
      <c r="G10" s="3" t="n">
        <v>2.5</v>
      </c>
      <c r="H10" s="4" t="n">
        <v>258.75</v>
      </c>
      <c r="I10" s="3" t="n">
        <v>1</v>
      </c>
    </row>
    <row r="11">
      <c r="A11" s="3" t="inlineStr">
        <is>
          <t>RNT</t>
        </is>
      </c>
      <c r="B11" s="3" t="inlineStr">
        <is>
          <t>ترحيل من الرياض إلى تبوك</t>
        </is>
      </c>
      <c r="C11" s="3" t="inlineStr">
        <is>
          <t>RN-OD641</t>
        </is>
      </c>
      <c r="D11" s="3" t="inlineStr">
        <is>
          <t>زهور قرنفل صيني مركن9 سم</t>
        </is>
      </c>
      <c r="E11" s="3" t="inlineStr">
        <is>
          <t>EA</t>
        </is>
      </c>
      <c r="F11" s="28" t="n">
        <v>1000</v>
      </c>
      <c r="G11" s="3" t="n">
        <v>0.6</v>
      </c>
      <c r="H11" s="4" t="n">
        <v>690</v>
      </c>
      <c r="I11" s="3" t="n">
        <v>1</v>
      </c>
    </row>
    <row r="12">
      <c r="A12" s="3" t="inlineStr">
        <is>
          <t>RNT</t>
        </is>
      </c>
      <c r="B12" s="3" t="inlineStr">
        <is>
          <t>ترحيل من الرياض إلى تبوك</t>
        </is>
      </c>
      <c r="C12" s="3" t="inlineStr">
        <is>
          <t>RN-OD643</t>
        </is>
      </c>
      <c r="D12" s="3" t="inlineStr">
        <is>
          <t>زهور سينيراريا مركن12 سم</t>
        </is>
      </c>
      <c r="E12" s="3" t="inlineStr">
        <is>
          <t>EA</t>
        </is>
      </c>
      <c r="F12" s="28" t="n">
        <v>48</v>
      </c>
      <c r="G12" s="3" t="n">
        <v>2.5</v>
      </c>
      <c r="H12" s="4" t="n">
        <v>138</v>
      </c>
      <c r="I12" s="3" t="n">
        <v>1</v>
      </c>
    </row>
    <row r="13">
      <c r="A13" s="3" t="inlineStr">
        <is>
          <t>RNT</t>
        </is>
      </c>
      <c r="B13" s="3" t="inlineStr">
        <is>
          <t>ترحيل من الرياض إلى تبوك</t>
        </is>
      </c>
      <c r="C13" s="3" t="inlineStr">
        <is>
          <t>RN-OD693</t>
        </is>
      </c>
      <c r="D13" s="3" t="inlineStr">
        <is>
          <t>زهور جيرانيوم هولندى مركن12 سم</t>
        </is>
      </c>
      <c r="E13" s="3" t="inlineStr">
        <is>
          <t>EA</t>
        </is>
      </c>
      <c r="F13" s="28" t="n">
        <v>180</v>
      </c>
      <c r="G13" s="3" t="n">
        <v>3</v>
      </c>
      <c r="H13" s="4" t="n">
        <v>621</v>
      </c>
      <c r="I13" s="3" t="n">
        <v>1</v>
      </c>
    </row>
    <row r="14">
      <c r="A14" s="3" t="inlineStr">
        <is>
          <t>RNT</t>
        </is>
      </c>
      <c r="B14" s="3" t="inlineStr">
        <is>
          <t>ترحيل من الرياض إلى تبوك</t>
        </is>
      </c>
      <c r="C14" s="3" t="inlineStr">
        <is>
          <t>RN-OD694</t>
        </is>
      </c>
      <c r="D14" s="3" t="inlineStr">
        <is>
          <t>كالنشو هولندى مركن12 سم</t>
        </is>
      </c>
      <c r="E14" s="3" t="inlineStr">
        <is>
          <t>EA</t>
        </is>
      </c>
      <c r="F14" s="28" t="n">
        <v>1500</v>
      </c>
      <c r="G14" s="3" t="n">
        <v>3</v>
      </c>
      <c r="H14" s="4" t="n">
        <v>5175</v>
      </c>
      <c r="I14" s="3" t="n">
        <v>1</v>
      </c>
    </row>
    <row r="15">
      <c r="A15" s="3" t="inlineStr">
        <is>
          <t>RNT</t>
        </is>
      </c>
      <c r="B15" s="3" t="inlineStr">
        <is>
          <t>ترحيل من الرياض إلى تبوك</t>
        </is>
      </c>
      <c r="C15" s="3" t="inlineStr">
        <is>
          <t>RN-OD695</t>
        </is>
      </c>
      <c r="D15" s="3" t="inlineStr">
        <is>
          <t>زهور اقحوان افريقي هولندى مركن12 سم</t>
        </is>
      </c>
      <c r="E15" s="3" t="inlineStr">
        <is>
          <t>EA</t>
        </is>
      </c>
      <c r="F15" s="28" t="n">
        <v>90</v>
      </c>
      <c r="G15" s="3" t="n">
        <v>3</v>
      </c>
      <c r="H15" s="4" t="n">
        <v>310.5</v>
      </c>
      <c r="I15" s="3" t="n">
        <v>1</v>
      </c>
    </row>
    <row r="16">
      <c r="A16" s="3" t="inlineStr">
        <is>
          <t>RNT</t>
        </is>
      </c>
      <c r="B16" s="3" t="inlineStr">
        <is>
          <t>ترحيل من الرياض إلى تبوك</t>
        </is>
      </c>
      <c r="C16" s="3" t="inlineStr">
        <is>
          <t>RN-OD696</t>
        </is>
      </c>
      <c r="D16" s="3" t="inlineStr">
        <is>
          <t>زهور اقحوان افريقي مركن9 سم</t>
        </is>
      </c>
      <c r="E16" s="3" t="inlineStr">
        <is>
          <t>EA</t>
        </is>
      </c>
      <c r="F16" s="28" t="n">
        <v>150</v>
      </c>
      <c r="G16" s="3" t="n">
        <v>1.5</v>
      </c>
      <c r="H16" s="4" t="n">
        <v>258.75</v>
      </c>
      <c r="I16" s="3" t="n">
        <v>1</v>
      </c>
    </row>
    <row r="17">
      <c r="A17" s="5" t="inlineStr"/>
      <c r="B17" s="5" t="inlineStr">
        <is>
          <t>إجمالي ترحيل من الرياض إلى تبوك</t>
        </is>
      </c>
      <c r="C17" s="5" t="inlineStr"/>
      <c r="D17" s="5" t="inlineStr"/>
      <c r="E17" s="5" t="inlineStr"/>
      <c r="F17" s="5">
        <f>SUM(F7:F16)</f>
        <v/>
      </c>
      <c r="G17" s="5" t="inlineStr"/>
      <c r="H17" s="6">
        <f>SUM(H7:H16)</f>
        <v/>
      </c>
      <c r="I17" s="5" t="inlineStr"/>
    </row>
    <row r="18">
      <c r="A18" s="3" t="inlineStr">
        <is>
          <t>RNP</t>
        </is>
      </c>
      <c r="B18" s="3" t="inlineStr">
        <is>
          <t>ترحيل إلى قسم المشاريع تبوك</t>
        </is>
      </c>
      <c r="C18" s="3" t="inlineStr">
        <is>
          <t>RN-OD411</t>
        </is>
      </c>
      <c r="D18" s="3" t="inlineStr">
        <is>
          <t>ياسمين هندي كبير</t>
        </is>
      </c>
      <c r="E18" s="3" t="inlineStr">
        <is>
          <t>EA</t>
        </is>
      </c>
      <c r="F18" s="28" t="n">
        <v>20</v>
      </c>
      <c r="G18" s="3" t="n">
        <v>32.5</v>
      </c>
      <c r="H18" s="4" t="n">
        <v>747.5</v>
      </c>
      <c r="I18" s="3" t="n">
        <v>1</v>
      </c>
    </row>
    <row r="19">
      <c r="A19" s="3" t="inlineStr">
        <is>
          <t>RNP</t>
        </is>
      </c>
      <c r="B19" s="3" t="inlineStr">
        <is>
          <t>ترحيل إلى قسم المشاريع تبوك</t>
        </is>
      </c>
      <c r="C19" s="3" t="inlineStr">
        <is>
          <t>RN-OD456</t>
        </is>
      </c>
      <c r="D19" s="3" t="inlineStr">
        <is>
          <t>دورانتا اخضر</t>
        </is>
      </c>
      <c r="E19" s="3" t="inlineStr">
        <is>
          <t>EA</t>
        </is>
      </c>
      <c r="F19" s="28" t="n">
        <v>1200</v>
      </c>
      <c r="G19" s="3" t="n">
        <v>2.5</v>
      </c>
      <c r="H19" s="4" t="n">
        <v>3450</v>
      </c>
      <c r="I19" s="3" t="n">
        <v>1</v>
      </c>
    </row>
    <row r="20">
      <c r="A20" s="3" t="inlineStr">
        <is>
          <t>RNP</t>
        </is>
      </c>
      <c r="B20" s="3" t="inlineStr">
        <is>
          <t>ترحيل إلى قسم المشاريع تبوك</t>
        </is>
      </c>
      <c r="C20" s="3" t="inlineStr">
        <is>
          <t>RN-OD560</t>
        </is>
      </c>
      <c r="D20" s="3" t="inlineStr">
        <is>
          <t>زهور بيتونيا</t>
        </is>
      </c>
      <c r="E20" s="3" t="inlineStr">
        <is>
          <t>EA</t>
        </is>
      </c>
      <c r="F20" s="28" t="n">
        <v>9512</v>
      </c>
      <c r="G20" s="3" t="n">
        <v>0.55</v>
      </c>
      <c r="H20" s="4" t="n">
        <v>6016.34</v>
      </c>
      <c r="I20" s="3" t="n">
        <v>4</v>
      </c>
    </row>
    <row r="21">
      <c r="A21" s="3" t="inlineStr">
        <is>
          <t>RNP</t>
        </is>
      </c>
      <c r="B21" s="3" t="inlineStr">
        <is>
          <t>ترحيل إلى قسم المشاريع تبوك</t>
        </is>
      </c>
      <c r="C21" s="3" t="inlineStr">
        <is>
          <t>RN-OD561</t>
        </is>
      </c>
      <c r="D21" s="3" t="inlineStr">
        <is>
          <t>زهور مارى جولد</t>
        </is>
      </c>
      <c r="E21" s="3" t="inlineStr">
        <is>
          <t>EA</t>
        </is>
      </c>
      <c r="F21" s="28" t="n">
        <v>600</v>
      </c>
      <c r="G21" s="3" t="n">
        <v>0.6</v>
      </c>
      <c r="H21" s="4" t="n">
        <v>414</v>
      </c>
      <c r="I21" s="3" t="n">
        <v>1</v>
      </c>
    </row>
    <row r="22">
      <c r="A22" s="3" t="inlineStr">
        <is>
          <t>RNP</t>
        </is>
      </c>
      <c r="B22" s="3" t="inlineStr">
        <is>
          <t>ترحيل إلى قسم المشاريع تبوك</t>
        </is>
      </c>
      <c r="C22" s="3" t="inlineStr">
        <is>
          <t>RN-OD603</t>
        </is>
      </c>
      <c r="D22" s="3" t="inlineStr">
        <is>
          <t>زهور جرانيوم مركن9 سم</t>
        </is>
      </c>
      <c r="E22" s="3" t="inlineStr">
        <is>
          <t>EA</t>
        </is>
      </c>
      <c r="F22" s="28" t="n">
        <v>1400</v>
      </c>
      <c r="G22" s="3" t="n">
        <v>0.9</v>
      </c>
      <c r="H22" s="4" t="n">
        <v>1449</v>
      </c>
      <c r="I22" s="3" t="n">
        <v>1</v>
      </c>
    </row>
    <row r="23">
      <c r="A23" s="3" t="inlineStr">
        <is>
          <t>RNP</t>
        </is>
      </c>
      <c r="B23" s="3" t="inlineStr">
        <is>
          <t>ترحيل إلى قسم المشاريع تبوك</t>
        </is>
      </c>
      <c r="C23" s="3" t="inlineStr">
        <is>
          <t>RN-OD620</t>
        </is>
      </c>
      <c r="D23" s="3" t="inlineStr">
        <is>
          <t>زهور جيرانيوم مركن12 سم</t>
        </is>
      </c>
      <c r="E23" s="3" t="inlineStr">
        <is>
          <t>EA</t>
        </is>
      </c>
      <c r="F23" s="28" t="n">
        <v>17900</v>
      </c>
      <c r="G23" s="3" t="n">
        <v>2</v>
      </c>
      <c r="H23" s="4" t="n">
        <v>41170</v>
      </c>
      <c r="I23" s="3" t="n">
        <v>1</v>
      </c>
    </row>
    <row r="24">
      <c r="A24" s="3" t="inlineStr">
        <is>
          <t>RNP</t>
        </is>
      </c>
      <c r="B24" s="3" t="inlineStr">
        <is>
          <t>ترحيل إلى قسم المشاريع تبوك</t>
        </is>
      </c>
      <c r="C24" s="3" t="inlineStr">
        <is>
          <t>RN-OD634</t>
        </is>
      </c>
      <c r="D24" s="3" t="inlineStr">
        <is>
          <t>زهور ملفوف براسيكا مركن9 سم</t>
        </is>
      </c>
      <c r="E24" s="3" t="inlineStr">
        <is>
          <t>EA</t>
        </is>
      </c>
      <c r="F24" s="28" t="n">
        <v>2312</v>
      </c>
      <c r="G24" s="3" t="n">
        <v>0.55</v>
      </c>
      <c r="H24" s="4" t="n">
        <v>1462.34</v>
      </c>
      <c r="I24" s="3" t="n">
        <v>2</v>
      </c>
    </row>
    <row r="25">
      <c r="A25" s="3" t="inlineStr">
        <is>
          <t>RNP</t>
        </is>
      </c>
      <c r="B25" s="3" t="inlineStr">
        <is>
          <t>ترحيل إلى قسم المشاريع تبوك</t>
        </is>
      </c>
      <c r="C25" s="3" t="inlineStr">
        <is>
          <t>RN-OD636</t>
        </is>
      </c>
      <c r="D25" s="3" t="inlineStr">
        <is>
          <t>زهور منثور مركن9 سم</t>
        </is>
      </c>
      <c r="E25" s="3" t="inlineStr">
        <is>
          <t>EA</t>
        </is>
      </c>
      <c r="F25" s="28" t="n">
        <v>312</v>
      </c>
      <c r="G25" s="3" t="n">
        <v>0.55</v>
      </c>
      <c r="H25" s="4" t="n">
        <v>197.34</v>
      </c>
      <c r="I25" s="3" t="n">
        <v>1</v>
      </c>
    </row>
    <row r="26">
      <c r="A26" s="3" t="inlineStr">
        <is>
          <t>RNP</t>
        </is>
      </c>
      <c r="B26" s="3" t="inlineStr">
        <is>
          <t>ترحيل إلى قسم المشاريع تبوك</t>
        </is>
      </c>
      <c r="C26" s="3" t="inlineStr">
        <is>
          <t>RN-OD637</t>
        </is>
      </c>
      <c r="D26" s="3" t="inlineStr">
        <is>
          <t>زهور سالفيا مركن9 سم</t>
        </is>
      </c>
      <c r="E26" s="3" t="inlineStr">
        <is>
          <t>EA</t>
        </is>
      </c>
      <c r="F26" s="28" t="n">
        <v>312</v>
      </c>
      <c r="G26" s="3" t="n">
        <v>0.55</v>
      </c>
      <c r="H26" s="4" t="n">
        <v>197.34</v>
      </c>
      <c r="I26" s="3" t="n">
        <v>1</v>
      </c>
    </row>
    <row r="27">
      <c r="A27" s="3" t="inlineStr">
        <is>
          <t>RNP</t>
        </is>
      </c>
      <c r="B27" s="3" t="inlineStr">
        <is>
          <t>ترحيل إلى قسم المشاريع تبوك</t>
        </is>
      </c>
      <c r="C27" s="3" t="inlineStr">
        <is>
          <t>RN-OD642</t>
        </is>
      </c>
      <c r="D27" s="3" t="inlineStr">
        <is>
          <t>زهور اليسوم مركن9 سم</t>
        </is>
      </c>
      <c r="E27" s="3" t="inlineStr">
        <is>
          <t>EA</t>
        </is>
      </c>
      <c r="F27" s="28" t="n">
        <v>4700</v>
      </c>
      <c r="G27" s="3" t="n">
        <v>0.55</v>
      </c>
      <c r="H27" s="4" t="n">
        <v>2972.75</v>
      </c>
      <c r="I27" s="3" t="n">
        <v>3</v>
      </c>
    </row>
    <row r="28">
      <c r="A28" s="3" t="inlineStr">
        <is>
          <t>RNP</t>
        </is>
      </c>
      <c r="B28" s="3" t="inlineStr">
        <is>
          <t>ترحيل إلى قسم المشاريع تبوك</t>
        </is>
      </c>
      <c r="C28" s="3" t="inlineStr">
        <is>
          <t>RN-OD695</t>
        </is>
      </c>
      <c r="D28" s="3" t="inlineStr">
        <is>
          <t>زهور اقحوان افريقي هولندى مركن12 سم</t>
        </is>
      </c>
      <c r="E28" s="3" t="inlineStr">
        <is>
          <t>EA</t>
        </is>
      </c>
      <c r="F28" s="28" t="n">
        <v>1785</v>
      </c>
      <c r="G28" s="3" t="n">
        <v>3</v>
      </c>
      <c r="H28" s="4" t="n">
        <v>6158.25</v>
      </c>
      <c r="I28" s="3" t="n">
        <v>1</v>
      </c>
    </row>
    <row r="29">
      <c r="A29" s="5" t="inlineStr"/>
      <c r="B29" s="5" t="inlineStr">
        <is>
          <t>إجمالي ترحيل إلى قسم المشاريع تبوك</t>
        </is>
      </c>
      <c r="C29" s="5" t="inlineStr"/>
      <c r="D29" s="5" t="inlineStr"/>
      <c r="E29" s="5" t="inlineStr"/>
      <c r="F29" s="5">
        <f>SUM(F18:F28)</f>
        <v/>
      </c>
      <c r="G29" s="5" t="inlineStr"/>
      <c r="H29" s="6">
        <f>SUM(H18:H28)</f>
        <v/>
      </c>
      <c r="I29" s="5" t="inlineStr"/>
    </row>
    <row r="30">
      <c r="A30" s="3" t="inlineStr">
        <is>
          <t>RNO</t>
        </is>
      </c>
      <c r="B30" s="3" t="inlineStr">
        <is>
          <t>صرف مواد للإنتاج – مزرعة الرياض</t>
        </is>
      </c>
      <c r="C30" s="3" t="inlineStr">
        <is>
          <t>RN-FR1004</t>
        </is>
      </c>
      <c r="D30" s="3" t="inlineStr">
        <is>
          <t>حديد مخلبي 16 كجم</t>
        </is>
      </c>
      <c r="E30" s="3" t="inlineStr">
        <is>
          <t>EA</t>
        </is>
      </c>
      <c r="F30" s="28" t="n">
        <v>3</v>
      </c>
      <c r="G30" s="3" t="n">
        <v>60</v>
      </c>
      <c r="H30" s="4" t="n">
        <v>207</v>
      </c>
      <c r="I30" s="3" t="n">
        <v>3</v>
      </c>
    </row>
    <row r="31">
      <c r="A31" s="3" t="inlineStr">
        <is>
          <t>RNO</t>
        </is>
      </c>
      <c r="B31" s="3" t="inlineStr">
        <is>
          <t>صرف مواد للإنتاج – مزرعة الرياض</t>
        </is>
      </c>
      <c r="C31" s="3" t="inlineStr">
        <is>
          <t>RN-FR1017</t>
        </is>
      </c>
      <c r="D31" s="3" t="inlineStr">
        <is>
          <t>بوتنج سويل 70 لتر (KLAS)</t>
        </is>
      </c>
      <c r="E31" s="3" t="inlineStr">
        <is>
          <t>EA</t>
        </is>
      </c>
      <c r="F31" s="28" t="n">
        <v>62</v>
      </c>
      <c r="G31" s="3" t="n">
        <v>46</v>
      </c>
      <c r="H31" s="4" t="n">
        <v>3279.8</v>
      </c>
      <c r="I31" s="3" t="n">
        <v>6</v>
      </c>
    </row>
    <row r="32">
      <c r="A32" s="3" t="inlineStr">
        <is>
          <t>RNO</t>
        </is>
      </c>
      <c r="B32" s="3" t="inlineStr">
        <is>
          <t>صرف مواد للإنتاج – مزرعة الرياض</t>
        </is>
      </c>
      <c r="C32" s="3" t="inlineStr">
        <is>
          <t>RN-FR1018</t>
        </is>
      </c>
      <c r="D32" s="3" t="inlineStr">
        <is>
          <t>فيرموكلايت 100 لتر</t>
        </is>
      </c>
      <c r="E32" s="3" t="inlineStr">
        <is>
          <t>EA</t>
        </is>
      </c>
      <c r="F32" s="28" t="n">
        <v>7</v>
      </c>
      <c r="G32" s="3" t="n">
        <v>75</v>
      </c>
      <c r="H32" s="4" t="n">
        <v>603.75</v>
      </c>
      <c r="I32" s="3" t="n">
        <v>4</v>
      </c>
    </row>
    <row r="33">
      <c r="A33" s="3" t="inlineStr">
        <is>
          <t>RNO</t>
        </is>
      </c>
      <c r="B33" s="3" t="inlineStr">
        <is>
          <t>صرف مواد للإنتاج – مزرعة الرياض</t>
        </is>
      </c>
      <c r="C33" s="3" t="inlineStr">
        <is>
          <t>RN-FR1023</t>
        </is>
      </c>
      <c r="D33" s="3" t="inlineStr">
        <is>
          <t>سماد سنجر 20-20-20 + ع ن (25 كجم)</t>
        </is>
      </c>
      <c r="E33" s="3" t="inlineStr">
        <is>
          <t>EA</t>
        </is>
      </c>
      <c r="F33" s="28" t="n">
        <v>1</v>
      </c>
      <c r="G33" s="3" t="n">
        <v>280</v>
      </c>
      <c r="H33" s="4" t="n">
        <v>322</v>
      </c>
      <c r="I33" s="3" t="n">
        <v>1</v>
      </c>
    </row>
    <row r="34">
      <c r="A34" s="3" t="inlineStr">
        <is>
          <t>RNO</t>
        </is>
      </c>
      <c r="B34" s="3" t="inlineStr">
        <is>
          <t>صرف مواد للإنتاج – مزرعة الرياض</t>
        </is>
      </c>
      <c r="C34" s="3" t="inlineStr">
        <is>
          <t>RN-FR1033</t>
        </is>
      </c>
      <c r="D34" s="3" t="inlineStr">
        <is>
          <t>بيتموس تي اس مخصب 210 لتر</t>
        </is>
      </c>
      <c r="E34" s="3" t="inlineStr">
        <is>
          <t>EA</t>
        </is>
      </c>
      <c r="F34" s="28" t="n">
        <v>85</v>
      </c>
      <c r="G34" s="3" t="n">
        <v>101.5</v>
      </c>
      <c r="H34" s="4" t="n">
        <v>9921.620000000001</v>
      </c>
      <c r="I34" s="3" t="n">
        <v>7</v>
      </c>
    </row>
    <row r="35">
      <c r="A35" s="3" t="inlineStr">
        <is>
          <t>RNO</t>
        </is>
      </c>
      <c r="B35" s="3" t="inlineStr">
        <is>
          <t>صرف مواد للإنتاج – مزرعة الرياض</t>
        </is>
      </c>
      <c r="C35" s="3" t="inlineStr">
        <is>
          <t>RN-FR368</t>
        </is>
      </c>
      <c r="D35" s="3" t="inlineStr">
        <is>
          <t>بيرلايت 100 لتر</t>
        </is>
      </c>
      <c r="E35" s="3" t="inlineStr">
        <is>
          <t>EA</t>
        </is>
      </c>
      <c r="F35" s="28" t="n">
        <v>26</v>
      </c>
      <c r="G35" s="3" t="n">
        <v>32.5</v>
      </c>
      <c r="H35" s="4" t="n">
        <v>971.75</v>
      </c>
      <c r="I35" s="3" t="n">
        <v>7</v>
      </c>
    </row>
    <row r="36">
      <c r="A36" s="3" t="inlineStr">
        <is>
          <t>RNO</t>
        </is>
      </c>
      <c r="B36" s="3" t="inlineStr">
        <is>
          <t>صرف مواد للإنتاج – مزرعة الرياض</t>
        </is>
      </c>
      <c r="C36" s="3" t="inlineStr">
        <is>
          <t>RN-ID1503</t>
        </is>
      </c>
      <c r="D36" s="3" t="inlineStr">
        <is>
          <t>هيدرا ان اس مركن9 سم</t>
        </is>
      </c>
      <c r="E36" s="3" t="inlineStr">
        <is>
          <t>EA</t>
        </is>
      </c>
      <c r="F36" s="28" t="n">
        <v>350</v>
      </c>
      <c r="G36" s="3" t="n">
        <v>2</v>
      </c>
      <c r="H36" s="4" t="n">
        <v>805</v>
      </c>
      <c r="I36" s="3" t="n">
        <v>1</v>
      </c>
    </row>
    <row r="37">
      <c r="A37" s="3" t="inlineStr">
        <is>
          <t>RNO</t>
        </is>
      </c>
      <c r="B37" s="3" t="inlineStr">
        <is>
          <t>صرف مواد للإنتاج – مزرعة الرياض</t>
        </is>
      </c>
      <c r="C37" s="3" t="inlineStr">
        <is>
          <t>RN-PL1</t>
        </is>
      </c>
      <c r="D37" s="3" t="inlineStr">
        <is>
          <t>مركن زراعي خفيف ملون 9 سم</t>
        </is>
      </c>
      <c r="E37" s="3" t="inlineStr">
        <is>
          <t>EA</t>
        </is>
      </c>
      <c r="F37" s="28" t="n">
        <v>64000</v>
      </c>
      <c r="G37" s="3" t="n">
        <v>0.06</v>
      </c>
      <c r="H37" s="4" t="n">
        <v>4140</v>
      </c>
      <c r="I37" s="3" t="n">
        <v>4</v>
      </c>
    </row>
    <row r="38">
      <c r="A38" s="3" t="inlineStr">
        <is>
          <t>RNO</t>
        </is>
      </c>
      <c r="B38" s="3" t="inlineStr">
        <is>
          <t>صرف مواد للإنتاج – مزرعة الرياض</t>
        </is>
      </c>
      <c r="C38" s="3" t="inlineStr">
        <is>
          <t>RN-PL12</t>
        </is>
      </c>
      <c r="D38" s="3" t="inlineStr">
        <is>
          <t>صندوق فلين للزهور</t>
        </is>
      </c>
      <c r="E38" s="3" t="inlineStr">
        <is>
          <t>EA</t>
        </is>
      </c>
      <c r="F38" s="28" t="n">
        <v>11705</v>
      </c>
      <c r="G38" s="3" t="n">
        <v>4</v>
      </c>
      <c r="H38" s="4" t="n">
        <v>53843</v>
      </c>
      <c r="I38" s="3" t="n">
        <v>8</v>
      </c>
    </row>
    <row r="39">
      <c r="A39" s="3" t="inlineStr">
        <is>
          <t>RNO</t>
        </is>
      </c>
      <c r="B39" s="3" t="inlineStr">
        <is>
          <t>صرف مواد للإنتاج – مزرعة الرياض</t>
        </is>
      </c>
      <c r="C39" s="3" t="inlineStr">
        <is>
          <t>RN-PL14</t>
        </is>
      </c>
      <c r="D39" s="3" t="inlineStr">
        <is>
          <t>مركن زراعي علاقي 19 سم</t>
        </is>
      </c>
      <c r="E39" s="3" t="inlineStr">
        <is>
          <t>EA</t>
        </is>
      </c>
      <c r="F39" s="28" t="n">
        <v>750</v>
      </c>
      <c r="G39" s="3" t="n">
        <v>2.5</v>
      </c>
      <c r="H39" s="4" t="n">
        <v>2156.25</v>
      </c>
      <c r="I39" s="3" t="n">
        <v>1</v>
      </c>
    </row>
    <row r="40">
      <c r="A40" s="3" t="inlineStr">
        <is>
          <t>RNO</t>
        </is>
      </c>
      <c r="B40" s="3" t="inlineStr">
        <is>
          <t>صرف مواد للإنتاج – مزرعة الرياض</t>
        </is>
      </c>
      <c r="C40" s="3" t="inlineStr">
        <is>
          <t>RN-PL9</t>
        </is>
      </c>
      <c r="D40" s="3" t="inlineStr">
        <is>
          <t>مركن زراعي 40 سم</t>
        </is>
      </c>
      <c r="E40" s="3" t="inlineStr">
        <is>
          <t>EA</t>
        </is>
      </c>
      <c r="F40" s="28" t="n">
        <v>1484</v>
      </c>
      <c r="G40" s="3" t="n">
        <v>4.5</v>
      </c>
      <c r="H40" s="4" t="n">
        <v>7679.7</v>
      </c>
      <c r="I40" s="3" t="n">
        <v>2</v>
      </c>
    </row>
    <row r="41">
      <c r="A41" s="3" t="inlineStr">
        <is>
          <t>RNO</t>
        </is>
      </c>
      <c r="B41" s="3" t="inlineStr">
        <is>
          <t>صرف مواد للإنتاج – مزرعة الرياض</t>
        </is>
      </c>
      <c r="C41" s="3" t="inlineStr">
        <is>
          <t>RN-SE100</t>
        </is>
      </c>
      <c r="D41" s="3" t="inlineStr">
        <is>
          <t>بذور فينكا فيكتوري أبيض</t>
        </is>
      </c>
      <c r="E41" s="3" t="inlineStr">
        <is>
          <t>EA</t>
        </is>
      </c>
      <c r="F41" s="28" t="n">
        <v>60000</v>
      </c>
      <c r="G41" s="3" t="n">
        <v>0.035</v>
      </c>
      <c r="H41" s="4" t="n">
        <v>2415</v>
      </c>
      <c r="I41" s="3" t="n">
        <v>2</v>
      </c>
    </row>
    <row r="42">
      <c r="A42" s="3" t="inlineStr">
        <is>
          <t>RNO</t>
        </is>
      </c>
      <c r="B42" s="3" t="inlineStr">
        <is>
          <t>صرف مواد للإنتاج – مزرعة الرياض</t>
        </is>
      </c>
      <c r="C42" s="3" t="inlineStr">
        <is>
          <t>RN-SE101</t>
        </is>
      </c>
      <c r="D42" s="3" t="inlineStr">
        <is>
          <t>جذور فينكا باسيفيكا أحمر داكن</t>
        </is>
      </c>
      <c r="E42" s="3" t="inlineStr">
        <is>
          <t>EA</t>
        </is>
      </c>
      <c r="F42" s="28" t="n">
        <v>30000</v>
      </c>
      <c r="G42" s="3" t="n">
        <v>0.035</v>
      </c>
      <c r="H42" s="4" t="n">
        <v>1207.5</v>
      </c>
      <c r="I42" s="3" t="n">
        <v>1</v>
      </c>
    </row>
    <row r="43">
      <c r="A43" s="3" t="inlineStr">
        <is>
          <t>RNO</t>
        </is>
      </c>
      <c r="B43" s="3" t="inlineStr">
        <is>
          <t>صرف مواد للإنتاج – مزرعة الرياض</t>
        </is>
      </c>
      <c r="C43" s="3" t="inlineStr">
        <is>
          <t>RN-SE102</t>
        </is>
      </c>
      <c r="D43" s="3" t="inlineStr">
        <is>
          <t>جذور فينكا فيكتوري أحمر</t>
        </is>
      </c>
      <c r="E43" s="3" t="inlineStr">
        <is>
          <t>EA</t>
        </is>
      </c>
      <c r="F43" s="28" t="n">
        <v>30000</v>
      </c>
      <c r="G43" s="3" t="n">
        <v>0.035</v>
      </c>
      <c r="H43" s="4" t="n">
        <v>1207.5</v>
      </c>
      <c r="I43" s="3" t="n">
        <v>1</v>
      </c>
    </row>
    <row r="44">
      <c r="A44" s="3" t="inlineStr">
        <is>
          <t>RNO</t>
        </is>
      </c>
      <c r="B44" s="3" t="inlineStr">
        <is>
          <t>صرف مواد للإنتاج – مزرعة الرياض</t>
        </is>
      </c>
      <c r="C44" s="3" t="inlineStr">
        <is>
          <t>RN-SE103</t>
        </is>
      </c>
      <c r="D44" s="3" t="inlineStr">
        <is>
          <t>جذور فينكا باسيفيكا أوركيد عميق</t>
        </is>
      </c>
      <c r="E44" s="3" t="inlineStr">
        <is>
          <t>EA</t>
        </is>
      </c>
      <c r="F44" s="28" t="n">
        <v>40000</v>
      </c>
      <c r="G44" s="3" t="n">
        <v>0.035</v>
      </c>
      <c r="H44" s="4" t="n">
        <v>1610</v>
      </c>
      <c r="I44" s="3" t="n">
        <v>2</v>
      </c>
    </row>
    <row r="45">
      <c r="A45" s="3" t="inlineStr">
        <is>
          <t>RNO</t>
        </is>
      </c>
      <c r="B45" s="3" t="inlineStr">
        <is>
          <t>صرف مواد للإنتاج – مزرعة الرياض</t>
        </is>
      </c>
      <c r="C45" s="3" t="inlineStr">
        <is>
          <t>RN-SE104</t>
        </is>
      </c>
      <c r="D45" s="3" t="inlineStr">
        <is>
          <t>جذور فينكا باسيفيكا برغندي</t>
        </is>
      </c>
      <c r="E45" s="3" t="inlineStr">
        <is>
          <t>EA</t>
        </is>
      </c>
      <c r="F45" s="28" t="n">
        <v>20000</v>
      </c>
      <c r="G45" s="3" t="n">
        <v>0.035</v>
      </c>
      <c r="H45" s="4" t="n">
        <v>805</v>
      </c>
      <c r="I45" s="3" t="n">
        <v>2</v>
      </c>
    </row>
    <row r="46">
      <c r="A46" s="3" t="inlineStr">
        <is>
          <t>RNO</t>
        </is>
      </c>
      <c r="B46" s="3" t="inlineStr">
        <is>
          <t>صرف مواد للإنتاج – مزرعة الرياض</t>
        </is>
      </c>
      <c r="C46" s="3" t="inlineStr">
        <is>
          <t>RN-SE105</t>
        </is>
      </c>
      <c r="D46" s="3" t="inlineStr">
        <is>
          <t>جذور فينكا باسيفيكا برغندي هالو</t>
        </is>
      </c>
      <c r="E46" s="3" t="inlineStr">
        <is>
          <t>EA</t>
        </is>
      </c>
      <c r="F46" s="28" t="n">
        <v>20000</v>
      </c>
      <c r="G46" s="3" t="n">
        <v>0.035</v>
      </c>
      <c r="H46" s="4" t="n">
        <v>805</v>
      </c>
      <c r="I46" s="3" t="n">
        <v>2</v>
      </c>
    </row>
    <row r="47">
      <c r="A47" s="3" t="inlineStr">
        <is>
          <t>RNO</t>
        </is>
      </c>
      <c r="B47" s="3" t="inlineStr">
        <is>
          <t>صرف مواد للإنتاج – مزرعة الرياض</t>
        </is>
      </c>
      <c r="C47" s="3" t="inlineStr">
        <is>
          <t>RN-SE106</t>
        </is>
      </c>
      <c r="D47" s="3" t="inlineStr">
        <is>
          <t>بذور فينكا باسيفيكا أحمر</t>
        </is>
      </c>
      <c r="E47" s="3" t="inlineStr">
        <is>
          <t>EA</t>
        </is>
      </c>
      <c r="F47" s="28" t="n">
        <v>20000</v>
      </c>
      <c r="G47" s="3" t="n">
        <v>0.035</v>
      </c>
      <c r="H47" s="4" t="n">
        <v>805</v>
      </c>
      <c r="I47" s="3" t="n">
        <v>2</v>
      </c>
    </row>
    <row r="48">
      <c r="A48" s="3" t="inlineStr">
        <is>
          <t>RNO</t>
        </is>
      </c>
      <c r="B48" s="3" t="inlineStr">
        <is>
          <t>صرف مواد للإنتاج – مزرعة الرياض</t>
        </is>
      </c>
      <c r="C48" s="3" t="inlineStr">
        <is>
          <t>RN-SE107</t>
        </is>
      </c>
      <c r="D48" s="3" t="inlineStr">
        <is>
          <t>بذور فينكا باسيفيكا مشمشي</t>
        </is>
      </c>
      <c r="E48" s="3" t="inlineStr">
        <is>
          <t>EA</t>
        </is>
      </c>
      <c r="F48" s="28" t="n">
        <v>20000</v>
      </c>
      <c r="G48" s="3" t="n">
        <v>0.035</v>
      </c>
      <c r="H48" s="4" t="n">
        <v>805</v>
      </c>
      <c r="I48" s="3" t="n">
        <v>2</v>
      </c>
    </row>
    <row r="49">
      <c r="A49" s="3" t="inlineStr">
        <is>
          <t>RNO</t>
        </is>
      </c>
      <c r="B49" s="3" t="inlineStr">
        <is>
          <t>صرف مواد للإنتاج – مزرعة الرياض</t>
        </is>
      </c>
      <c r="C49" s="3" t="inlineStr">
        <is>
          <t>RN-SE108</t>
        </is>
      </c>
      <c r="D49" s="3" t="inlineStr">
        <is>
          <t>جذور فينكا من ستورم مشمشي</t>
        </is>
      </c>
      <c r="E49" s="3" t="inlineStr">
        <is>
          <t>EA</t>
        </is>
      </c>
      <c r="F49" s="28" t="n">
        <v>10000</v>
      </c>
      <c r="G49" s="3" t="n">
        <v>0.03</v>
      </c>
      <c r="H49" s="4" t="n">
        <v>345</v>
      </c>
      <c r="I49" s="3" t="n">
        <v>1</v>
      </c>
    </row>
    <row r="50">
      <c r="A50" s="3" t="inlineStr">
        <is>
          <t>RNO</t>
        </is>
      </c>
      <c r="B50" s="3" t="inlineStr">
        <is>
          <t>صرف مواد للإنتاج – مزرعة الرياض</t>
        </is>
      </c>
      <c r="C50" s="3" t="inlineStr">
        <is>
          <t>RN-SE109</t>
        </is>
      </c>
      <c r="D50" s="3" t="inlineStr">
        <is>
          <t>جذور فينكا باسيفيكا بولكا دوت</t>
        </is>
      </c>
      <c r="E50" s="3" t="inlineStr">
        <is>
          <t>EA</t>
        </is>
      </c>
      <c r="F50" s="28" t="n">
        <v>10000</v>
      </c>
      <c r="G50" s="3" t="n">
        <v>0.035</v>
      </c>
      <c r="H50" s="4" t="n">
        <v>402.5</v>
      </c>
      <c r="I50" s="3" t="n">
        <v>1</v>
      </c>
    </row>
    <row r="51">
      <c r="A51" s="3" t="inlineStr">
        <is>
          <t>RNO</t>
        </is>
      </c>
      <c r="B51" s="3" t="inlineStr">
        <is>
          <t>صرف مواد للإنتاج – مزرعة الرياض</t>
        </is>
      </c>
      <c r="C51" s="3" t="inlineStr">
        <is>
          <t>RN-SE111</t>
        </is>
      </c>
      <c r="D51" s="3" t="inlineStr">
        <is>
          <t>بذور أمارانتس</t>
        </is>
      </c>
      <c r="E51" s="3" t="inlineStr">
        <is>
          <t>EA</t>
        </is>
      </c>
      <c r="F51" s="28" t="n">
        <v>5000</v>
      </c>
      <c r="G51" s="3" t="n">
        <v>0.01</v>
      </c>
      <c r="H51" s="4" t="n">
        <v>57.5</v>
      </c>
      <c r="I51" s="3" t="n">
        <v>1</v>
      </c>
    </row>
    <row r="52">
      <c r="A52" s="3" t="inlineStr">
        <is>
          <t>RNO</t>
        </is>
      </c>
      <c r="B52" s="3" t="inlineStr">
        <is>
          <t>صرف مواد للإنتاج – مزرعة الرياض</t>
        </is>
      </c>
      <c r="C52" s="3" t="inlineStr">
        <is>
          <t>RN-SE112</t>
        </is>
      </c>
      <c r="D52" s="3" t="inlineStr">
        <is>
          <t>بذور زينيا بروفيوجن أبيض</t>
        </is>
      </c>
      <c r="E52" s="3" t="inlineStr">
        <is>
          <t>EA</t>
        </is>
      </c>
      <c r="F52" s="28" t="n">
        <v>5000</v>
      </c>
      <c r="G52" s="3" t="n">
        <v>0.15</v>
      </c>
      <c r="H52" s="4" t="n">
        <v>862.5</v>
      </c>
      <c r="I52" s="3" t="n">
        <v>1</v>
      </c>
    </row>
    <row r="53">
      <c r="A53" s="3" t="inlineStr">
        <is>
          <t>RNO</t>
        </is>
      </c>
      <c r="B53" s="3" t="inlineStr">
        <is>
          <t>صرف مواد للإنتاج – مزرعة الرياض</t>
        </is>
      </c>
      <c r="C53" s="3" t="inlineStr">
        <is>
          <t>RN-SE113</t>
        </is>
      </c>
      <c r="D53" s="3" t="inlineStr">
        <is>
          <t>بذور زينيا بروفيوجن أحمر</t>
        </is>
      </c>
      <c r="E53" s="3" t="inlineStr">
        <is>
          <t>EA</t>
        </is>
      </c>
      <c r="F53" s="28" t="n">
        <v>5000</v>
      </c>
      <c r="G53" s="3" t="n">
        <v>0.15</v>
      </c>
      <c r="H53" s="4" t="n">
        <v>862.5</v>
      </c>
      <c r="I53" s="3" t="n">
        <v>1</v>
      </c>
    </row>
    <row r="54">
      <c r="A54" s="3" t="inlineStr">
        <is>
          <t>RNO</t>
        </is>
      </c>
      <c r="B54" s="3" t="inlineStr">
        <is>
          <t>صرف مواد للإنتاج – مزرعة الرياض</t>
        </is>
      </c>
      <c r="C54" s="3" t="inlineStr">
        <is>
          <t>RN-SE114</t>
        </is>
      </c>
      <c r="D54" s="3" t="inlineStr">
        <is>
          <t>بذور زينيا بروفيوجن أصفر</t>
        </is>
      </c>
      <c r="E54" s="3" t="inlineStr">
        <is>
          <t>EA</t>
        </is>
      </c>
      <c r="F54" s="28" t="n">
        <v>5000</v>
      </c>
      <c r="G54" s="3" t="n">
        <v>0.15</v>
      </c>
      <c r="H54" s="4" t="n">
        <v>862.5</v>
      </c>
      <c r="I54" s="3" t="n">
        <v>1</v>
      </c>
    </row>
    <row r="55">
      <c r="A55" s="3" t="inlineStr">
        <is>
          <t>RNO</t>
        </is>
      </c>
      <c r="B55" s="3" t="inlineStr">
        <is>
          <t>صرف مواد للإنتاج – مزرعة الرياض</t>
        </is>
      </c>
      <c r="C55" s="3" t="inlineStr">
        <is>
          <t>RN-SE115</t>
        </is>
      </c>
      <c r="D55" s="3" t="inlineStr">
        <is>
          <t>بذور زينيا بروفيوجن برتقالي</t>
        </is>
      </c>
      <c r="E55" s="3" t="inlineStr">
        <is>
          <t>EA</t>
        </is>
      </c>
      <c r="F55" s="28" t="n">
        <v>5000</v>
      </c>
      <c r="G55" s="3" t="n">
        <v>0.15</v>
      </c>
      <c r="H55" s="4" t="n">
        <v>862.5</v>
      </c>
      <c r="I55" s="3" t="n">
        <v>1</v>
      </c>
    </row>
    <row r="56">
      <c r="A56" s="3" t="inlineStr">
        <is>
          <t>RNO</t>
        </is>
      </c>
      <c r="B56" s="3" t="inlineStr">
        <is>
          <t>صرف مواد للإنتاج – مزرعة الرياض</t>
        </is>
      </c>
      <c r="C56" s="3" t="inlineStr">
        <is>
          <t>RN-SE116</t>
        </is>
      </c>
      <c r="D56" s="3" t="inlineStr">
        <is>
          <t>بذور زينيا بروفيوجن ناري</t>
        </is>
      </c>
      <c r="E56" s="3" t="inlineStr">
        <is>
          <t>EA</t>
        </is>
      </c>
      <c r="F56" s="28" t="n">
        <v>5000</v>
      </c>
      <c r="G56" s="3" t="n">
        <v>0.15</v>
      </c>
      <c r="H56" s="4" t="n">
        <v>862.5</v>
      </c>
      <c r="I56" s="3" t="n">
        <v>1</v>
      </c>
    </row>
    <row r="57">
      <c r="A57" s="3" t="inlineStr">
        <is>
          <t>RNO</t>
        </is>
      </c>
      <c r="B57" s="3" t="inlineStr">
        <is>
          <t>صرف مواد للإنتاج – مزرعة الرياض</t>
        </is>
      </c>
      <c r="C57" s="3" t="inlineStr">
        <is>
          <t>RN-SE117</t>
        </is>
      </c>
      <c r="D57" s="3" t="inlineStr">
        <is>
          <t>بذور زينيا بروفيوجن ليموني</t>
        </is>
      </c>
      <c r="E57" s="3" t="inlineStr">
        <is>
          <t>EA</t>
        </is>
      </c>
      <c r="F57" s="28" t="n">
        <v>5000</v>
      </c>
      <c r="G57" s="3" t="n">
        <v>0.15</v>
      </c>
      <c r="H57" s="4" t="n">
        <v>862.5</v>
      </c>
      <c r="I57" s="3" t="n">
        <v>1</v>
      </c>
    </row>
    <row r="58">
      <c r="A58" s="3" t="inlineStr">
        <is>
          <t>RNO</t>
        </is>
      </c>
      <c r="B58" s="3" t="inlineStr">
        <is>
          <t>صرف مواد للإنتاج – مزرعة الرياض</t>
        </is>
      </c>
      <c r="C58" s="3" t="inlineStr">
        <is>
          <t>RN-SE118</t>
        </is>
      </c>
      <c r="D58" s="3" t="inlineStr">
        <is>
          <t>بذور زينيا بروفيوجن كرزي</t>
        </is>
      </c>
      <c r="E58" s="3" t="inlineStr">
        <is>
          <t>EA</t>
        </is>
      </c>
      <c r="F58" s="28" t="n">
        <v>5000</v>
      </c>
      <c r="G58" s="3" t="n">
        <v>0.15</v>
      </c>
      <c r="H58" s="4" t="n">
        <v>862.5</v>
      </c>
      <c r="I58" s="3" t="n">
        <v>1</v>
      </c>
    </row>
    <row r="59">
      <c r="A59" s="3" t="inlineStr">
        <is>
          <t>RNO</t>
        </is>
      </c>
      <c r="B59" s="3" t="inlineStr">
        <is>
          <t>صرف مواد للإنتاج – مزرعة الرياض</t>
        </is>
      </c>
      <c r="C59" s="3" t="inlineStr">
        <is>
          <t>RN-SE119</t>
        </is>
      </c>
      <c r="D59" s="3" t="inlineStr">
        <is>
          <t>بذور زينيا بروفيوجن كرزي ثنائي اللون</t>
        </is>
      </c>
      <c r="E59" s="3" t="inlineStr">
        <is>
          <t>EA</t>
        </is>
      </c>
      <c r="F59" s="28" t="n">
        <v>5000</v>
      </c>
      <c r="G59" s="3" t="n">
        <v>0.15</v>
      </c>
      <c r="H59" s="4" t="n">
        <v>862.5</v>
      </c>
      <c r="I59" s="3" t="n">
        <v>1</v>
      </c>
    </row>
    <row r="60">
      <c r="A60" s="3" t="inlineStr">
        <is>
          <t>RNO</t>
        </is>
      </c>
      <c r="B60" s="3" t="inlineStr">
        <is>
          <t>صرف مواد للإنتاج – مزرعة الرياض</t>
        </is>
      </c>
      <c r="C60" s="3" t="inlineStr">
        <is>
          <t>RN-SE120</t>
        </is>
      </c>
      <c r="D60" s="3" t="inlineStr">
        <is>
          <t>بذور زينيا بروفيوجن أحمر وأأصفر ثنائي اللون</t>
        </is>
      </c>
      <c r="E60" s="3" t="inlineStr">
        <is>
          <t>EA</t>
        </is>
      </c>
      <c r="F60" s="28" t="n">
        <v>5000</v>
      </c>
      <c r="G60" s="3" t="n">
        <v>0.15</v>
      </c>
      <c r="H60" s="4" t="n">
        <v>862.5</v>
      </c>
      <c r="I60" s="3" t="n">
        <v>1</v>
      </c>
    </row>
    <row r="61">
      <c r="A61" s="3" t="inlineStr">
        <is>
          <t>RNO</t>
        </is>
      </c>
      <c r="B61" s="3" t="inlineStr">
        <is>
          <t>صرف مواد للإنتاج – مزرعة الرياض</t>
        </is>
      </c>
      <c r="C61" s="3" t="inlineStr">
        <is>
          <t>RN-SE121</t>
        </is>
      </c>
      <c r="D61" s="3" t="inlineStr">
        <is>
          <t>بذور زينيا بروفيوجن مزدوج أبيض</t>
        </is>
      </c>
      <c r="E61" s="3" t="inlineStr">
        <is>
          <t>EA</t>
        </is>
      </c>
      <c r="F61" s="28" t="n">
        <v>5000</v>
      </c>
      <c r="G61" s="3" t="n">
        <v>0.15</v>
      </c>
      <c r="H61" s="4" t="n">
        <v>862.5</v>
      </c>
      <c r="I61" s="3" t="n">
        <v>1</v>
      </c>
    </row>
    <row r="62">
      <c r="A62" s="3" t="inlineStr">
        <is>
          <t>RNO</t>
        </is>
      </c>
      <c r="B62" s="3" t="inlineStr">
        <is>
          <t>صرف مواد للإنتاج – مزرعة الرياض</t>
        </is>
      </c>
      <c r="C62" s="3" t="inlineStr">
        <is>
          <t>RN-SE122</t>
        </is>
      </c>
      <c r="D62" s="3" t="inlineStr">
        <is>
          <t>بذور زينيا بروفيوجن مزدوج أحمر</t>
        </is>
      </c>
      <c r="E62" s="3" t="inlineStr">
        <is>
          <t>EA</t>
        </is>
      </c>
      <c r="F62" s="28" t="n">
        <v>5000</v>
      </c>
      <c r="G62" s="3" t="n">
        <v>0.15</v>
      </c>
      <c r="H62" s="4" t="n">
        <v>862.5</v>
      </c>
      <c r="I62" s="3" t="n">
        <v>1</v>
      </c>
    </row>
    <row r="63">
      <c r="A63" s="3" t="inlineStr">
        <is>
          <t>RNO</t>
        </is>
      </c>
      <c r="B63" s="3" t="inlineStr">
        <is>
          <t>صرف مواد للإنتاج – مزرعة الرياض</t>
        </is>
      </c>
      <c r="C63" s="3" t="inlineStr">
        <is>
          <t>RN-SE123</t>
        </is>
      </c>
      <c r="D63" s="3" t="inlineStr">
        <is>
          <t>بذور زينيا بروفيوجن مزدوج أصفر</t>
        </is>
      </c>
      <c r="E63" s="3" t="inlineStr">
        <is>
          <t>EA</t>
        </is>
      </c>
      <c r="F63" s="28" t="n">
        <v>5000</v>
      </c>
      <c r="G63" s="3" t="n">
        <v>0.15</v>
      </c>
      <c r="H63" s="4" t="n">
        <v>862.5</v>
      </c>
      <c r="I63" s="3" t="n">
        <v>1</v>
      </c>
    </row>
    <row r="64">
      <c r="A64" s="3" t="inlineStr">
        <is>
          <t>RNO</t>
        </is>
      </c>
      <c r="B64" s="3" t="inlineStr">
        <is>
          <t>صرف مواد للإنتاج – مزرعة الرياض</t>
        </is>
      </c>
      <c r="C64" s="3" t="inlineStr">
        <is>
          <t>RN-SE124</t>
        </is>
      </c>
      <c r="D64" s="3" t="inlineStr">
        <is>
          <t>بذور زينيا بروفيوجن مزدوج ناري</t>
        </is>
      </c>
      <c r="E64" s="3" t="inlineStr">
        <is>
          <t>EA</t>
        </is>
      </c>
      <c r="F64" s="28" t="n">
        <v>5000</v>
      </c>
      <c r="G64" s="3" t="n">
        <v>0.15</v>
      </c>
      <c r="H64" s="4" t="n">
        <v>862.5</v>
      </c>
      <c r="I64" s="3" t="n">
        <v>1</v>
      </c>
    </row>
    <row r="65">
      <c r="A65" s="3" t="inlineStr">
        <is>
          <t>RNO</t>
        </is>
      </c>
      <c r="B65" s="3" t="inlineStr">
        <is>
          <t>صرف مواد للإنتاج – مزرعة الرياض</t>
        </is>
      </c>
      <c r="C65" s="3" t="inlineStr">
        <is>
          <t>RN-SE125</t>
        </is>
      </c>
      <c r="D65" s="3" t="inlineStr">
        <is>
          <t>بذور زينيا بروفيوجن مزدوج كرزي حار</t>
        </is>
      </c>
      <c r="E65" s="3" t="inlineStr">
        <is>
          <t>EA</t>
        </is>
      </c>
      <c r="F65" s="28" t="n">
        <v>5000</v>
      </c>
      <c r="G65" s="3" t="n">
        <v>0.15</v>
      </c>
      <c r="H65" s="4" t="n">
        <v>862.5</v>
      </c>
      <c r="I65" s="3" t="n">
        <v>1</v>
      </c>
    </row>
    <row r="66">
      <c r="A66" s="3" t="inlineStr">
        <is>
          <t>RNO</t>
        </is>
      </c>
      <c r="B66" s="3" t="inlineStr">
        <is>
          <t>صرف مواد للإنتاج – مزرعة الرياض</t>
        </is>
      </c>
      <c r="C66" s="3" t="inlineStr">
        <is>
          <t>RN-SE126</t>
        </is>
      </c>
      <c r="D66" s="3" t="inlineStr">
        <is>
          <t>جذور جازانيا كيس أبيض</t>
        </is>
      </c>
      <c r="E66" s="3" t="inlineStr">
        <is>
          <t>EA</t>
        </is>
      </c>
      <c r="F66" s="28" t="n">
        <v>5000</v>
      </c>
      <c r="G66" s="3" t="n">
        <v>0.095</v>
      </c>
      <c r="H66" s="4" t="n">
        <v>546.25</v>
      </c>
      <c r="I66" s="3" t="n">
        <v>1</v>
      </c>
    </row>
    <row r="67">
      <c r="A67" s="3" t="inlineStr">
        <is>
          <t>RNO</t>
        </is>
      </c>
      <c r="B67" s="3" t="inlineStr">
        <is>
          <t>صرف مواد للإنتاج – مزرعة الرياض</t>
        </is>
      </c>
      <c r="C67" s="3" t="inlineStr">
        <is>
          <t>RN-SE127</t>
        </is>
      </c>
      <c r="D67" s="3" t="inlineStr">
        <is>
          <t>بذور جازانيا كيس برتقالي</t>
        </is>
      </c>
      <c r="E67" s="3" t="inlineStr">
        <is>
          <t>EA</t>
        </is>
      </c>
      <c r="F67" s="28" t="n">
        <v>5000</v>
      </c>
      <c r="G67" s="3" t="n">
        <v>0.095</v>
      </c>
      <c r="H67" s="4" t="n">
        <v>546.25</v>
      </c>
      <c r="I67" s="3" t="n">
        <v>1</v>
      </c>
    </row>
    <row r="68">
      <c r="A68" s="3" t="inlineStr">
        <is>
          <t>RNO</t>
        </is>
      </c>
      <c r="B68" s="3" t="inlineStr">
        <is>
          <t>صرف مواد للإنتاج – مزرعة الرياض</t>
        </is>
      </c>
      <c r="C68" s="3" t="inlineStr">
        <is>
          <t>RN-SE128</t>
        </is>
      </c>
      <c r="D68" s="3" t="inlineStr">
        <is>
          <t>بذور جازانيا كيس أصفر</t>
        </is>
      </c>
      <c r="E68" s="3" t="inlineStr">
        <is>
          <t>EA</t>
        </is>
      </c>
      <c r="F68" s="28" t="n">
        <v>5000</v>
      </c>
      <c r="G68" s="3" t="n">
        <v>0.095</v>
      </c>
      <c r="H68" s="4" t="n">
        <v>546.25</v>
      </c>
      <c r="I68" s="3" t="n">
        <v>1</v>
      </c>
    </row>
    <row r="69">
      <c r="A69" s="3" t="inlineStr">
        <is>
          <t>RNO</t>
        </is>
      </c>
      <c r="B69" s="3" t="inlineStr">
        <is>
          <t>صرف مواد للإنتاج – مزرعة الرياض</t>
        </is>
      </c>
      <c r="C69" s="3" t="inlineStr">
        <is>
          <t>RN-SE129</t>
        </is>
      </c>
      <c r="D69" s="3" t="inlineStr">
        <is>
          <t>بذور بيلكترانثوس فير واى برتقالى</t>
        </is>
      </c>
      <c r="E69" s="3" t="inlineStr">
        <is>
          <t>EA</t>
        </is>
      </c>
      <c r="F69" s="28" t="n">
        <v>5000</v>
      </c>
      <c r="G69" s="3" t="n">
        <v>0.035</v>
      </c>
      <c r="H69" s="4" t="n">
        <v>201.25</v>
      </c>
      <c r="I69" s="3" t="n">
        <v>1</v>
      </c>
    </row>
    <row r="70">
      <c r="A70" s="3" t="inlineStr">
        <is>
          <t>RNO</t>
        </is>
      </c>
      <c r="B70" s="3" t="inlineStr">
        <is>
          <t>صرف مواد للإنتاج – مزرعة الرياض</t>
        </is>
      </c>
      <c r="C70" s="3" t="inlineStr">
        <is>
          <t>RN-SE130</t>
        </is>
      </c>
      <c r="D70" s="3" t="inlineStr">
        <is>
          <t>بذور بيلكترانثوس فير واى موزابيك</t>
        </is>
      </c>
      <c r="E70" s="3" t="inlineStr">
        <is>
          <t>EA</t>
        </is>
      </c>
      <c r="F70" s="28" t="n">
        <v>5000</v>
      </c>
      <c r="G70" s="3" t="n">
        <v>0.035</v>
      </c>
      <c r="H70" s="4" t="n">
        <v>201.25</v>
      </c>
      <c r="I70" s="3" t="n">
        <v>1</v>
      </c>
    </row>
    <row r="71">
      <c r="A71" s="3" t="inlineStr">
        <is>
          <t>RNO</t>
        </is>
      </c>
      <c r="B71" s="3" t="inlineStr">
        <is>
          <t>صرف مواد للإنتاج – مزرعة الرياض</t>
        </is>
      </c>
      <c r="C71" s="3" t="inlineStr">
        <is>
          <t>RN-SE131</t>
        </is>
      </c>
      <c r="D71" s="3" t="inlineStr">
        <is>
          <t>بذور سيلوزيا قرمزي</t>
        </is>
      </c>
      <c r="E71" s="3" t="inlineStr">
        <is>
          <t>EA</t>
        </is>
      </c>
      <c r="F71" s="28" t="n">
        <v>5000</v>
      </c>
      <c r="G71" s="3" t="n">
        <v>0.03</v>
      </c>
      <c r="H71" s="4" t="n">
        <v>172.5</v>
      </c>
      <c r="I71" s="3" t="n">
        <v>1</v>
      </c>
    </row>
    <row r="72">
      <c r="A72" s="3" t="inlineStr">
        <is>
          <t>RNO</t>
        </is>
      </c>
      <c r="B72" s="3" t="inlineStr">
        <is>
          <t>صرف مواد للإنتاج – مزرعة الرياض</t>
        </is>
      </c>
      <c r="C72" s="3" t="inlineStr">
        <is>
          <t>RN-SE132</t>
        </is>
      </c>
      <c r="D72" s="3" t="inlineStr">
        <is>
          <t>جذور سيلوزيا كيمونو شيري ريد</t>
        </is>
      </c>
      <c r="E72" s="3" t="inlineStr">
        <is>
          <t>EA</t>
        </is>
      </c>
      <c r="F72" s="28" t="n">
        <v>5000</v>
      </c>
      <c r="G72" s="3" t="n">
        <v>0.03</v>
      </c>
      <c r="H72" s="4" t="n">
        <v>172.5</v>
      </c>
      <c r="I72" s="3" t="n">
        <v>1</v>
      </c>
    </row>
    <row r="73">
      <c r="A73" s="3" t="inlineStr">
        <is>
          <t>RNO</t>
        </is>
      </c>
      <c r="B73" s="3" t="inlineStr">
        <is>
          <t>صرف مواد للإنتاج – مزرعة الرياض</t>
        </is>
      </c>
      <c r="C73" s="3" t="inlineStr">
        <is>
          <t>RN-SE20</t>
        </is>
      </c>
      <c r="D73" s="3" t="inlineStr">
        <is>
          <t>جذور فضية</t>
        </is>
      </c>
      <c r="E73" s="3" t="inlineStr">
        <is>
          <t>EA</t>
        </is>
      </c>
      <c r="F73" s="28" t="n">
        <v>20000</v>
      </c>
      <c r="G73" s="3" t="n">
        <v>0.015</v>
      </c>
      <c r="H73" s="4" t="n">
        <v>345</v>
      </c>
      <c r="I73" s="3" t="n">
        <v>1</v>
      </c>
    </row>
    <row r="74">
      <c r="A74" s="3" t="inlineStr">
        <is>
          <t>RNO</t>
        </is>
      </c>
      <c r="B74" s="3" t="inlineStr">
        <is>
          <t>صرف مواد للإنتاج – مزرعة الرياض</t>
        </is>
      </c>
      <c r="C74" s="3" t="inlineStr">
        <is>
          <t>RN-SE21</t>
        </is>
      </c>
      <c r="D74" s="3" t="inlineStr">
        <is>
          <t>جذور سيلوزيا احمر</t>
        </is>
      </c>
      <c r="E74" s="3" t="inlineStr">
        <is>
          <t>EA</t>
        </is>
      </c>
      <c r="F74" s="28" t="n">
        <v>5000</v>
      </c>
      <c r="G74" s="3" t="n">
        <v>0.025</v>
      </c>
      <c r="H74" s="4" t="n">
        <v>143.75</v>
      </c>
      <c r="I74" s="3" t="n">
        <v>1</v>
      </c>
    </row>
    <row r="75">
      <c r="A75" s="3" t="inlineStr">
        <is>
          <t>RNO</t>
        </is>
      </c>
      <c r="B75" s="3" t="inlineStr">
        <is>
          <t>صرف مواد للإنتاج – مزرعة الرياض</t>
        </is>
      </c>
      <c r="C75" s="3" t="inlineStr">
        <is>
          <t>RN-SE22</t>
        </is>
      </c>
      <c r="D75" s="3" t="inlineStr">
        <is>
          <t>جذور سيلوزيا اصفر</t>
        </is>
      </c>
      <c r="E75" s="3" t="inlineStr">
        <is>
          <t>EA</t>
        </is>
      </c>
      <c r="F75" s="28" t="n">
        <v>5000</v>
      </c>
      <c r="G75" s="3" t="n">
        <v>0.025</v>
      </c>
      <c r="H75" s="4" t="n">
        <v>143.75</v>
      </c>
      <c r="I75" s="3" t="n">
        <v>1</v>
      </c>
    </row>
    <row r="76">
      <c r="A76" s="3" t="inlineStr">
        <is>
          <t>RNO</t>
        </is>
      </c>
      <c r="B76" s="3" t="inlineStr">
        <is>
          <t>صرف مواد للإنتاج – مزرعة الرياض</t>
        </is>
      </c>
      <c r="C76" s="3" t="inlineStr">
        <is>
          <t>RN-SE23</t>
        </is>
      </c>
      <c r="D76" s="3" t="inlineStr">
        <is>
          <t>بذور سيلوزيا برتقالي</t>
        </is>
      </c>
      <c r="E76" s="3" t="inlineStr">
        <is>
          <t>EA</t>
        </is>
      </c>
      <c r="F76" s="28" t="n">
        <v>5000</v>
      </c>
      <c r="G76" s="3" t="n">
        <v>0.025</v>
      </c>
      <c r="H76" s="4" t="n">
        <v>143.75</v>
      </c>
      <c r="I76" s="3" t="n">
        <v>1</v>
      </c>
    </row>
    <row r="77">
      <c r="A77" s="3" t="inlineStr">
        <is>
          <t>RNO</t>
        </is>
      </c>
      <c r="B77" s="3" t="inlineStr">
        <is>
          <t>صرف مواد للإنتاج – مزرعة الرياض</t>
        </is>
      </c>
      <c r="C77" s="3" t="inlineStr">
        <is>
          <t>RN-SE88</t>
        </is>
      </c>
      <c r="D77" s="3" t="inlineStr">
        <is>
          <t>بذور بيلكترانثوس فير واى احمر</t>
        </is>
      </c>
      <c r="E77" s="3" t="inlineStr">
        <is>
          <t>EA</t>
        </is>
      </c>
      <c r="F77" s="28" t="n">
        <v>5000</v>
      </c>
      <c r="G77" s="3" t="n">
        <v>0.035</v>
      </c>
      <c r="H77" s="4" t="n">
        <v>201.25</v>
      </c>
      <c r="I77" s="3" t="n">
        <v>1</v>
      </c>
    </row>
    <row r="78">
      <c r="A78" s="3" t="inlineStr">
        <is>
          <t>RNO</t>
        </is>
      </c>
      <c r="B78" s="3" t="inlineStr">
        <is>
          <t>صرف مواد للإنتاج – مزرعة الرياض</t>
        </is>
      </c>
      <c r="C78" s="3" t="inlineStr">
        <is>
          <t>RN-SE89</t>
        </is>
      </c>
      <c r="D78" s="3" t="inlineStr">
        <is>
          <t>بذور بيلكترانثوس فير واى روبي</t>
        </is>
      </c>
      <c r="E78" s="3" t="inlineStr">
        <is>
          <t>EA</t>
        </is>
      </c>
      <c r="F78" s="28" t="n">
        <v>5000</v>
      </c>
      <c r="G78" s="3" t="n">
        <v>0.035</v>
      </c>
      <c r="H78" s="4" t="n">
        <v>201.25</v>
      </c>
      <c r="I78" s="3" t="n">
        <v>1</v>
      </c>
    </row>
    <row r="79">
      <c r="A79" s="3" t="inlineStr">
        <is>
          <t>RNO</t>
        </is>
      </c>
      <c r="B79" s="3" t="inlineStr">
        <is>
          <t>صرف مواد للإنتاج – مزرعة الرياض</t>
        </is>
      </c>
      <c r="C79" s="3" t="inlineStr">
        <is>
          <t>RN-SE90</t>
        </is>
      </c>
      <c r="D79" s="3" t="inlineStr">
        <is>
          <t>جذور بيلكترانثوس فير واى بينك غامق</t>
        </is>
      </c>
      <c r="E79" s="3" t="inlineStr">
        <is>
          <t>EA</t>
        </is>
      </c>
      <c r="F79" s="28" t="n">
        <v>5000</v>
      </c>
      <c r="G79" s="3" t="n">
        <v>0.035</v>
      </c>
      <c r="H79" s="4" t="n">
        <v>201.25</v>
      </c>
      <c r="I79" s="3" t="n">
        <v>1</v>
      </c>
    </row>
    <row r="80">
      <c r="A80" s="5" t="inlineStr"/>
      <c r="B80" s="5" t="inlineStr">
        <is>
          <t>إجمالي صرف مواد للإنتاج – مزرعة الرياض</t>
        </is>
      </c>
      <c r="C80" s="5" t="inlineStr"/>
      <c r="D80" s="5" t="inlineStr"/>
      <c r="E80" s="5" t="inlineStr"/>
      <c r="F80" s="5">
        <f>SUM(F30:F79)</f>
        <v/>
      </c>
      <c r="G80" s="5" t="inlineStr"/>
      <c r="H80" s="6">
        <f>SUM(H30:H79)</f>
        <v/>
      </c>
      <c r="I80" s="5" t="inlineStr"/>
    </row>
    <row r="81">
      <c r="A81" s="3" t="inlineStr">
        <is>
          <t>RNL</t>
        </is>
      </c>
      <c r="B81" s="3" t="inlineStr">
        <is>
          <t>كميات هالكة ومفقودة</t>
        </is>
      </c>
      <c r="C81" s="3" t="inlineStr">
        <is>
          <t>RN-OD560</t>
        </is>
      </c>
      <c r="D81" s="3" t="inlineStr">
        <is>
          <t>زهور بيتونيا</t>
        </is>
      </c>
      <c r="E81" s="3" t="inlineStr">
        <is>
          <t>EA</t>
        </is>
      </c>
      <c r="F81" s="28" t="n">
        <v>12400</v>
      </c>
      <c r="G81" s="3" t="n">
        <v>0.55</v>
      </c>
      <c r="H81" s="4" t="n">
        <v>7843</v>
      </c>
      <c r="I81" s="3" t="n">
        <v>6</v>
      </c>
    </row>
    <row r="82">
      <c r="A82" s="3" t="inlineStr">
        <is>
          <t>RNL</t>
        </is>
      </c>
      <c r="B82" s="3" t="inlineStr">
        <is>
          <t>كميات هالكة ومفقودة</t>
        </is>
      </c>
      <c r="C82" s="3" t="inlineStr">
        <is>
          <t>RN-OD564</t>
        </is>
      </c>
      <c r="D82" s="3" t="inlineStr">
        <is>
          <t>زهور امرانتس</t>
        </is>
      </c>
      <c r="E82" s="3" t="inlineStr">
        <is>
          <t>EA</t>
        </is>
      </c>
      <c r="F82" s="28" t="n">
        <v>150</v>
      </c>
      <c r="G82" s="3" t="n">
        <v>0.55</v>
      </c>
      <c r="H82" s="4" t="n">
        <v>94.88</v>
      </c>
      <c r="I82" s="3" t="n">
        <v>1</v>
      </c>
    </row>
    <row r="83">
      <c r="A83" s="3" t="inlineStr">
        <is>
          <t>RNL</t>
        </is>
      </c>
      <c r="B83" s="3" t="inlineStr">
        <is>
          <t>كميات هالكة ومفقودة</t>
        </is>
      </c>
      <c r="C83" s="3" t="inlineStr">
        <is>
          <t>RN-OD603</t>
        </is>
      </c>
      <c r="D83" s="3" t="inlineStr">
        <is>
          <t>زهور جرانيوم مركن9 سم</t>
        </is>
      </c>
      <c r="E83" s="3" t="inlineStr">
        <is>
          <t>EA</t>
        </is>
      </c>
      <c r="F83" s="28" t="n">
        <v>150</v>
      </c>
      <c r="G83" s="3" t="n">
        <v>0.9</v>
      </c>
      <c r="H83" s="4" t="n">
        <v>155.25</v>
      </c>
      <c r="I83" s="3" t="n">
        <v>1</v>
      </c>
    </row>
    <row r="84">
      <c r="A84" s="3" t="inlineStr">
        <is>
          <t>RNL</t>
        </is>
      </c>
      <c r="B84" s="3" t="inlineStr">
        <is>
          <t>كميات هالكة ومفقودة</t>
        </is>
      </c>
      <c r="C84" s="3" t="inlineStr">
        <is>
          <t>RN-OD635</t>
        </is>
      </c>
      <c r="D84" s="3" t="inlineStr">
        <is>
          <t>زهور فم السمكة مركن9 سم</t>
        </is>
      </c>
      <c r="E84" s="3" t="inlineStr">
        <is>
          <t>EA</t>
        </is>
      </c>
      <c r="F84" s="28" t="n">
        <v>2425</v>
      </c>
      <c r="G84" s="3" t="n">
        <v>0.55</v>
      </c>
      <c r="H84" s="4" t="n">
        <v>1533.81</v>
      </c>
      <c r="I84" s="3" t="n">
        <v>5</v>
      </c>
    </row>
    <row r="85">
      <c r="A85" s="3" t="inlineStr">
        <is>
          <t>RNL</t>
        </is>
      </c>
      <c r="B85" s="3" t="inlineStr">
        <is>
          <t>كميات هالكة ومفقودة</t>
        </is>
      </c>
      <c r="C85" s="3" t="inlineStr">
        <is>
          <t>RN-OD637</t>
        </is>
      </c>
      <c r="D85" s="3" t="inlineStr">
        <is>
          <t>زهور سالفيا مركن9 سم</t>
        </is>
      </c>
      <c r="E85" s="3" t="inlineStr">
        <is>
          <t>EA</t>
        </is>
      </c>
      <c r="F85" s="28" t="n">
        <v>400</v>
      </c>
      <c r="G85" s="3" t="n">
        <v>0.55</v>
      </c>
      <c r="H85" s="4" t="n">
        <v>253</v>
      </c>
      <c r="I85" s="3" t="n">
        <v>1</v>
      </c>
    </row>
    <row r="86">
      <c r="A86" s="3" t="inlineStr">
        <is>
          <t>RNL</t>
        </is>
      </c>
      <c r="B86" s="3" t="inlineStr">
        <is>
          <t>كميات هالكة ومفقودة</t>
        </is>
      </c>
      <c r="C86" s="3" t="inlineStr">
        <is>
          <t>RN-OD642</t>
        </is>
      </c>
      <c r="D86" s="3" t="inlineStr">
        <is>
          <t>زهور اليسوم مركن9 سم</t>
        </is>
      </c>
      <c r="E86" s="3" t="inlineStr">
        <is>
          <t>EA</t>
        </is>
      </c>
      <c r="F86" s="28" t="n">
        <v>300</v>
      </c>
      <c r="G86" s="3" t="n">
        <v>0.55</v>
      </c>
      <c r="H86" s="4" t="n">
        <v>189.75</v>
      </c>
      <c r="I86" s="3" t="n">
        <v>1</v>
      </c>
    </row>
    <row r="87">
      <c r="A87" s="3" t="inlineStr">
        <is>
          <t>RNL</t>
        </is>
      </c>
      <c r="B87" s="3" t="inlineStr">
        <is>
          <t>كميات هالكة ومفقودة</t>
        </is>
      </c>
      <c r="C87" s="3" t="inlineStr">
        <is>
          <t>RN-OD694</t>
        </is>
      </c>
      <c r="D87" s="3" t="inlineStr">
        <is>
          <t>كالنشو هولندى مركن12 سم</t>
        </is>
      </c>
      <c r="E87" s="3" t="inlineStr">
        <is>
          <t>EA</t>
        </is>
      </c>
      <c r="F87" s="28" t="n">
        <v>20</v>
      </c>
      <c r="G87" s="3" t="n">
        <v>3</v>
      </c>
      <c r="H87" s="4" t="n">
        <v>69</v>
      </c>
      <c r="I87" s="3" t="n">
        <v>1</v>
      </c>
    </row>
    <row r="88">
      <c r="A88" s="3" t="inlineStr">
        <is>
          <t>RNL</t>
        </is>
      </c>
      <c r="B88" s="3" t="inlineStr">
        <is>
          <t>كميات هالكة ومفقودة</t>
        </is>
      </c>
      <c r="C88" s="3" t="inlineStr">
        <is>
          <t>RN-OD695</t>
        </is>
      </c>
      <c r="D88" s="3" t="inlineStr">
        <is>
          <t>زهور اقحوان افريقي هولندى مركن12 سم</t>
        </is>
      </c>
      <c r="E88" s="3" t="inlineStr">
        <is>
          <t>EA</t>
        </is>
      </c>
      <c r="F88" s="28" t="n">
        <v>20</v>
      </c>
      <c r="G88" s="3" t="n">
        <v>3</v>
      </c>
      <c r="H88" s="4" t="n">
        <v>69</v>
      </c>
      <c r="I88" s="3" t="n">
        <v>1</v>
      </c>
    </row>
    <row r="89">
      <c r="A89" s="5" t="inlineStr"/>
      <c r="B89" s="5" t="inlineStr">
        <is>
          <t>إجمالي كميات هالكة ومفقودة</t>
        </is>
      </c>
      <c r="C89" s="5" t="inlineStr"/>
      <c r="D89" s="5" t="inlineStr"/>
      <c r="E89" s="5" t="inlineStr"/>
      <c r="F89" s="5">
        <f>SUM(F81:F88)</f>
        <v/>
      </c>
      <c r="G89" s="5" t="inlineStr"/>
      <c r="H89" s="6">
        <f>SUM(H81:H88)</f>
        <v/>
      </c>
      <c r="I89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2026-09-27T23:05:09Z</dcterms:created>
  <dcterms:modified xsi:type="dcterms:W3CDTF">2026-09-27T23:05:44Z</dcterms:modified>
</cp:coreProperties>
</file>