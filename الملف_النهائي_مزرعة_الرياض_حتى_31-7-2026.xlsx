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غلاف" sheetId="1" state="visible" r:id="rId1"/>
    <sheet name="الفهرس" sheetId="2" state="visible" r:id="rId2"/>
    <sheet name="تقفيل المديونية" sheetId="3" state="visible" r:id="rId3"/>
    <sheet name="نسب المساهمة" sheetId="4" state="visible" r:id="rId4"/>
    <sheet name="ميزان الخزنة التراكمي" sheetId="5" state="visible" r:id="rId5"/>
    <sheet name="المديونيات الخارجية" sheetId="6" state="visible" r:id="rId6"/>
    <sheet name="سجل القرارات" sheetId="7" state="visible" r:id="rId7"/>
    <sheet name="ملخص التسعير" sheetId="8" state="visible" r:id="rId8"/>
    <sheet name="قائمة الأسعار الموحدة" sheetId="9" state="visible" r:id="rId9"/>
    <sheet name="فرق أسعار أبو خالد" sheetId="10" state="visible" r:id="rId10"/>
    <sheet name="مسحوبات نسما من الرياض" sheetId="11" state="visible" r:id="rId11"/>
    <sheet name="ترحيل تبوك إلى الرياض" sheetId="12" state="visible" r:id="rId12"/>
    <sheet name="مسحوبات نسما قبل الفترة" sheetId="13" state="visible" r:id="rId13"/>
    <sheet name="سندات بدون تفصيل أصناف" sheetId="14" state="visible" r:id="rId14"/>
    <sheet name="الملخص العام" sheetId="15" state="visible" r:id="rId15"/>
    <sheet name="الأسئلة المطلوبة" sheetId="16" state="visible" r:id="rId16"/>
    <sheet name="مطابقة حساب أبو خالد" sheetId="17" state="visible" r:id="rId17"/>
    <sheet name="مطابقة كميات عقد عرعر" sheetId="18" state="visible" r:id="rId18"/>
    <sheet name="إيرادات قبل الفترة" sheetId="19" state="visible" r:id="rId19"/>
    <sheet name="تحقق سند أبو خالد" sheetId="20" state="visible" r:id="rId20"/>
    <sheet name="مبيعات - الملخص" sheetId="21" state="visible" r:id="rId21"/>
    <sheet name="الحركة المدمجة" sheetId="22" state="visible" r:id="rId22"/>
    <sheet name="مبيعات - شهري" sheetId="23" state="visible" r:id="rId23"/>
    <sheet name="مبيعات قبل 30.7.2025" sheetId="24" state="visible" r:id="rId24"/>
    <sheet name="مبيعات عصمت" sheetId="25" state="visible" r:id="rId25"/>
    <sheet name="مبيعات عماد" sheetId="26" state="visible" r:id="rId26"/>
    <sheet name="مبيعات أبو خالد" sheetId="27" state="visible" r:id="rId27"/>
    <sheet name="أبو خالد - تفصيل البنود" sheetId="28" state="visible" r:id="rId28"/>
    <sheet name="الفواتير المبدئية" sheetId="29" state="visible" r:id="rId29"/>
    <sheet name="فواتير - حسب المندوب" sheetId="30" state="visible" r:id="rId30"/>
    <sheet name="فواتير - شهري" sheetId="31" state="visible" r:id="rId31"/>
    <sheet name="مطابقة العقود" sheetId="32" state="visible" r:id="rId32"/>
    <sheet name="فواتير عقودها غير مسجلة" sheetId="33" state="visible" r:id="rId33"/>
    <sheet name="الفواتير مقابل الكشف" sheetId="34" state="visible" r:id="rId34"/>
    <sheet name="قيود كشف بدون فاتورة" sheetId="35" state="visible" r:id="rId35"/>
    <sheet name="مصروفات - الملخص" sheetId="36" state="visible" r:id="rId36"/>
    <sheet name="مصروفات التأسيس" sheetId="37" state="visible" r:id="rId37"/>
    <sheet name="مصروفات قبل 30.7.2025" sheetId="38" state="visible" r:id="rId38"/>
    <sheet name="أوامر الشراء 2026" sheetId="39" state="visible" r:id="rId39"/>
    <sheet name="العهد - التفصيل" sheetId="40" state="visible" r:id="rId40"/>
    <sheet name="العهد - الملخص" sheetId="41" state="visible" r:id="rId41"/>
    <sheet name="ميزان الخزنة" sheetId="42" state="visible" r:id="rId42"/>
    <sheet name="مصروفات الخزنة (كشف الحساب)" sheetId="43" state="visible" r:id="rId43"/>
    <sheet name="خزنة الرياض 6-7 2026" sheetId="44" state="visible" r:id="rId44"/>
    <sheet name="صرف بدون بيان" sheetId="45" state="visible" r:id="rId45"/>
    <sheet name="أرصدة العملاء والموردين" sheetId="46" state="visible" r:id="rId46"/>
    <sheet name="مصروفات 2025 - تفصيل" sheetId="47" state="visible" r:id="rId47"/>
    <sheet name="مصروفات 2025 - ملخص" sheetId="48" state="visible" r:id="rId48"/>
    <sheet name="مواد - الملخص" sheetId="49" state="visible" r:id="rId49"/>
    <sheet name="مواد - سجل العقود" sheetId="50" state="visible" r:id="rId50"/>
    <sheet name="مواد - تفصيل البنود" sheetId="51" state="visible" r:id="rId51"/>
    <sheet name="مواد - الكميات حسب الصنف" sheetId="52" state="visible" r:id="rId52"/>
    <sheet name="مسحوبات - ملخص المراجعة" sheetId="53" state="visible" r:id="rId53"/>
    <sheet name="مسحوبات تبوك قبل الفترة" sheetId="54" state="visible" r:id="rId54"/>
    <sheet name="مصاريف إدارية وديزل تبوك" sheetId="55" state="visible" r:id="rId55"/>
    <sheet name="مسحوبات الرياض من تبوك" sheetId="56" state="visible" r:id="rId56"/>
    <sheet name="مسحوبات تبوك من الرياض" sheetId="57" state="visible" r:id="rId57"/>
    <sheet name="سندات غير مدرجة بالمحاسب" sheetId="58" state="visible" r:id="rId58"/>
  </sheets>
  <definedNames>
    <definedName name="_xlnm._FilterDatabase" localSheetId="21" hidden="1">'الحركة المدمجة'!$A$1:$J$360</definedName>
    <definedName name="_xlnm._FilterDatabase" localSheetId="24" hidden="1">'مبيعات عصمت'!$A$1:$I$255</definedName>
    <definedName name="_xlnm._FilterDatabase" localSheetId="25" hidden="1">'مبيعات عماد'!$A$1:$I$59</definedName>
    <definedName name="_xlnm._FilterDatabase" localSheetId="26" hidden="1">'مبيعات أبو خالد'!$A$1:$I$48</definedName>
    <definedName name="_xlnm._FilterDatabase" localSheetId="28" hidden="1">'الفواتير المبدئية'!$A$2:$H$241</definedName>
    <definedName name="_xlnm._FilterDatabase" localSheetId="31" hidden="1">'مطابقة العقود'!$A$1:$I$251</definedName>
    <definedName name="_xlnm._FilterDatabase" localSheetId="38" hidden="1">'أوامر الشراء 2026'!$A$1:$L$32</definedName>
    <definedName name="_xlnm._FilterDatabase" localSheetId="39" hidden="1">'العهد - التفصيل'!$A$1:$I$179</definedName>
    <definedName name="_xlnm._FilterDatabase" localSheetId="42" hidden="1">'مصروفات الخزنة (كشف الحساب)'!$A$1:$I$198</definedName>
    <definedName name="_xlnm._FilterDatabase" localSheetId="46" hidden="1">'مصروفات 2025 - تفصيل'!$A$1:$L$307</definedName>
    <definedName name="_xlnm._FilterDatabase" localSheetId="49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yyyy-mm-dd"/>
    <numFmt numFmtId="166" formatCode="#,##0.##"/>
    <numFmt numFmtId="167" formatCode="yyyy-mm-dd h:mm:ss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  <font>
      <b val="1"/>
      <color rgb="00FFFFFF"/>
      <sz val="15"/>
    </font>
    <font>
      <i val="1"/>
      <color rgb="00595959"/>
    </font>
    <font>
      <b val="1"/>
      <color rgb="001F3864"/>
      <sz val="12"/>
    </font>
    <font>
      <b val="1"/>
      <color rgb="00FFFFFF"/>
      <sz val="24"/>
    </font>
    <font>
      <b val="1"/>
      <color rgb="001F3864"/>
      <sz val="13"/>
    </font>
    <font>
      <color rgb="00595959"/>
    </font>
    <font>
      <b val="1"/>
      <color rgb="001F3864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  <xf numFmtId="0" fontId="13" fillId="1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3" borderId="3" applyAlignment="1" pivotButton="0" quotePrefix="0" xfId="0">
      <alignment horizontal="center"/>
    </xf>
    <xf numFmtId="0" fontId="0" fillId="0" borderId="3" pivotButton="0" quotePrefix="0" xfId="0"/>
    <xf numFmtId="4" fontId="0" fillId="0" borderId="3" pivotButton="0" quotePrefix="0" xfId="0"/>
    <xf numFmtId="0" fontId="3" fillId="6" borderId="3" pivotButton="0" quotePrefix="0" xfId="0"/>
    <xf numFmtId="10" fontId="3" fillId="6" borderId="3" pivotButton="0" quotePrefix="0" xfId="0"/>
    <xf numFmtId="4" fontId="3" fillId="6" borderId="3" pivotButton="0" quotePrefix="0" xfId="0"/>
    <xf numFmtId="0" fontId="11" fillId="0" borderId="0" pivotButton="0" quotePrefix="0" xfId="0"/>
    <xf numFmtId="0" fontId="8" fillId="0" borderId="0" pivotButton="0" quotePrefix="0" xfId="0"/>
    <xf numFmtId="0" fontId="10" fillId="1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0" fontId="12" fillId="3" borderId="3" pivotButton="0" quotePrefix="0" xfId="0"/>
    <xf numFmtId="0" fontId="2" fillId="13" borderId="3" applyAlignment="1" pivotButton="0" quotePrefix="0" xfId="0">
      <alignment horizontal="center" vertical="center" wrapText="1"/>
    </xf>
    <xf numFmtId="4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3" fillId="7" borderId="3" applyAlignment="1" pivotButton="0" quotePrefix="0" xfId="0">
      <alignment vertical="center" wrapText="1"/>
    </xf>
    <xf numFmtId="4" fontId="3" fillId="7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 wrapText="1"/>
    </xf>
    <xf numFmtId="4" fontId="3" fillId="6" borderId="3" applyAlignment="1" pivotButton="0" quotePrefix="0" xfId="0">
      <alignment vertical="center" wrapText="1"/>
    </xf>
    <xf numFmtId="10" fontId="3" fillId="6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4" fontId="3" fillId="0" borderId="3" applyAlignment="1" pivotButton="0" quotePrefix="0" xfId="0">
      <alignment vertical="center" wrapText="1"/>
    </xf>
    <xf numFmtId="0" fontId="1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5;&#1604;&#1594;&#1604;&#1575;&#1601;'!A1" TargetMode="External" Id="rId1" /><Relationship Type="http://schemas.openxmlformats.org/officeDocument/2006/relationships/hyperlink" Target="#'&#1578;&#1602;&#1601;&#1610;&#1604; &#1575;&#1604;&#1605;&#1583;&#1610;&#1608;&#1606;&#1610;&#1577;'!A1" TargetMode="External" Id="rId2" /><Relationship Type="http://schemas.openxmlformats.org/officeDocument/2006/relationships/hyperlink" Target="#'&#1606;&#1587;&#1576; &#1575;&#1604;&#1605;&#1587;&#1575;&#1607;&#1605;&#1577;'!A1" TargetMode="External" Id="rId3" /><Relationship Type="http://schemas.openxmlformats.org/officeDocument/2006/relationships/hyperlink" Target="#'&#1605;&#1610;&#1586;&#1575;&#1606; &#1575;&#1604;&#1582;&#1586;&#1606;&#1577; &#1575;&#1604;&#1578;&#1585;&#1575;&#1603;&#1605;&#1610;'!A1" TargetMode="External" Id="rId4" /><Relationship Type="http://schemas.openxmlformats.org/officeDocument/2006/relationships/hyperlink" Target="#'&#1575;&#1604;&#1605;&#1583;&#1610;&#1608;&#1606;&#1610;&#1575;&#1578; &#1575;&#1604;&#1582;&#1575;&#1585;&#1580;&#1610;&#1577;'!A1" TargetMode="External" Id="rId5" /><Relationship Type="http://schemas.openxmlformats.org/officeDocument/2006/relationships/hyperlink" Target="#'&#1587;&#1580;&#1604; &#1575;&#1604;&#1602;&#1585;&#1575;&#1585;&#1575;&#1578;'!A1" TargetMode="External" Id="rId6" /><Relationship Type="http://schemas.openxmlformats.org/officeDocument/2006/relationships/hyperlink" Target="#'&#1605;&#1604;&#1582;&#1589; &#1575;&#1604;&#1578;&#1587;&#1593;&#1610;&#1585;'!A1" TargetMode="External" Id="rId7" /><Relationship Type="http://schemas.openxmlformats.org/officeDocument/2006/relationships/hyperlink" Target="#'&#1602;&#1575;&#1574;&#1605;&#1577; &#1575;&#1604;&#1571;&#1587;&#1593;&#1575;&#1585; &#1575;&#1604;&#1605;&#1608;&#1581;&#1583;&#1577;'!A1" TargetMode="External" Id="rId8" /><Relationship Type="http://schemas.openxmlformats.org/officeDocument/2006/relationships/hyperlink" Target="#'&#1601;&#1585;&#1602; &#1571;&#1587;&#1593;&#1575;&#1585; &#1571;&#1576;&#1608; &#1582;&#1575;&#1604;&#1583;'!A1" TargetMode="External" Id="rId9" /><Relationship Type="http://schemas.openxmlformats.org/officeDocument/2006/relationships/hyperlink" Target="#'&#1605;&#1587;&#1581;&#1608;&#1576;&#1575;&#1578; &#1606;&#1587;&#1605;&#1575; &#1605;&#1606; &#1575;&#1604;&#1585;&#1610;&#1575;&#1590;'!A1" TargetMode="External" Id="rId10" /><Relationship Type="http://schemas.openxmlformats.org/officeDocument/2006/relationships/hyperlink" Target="#'&#1578;&#1585;&#1581;&#1610;&#1604; &#1578;&#1576;&#1608;&#1603; &#1573;&#1604;&#1609; &#1575;&#1604;&#1585;&#1610;&#1575;&#1590;'!A1" TargetMode="External" Id="rId11" /><Relationship Type="http://schemas.openxmlformats.org/officeDocument/2006/relationships/hyperlink" Target="#'&#1605;&#1587;&#1581;&#1608;&#1576;&#1575;&#1578; &#1606;&#1587;&#1605;&#1575; &#1602;&#1576;&#1604; &#1575;&#1604;&#1601;&#1578;&#1585;&#1577;'!A1" TargetMode="External" Id="rId12" /><Relationship Type="http://schemas.openxmlformats.org/officeDocument/2006/relationships/hyperlink" Target="#'&#1587;&#1606;&#1583;&#1575;&#1578; &#1576;&#1583;&#1608;&#1606; &#1578;&#1601;&#1589;&#1610;&#1604; &#1571;&#1589;&#1606;&#1575;&#1601;'!A1" TargetMode="External" Id="rId13" /><Relationship Type="http://schemas.openxmlformats.org/officeDocument/2006/relationships/hyperlink" Target="#'&#1575;&#1604;&#1605;&#1604;&#1582;&#1589; &#1575;&#1604;&#1593;&#1575;&#1605;'!A1" TargetMode="External" Id="rId14" /><Relationship Type="http://schemas.openxmlformats.org/officeDocument/2006/relationships/hyperlink" Target="#'&#1575;&#1604;&#1571;&#1587;&#1574;&#1604;&#1577; &#1575;&#1604;&#1605;&#1591;&#1604;&#1608;&#1576;&#1577;'!A1" TargetMode="External" Id="rId15" /><Relationship Type="http://schemas.openxmlformats.org/officeDocument/2006/relationships/hyperlink" Target="#'&#1605;&#1591;&#1575;&#1576;&#1602;&#1577; &#1581;&#1587;&#1575;&#1576; &#1571;&#1576;&#1608; &#1582;&#1575;&#1604;&#1583;'!A1" TargetMode="External" Id="rId16" /><Relationship Type="http://schemas.openxmlformats.org/officeDocument/2006/relationships/hyperlink" Target="#'&#1605;&#1591;&#1575;&#1576;&#1602;&#1577; &#1603;&#1605;&#1610;&#1575;&#1578; &#1593;&#1602;&#1583; &#1593;&#1585;&#1593;&#1585;'!A1" TargetMode="External" Id="rId17" /><Relationship Type="http://schemas.openxmlformats.org/officeDocument/2006/relationships/hyperlink" Target="#'&#1573;&#1610;&#1585;&#1575;&#1583;&#1575;&#1578; &#1602;&#1576;&#1604; &#1575;&#1604;&#1601;&#1578;&#1585;&#1577;'!A1" TargetMode="External" Id="rId18" /><Relationship Type="http://schemas.openxmlformats.org/officeDocument/2006/relationships/hyperlink" Target="#'&#1578;&#1581;&#1602;&#1602; &#1587;&#1606;&#1583; &#1571;&#1576;&#1608; &#1582;&#1575;&#1604;&#1583;'!A1" TargetMode="External" Id="rId19" /><Relationship Type="http://schemas.openxmlformats.org/officeDocument/2006/relationships/hyperlink" Target="#'&#1605;&#1576;&#1610;&#1593;&#1575;&#1578; - &#1575;&#1604;&#1605;&#1604;&#1582;&#1589;'!A1" TargetMode="External" Id="rId20" /><Relationship Type="http://schemas.openxmlformats.org/officeDocument/2006/relationships/hyperlink" Target="#'&#1575;&#1604;&#1581;&#1585;&#1603;&#1577; &#1575;&#1604;&#1605;&#1583;&#1605;&#1580;&#1577;'!A1" TargetMode="External" Id="rId21" /><Relationship Type="http://schemas.openxmlformats.org/officeDocument/2006/relationships/hyperlink" Target="#'&#1605;&#1576;&#1610;&#1593;&#1575;&#1578; - &#1588;&#1607;&#1585;&#1610;'!A1" TargetMode="External" Id="rId22" /><Relationship Type="http://schemas.openxmlformats.org/officeDocument/2006/relationships/hyperlink" Target="#'&#1605;&#1576;&#1610;&#1593;&#1575;&#1578; &#1602;&#1576;&#1604; 30.7.2025'!A1" TargetMode="External" Id="rId23" /><Relationship Type="http://schemas.openxmlformats.org/officeDocument/2006/relationships/hyperlink" Target="#'&#1605;&#1576;&#1610;&#1593;&#1575;&#1578; &#1593;&#1589;&#1605;&#1578;'!A1" TargetMode="External" Id="rId24" /><Relationship Type="http://schemas.openxmlformats.org/officeDocument/2006/relationships/hyperlink" Target="#'&#1605;&#1576;&#1610;&#1593;&#1575;&#1578; &#1593;&#1605;&#1575;&#1583;'!A1" TargetMode="External" Id="rId25" /><Relationship Type="http://schemas.openxmlformats.org/officeDocument/2006/relationships/hyperlink" Target="#'&#1605;&#1576;&#1610;&#1593;&#1575;&#1578; &#1571;&#1576;&#1608; &#1582;&#1575;&#1604;&#1583;'!A1" TargetMode="External" Id="rId26" /><Relationship Type="http://schemas.openxmlformats.org/officeDocument/2006/relationships/hyperlink" Target="#'&#1571;&#1576;&#1608; &#1582;&#1575;&#1604;&#1583; - &#1578;&#1601;&#1589;&#1610;&#1604; &#1575;&#1604;&#1576;&#1606;&#1608;&#1583;'!A1" TargetMode="External" Id="rId27" /><Relationship Type="http://schemas.openxmlformats.org/officeDocument/2006/relationships/hyperlink" Target="#'&#1575;&#1604;&#1601;&#1608;&#1575;&#1578;&#1610;&#1585; &#1575;&#1604;&#1605;&#1576;&#1583;&#1574;&#1610;&#1577;'!A1" TargetMode="External" Id="rId28" /><Relationship Type="http://schemas.openxmlformats.org/officeDocument/2006/relationships/hyperlink" Target="#'&#1601;&#1608;&#1575;&#1578;&#1610;&#1585; - &#1581;&#1587;&#1576; &#1575;&#1604;&#1605;&#1606;&#1583;&#1608;&#1576;'!A1" TargetMode="External" Id="rId29" /><Relationship Type="http://schemas.openxmlformats.org/officeDocument/2006/relationships/hyperlink" Target="#'&#1601;&#1608;&#1575;&#1578;&#1610;&#1585; - &#1588;&#1607;&#1585;&#1610;'!A1" TargetMode="External" Id="rId30" /><Relationship Type="http://schemas.openxmlformats.org/officeDocument/2006/relationships/hyperlink" Target="#'&#1605;&#1591;&#1575;&#1576;&#1602;&#1577; &#1575;&#1604;&#1593;&#1602;&#1608;&#1583;'!A1" TargetMode="External" Id="rId31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32" /><Relationship Type="http://schemas.openxmlformats.org/officeDocument/2006/relationships/hyperlink" Target="#'&#1575;&#1604;&#1601;&#1608;&#1575;&#1578;&#1610;&#1585; &#1605;&#1602;&#1575;&#1576;&#1604; &#1575;&#1604;&#1603;&#1588;&#1601;'!A1" TargetMode="External" Id="rId33" /><Relationship Type="http://schemas.openxmlformats.org/officeDocument/2006/relationships/hyperlink" Target="#'&#1602;&#1610;&#1608;&#1583; &#1603;&#1588;&#1601; &#1576;&#1583;&#1608;&#1606; &#1601;&#1575;&#1578;&#1608;&#1585;&#1577;'!A1" TargetMode="External" Id="rId34" /><Relationship Type="http://schemas.openxmlformats.org/officeDocument/2006/relationships/hyperlink" Target="#'&#1605;&#1589;&#1585;&#1608;&#1601;&#1575;&#1578; - &#1575;&#1604;&#1605;&#1604;&#1582;&#1589;'!A1" TargetMode="External" Id="rId35" /><Relationship Type="http://schemas.openxmlformats.org/officeDocument/2006/relationships/hyperlink" Target="#'&#1605;&#1589;&#1585;&#1608;&#1601;&#1575;&#1578; &#1575;&#1604;&#1578;&#1571;&#1587;&#1610;&#1587;'!A1" TargetMode="External" Id="rId36" /><Relationship Type="http://schemas.openxmlformats.org/officeDocument/2006/relationships/hyperlink" Target="#'&#1605;&#1589;&#1585;&#1608;&#1601;&#1575;&#1578; &#1602;&#1576;&#1604; 30.7.2025'!A1" TargetMode="External" Id="rId37" /><Relationship Type="http://schemas.openxmlformats.org/officeDocument/2006/relationships/hyperlink" Target="#'&#1571;&#1608;&#1575;&#1605;&#1585; &#1575;&#1604;&#1588;&#1585;&#1575;&#1569; 2026'!A1" TargetMode="External" Id="rId38" /><Relationship Type="http://schemas.openxmlformats.org/officeDocument/2006/relationships/hyperlink" Target="#'&#1575;&#1604;&#1593;&#1607;&#1583; - &#1575;&#1604;&#1578;&#1601;&#1589;&#1610;&#1604;'!A1" TargetMode="External" Id="rId39" /><Relationship Type="http://schemas.openxmlformats.org/officeDocument/2006/relationships/hyperlink" Target="#'&#1575;&#1604;&#1593;&#1607;&#1583; - &#1575;&#1604;&#1605;&#1604;&#1582;&#1589;'!A1" TargetMode="External" Id="rId40" /><Relationship Type="http://schemas.openxmlformats.org/officeDocument/2006/relationships/hyperlink" Target="#'&#1605;&#1610;&#1586;&#1575;&#1606; &#1575;&#1604;&#1582;&#1586;&#1606;&#1577;'!A1" TargetMode="External" Id="rId41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42" /><Relationship Type="http://schemas.openxmlformats.org/officeDocument/2006/relationships/hyperlink" Target="#'&#1582;&#1586;&#1606;&#1577; &#1575;&#1604;&#1585;&#1610;&#1575;&#1590; 6-7 2026'!A1" TargetMode="External" Id="rId43" /><Relationship Type="http://schemas.openxmlformats.org/officeDocument/2006/relationships/hyperlink" Target="#'&#1589;&#1585;&#1601; &#1576;&#1583;&#1608;&#1606; &#1576;&#1610;&#1575;&#1606;'!A1" TargetMode="External" Id="rId44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45" /><Relationship Type="http://schemas.openxmlformats.org/officeDocument/2006/relationships/hyperlink" Target="#'&#1605;&#1589;&#1585;&#1608;&#1601;&#1575;&#1578; 2025 - &#1578;&#1601;&#1589;&#1610;&#1604;'!A1" TargetMode="External" Id="rId46" /><Relationship Type="http://schemas.openxmlformats.org/officeDocument/2006/relationships/hyperlink" Target="#'&#1605;&#1589;&#1585;&#1608;&#1601;&#1575;&#1578; 2025 - &#1605;&#1604;&#1582;&#1589;'!A1" TargetMode="External" Id="rId47" /><Relationship Type="http://schemas.openxmlformats.org/officeDocument/2006/relationships/hyperlink" Target="#'&#1605;&#1608;&#1575;&#1583; - &#1575;&#1604;&#1605;&#1604;&#1582;&#1589;'!A1" TargetMode="External" Id="rId48" /><Relationship Type="http://schemas.openxmlformats.org/officeDocument/2006/relationships/hyperlink" Target="#'&#1605;&#1608;&#1575;&#1583; - &#1587;&#1580;&#1604; &#1575;&#1604;&#1593;&#1602;&#1608;&#1583;'!A1" TargetMode="External" Id="rId49" /><Relationship Type="http://schemas.openxmlformats.org/officeDocument/2006/relationships/hyperlink" Target="#'&#1605;&#1608;&#1575;&#1583; - &#1578;&#1601;&#1589;&#1610;&#1604; &#1575;&#1604;&#1576;&#1606;&#1608;&#1583;'!A1" TargetMode="External" Id="rId50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51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52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53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54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55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56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2"/>
  <sheetViews>
    <sheetView showGridLines="0" rightToLeft="1" tabSelected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0" customWidth="1" min="3" max="3"/>
    <col width="20" customWidth="1" min="4" max="4"/>
    <col width="20" customWidth="1" min="5" max="5"/>
    <col width="4" customWidth="1" min="6" max="6"/>
  </cols>
  <sheetData>
    <row r="2" ht="45" customHeight="1">
      <c r="B2" s="134" t="inlineStr">
        <is>
          <t>مزرعة الرياض</t>
        </is>
      </c>
    </row>
    <row r="3">
      <c r="B3" s="135" t="inlineStr">
        <is>
          <t>التقرير النهائي لتقفيل حسابات الشريكين – من التأسيس (2024) حتى 31-7-2026</t>
        </is>
      </c>
    </row>
    <row r="4">
      <c r="B4" s="136" t="inlineStr">
        <is>
          <t>م/ عادل أبو خالد (مؤسسة بساتين الرياض)  •  أبو مازن (شركة نسما الشرق – مزرعة تبوك)</t>
        </is>
      </c>
    </row>
    <row r="5">
      <c r="B5" s="137" t="inlineStr">
        <is>
          <t>كل القيم بالريال السعودي وبدون ضريبة – المواد بالأسعار الموحدة للطرفين</t>
        </is>
      </c>
    </row>
    <row r="7">
      <c r="B7" s="93" t="inlineStr">
        <is>
          <t>1) مصروفات التأسيس – المدفوع من كل شريك ونسبته</t>
        </is>
      </c>
    </row>
    <row r="8">
      <c r="B8" s="138" t="inlineStr">
        <is>
          <t>البند</t>
        </is>
      </c>
      <c r="C8" s="138" t="inlineStr">
        <is>
          <t>أبو خالد</t>
        </is>
      </c>
      <c r="D8" s="138" t="inlineStr">
        <is>
          <t>أبو مازن</t>
        </is>
      </c>
      <c r="E8" s="138" t="inlineStr">
        <is>
          <t>الإجمالي</t>
        </is>
      </c>
    </row>
    <row r="9">
      <c r="B9" s="139" t="inlineStr">
        <is>
          <t>المدفوع في التأسيس</t>
        </is>
      </c>
      <c r="C9" s="140">
        <f>'نسب المساهمة'!B6</f>
        <v/>
      </c>
      <c r="D9" s="140">
        <f>'نسب المساهمة'!C6</f>
        <v/>
      </c>
      <c r="E9" s="140">
        <f>'نسب المساهمة'!D6</f>
        <v/>
      </c>
    </row>
    <row r="10">
      <c r="B10" s="141" t="inlineStr">
        <is>
          <t>النسبة</t>
        </is>
      </c>
      <c r="C10" s="142">
        <f>'نسب المساهمة'!B7</f>
        <v/>
      </c>
      <c r="D10" s="142">
        <f>'نسب المساهمة'!C7</f>
        <v/>
      </c>
      <c r="E10" s="142">
        <f>'نسب المساهمة'!D7</f>
        <v/>
      </c>
    </row>
    <row r="12">
      <c r="B12" s="93" t="inlineStr">
        <is>
          <t>2) مصروفات التشغيل – المدفوع من كل طرف ونسبته</t>
        </is>
      </c>
    </row>
    <row r="13">
      <c r="B13" s="138" t="inlineStr">
        <is>
          <t>البند</t>
        </is>
      </c>
      <c r="C13" s="138" t="inlineStr">
        <is>
          <t>أبو خالد</t>
        </is>
      </c>
      <c r="D13" s="138" t="inlineStr">
        <is>
          <t>أبو مازن</t>
        </is>
      </c>
      <c r="E13" s="138" t="inlineStr">
        <is>
          <t>الإجمالي</t>
        </is>
      </c>
    </row>
    <row r="14">
      <c r="B14" s="139" t="inlineStr">
        <is>
          <t>دعم الشريك للتشغيل (نقدي + عيني + مشتريات مورّدة)</t>
        </is>
      </c>
      <c r="C14" s="140">
        <f>'نسب المساهمة'!B17</f>
        <v/>
      </c>
      <c r="D14" s="140">
        <f>'نسب المساهمة'!C17</f>
        <v/>
      </c>
      <c r="E14" s="140">
        <f>'نسب المساهمة'!B17+'نسب المساهمة'!C17</f>
        <v/>
      </c>
    </row>
    <row r="15">
      <c r="B15" s="139" t="inlineStr">
        <is>
          <t>ممول من إيرادات المزرعة</t>
        </is>
      </c>
      <c r="C15" s="140" t="n"/>
      <c r="D15" s="140" t="n"/>
      <c r="E15" s="140">
        <f>'نسب المساهمة'!D17</f>
        <v/>
      </c>
    </row>
    <row r="16">
      <c r="B16" s="139" t="inlineStr">
        <is>
          <t>إجمالي مصروفات التشغيل</t>
        </is>
      </c>
      <c r="C16" s="140" t="n"/>
      <c r="D16" s="140" t="n"/>
      <c r="E16" s="140">
        <f>'نسب المساهمة'!B18</f>
        <v/>
      </c>
    </row>
    <row r="17">
      <c r="B17" s="141" t="inlineStr">
        <is>
          <t>نسبة الشريك من إجمالي التشغيل</t>
        </is>
      </c>
      <c r="C17" s="142">
        <f>'نسب المساهمة'!B19</f>
        <v/>
      </c>
      <c r="D17" s="142">
        <f>'نسب المساهمة'!C19</f>
        <v/>
      </c>
      <c r="E17" s="142">
        <f>'نسب المساهمة'!D19</f>
        <v/>
      </c>
    </row>
    <row r="18">
      <c r="B18" s="141" t="inlineStr">
        <is>
          <t>نسبة الشريك من دعم الشريكين فقط</t>
        </is>
      </c>
      <c r="C18" s="142">
        <f>'نسب المساهمة'!B20</f>
        <v/>
      </c>
      <c r="D18" s="142">
        <f>'نسب المساهمة'!C20</f>
        <v/>
      </c>
      <c r="E18" s="142" t="n"/>
    </row>
    <row r="20">
      <c r="B20" s="93" t="inlineStr">
        <is>
          <t>3) إجمالي الدعم المقدم (تأسيس + تشغيل)</t>
        </is>
      </c>
    </row>
    <row r="21">
      <c r="B21" s="138" t="inlineStr">
        <is>
          <t>البند</t>
        </is>
      </c>
      <c r="C21" s="138" t="inlineStr">
        <is>
          <t>أبو خالد</t>
        </is>
      </c>
      <c r="D21" s="138" t="inlineStr">
        <is>
          <t>أبو مازن</t>
        </is>
      </c>
      <c r="E21" s="138" t="inlineStr">
        <is>
          <t>الإجمالي</t>
        </is>
      </c>
    </row>
    <row r="22">
      <c r="B22" s="139" t="inlineStr">
        <is>
          <t>إجمالي الدعم</t>
        </is>
      </c>
      <c r="C22" s="140">
        <f>'نسب المساهمة'!B24</f>
        <v/>
      </c>
      <c r="D22" s="140">
        <f>'نسب المساهمة'!C24</f>
        <v/>
      </c>
      <c r="E22" s="140">
        <f>'نسب المساهمة'!D24</f>
        <v/>
      </c>
    </row>
    <row r="23">
      <c r="B23" s="141" t="inlineStr">
        <is>
          <t>النسبة</t>
        </is>
      </c>
      <c r="C23" s="142">
        <f>'نسب المساهمة'!B25</f>
        <v/>
      </c>
      <c r="D23" s="142">
        <f>'نسب المساهمة'!C25</f>
        <v/>
      </c>
      <c r="E23" s="142" t="n"/>
    </row>
    <row r="25">
      <c r="B25" s="93" t="inlineStr">
        <is>
          <t>4) المسحوبات (أرباح مسحوبة) ومصدرها</t>
        </is>
      </c>
    </row>
    <row r="26">
      <c r="B26" s="138" t="inlineStr">
        <is>
          <t>البند</t>
        </is>
      </c>
      <c r="C26" s="138" t="inlineStr">
        <is>
          <t>أبو خالد</t>
        </is>
      </c>
      <c r="D26" s="138" t="inlineStr">
        <is>
          <t>أبو مازن</t>
        </is>
      </c>
      <c r="E26" s="138" t="inlineStr">
        <is>
          <t>الإجمالي</t>
        </is>
      </c>
    </row>
    <row r="27">
      <c r="B27" s="139" t="inlineStr">
        <is>
          <t>مسحوبات مواد (عينية) بالسعر الموحد</t>
        </is>
      </c>
      <c r="C27" s="140">
        <f>'نسب المساهمة'!B29</f>
        <v/>
      </c>
      <c r="D27" s="140">
        <f>'نسب المساهمة'!C29</f>
        <v/>
      </c>
      <c r="E27" s="140">
        <f>'نسب المساهمة'!D29</f>
        <v/>
      </c>
    </row>
    <row r="28">
      <c r="B28" s="139" t="inlineStr">
        <is>
          <t>خدمات نقل</t>
        </is>
      </c>
      <c r="C28" s="140">
        <f>'نسب المساهمة'!B30</f>
        <v/>
      </c>
      <c r="D28" s="140">
        <f>'نسب المساهمة'!C30</f>
        <v/>
      </c>
      <c r="E28" s="140">
        <f>'نسب المساهمة'!D30</f>
        <v/>
      </c>
    </row>
    <row r="29">
      <c r="B29" s="139" t="inlineStr">
        <is>
          <t>مسحوبات نقدية</t>
        </is>
      </c>
      <c r="C29" s="140">
        <f>'نسب المساهمة'!B31</f>
        <v/>
      </c>
      <c r="D29" s="140">
        <f>'نسب المساهمة'!C31</f>
        <v/>
      </c>
      <c r="E29" s="140">
        <f>'نسب المساهمة'!D31</f>
        <v/>
      </c>
    </row>
    <row r="30">
      <c r="B30" s="139" t="inlineStr">
        <is>
          <t>إجمالي المسحوبات</t>
        </is>
      </c>
      <c r="C30" s="140">
        <f>'نسب المساهمة'!B32</f>
        <v/>
      </c>
      <c r="D30" s="140">
        <f>'نسب المساهمة'!C32</f>
        <v/>
      </c>
      <c r="E30" s="140">
        <f>'نسب المساهمة'!D32</f>
        <v/>
      </c>
    </row>
    <row r="31">
      <c r="B31" s="141" t="inlineStr">
        <is>
          <t>النسبة</t>
        </is>
      </c>
      <c r="C31" s="142">
        <f>'نسب المساهمة'!B33</f>
        <v/>
      </c>
      <c r="D31" s="142">
        <f>'نسب المساهمة'!C33</f>
        <v/>
      </c>
      <c r="E31" s="142" t="n"/>
    </row>
    <row r="32">
      <c r="B32" s="139" t="inlineStr">
        <is>
          <t>المسدد نقداً للخزنة مقابل المسحوبات</t>
        </is>
      </c>
      <c r="C32" s="140">
        <f>'نسب المساهمة'!B34</f>
        <v/>
      </c>
      <c r="D32" s="140">
        <f>'نسب المساهمة'!C34</f>
        <v/>
      </c>
      <c r="E32" s="140">
        <f>'نسب المساهمة'!D34</f>
        <v/>
      </c>
    </row>
    <row r="34">
      <c r="B34" s="93" t="inlineStr">
        <is>
          <t>5) فرق توحيد الأسعار المرتجع لأبو خالد</t>
        </is>
      </c>
    </row>
    <row r="35">
      <c r="B35" s="138" t="inlineStr">
        <is>
          <t>البند</t>
        </is>
      </c>
      <c r="C35" s="138" t="inlineStr">
        <is>
          <t>أبو خالد</t>
        </is>
      </c>
      <c r="D35" s="138" t="inlineStr">
        <is>
          <t>أبو مازن</t>
        </is>
      </c>
      <c r="E35" s="138" t="inlineStr">
        <is>
          <t>الإجمالي</t>
        </is>
      </c>
    </row>
    <row r="36">
      <c r="B36" s="139" t="inlineStr">
        <is>
          <t>قيمة عقوده بالأسعار المسجلة</t>
        </is>
      </c>
      <c r="C36" s="140">
        <f>'فرق أسعار أبو خالد'!H61</f>
        <v/>
      </c>
      <c r="D36" s="140" t="n"/>
      <c r="E36" s="140" t="n"/>
    </row>
    <row r="37">
      <c r="B37" s="139" t="inlineStr">
        <is>
          <t>قيمة عقوده بالأسعار الموحدة</t>
        </is>
      </c>
      <c r="C37" s="140">
        <f>'فرق أسعار أبو خالد'!J61</f>
        <v/>
      </c>
      <c r="D37" s="140" t="n"/>
      <c r="E37" s="140" t="n"/>
    </row>
    <row r="38">
      <c r="B38" s="141" t="inlineStr">
        <is>
          <t>الرصيد المرتجع لأبو خالد</t>
        </is>
      </c>
      <c r="C38" s="143">
        <f>'فرق أسعار أبو خالد'!K61</f>
        <v/>
      </c>
      <c r="D38" s="143" t="n"/>
      <c r="E38" s="143" t="n"/>
    </row>
    <row r="40">
      <c r="B40" s="93" t="inlineStr">
        <is>
          <t>6) الأرصدة النهائية وتقفيل المديونية</t>
        </is>
      </c>
    </row>
    <row r="41">
      <c r="B41" s="138" t="inlineStr">
        <is>
          <t>البند</t>
        </is>
      </c>
      <c r="C41" s="138" t="inlineStr">
        <is>
          <t>أبو خالد</t>
        </is>
      </c>
      <c r="D41" s="138" t="inlineStr">
        <is>
          <t>أبو مازن</t>
        </is>
      </c>
      <c r="E41" s="138" t="inlineStr">
        <is>
          <t>الإجمالي</t>
        </is>
      </c>
    </row>
    <row r="42">
      <c r="B42" s="139" t="inlineStr">
        <is>
          <t>إجمالي ما له (دعم + مدفوعات)</t>
        </is>
      </c>
      <c r="C42" s="140">
        <f>'تقفيل المديونية'!C13</f>
        <v/>
      </c>
      <c r="D42" s="140">
        <f>'تقفيل المديونية'!C34</f>
        <v/>
      </c>
      <c r="E42" s="140">
        <f>'تقفيل المديونية'!C13+'تقفيل المديونية'!C34</f>
        <v/>
      </c>
    </row>
    <row r="43">
      <c r="B43" s="139" t="inlineStr">
        <is>
          <t>إجمالي ما عليه (مسحوبات)</t>
        </is>
      </c>
      <c r="C43" s="140">
        <f>'تقفيل المديونية'!C20</f>
        <v/>
      </c>
      <c r="D43" s="140">
        <f>'تقفيل المديونية'!C42</f>
        <v/>
      </c>
      <c r="E43" s="140">
        <f>'تقفيل المديونية'!C20+'تقفيل المديونية'!C42</f>
        <v/>
      </c>
    </row>
    <row r="44">
      <c r="B44" s="141" t="inlineStr">
        <is>
          <t>صافي المستحق للشريك على المزرعة</t>
        </is>
      </c>
      <c r="C44" s="143">
        <f>'تقفيل المديونية'!C21</f>
        <v/>
      </c>
      <c r="D44" s="143">
        <f>'تقفيل المديونية'!C43</f>
        <v/>
      </c>
      <c r="E44" s="143">
        <f>'تقفيل المديونية'!C21+'تقفيل المديونية'!C43</f>
        <v/>
      </c>
    </row>
    <row r="46">
      <c r="B46" s="93" t="inlineStr">
        <is>
          <t>7) الخزنة والمديونيات الخارجية في 31-7-2026</t>
        </is>
      </c>
    </row>
    <row r="47">
      <c r="B47" s="139" t="inlineStr">
        <is>
          <t>رصيد الخزنة التراكمي</t>
        </is>
      </c>
      <c r="C47" s="140">
        <f>'ميزان الخزنة التراكمي'!B15</f>
        <v/>
      </c>
    </row>
    <row r="48">
      <c r="B48" s="139" t="inlineStr">
        <is>
          <t>مديونية المندوب عصمت (عماد مسددة)</t>
        </is>
      </c>
      <c r="C48" s="140">
        <f>'المديونيات الخارجية'!B5+'المديونيات الخارجية'!B6</f>
        <v/>
      </c>
    </row>
    <row r="49">
      <c r="B49" s="139" t="inlineStr">
        <is>
          <t>أرصدة عهد بدون تسوية</t>
        </is>
      </c>
      <c r="C49" s="140">
        <f>'المديونيات الخارجية'!B7</f>
        <v/>
      </c>
    </row>
    <row r="50">
      <c r="B50" s="139" t="inlineStr">
        <is>
          <t>مديونيات خارجية على المزرعة</t>
        </is>
      </c>
      <c r="C50" s="140" t="n">
        <v>0</v>
      </c>
    </row>
    <row r="52">
      <c r="B52" s="144" t="inlineStr">
        <is>
          <t>التفاصيل: تقفيل المديونية – نسب المساهمة – ميزان الخزنة التراكمي – المديونيات الخارجية – ملخص التسعير – سجل القرارات</t>
        </is>
      </c>
    </row>
  </sheetData>
  <mergeCells count="12">
    <mergeCell ref="B20:E20"/>
    <mergeCell ref="B40:E40"/>
    <mergeCell ref="B4:E4"/>
    <mergeCell ref="B12:E12"/>
    <mergeCell ref="B52:E52"/>
    <mergeCell ref="B7:E7"/>
    <mergeCell ref="B25:E25"/>
    <mergeCell ref="B3:E3"/>
    <mergeCell ref="B5:E5"/>
    <mergeCell ref="B2:E2"/>
    <mergeCell ref="B46:E46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59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التقفيل النهائي</t>
        </is>
      </c>
      <c r="C3" s="90" t="inlineStr">
        <is>
          <t>الغلاف</t>
        </is>
      </c>
      <c r="D3" s="16" t="n"/>
    </row>
    <row r="4">
      <c r="A4" s="16" t="n">
        <v>2</v>
      </c>
      <c r="B4" s="16" t="inlineStr">
        <is>
          <t>التقفيل النهائي</t>
        </is>
      </c>
      <c r="C4" s="90" t="inlineStr">
        <is>
          <t>تقفيل المديونية</t>
        </is>
      </c>
      <c r="D4" s="16" t="n"/>
    </row>
    <row r="5">
      <c r="A5" s="16" t="n">
        <v>3</v>
      </c>
      <c r="B5" s="16" t="inlineStr">
        <is>
          <t>التقفيل النهائي</t>
        </is>
      </c>
      <c r="C5" s="90" t="inlineStr">
        <is>
          <t>نسب المساهمة</t>
        </is>
      </c>
      <c r="D5" s="16" t="n"/>
    </row>
    <row r="6">
      <c r="A6" s="16" t="n">
        <v>4</v>
      </c>
      <c r="B6" s="16" t="inlineStr">
        <is>
          <t>التقفيل النهائي</t>
        </is>
      </c>
      <c r="C6" s="90" t="inlineStr">
        <is>
          <t>ميزان الخزنة التراكمي</t>
        </is>
      </c>
      <c r="D6" s="16" t="n"/>
    </row>
    <row r="7">
      <c r="A7" s="16" t="n">
        <v>5</v>
      </c>
      <c r="B7" s="16" t="inlineStr">
        <is>
          <t>التقفيل النهائي</t>
        </is>
      </c>
      <c r="C7" s="90" t="inlineStr">
        <is>
          <t>المديونيات الخارجية</t>
        </is>
      </c>
      <c r="D7" s="16" t="n"/>
    </row>
    <row r="8">
      <c r="A8" s="16" t="n">
        <v>6</v>
      </c>
      <c r="B8" s="16" t="inlineStr">
        <is>
          <t>التقفيل النهائي</t>
        </is>
      </c>
      <c r="C8" s="90" t="inlineStr">
        <is>
          <t>سجل القرارات</t>
        </is>
      </c>
      <c r="D8" s="16" t="n"/>
    </row>
    <row r="9">
      <c r="A9" s="16" t="n">
        <v>7</v>
      </c>
      <c r="B9" s="16" t="inlineStr">
        <is>
          <t>التسعير الموحد</t>
        </is>
      </c>
      <c r="C9" s="90" t="inlineStr">
        <is>
          <t>ملخص التسعير</t>
        </is>
      </c>
      <c r="D9" s="16" t="n"/>
    </row>
    <row r="10">
      <c r="A10" s="16" t="n">
        <v>8</v>
      </c>
      <c r="B10" s="16" t="inlineStr">
        <is>
          <t>التسعير الموحد</t>
        </is>
      </c>
      <c r="C10" s="90" t="inlineStr">
        <is>
          <t>قائمة الأسعار الموحدة</t>
        </is>
      </c>
      <c r="D10" s="16" t="n"/>
    </row>
    <row r="11">
      <c r="A11" s="16" t="n">
        <v>9</v>
      </c>
      <c r="B11" s="16" t="inlineStr">
        <is>
          <t>التسعير الموحد</t>
        </is>
      </c>
      <c r="C11" s="90" t="inlineStr">
        <is>
          <t>فرق أسعار أبو خالد</t>
        </is>
      </c>
      <c r="D11" s="16" t="n"/>
    </row>
    <row r="12">
      <c r="A12" s="16" t="n">
        <v>10</v>
      </c>
      <c r="B12" s="16" t="inlineStr">
        <is>
          <t>التسعير الموحد</t>
        </is>
      </c>
      <c r="C12" s="90" t="inlineStr">
        <is>
          <t>مسحوبات نسما من الرياض</t>
        </is>
      </c>
      <c r="D12" s="16" t="n"/>
    </row>
    <row r="13">
      <c r="A13" s="16" t="n">
        <v>11</v>
      </c>
      <c r="B13" s="16" t="inlineStr">
        <is>
          <t>التسعير الموحد</t>
        </is>
      </c>
      <c r="C13" s="90" t="inlineStr">
        <is>
          <t>ترحيل تبوك إلى الرياض</t>
        </is>
      </c>
      <c r="D13" s="16" t="n"/>
    </row>
    <row r="14">
      <c r="A14" s="16" t="n">
        <v>12</v>
      </c>
      <c r="B14" s="16" t="inlineStr">
        <is>
          <t>التسعير الموحد</t>
        </is>
      </c>
      <c r="C14" s="90" t="inlineStr">
        <is>
          <t>مسحوبات نسما قبل الفترة</t>
        </is>
      </c>
      <c r="D14" s="16" t="n"/>
    </row>
    <row r="15">
      <c r="A15" s="16" t="n">
        <v>13</v>
      </c>
      <c r="B15" s="16" t="inlineStr">
        <is>
          <t>التسعير الموحد</t>
        </is>
      </c>
      <c r="C15" s="90" t="inlineStr">
        <is>
          <t>سندات بدون تفصيل أصناف</t>
        </is>
      </c>
      <c r="D15" s="16" t="n"/>
    </row>
    <row r="16">
      <c r="A16" s="16" t="n">
        <v>14</v>
      </c>
      <c r="B16" s="16" t="inlineStr">
        <is>
          <t>تفاصيل المراجعة</t>
        </is>
      </c>
      <c r="C16" s="90" t="inlineStr">
        <is>
          <t>الملخص العام</t>
        </is>
      </c>
      <c r="D16" s="16" t="n"/>
    </row>
    <row r="17">
      <c r="A17" s="16" t="n">
        <v>15</v>
      </c>
      <c r="B17" s="16" t="inlineStr">
        <is>
          <t>تفاصيل المراجعة</t>
        </is>
      </c>
      <c r="C17" s="90" t="inlineStr">
        <is>
          <t>الأسئلة المطلوبة</t>
        </is>
      </c>
      <c r="D17" s="16" t="n"/>
    </row>
    <row r="18">
      <c r="A18" s="16" t="n">
        <v>16</v>
      </c>
      <c r="B18" s="16" t="inlineStr">
        <is>
          <t>تفاصيل المراجعة</t>
        </is>
      </c>
      <c r="C18" s="90" t="inlineStr">
        <is>
          <t>مطابقة حساب أبو خالد</t>
        </is>
      </c>
      <c r="D18" s="16" t="n"/>
    </row>
    <row r="19">
      <c r="A19" s="16" t="n">
        <v>17</v>
      </c>
      <c r="B19" s="16" t="inlineStr">
        <is>
          <t>تفاصيل المراجعة</t>
        </is>
      </c>
      <c r="C19" s="90" t="inlineStr">
        <is>
          <t>مطابقة كميات عقد عرعر</t>
        </is>
      </c>
      <c r="D19" s="16" t="n"/>
    </row>
    <row r="20">
      <c r="A20" s="16" t="n">
        <v>18</v>
      </c>
      <c r="B20" s="16" t="inlineStr">
        <is>
          <t>تفاصيل المراجعة</t>
        </is>
      </c>
      <c r="C20" s="90" t="inlineStr">
        <is>
          <t>إيرادات قبل الفترة</t>
        </is>
      </c>
      <c r="D20" s="16" t="n"/>
    </row>
    <row r="21">
      <c r="A21" s="16" t="n">
        <v>19</v>
      </c>
      <c r="B21" s="16" t="inlineStr">
        <is>
          <t>تفاصيل المراجعة</t>
        </is>
      </c>
      <c r="C21" s="90" t="inlineStr">
        <is>
          <t>تحقق سند أبو خالد</t>
        </is>
      </c>
      <c r="D21" s="16" t="n"/>
    </row>
    <row r="22">
      <c r="A22" s="16" t="n">
        <v>20</v>
      </c>
      <c r="B22" s="16" t="inlineStr">
        <is>
          <t>تفاصيل المراجعة</t>
        </is>
      </c>
      <c r="C22" s="90" t="inlineStr">
        <is>
          <t>مبيعات - الملخص</t>
        </is>
      </c>
      <c r="D22" s="16" t="n"/>
    </row>
    <row r="23">
      <c r="A23" s="16" t="n">
        <v>21</v>
      </c>
      <c r="B23" s="16" t="inlineStr">
        <is>
          <t>تفاصيل المراجعة</t>
        </is>
      </c>
      <c r="C23" s="90" t="inlineStr">
        <is>
          <t>الحركة المدمجة</t>
        </is>
      </c>
      <c r="D23" s="16" t="n"/>
    </row>
    <row r="24">
      <c r="A24" s="16" t="n">
        <v>22</v>
      </c>
      <c r="B24" s="16" t="inlineStr">
        <is>
          <t>تفاصيل المراجعة</t>
        </is>
      </c>
      <c r="C24" s="90" t="inlineStr">
        <is>
          <t>مبيعات - شهري</t>
        </is>
      </c>
      <c r="D24" s="16" t="n"/>
    </row>
    <row r="25">
      <c r="A25" s="16" t="n">
        <v>23</v>
      </c>
      <c r="B25" s="16" t="inlineStr">
        <is>
          <t>تفاصيل المراجعة</t>
        </is>
      </c>
      <c r="C25" s="90" t="inlineStr">
        <is>
          <t>مبيعات قبل 30.7.2025</t>
        </is>
      </c>
      <c r="D25" s="16" t="n"/>
    </row>
    <row r="26">
      <c r="A26" s="16" t="n">
        <v>24</v>
      </c>
      <c r="B26" s="16" t="inlineStr">
        <is>
          <t>تفاصيل المراجعة</t>
        </is>
      </c>
      <c r="C26" s="90" t="inlineStr">
        <is>
          <t>مبيعات عصمت</t>
        </is>
      </c>
      <c r="D26" s="16" t="n"/>
    </row>
    <row r="27">
      <c r="A27" s="16" t="n">
        <v>25</v>
      </c>
      <c r="B27" s="16" t="inlineStr">
        <is>
          <t>تفاصيل المراجعة</t>
        </is>
      </c>
      <c r="C27" s="90" t="inlineStr">
        <is>
          <t>مبيعات عماد</t>
        </is>
      </c>
      <c r="D27" s="16" t="n"/>
    </row>
    <row r="28">
      <c r="A28" s="16" t="n">
        <v>26</v>
      </c>
      <c r="B28" s="16" t="inlineStr">
        <is>
          <t>تفاصيل المراجعة</t>
        </is>
      </c>
      <c r="C28" s="90" t="inlineStr">
        <is>
          <t>مبيعات أبو خالد</t>
        </is>
      </c>
      <c r="D28" s="16" t="n"/>
    </row>
    <row r="29">
      <c r="A29" s="16" t="n">
        <v>27</v>
      </c>
      <c r="B29" s="16" t="inlineStr">
        <is>
          <t>تفاصيل المراجعة</t>
        </is>
      </c>
      <c r="C29" s="90" t="inlineStr">
        <is>
          <t>أبو خالد - تفصيل البنود</t>
        </is>
      </c>
      <c r="D29" s="16" t="n"/>
    </row>
    <row r="30">
      <c r="A30" s="16" t="n">
        <v>28</v>
      </c>
      <c r="B30" s="16" t="inlineStr">
        <is>
          <t>تفاصيل المراجعة</t>
        </is>
      </c>
      <c r="C30" s="90" t="inlineStr">
        <is>
          <t>الفواتير المبدئية</t>
        </is>
      </c>
      <c r="D30" s="16" t="n"/>
    </row>
    <row r="31">
      <c r="A31" s="16" t="n">
        <v>29</v>
      </c>
      <c r="B31" s="16" t="inlineStr">
        <is>
          <t>تفاصيل المراجعة</t>
        </is>
      </c>
      <c r="C31" s="90" t="inlineStr">
        <is>
          <t>فواتير - حسب المندوب</t>
        </is>
      </c>
      <c r="D31" s="16" t="n"/>
    </row>
    <row r="32">
      <c r="A32" s="16" t="n">
        <v>30</v>
      </c>
      <c r="B32" s="16" t="inlineStr">
        <is>
          <t>تفاصيل المراجعة</t>
        </is>
      </c>
      <c r="C32" s="90" t="inlineStr">
        <is>
          <t>فواتير - شهري</t>
        </is>
      </c>
      <c r="D32" s="16" t="n"/>
    </row>
    <row r="33">
      <c r="A33" s="16" t="n">
        <v>31</v>
      </c>
      <c r="B33" s="16" t="inlineStr">
        <is>
          <t>تفاصيل المراجعة</t>
        </is>
      </c>
      <c r="C33" s="90" t="inlineStr">
        <is>
          <t>مطابقة العقود</t>
        </is>
      </c>
      <c r="D33" s="16" t="n"/>
    </row>
    <row r="34">
      <c r="A34" s="16" t="n">
        <v>32</v>
      </c>
      <c r="B34" s="16" t="inlineStr">
        <is>
          <t>تفاصيل المراجعة</t>
        </is>
      </c>
      <c r="C34" s="90" t="inlineStr">
        <is>
          <t>فواتير عقودها غير مسجلة</t>
        </is>
      </c>
      <c r="D34" s="16" t="n"/>
    </row>
    <row r="35">
      <c r="A35" s="16" t="n">
        <v>33</v>
      </c>
      <c r="B35" s="16" t="inlineStr">
        <is>
          <t>تفاصيل المراجعة</t>
        </is>
      </c>
      <c r="C35" s="90" t="inlineStr">
        <is>
          <t>الفواتير مقابل الكشف</t>
        </is>
      </c>
      <c r="D35" s="16" t="n"/>
    </row>
    <row r="36">
      <c r="A36" s="16" t="n">
        <v>34</v>
      </c>
      <c r="B36" s="16" t="inlineStr">
        <is>
          <t>تفاصيل المراجعة</t>
        </is>
      </c>
      <c r="C36" s="90" t="inlineStr">
        <is>
          <t>قيود كشف بدون فاتورة</t>
        </is>
      </c>
      <c r="D36" s="16" t="n"/>
    </row>
    <row r="37">
      <c r="A37" s="16" t="n">
        <v>35</v>
      </c>
      <c r="B37" s="16" t="inlineStr">
        <is>
          <t>تفاصيل المراجعة</t>
        </is>
      </c>
      <c r="C37" s="90" t="inlineStr">
        <is>
          <t>مصروفات - الملخص</t>
        </is>
      </c>
      <c r="D37" s="16" t="n"/>
    </row>
    <row r="38">
      <c r="A38" s="16" t="n">
        <v>36</v>
      </c>
      <c r="B38" s="16" t="inlineStr">
        <is>
          <t>تفاصيل المراجعة</t>
        </is>
      </c>
      <c r="C38" s="90" t="inlineStr">
        <is>
          <t>مصروفات التأسيس</t>
        </is>
      </c>
      <c r="D38" s="16" t="n"/>
    </row>
    <row r="39">
      <c r="A39" s="16" t="n">
        <v>37</v>
      </c>
      <c r="B39" s="16" t="inlineStr">
        <is>
          <t>تفاصيل المراجعة</t>
        </is>
      </c>
      <c r="C39" s="90" t="inlineStr">
        <is>
          <t>مصروفات قبل 30.7.2025</t>
        </is>
      </c>
      <c r="D39" s="16" t="n"/>
    </row>
    <row r="40">
      <c r="A40" s="16" t="n">
        <v>38</v>
      </c>
      <c r="B40" s="16" t="inlineStr">
        <is>
          <t>تفاصيل المراجعة</t>
        </is>
      </c>
      <c r="C40" s="90" t="inlineStr">
        <is>
          <t>أوامر الشراء 2026</t>
        </is>
      </c>
      <c r="D40" s="16" t="n"/>
    </row>
    <row r="41">
      <c r="A41" s="16" t="n">
        <v>39</v>
      </c>
      <c r="B41" s="16" t="inlineStr">
        <is>
          <t>تفاصيل المراجعة</t>
        </is>
      </c>
      <c r="C41" s="90" t="inlineStr">
        <is>
          <t>العهد - التفصيل</t>
        </is>
      </c>
      <c r="D41" s="16" t="n"/>
    </row>
    <row r="42">
      <c r="A42" s="16" t="n">
        <v>40</v>
      </c>
      <c r="B42" s="16" t="inlineStr">
        <is>
          <t>تفاصيل المراجعة</t>
        </is>
      </c>
      <c r="C42" s="90" t="inlineStr">
        <is>
          <t>العهد - الملخص</t>
        </is>
      </c>
      <c r="D42" s="16" t="n"/>
    </row>
    <row r="43">
      <c r="A43" s="16" t="n">
        <v>41</v>
      </c>
      <c r="B43" s="16" t="inlineStr">
        <is>
          <t>تفاصيل المراجعة</t>
        </is>
      </c>
      <c r="C43" s="90" t="inlineStr">
        <is>
          <t>ميزان الخزنة</t>
        </is>
      </c>
      <c r="D43" s="16" t="n"/>
    </row>
    <row r="44">
      <c r="A44" s="16" t="n">
        <v>42</v>
      </c>
      <c r="B44" s="16" t="inlineStr">
        <is>
          <t>تفاصيل المراجعة</t>
        </is>
      </c>
      <c r="C44" s="90" t="inlineStr">
        <is>
          <t>مصروفات الخزنة (كشف الحساب)</t>
        </is>
      </c>
      <c r="D44" s="16" t="n"/>
    </row>
    <row r="45">
      <c r="A45" s="16" t="n">
        <v>43</v>
      </c>
      <c r="B45" s="16" t="inlineStr">
        <is>
          <t>تفاصيل المراجعة</t>
        </is>
      </c>
      <c r="C45" s="90" t="inlineStr">
        <is>
          <t>خزنة الرياض 6-7 2026</t>
        </is>
      </c>
      <c r="D45" s="16" t="n"/>
    </row>
    <row r="46">
      <c r="A46" s="16" t="n">
        <v>44</v>
      </c>
      <c r="B46" s="16" t="inlineStr">
        <is>
          <t>تفاصيل المراجعة</t>
        </is>
      </c>
      <c r="C46" s="90" t="inlineStr">
        <is>
          <t>صرف بدون بيان</t>
        </is>
      </c>
      <c r="D46" s="16" t="n"/>
    </row>
    <row r="47">
      <c r="A47" s="16" t="n">
        <v>45</v>
      </c>
      <c r="B47" s="16" t="inlineStr">
        <is>
          <t>تفاصيل المراجعة</t>
        </is>
      </c>
      <c r="C47" s="90" t="inlineStr">
        <is>
          <t>أرصدة العملاء والموردين</t>
        </is>
      </c>
      <c r="D47" s="16" t="n"/>
    </row>
    <row r="48">
      <c r="A48" s="16" t="n">
        <v>46</v>
      </c>
      <c r="B48" s="16" t="inlineStr">
        <is>
          <t>تفاصيل المراجعة</t>
        </is>
      </c>
      <c r="C48" s="90" t="inlineStr">
        <is>
          <t>مصروفات 2025 - تفصيل</t>
        </is>
      </c>
      <c r="D48" s="16" t="n"/>
    </row>
    <row r="49">
      <c r="A49" s="16" t="n">
        <v>47</v>
      </c>
      <c r="B49" s="16" t="inlineStr">
        <is>
          <t>تفاصيل المراجعة</t>
        </is>
      </c>
      <c r="C49" s="90" t="inlineStr">
        <is>
          <t>مصروفات 2025 - ملخص</t>
        </is>
      </c>
      <c r="D49" s="16" t="n"/>
    </row>
    <row r="50">
      <c r="A50" t="n">
        <v>48</v>
      </c>
      <c r="B50" t="inlineStr">
        <is>
          <t>تفاصيل المراجعة</t>
        </is>
      </c>
      <c r="C50" s="145" t="inlineStr">
        <is>
          <t>مواد - الملخص</t>
        </is>
      </c>
    </row>
    <row r="51">
      <c r="A51" t="n">
        <v>49</v>
      </c>
      <c r="B51" t="inlineStr">
        <is>
          <t>تفاصيل المراجعة</t>
        </is>
      </c>
      <c r="C51" s="145" t="inlineStr">
        <is>
          <t>مواد - سجل العقود</t>
        </is>
      </c>
    </row>
    <row r="52">
      <c r="A52" t="n">
        <v>50</v>
      </c>
      <c r="B52" t="inlineStr">
        <is>
          <t>تفاصيل المراجعة</t>
        </is>
      </c>
      <c r="C52" s="145" t="inlineStr">
        <is>
          <t>مواد - تفصيل البنود</t>
        </is>
      </c>
    </row>
    <row r="53">
      <c r="A53" t="n">
        <v>51</v>
      </c>
      <c r="B53" t="inlineStr">
        <is>
          <t>تفاصيل المراجعة</t>
        </is>
      </c>
      <c r="C53" s="145" t="inlineStr">
        <is>
          <t>مواد - الكميات حسب الصنف</t>
        </is>
      </c>
    </row>
    <row r="54">
      <c r="A54" t="n">
        <v>52</v>
      </c>
      <c r="B54" t="inlineStr">
        <is>
          <t>تفاصيل المراجعة</t>
        </is>
      </c>
      <c r="C54" s="145" t="inlineStr">
        <is>
          <t>مسحوبات - ملخص المراجعة</t>
        </is>
      </c>
    </row>
    <row r="55">
      <c r="A55" t="n">
        <v>53</v>
      </c>
      <c r="B55" t="inlineStr">
        <is>
          <t>تفاصيل المراجعة</t>
        </is>
      </c>
      <c r="C55" s="145" t="inlineStr">
        <is>
          <t>مسحوبات تبوك قبل الفترة</t>
        </is>
      </c>
    </row>
    <row r="56">
      <c r="A56" t="n">
        <v>54</v>
      </c>
      <c r="B56" t="inlineStr">
        <is>
          <t>تفاصيل المراجعة</t>
        </is>
      </c>
      <c r="C56" s="145" t="inlineStr">
        <is>
          <t>مصاريف إدارية وديزل تبوك</t>
        </is>
      </c>
    </row>
    <row r="57">
      <c r="A57" t="n">
        <v>55</v>
      </c>
      <c r="B57" t="inlineStr">
        <is>
          <t>تفاصيل المراجعة</t>
        </is>
      </c>
      <c r="C57" s="145" t="inlineStr">
        <is>
          <t>مسحوبات الرياض من تبوك</t>
        </is>
      </c>
    </row>
    <row r="58">
      <c r="A58" t="n">
        <v>56</v>
      </c>
      <c r="B58" t="inlineStr">
        <is>
          <t>تفاصيل المراجعة</t>
        </is>
      </c>
      <c r="C58" s="145" t="inlineStr">
        <is>
          <t>مسحوبات تبوك من الرياض</t>
        </is>
      </c>
    </row>
    <row r="59">
      <c r="A59" t="n">
        <v>57</v>
      </c>
      <c r="B59" t="inlineStr">
        <is>
          <t>تفاصيل المراجعة</t>
        </is>
      </c>
      <c r="C59" s="145" t="inlineStr">
        <is>
          <t>سندات غير مدرجة بالمحاسب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rightToLeft="1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  <col width="30" customWidth="1" min="4" max="4"/>
    <col width="52" customWidth="1" min="5" max="5"/>
    <col width="4" customWidth="1" min="6" max="6"/>
  </cols>
  <sheetData>
    <row r="1" ht="30" customHeight="1">
      <c r="A1" s="146" t="inlineStr">
        <is>
          <t>تقفيل مديونية الشريكين مع مزرعة الرياض – من التأسيس (2024) حتى 31-7-2026</t>
        </is>
      </c>
    </row>
    <row r="2" ht="30" customHeight="1">
      <c r="A2" s="147" t="inlineStr">
        <is>
          <t>كل القيم بدون ضريبة (معاملات داخلية) – المواد بالأسعار الموحدة للطرفين – (له) = مستحق للشريك على المزرعة، (عليه) = مستحق للمزرعة على الشريك</t>
        </is>
      </c>
    </row>
    <row r="4">
      <c r="A4" s="148" t="inlineStr">
        <is>
          <t>أولاً: م/ عادل أبو خالد – مؤسسة بساتين الرياض</t>
        </is>
      </c>
    </row>
    <row r="5">
      <c r="A5" s="149" t="inlineStr">
        <is>
          <t>م</t>
        </is>
      </c>
      <c r="B5" s="149" t="inlineStr">
        <is>
          <t>البند</t>
        </is>
      </c>
      <c r="C5" s="149" t="inlineStr">
        <is>
          <t>المبلغ</t>
        </is>
      </c>
      <c r="D5" s="149" t="inlineStr">
        <is>
          <t>المصدر</t>
        </is>
      </c>
      <c r="E5" s="149" t="inlineStr">
        <is>
          <t>ملاحظة</t>
        </is>
      </c>
    </row>
    <row r="6">
      <c r="A6" s="148" t="inlineStr">
        <is>
          <t>أ) ما له (مدفوعات ودعم)</t>
        </is>
      </c>
    </row>
    <row r="7">
      <c r="A7" s="150" t="n">
        <v>1</v>
      </c>
      <c r="B7" s="151" t="inlineStr">
        <is>
          <t>مساهمة في مصروفات التأسيس</t>
        </is>
      </c>
      <c r="C7" s="150" t="n">
        <v>189235</v>
      </c>
      <c r="D7" s="151" t="inlineStr">
        <is>
          <t>مصروفات التأسيس</t>
        </is>
      </c>
      <c r="E7" s="151" t="inlineStr">
        <is>
          <t>بيان صاحب الحساب</t>
        </is>
      </c>
    </row>
    <row r="8">
      <c r="A8" s="150" t="n">
        <v>2</v>
      </c>
      <c r="B8" s="151" t="inlineStr">
        <is>
          <t>توريدات وسدادات نقدية للخزنة (كشف الخزنة – عميل 5000 بعد حذف الجزيرة)</t>
        </is>
      </c>
      <c r="C8" s="150">
        <f>763323.81-196225-3128</f>
        <v/>
      </c>
      <c r="D8" s="151" t="inlineStr">
        <is>
          <t>ميزان الخزنة</t>
        </is>
      </c>
      <c r="E8" s="151" t="inlineStr">
        <is>
          <t>763,323.81 − زهور الجزيرة 196,225 − فلين الجزيرة 3,128</t>
        </is>
      </c>
    </row>
    <row r="9">
      <c r="A9" s="150" t="n">
        <v>3</v>
      </c>
      <c r="B9" s="151" t="inlineStr">
        <is>
          <t>أوامر شراء بساتين الرياض غير مسددة – PO-1023</t>
        </is>
      </c>
      <c r="C9" s="150" t="n">
        <v>33950</v>
      </c>
      <c r="D9" s="151" t="inlineStr">
        <is>
          <t>أوامر الشراء 2026</t>
        </is>
      </c>
      <c r="E9" s="151" t="inlineStr">
        <is>
          <t>مشتريات تشغيل مورّدة للمزرعة – دعم تشغيلي</t>
        </is>
      </c>
    </row>
    <row r="10">
      <c r="A10" s="150" t="n">
        <v>4</v>
      </c>
      <c r="B10" s="151" t="inlineStr">
        <is>
          <t>أوامر شراء بساتين الرياض – PO-0777 (المتبقي بعد سداد 11,000)</t>
        </is>
      </c>
      <c r="C10" s="150" t="n">
        <v>55420</v>
      </c>
      <c r="D10" s="151" t="inlineStr">
        <is>
          <t>أوامر الشراء 2026</t>
        </is>
      </c>
      <c r="E10" s="151" t="inlineStr">
        <is>
          <t>66,420 − 11,000 (DIS-Riyadh-0012) – دعم تشغيلي</t>
        </is>
      </c>
    </row>
    <row r="11">
      <c r="A11" s="150" t="n">
        <v>5</v>
      </c>
      <c r="B11" s="151" t="inlineStr">
        <is>
          <t>فرق توحيد الأسعار المرتجع لأبو خالد</t>
        </is>
      </c>
      <c r="C11" s="150">
        <f>'فرق أسعار أبو خالد'!K61</f>
        <v/>
      </c>
      <c r="D11" s="151" t="inlineStr">
        <is>
          <t>فرق أسعار أبو خالد</t>
        </is>
      </c>
      <c r="E11" s="151" t="inlineStr">
        <is>
          <t>إعادة تسعير عقوده بالأسعار الموحدة (تفصيل كل سند بصفحة فرق أسعار أبو خالد)</t>
        </is>
      </c>
    </row>
    <row r="12">
      <c r="A12" s="150" t="n">
        <v>6</v>
      </c>
      <c r="B12" s="151" t="inlineStr">
        <is>
          <t>أوامر شراء بساتين الرياض – PO-0776 (24-6-2026) غير مسدد</t>
        </is>
      </c>
      <c r="C12" s="150" t="n">
        <v>22525</v>
      </c>
      <c r="D12" s="151" t="inlineStr">
        <is>
          <t>قرار صاحب الحساب</t>
        </is>
      </c>
      <c r="E12" s="151" t="inlineStr">
        <is>
          <t>مشتريات تشغيل مورّدة قبل 31-7-2026 – دعم تشغيلي</t>
        </is>
      </c>
    </row>
    <row r="13">
      <c r="A13" s="152" t="n"/>
      <c r="B13" s="152" t="inlineStr">
        <is>
          <t>إجمالي ما له</t>
        </is>
      </c>
      <c r="C13" s="153">
        <f>SUM(C7:C12)</f>
        <v/>
      </c>
      <c r="D13" s="152" t="n"/>
      <c r="E13" s="152" t="n"/>
    </row>
    <row r="14">
      <c r="A14" s="148" t="inlineStr">
        <is>
          <t>ب) ما عليه (مسحوبات)</t>
        </is>
      </c>
    </row>
    <row r="15">
      <c r="A15" s="150" t="n">
        <v>1</v>
      </c>
      <c r="B15" s="151" t="inlineStr">
        <is>
          <t>عقد عرعر WHK-2364 (الرياض 205,750 + تبوك 69,625) × 0.50</t>
        </is>
      </c>
      <c r="C15" s="150">
        <f>'مطابقة كميات عقد عرعر'!E11</f>
        <v/>
      </c>
      <c r="D15" s="151" t="inlineStr">
        <is>
          <t>مطابقة كميات عقد عرعر</t>
        </is>
      </c>
      <c r="E15" s="151" t="inlineStr">
        <is>
          <t>مسحوبات مواد – الجزيرة الحديثة مستبعدة بالكامل</t>
        </is>
      </c>
    </row>
    <row r="16">
      <c r="A16" s="150" t="n">
        <v>2</v>
      </c>
      <c r="B16" s="151" t="inlineStr">
        <is>
          <t>صافي تصفية مديونية ما قبل 1-11-2025 (قيد 17-12-2025)</t>
        </is>
      </c>
      <c r="C16" s="150" t="n">
        <v>62937</v>
      </c>
      <c r="D16" s="151" t="inlineStr">
        <is>
          <t>مطابقة حساب أبو خالد</t>
        </is>
      </c>
      <c r="E16" s="151" t="inlineStr">
        <is>
          <t>مبيعات عصمت وعقود أبو خالد المحصلة 358,552.70 − مصروفات دفعها 295,615.50</t>
        </is>
      </c>
    </row>
    <row r="17">
      <c r="A17" s="150" t="n">
        <v>3</v>
      </c>
      <c r="B17" s="151" t="inlineStr">
        <is>
          <t>عقود أبو خالد من 1-11-2025 إلى 31-7-2026 بالأسعار المسجلة</t>
        </is>
      </c>
      <c r="C17" s="150" t="n">
        <v>169594.5</v>
      </c>
      <c r="D17" s="151" t="inlineStr">
        <is>
          <t>مبيعات أبو خالد</t>
        </is>
      </c>
      <c r="E17" s="151" t="inlineStr">
        <is>
          <t>مطابقة للكشف عقداً بعقد – فرق التسعير الموحد مردود له بالبند (أ-5)</t>
        </is>
      </c>
    </row>
    <row r="18">
      <c r="A18" s="150" t="n">
        <v>4</v>
      </c>
      <c r="B18" s="151" t="inlineStr">
        <is>
          <t>مسحوبات نقدية – من مبلغ 100,000 (9-3-2026)</t>
        </is>
      </c>
      <c r="C18" s="150" t="n">
        <v>70000</v>
      </c>
      <c r="D18" s="151" t="inlineStr">
        <is>
          <t>مصروفات الخزنة – مستند 131</t>
        </is>
      </c>
      <c r="E18" s="151" t="inlineStr">
        <is>
          <t>قرار: 70,000 لأبو خالد و 30,000 لأبو مازن</t>
        </is>
      </c>
    </row>
    <row r="19">
      <c r="A19" s="150" t="n">
        <v>5</v>
      </c>
      <c r="B19" s="151" t="inlineStr">
        <is>
          <t>مبلغ مسدد نقداً لأبو خالد (18-5-2026)</t>
        </is>
      </c>
      <c r="C19" s="150" t="n">
        <v>2000</v>
      </c>
      <c r="D19" s="151" t="inlineStr">
        <is>
          <t>مصروفات الخزنة – مستند 156</t>
        </is>
      </c>
      <c r="E19" s="151" t="inlineStr">
        <is>
          <t>مرتجع نقدي من رصيده</t>
        </is>
      </c>
    </row>
    <row r="20">
      <c r="A20" s="152" t="n"/>
      <c r="B20" s="152" t="inlineStr">
        <is>
          <t>إجمالي ما عليه</t>
        </is>
      </c>
      <c r="C20" s="153">
        <f>SUM(C15:C19)</f>
        <v/>
      </c>
      <c r="D20" s="152" t="n"/>
      <c r="E20" s="152" t="n"/>
    </row>
    <row r="21">
      <c r="A21" s="154" t="n"/>
      <c r="B21" s="154" t="inlineStr">
        <is>
          <t>صافي حساب أبو خالد (موجب = له على المزرعة)</t>
        </is>
      </c>
      <c r="C21" s="155">
        <f>C13-C20</f>
        <v/>
      </c>
      <c r="D21" s="154" t="n"/>
      <c r="E21" s="154" t="inlineStr">
        <is>
          <t>الرصيد المستحق لأبو خالد بعد كل التسويات</t>
        </is>
      </c>
    </row>
    <row r="23">
      <c r="A23" s="148" t="inlineStr">
        <is>
          <t>ثانياً: أبو مازن – شركة نسما الشرق (مزرعة تبوك)</t>
        </is>
      </c>
    </row>
    <row r="24">
      <c r="A24" s="149" t="inlineStr">
        <is>
          <t>م</t>
        </is>
      </c>
      <c r="B24" s="149" t="inlineStr">
        <is>
          <t>البند</t>
        </is>
      </c>
      <c r="C24" s="149" t="inlineStr">
        <is>
          <t>المبلغ</t>
        </is>
      </c>
      <c r="D24" s="149" t="inlineStr">
        <is>
          <t>المصدر</t>
        </is>
      </c>
      <c r="E24" s="149" t="inlineStr">
        <is>
          <t>ملاحظة</t>
        </is>
      </c>
    </row>
    <row r="25">
      <c r="A25" s="148" t="inlineStr">
        <is>
          <t>أ) ما له (دعم نقدي وعيني)</t>
        </is>
      </c>
    </row>
    <row r="26">
      <c r="A26" s="150" t="n">
        <v>1</v>
      </c>
      <c r="B26" s="151" t="inlineStr">
        <is>
          <t>مصروفات التأسيس (بعد استبعاد الدينة 123,000) – تشمل إيجار 2024–2025 (300,000)</t>
        </is>
      </c>
      <c r="C26" s="150">
        <f>'مصروفات التأسيس'!E27</f>
        <v/>
      </c>
      <c r="D26" s="151" t="inlineStr">
        <is>
          <t>مصروفات التأسيس</t>
        </is>
      </c>
      <c r="E26" s="151" t="inlineStr">
        <is>
          <t>1,089,735.80 − 123,000</t>
        </is>
      </c>
    </row>
    <row r="27">
      <c r="A27" s="150" t="n">
        <v>2</v>
      </c>
      <c r="B27" s="151" t="inlineStr">
        <is>
          <t>مصروفات تشغيل 2-2024 إلى 12-2024</t>
        </is>
      </c>
      <c r="C27" s="150">
        <f>'مصروفات قبل 30.7.2025'!E28</f>
        <v/>
      </c>
      <c r="D27" s="151" t="inlineStr">
        <is>
          <t>مصروفات قبل 30.7.2025</t>
        </is>
      </c>
      <c r="E27" s="151" t="inlineStr">
        <is>
          <t>قرار: مدفوعة بالكامل من أبو مازن</t>
        </is>
      </c>
    </row>
    <row r="28">
      <c r="A28" s="150" t="n">
        <v>3</v>
      </c>
      <c r="B28" s="151" t="inlineStr">
        <is>
          <t>مشتريات 2025 مدفوعة من نسما (تحويل بنكي)</t>
        </is>
      </c>
      <c r="C28" s="150" t="n">
        <v>231992.26</v>
      </c>
      <c r="D28" s="151" t="inlineStr">
        <is>
          <t>مصروفات 2025 - ملخص</t>
        </is>
      </c>
      <c r="E28" s="151" t="inlineStr">
        <is>
          <t>قرار: الرقم المعتمد 231,992.26</t>
        </is>
      </c>
    </row>
    <row r="29">
      <c r="A29" s="150" t="n">
        <v>4</v>
      </c>
      <c r="B29" s="151" t="inlineStr">
        <is>
          <t>مصروفات إدارية 2025 (إقامات وتأشيرات)</t>
        </is>
      </c>
      <c r="C29" s="150">
        <f>'مصاريف إدارية وديزل تبوك'!D12</f>
        <v/>
      </c>
      <c r="D29" s="151" t="inlineStr">
        <is>
          <t>مصاريف إدارية وديزل تبوك</t>
        </is>
      </c>
      <c r="E29" s="151" t="n"/>
    </row>
    <row r="30">
      <c r="A30" s="150" t="n">
        <v>5</v>
      </c>
      <c r="B30" s="151" t="inlineStr">
        <is>
          <t>مصروفات إدارية وحكومية 2026 شاملة إيجار 2026 (150,000)</t>
        </is>
      </c>
      <c r="C30" s="150">
        <f>'مصاريف إدارية وديزل تبوك'!D34</f>
        <v/>
      </c>
      <c r="D30" s="151" t="inlineStr">
        <is>
          <t>مصاريف إدارية وديزل تبوك</t>
        </is>
      </c>
      <c r="E30" s="151" t="inlineStr">
        <is>
          <t>174,142.15 – الإيجار محسوب مرة واحدة – يشمل 163 بتاريخ 1-8 (قرار)</t>
        </is>
      </c>
    </row>
    <row r="31">
      <c r="A31" s="150" t="n">
        <v>6</v>
      </c>
      <c r="B31" s="151" t="inlineStr">
        <is>
          <t>ديزل سيارات المناديب المدفوع من نسما (بطاقة الدريس)</t>
        </is>
      </c>
      <c r="C31" s="150">
        <f>'مصاريف إدارية وديزل تبوك'!F42</f>
        <v/>
      </c>
      <c r="D31" s="151" t="inlineStr">
        <is>
          <t>مصاريف إدارية وديزل تبوك</t>
        </is>
      </c>
      <c r="E31" s="151" t="inlineStr">
        <is>
          <t>منفصل عن ديزل العهد</t>
        </is>
      </c>
    </row>
    <row r="32">
      <c r="A32" s="150" t="n">
        <v>7</v>
      </c>
      <c r="B32" s="151" t="inlineStr">
        <is>
          <t>إهلاك دينة عماد لصالح نسما (25% من 1-11-2025 إلى 10-9-2026)</t>
        </is>
      </c>
      <c r="C32" s="150" t="n">
        <v>26453.42</v>
      </c>
      <c r="D32" s="151" t="inlineStr">
        <is>
          <t>قرار</t>
        </is>
      </c>
      <c r="E32" s="151" t="inlineStr">
        <is>
          <t>123,000 × 25% × 314/365</t>
        </is>
      </c>
    </row>
    <row r="33">
      <c r="A33" s="150" t="n">
        <v>8</v>
      </c>
      <c r="B33" s="151" t="inlineStr">
        <is>
          <t>ترحيلات مواد من تبوك إلى الرياض بالسعر الموحد</t>
        </is>
      </c>
      <c r="C33" s="150">
        <f>'ترحيل تبوك إلى الرياض'!I30</f>
        <v/>
      </c>
      <c r="D33" s="151" t="inlineStr">
        <is>
          <t>ترحيل تبوك إلى الرياض</t>
        </is>
      </c>
      <c r="E33" s="151" t="inlineStr">
        <is>
          <t>دعم تشغيلي عيني – يشمل بيتونيا عقد عرعر المحوّلة 69,625</t>
        </is>
      </c>
    </row>
    <row r="34">
      <c r="A34" s="152" t="n"/>
      <c r="B34" s="152" t="inlineStr">
        <is>
          <t>إجمالي ما له</t>
        </is>
      </c>
      <c r="C34" s="153">
        <f>SUM(C26:C33)</f>
        <v/>
      </c>
      <c r="D34" s="152" t="n"/>
      <c r="E34" s="152" t="n"/>
    </row>
    <row r="35">
      <c r="A35" s="148" t="inlineStr">
        <is>
          <t>ب) ما عليه (مسحوبات)</t>
        </is>
      </c>
    </row>
    <row r="36">
      <c r="A36" s="150" t="n">
        <v>1</v>
      </c>
      <c r="B36" s="151" t="inlineStr">
        <is>
          <t>مسحوبات مواد من الرياض إلى تبوك / نسما بالسعر الموحد</t>
        </is>
      </c>
      <c r="C36" s="150">
        <f>'مسحوبات نسما من الرياض'!I134</f>
        <v/>
      </c>
      <c r="D36" s="151" t="inlineStr">
        <is>
          <t>مسحوبات نسما من الرياض</t>
        </is>
      </c>
      <c r="E36" s="151" t="inlineStr">
        <is>
          <t>RNT + RNP + أذونات النظام الجديد – بعد خصم 17,900 فينكا مفقودة</t>
        </is>
      </c>
    </row>
    <row r="37">
      <c r="A37" s="150" t="n">
        <v>2</v>
      </c>
      <c r="B37" s="151" t="inlineStr">
        <is>
          <t>مسحوبات مواد قبل الفترة (أوامر P00480–P00523) بالسعر الموحد</t>
        </is>
      </c>
      <c r="C37" s="150">
        <f>'مسحوبات نسما قبل الفترة'!I14</f>
        <v/>
      </c>
      <c r="D37" s="151" t="inlineStr">
        <is>
          <t>مسحوبات نسما قبل الفترة</t>
        </is>
      </c>
      <c r="E37" s="151" t="inlineStr">
        <is>
          <t>الشحن الخارجي 11,300 على نسما – لا يُحمّل</t>
        </is>
      </c>
    </row>
    <row r="38">
      <c r="A38" s="150" t="n">
        <v>3</v>
      </c>
      <c r="B38" s="151" t="inlineStr">
        <is>
          <t>نقل خارج الرياض لصالح تبوك (15,290 كم × 1.30)</t>
        </is>
      </c>
      <c r="C38" s="150">
        <f>'مصاريف إدارية وديزل تبوك'!F59</f>
        <v/>
      </c>
      <c r="D38" s="151" t="inlineStr">
        <is>
          <t>مصاريف إدارية وديزل تبوك</t>
        </is>
      </c>
      <c r="E38" s="151" t="n"/>
    </row>
    <row r="39">
      <c r="A39" s="150" t="n">
        <v>4</v>
      </c>
      <c r="B39" s="151" t="inlineStr">
        <is>
          <t>مسحوبات نقدية – إيداع من إيرادات ما قبل الفترة</t>
        </is>
      </c>
      <c r="C39" s="150" t="n">
        <v>197452</v>
      </c>
      <c r="D39" s="151" t="inlineStr">
        <is>
          <t>إيرادات قبل الفترة</t>
        </is>
      </c>
      <c r="E39" s="151" t="inlineStr">
        <is>
          <t>610,688 − 413,236 تشغيل</t>
        </is>
      </c>
    </row>
    <row r="40">
      <c r="A40" s="150" t="n">
        <v>5</v>
      </c>
      <c r="B40" s="151" t="inlineStr">
        <is>
          <t>مسحوبات نقدية – توريد نقدي للإدارة (21-5-2026)</t>
        </is>
      </c>
      <c r="C40" s="150" t="n">
        <v>13000</v>
      </c>
      <c r="D40" s="151" t="inlineStr">
        <is>
          <t>مصروفات الخزنة – مستند 157</t>
        </is>
      </c>
      <c r="E40" s="151" t="n"/>
    </row>
    <row r="41">
      <c r="A41" s="150" t="n">
        <v>6</v>
      </c>
      <c r="B41" s="151" t="inlineStr">
        <is>
          <t>مسحوبات نقدية – من مبلغ 100,000 (9-3-2026)</t>
        </is>
      </c>
      <c r="C41" s="150" t="n">
        <v>30000</v>
      </c>
      <c r="D41" s="151" t="inlineStr">
        <is>
          <t>مصروفات الخزنة – مستند 131</t>
        </is>
      </c>
      <c r="E41" s="151" t="inlineStr">
        <is>
          <t>قرار: 30,000 لأبو مازن</t>
        </is>
      </c>
    </row>
    <row r="42">
      <c r="A42" s="152" t="n"/>
      <c r="B42" s="152" t="inlineStr">
        <is>
          <t>إجمالي ما عليه</t>
        </is>
      </c>
      <c r="C42" s="153">
        <f>SUM(C36:C41)</f>
        <v/>
      </c>
      <c r="D42" s="152" t="n"/>
      <c r="E42" s="152" t="n"/>
    </row>
    <row r="43">
      <c r="A43" s="154" t="n"/>
      <c r="B43" s="154" t="inlineStr">
        <is>
          <t>صافي حساب أبو مازن (موجب = له على المزرعة)</t>
        </is>
      </c>
      <c r="C43" s="155">
        <f>C34-C42</f>
        <v/>
      </c>
      <c r="D43" s="154" t="n"/>
      <c r="E43" s="154" t="inlineStr">
        <is>
          <t>الرصيد المستحق لأبو مازن بعد كل التسويات</t>
        </is>
      </c>
    </row>
    <row r="45">
      <c r="A45" s="148" t="inlineStr">
        <is>
          <t>ثالثاً: ملاحظات التقفيل</t>
        </is>
      </c>
    </row>
    <row r="46" ht="30" customHeight="1">
      <c r="A46" s="13" t="inlineStr">
        <is>
          <t>1) لا يوجد توزيع أرباح أو خسائر بنسب – الصافي هو رصيد كل شريك مع المزرعة (دعمه ومدفوعاته − مسحوباته).</t>
        </is>
      </c>
    </row>
    <row r="47" ht="30" customHeight="1">
      <c r="A47" s="13" t="inlineStr">
        <is>
          <t>2) مبيعات ما قبل الفترة 610,688: صُرف منها 413,236 تشغيل عن طريق أبو خالد (إيراد مزرعة – ليس دعماً) و197,452 مسحوبات أبو مازن.</t>
        </is>
      </c>
    </row>
    <row r="48" ht="30" customHeight="1">
      <c r="A48" s="13" t="inlineStr">
        <is>
          <t>3) تسوية ما قبل نوفمبر 2025 (62,937) معتمدة بدل عقود أبو خالد قبل نوفمبر (151,988.75)، ومبيعات عصمت قبل نوفمبر حصّلها أبو خالد ضمن التسوية.</t>
        </is>
      </c>
    </row>
    <row r="49" ht="30" customHeight="1">
      <c r="A49" s="13" t="inlineStr">
        <is>
          <t>4) الإيجار: 300,000 (2024–2025 ضمن التأسيس) + 150,000 (2026 ضمن الإدارية) – كلاهما من أبو مازن ومحسوب مرة واحدة.</t>
        </is>
      </c>
    </row>
    <row r="50" ht="30" customHeight="1">
      <c r="A50" s="13" t="inlineStr">
        <is>
          <t>5) سلفة زهور رائد الخير (PO-0764 / EXR-0820) بدون أثر مالي – متبقي على المزرعة 20,000 زهرة تُعاد له.</t>
        </is>
      </c>
    </row>
    <row r="51" ht="30" customHeight="1">
      <c r="A51" s="13" t="inlineStr">
        <is>
          <t>6) الضريبة غير مطبقة على أي تحويل أو مسحوبات بين الطرفين.</t>
        </is>
      </c>
    </row>
  </sheetData>
  <mergeCells count="15">
    <mergeCell ref="A2:F2"/>
    <mergeCell ref="A50:E50"/>
    <mergeCell ref="A48:E48"/>
    <mergeCell ref="A14:F14"/>
    <mergeCell ref="A1:F1"/>
    <mergeCell ref="A23:F23"/>
    <mergeCell ref="A45:F45"/>
    <mergeCell ref="A49:E49"/>
    <mergeCell ref="A51:E51"/>
    <mergeCell ref="A6:F6"/>
    <mergeCell ref="A47:E47"/>
    <mergeCell ref="A46:E46"/>
    <mergeCell ref="A35:F35"/>
    <mergeCell ref="A4:F4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tabSelected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8" customWidth="1" min="5" max="5"/>
  </cols>
  <sheetData>
    <row r="1" ht="30" customHeight="1">
      <c r="A1" s="146" t="inlineStr">
        <is>
          <t>نسب مساهمة الشريكين – التأسيس والتشغيل والمسحوبات</t>
        </is>
      </c>
    </row>
    <row r="2" ht="30" customHeight="1">
      <c r="A2" s="147" t="inlineStr">
        <is>
          <t>كل النسب محسوبة من صفحة تقفيل المديونية وصفحات التفصيل</t>
        </is>
      </c>
    </row>
    <row r="4">
      <c r="A4" s="148" t="inlineStr">
        <is>
          <t>1) مصروفات التأسيس</t>
        </is>
      </c>
    </row>
    <row r="5">
      <c r="A5" s="149" t="inlineStr">
        <is>
          <t>البند</t>
        </is>
      </c>
      <c r="B5" s="149" t="inlineStr">
        <is>
          <t>أبو خالد</t>
        </is>
      </c>
      <c r="C5" s="149" t="inlineStr">
        <is>
          <t>أبو مازن</t>
        </is>
      </c>
      <c r="D5" s="149" t="inlineStr">
        <is>
          <t>الإجمالي</t>
        </is>
      </c>
      <c r="E5" s="149" t="inlineStr">
        <is>
          <t>ملاحظة</t>
        </is>
      </c>
    </row>
    <row r="6">
      <c r="A6" s="151" t="inlineStr">
        <is>
          <t>المدفوع في التأسيس</t>
        </is>
      </c>
      <c r="B6" s="150">
        <f>'تقفيل المديونية'!C7</f>
        <v/>
      </c>
      <c r="C6" s="150">
        <f>'تقفيل المديونية'!C26</f>
        <v/>
      </c>
      <c r="D6" s="150">
        <f>B6+C6</f>
        <v/>
      </c>
      <c r="E6" s="151" t="inlineStr">
        <is>
          <t>بعد استبعاد الدينة 123,000</t>
        </is>
      </c>
    </row>
    <row r="7">
      <c r="A7" s="154" t="inlineStr">
        <is>
          <t>النسبة</t>
        </is>
      </c>
      <c r="B7" s="156">
        <f>B6/D6</f>
        <v/>
      </c>
      <c r="C7" s="156">
        <f>C6/D6</f>
        <v/>
      </c>
      <c r="D7" s="156">
        <f>D6/D6</f>
        <v/>
      </c>
      <c r="E7" s="154" t="n"/>
    </row>
    <row r="9">
      <c r="A9" s="148" t="inlineStr">
        <is>
          <t>2) مصروفات التشغيل – مصادر التمويل</t>
        </is>
      </c>
    </row>
    <row r="10">
      <c r="A10" s="149" t="inlineStr">
        <is>
          <t>مصدر التمويل</t>
        </is>
      </c>
      <c r="B10" s="149" t="inlineStr">
        <is>
          <t>أبو خالد</t>
        </is>
      </c>
      <c r="C10" s="149" t="inlineStr">
        <is>
          <t>أبو مازن</t>
        </is>
      </c>
      <c r="D10" s="149" t="inlineStr">
        <is>
          <t>إيرادات المزرعة</t>
        </is>
      </c>
      <c r="E10" s="149" t="inlineStr">
        <is>
          <t>ملاحظة</t>
        </is>
      </c>
    </row>
    <row r="11">
      <c r="A11" s="151" t="inlineStr">
        <is>
          <t>دعم نقدي مباشر من الشريك (تشغيل 2024 + مشتريات 2025 + إدارية وحكومية وإيجار 2026 + ديزل + إهلاك الدينة)</t>
        </is>
      </c>
      <c r="B11" s="150" t="n">
        <v>0</v>
      </c>
      <c r="C11" s="150">
        <f>SUM('تقفيل المديونية'!C27:C32)</f>
        <v/>
      </c>
      <c r="D11" s="150" t="n">
        <v>0</v>
      </c>
      <c r="E11" s="151" t="inlineStr">
        <is>
          <t>أبو مازن</t>
        </is>
      </c>
    </row>
    <row r="12">
      <c r="A12" s="151" t="inlineStr">
        <is>
          <t>دعم عيني بالمواد (ترحيل من تبوك إلى الرياض بالسعر الموحد)</t>
        </is>
      </c>
      <c r="B12" s="150" t="n">
        <v>0</v>
      </c>
      <c r="C12" s="150">
        <f>'تقفيل المديونية'!C33</f>
        <v/>
      </c>
      <c r="D12" s="150" t="n">
        <v>0</v>
      </c>
      <c r="E12" s="151" t="n"/>
    </row>
    <row r="13">
      <c r="A13" s="151" t="inlineStr">
        <is>
          <t>مشتريات تشغيل مورّدة وغير مسددة (بساتين الرياض PO-1023 + PO-0776 + متبقي PO-0777)</t>
        </is>
      </c>
      <c r="B13" s="150">
        <f>'تقفيل المديونية'!C9+'تقفيل المديونية'!C10+'تقفيل المديونية'!C12</f>
        <v/>
      </c>
      <c r="C13" s="150" t="n">
        <v>0</v>
      </c>
      <c r="D13" s="150" t="n">
        <v>0</v>
      </c>
      <c r="E13" s="151" t="inlineStr">
        <is>
          <t>أبو خالد</t>
        </is>
      </c>
    </row>
    <row r="14">
      <c r="A14" s="151" t="inlineStr">
        <is>
          <t>مصروفات من إيرادات ما قبل الفترة عن طريق أبو خالد (10-2024 إلى 6-2025)</t>
        </is>
      </c>
      <c r="B14" s="150" t="n">
        <v>0</v>
      </c>
      <c r="C14" s="150" t="n">
        <v>0</v>
      </c>
      <c r="D14" s="150" t="n">
        <v>413236</v>
      </c>
      <c r="E14" s="151" t="inlineStr">
        <is>
          <t>إيراد مزرعة – ليس دعماً</t>
        </is>
      </c>
    </row>
    <row r="15">
      <c r="A15" s="151" t="inlineStr">
        <is>
          <t>مصروفات دفعها أبو خالد من المبيعات (7-2025 إلى 10-2025) ضمن التسوية</t>
        </is>
      </c>
      <c r="B15" s="150" t="n">
        <v>0</v>
      </c>
      <c r="C15" s="150" t="n">
        <v>0</v>
      </c>
      <c r="D15" s="150" t="n">
        <v>295615.5</v>
      </c>
      <c r="E15" s="151" t="inlineStr">
        <is>
          <t>إيراد مزرعة – ليس دعماً</t>
        </is>
      </c>
    </row>
    <row r="16">
      <c r="A16" s="151" t="inlineStr">
        <is>
          <t>مصروفات مدفوعة من خزنة المزرعة (1-11-2025 إلى 31-7-2026) بعد استبعاد مسحوبات الشركاء وعهد غير مسواة</t>
        </is>
      </c>
      <c r="B16" s="150" t="n">
        <v>0</v>
      </c>
      <c r="C16" s="150" t="n">
        <v>0</v>
      </c>
      <c r="D16" s="150">
        <f>'ميزان الخزنة التراكمي'!C20</f>
        <v/>
      </c>
      <c r="E16" s="151" t="inlineStr">
        <is>
          <t>تشمل أوامر شراء 2026 المسددة ورواتب وعهد</t>
        </is>
      </c>
    </row>
    <row r="17">
      <c r="A17" s="152" t="inlineStr">
        <is>
          <t>الإجمالي</t>
        </is>
      </c>
      <c r="B17" s="153">
        <f>SUM(B11:B16)</f>
        <v/>
      </c>
      <c r="C17" s="153">
        <f>SUM(C11:C16)</f>
        <v/>
      </c>
      <c r="D17" s="153">
        <f>SUM(D11:D16)</f>
        <v/>
      </c>
      <c r="E17" s="152" t="n"/>
    </row>
    <row r="18">
      <c r="A18" s="157" t="inlineStr">
        <is>
          <t>إجمالي مصروفات التشغيل الممولة</t>
        </is>
      </c>
      <c r="B18" s="158">
        <f>B17+C17+D17</f>
        <v/>
      </c>
      <c r="C18" s="157" t="n"/>
      <c r="D18" s="157" t="n"/>
      <c r="E18" s="157" t="inlineStr">
        <is>
          <t>أبو خالد + أبو مازن + إيرادات المزرعة</t>
        </is>
      </c>
    </row>
    <row r="19">
      <c r="A19" s="154" t="inlineStr">
        <is>
          <t>النسبة من إجمالي التشغيل</t>
        </is>
      </c>
      <c r="B19" s="156">
        <f>B17/B18</f>
        <v/>
      </c>
      <c r="C19" s="156">
        <f>C17/B18</f>
        <v/>
      </c>
      <c r="D19" s="156">
        <f>D17/B18</f>
        <v/>
      </c>
      <c r="E19" s="154" t="n"/>
    </row>
    <row r="20">
      <c r="A20" s="154" t="inlineStr">
        <is>
          <t>النسبة من دعم الشريكين فقط (بدون إيرادات المزرعة)</t>
        </is>
      </c>
      <c r="B20" s="156">
        <f>B17/(B17+C17)</f>
        <v/>
      </c>
      <c r="C20" s="156">
        <f>C17/(B17+C17)</f>
        <v/>
      </c>
      <c r="D20" s="154" t="n"/>
      <c r="E20" s="154" t="n"/>
    </row>
    <row r="22">
      <c r="A22" s="148" t="inlineStr">
        <is>
          <t>3) إجمالي الدعم (تأسيس + تشغيل)</t>
        </is>
      </c>
    </row>
    <row r="23">
      <c r="A23" s="149" t="inlineStr">
        <is>
          <t>البند</t>
        </is>
      </c>
      <c r="B23" s="149" t="inlineStr">
        <is>
          <t>أبو خالد</t>
        </is>
      </c>
      <c r="C23" s="149" t="inlineStr">
        <is>
          <t>أبو مازن</t>
        </is>
      </c>
      <c r="D23" s="149" t="inlineStr">
        <is>
          <t>الإجمالي</t>
        </is>
      </c>
      <c r="E23" s="149" t="inlineStr">
        <is>
          <t>ملاحظة</t>
        </is>
      </c>
    </row>
    <row r="24">
      <c r="A24" s="151" t="inlineStr">
        <is>
          <t>إجمالي الدعم</t>
        </is>
      </c>
      <c r="B24" s="150">
        <f>B6+B17</f>
        <v/>
      </c>
      <c r="C24" s="150">
        <f>C6+C17</f>
        <v/>
      </c>
      <c r="D24" s="150">
        <f>B24+C24</f>
        <v/>
      </c>
      <c r="E24" s="151" t="inlineStr">
        <is>
          <t>لا يشمل توريدات أبو خالد النقدية مقابل مسحوباته</t>
        </is>
      </c>
    </row>
    <row r="25">
      <c r="A25" s="154" t="inlineStr">
        <is>
          <t>النسبة</t>
        </is>
      </c>
      <c r="B25" s="156">
        <f>B24/D24</f>
        <v/>
      </c>
      <c r="C25" s="156">
        <f>C24/D24</f>
        <v/>
      </c>
      <c r="D25" s="156">
        <f>D24/D24</f>
        <v/>
      </c>
      <c r="E25" s="154" t="n"/>
    </row>
    <row r="27">
      <c r="A27" s="148" t="inlineStr">
        <is>
          <t>4) المسحوبات (تُعامل كأرباح مسحوبة) – حسب المصدر</t>
        </is>
      </c>
    </row>
    <row r="28">
      <c r="A28" s="149" t="inlineStr">
        <is>
          <t>نوع المسحوبات</t>
        </is>
      </c>
      <c r="B28" s="149" t="inlineStr">
        <is>
          <t>أبو خالد</t>
        </is>
      </c>
      <c r="C28" s="149" t="inlineStr">
        <is>
          <t>أبو مازن</t>
        </is>
      </c>
      <c r="D28" s="149" t="inlineStr">
        <is>
          <t>الإجمالي</t>
        </is>
      </c>
      <c r="E28" s="149" t="inlineStr">
        <is>
          <t>مصدر الربح</t>
        </is>
      </c>
    </row>
    <row r="29">
      <c r="A29" s="151" t="inlineStr">
        <is>
          <t>مسحوبات مواد (زهور وشجيرات ومستلزمات) بالسعر الموحد</t>
        </is>
      </c>
      <c r="B29" s="150">
        <f>'تقفيل المديونية'!C15+'تقفيل المديونية'!C16+'تقفيل المديونية'!C17-'تقفيل المديونية'!C11</f>
        <v/>
      </c>
      <c r="C29" s="150">
        <f>'تقفيل المديونية'!C36+'تقفيل المديونية'!C37</f>
        <v/>
      </c>
      <c r="D29" s="150">
        <f>B29+C29</f>
        <v/>
      </c>
      <c r="E29" s="151" t="inlineStr">
        <is>
          <t>مسحوبات عينية من إنتاج ومخزون المزرعة</t>
        </is>
      </c>
    </row>
    <row r="30">
      <c r="A30" s="151" t="inlineStr">
        <is>
          <t>خدمات نقل لصالح الشريك</t>
        </is>
      </c>
      <c r="B30" s="150" t="n">
        <v>0</v>
      </c>
      <c r="C30" s="150">
        <f>'تقفيل المديونية'!C38</f>
        <v/>
      </c>
      <c r="D30" s="150">
        <f>B30+C30</f>
        <v/>
      </c>
      <c r="E30" s="151" t="inlineStr">
        <is>
          <t>خدمة من أصول المزرعة</t>
        </is>
      </c>
    </row>
    <row r="31">
      <c r="A31" s="151" t="inlineStr">
        <is>
          <t>مسحوبات نقدية</t>
        </is>
      </c>
      <c r="B31" s="150">
        <f>'تقفيل المديونية'!C18+'تقفيل المديونية'!C19</f>
        <v/>
      </c>
      <c r="C31" s="150">
        <f>'تقفيل المديونية'!C39+'تقفيل المديونية'!C40+'تقفيل المديونية'!C41</f>
        <v/>
      </c>
      <c r="D31" s="150">
        <f>B31+C31</f>
        <v/>
      </c>
      <c r="E31" s="151" t="inlineStr">
        <is>
          <t>نقدية من إيرادات المبيعات (خزنة / إيرادات ما قبل الفترة)</t>
        </is>
      </c>
    </row>
    <row r="32">
      <c r="A32" s="152" t="inlineStr">
        <is>
          <t>إجمالي المسحوبات</t>
        </is>
      </c>
      <c r="B32" s="153">
        <f>SUM(B29:B31)</f>
        <v/>
      </c>
      <c r="C32" s="153">
        <f>SUM(C29:C31)</f>
        <v/>
      </c>
      <c r="D32" s="153">
        <f>SUM(D29:D31)</f>
        <v/>
      </c>
      <c r="E32" s="152" t="n"/>
    </row>
    <row r="33">
      <c r="A33" s="154" t="inlineStr">
        <is>
          <t>النسبة</t>
        </is>
      </c>
      <c r="B33" s="156">
        <f>B32/D32</f>
        <v/>
      </c>
      <c r="C33" s="156">
        <f>C32/D32</f>
        <v/>
      </c>
      <c r="D33" s="156">
        <f>D32/D32</f>
        <v/>
      </c>
      <c r="E33" s="154" t="n"/>
    </row>
    <row r="34">
      <c r="A34" s="151" t="inlineStr">
        <is>
          <t>يُخصم: ما سدده الشريك نقداً للخزنة مقابل مسحوباته</t>
        </is>
      </c>
      <c r="B34" s="150">
        <f>'تقفيل المديونية'!C8</f>
        <v/>
      </c>
      <c r="C34" s="150" t="n">
        <v>0</v>
      </c>
      <c r="D34" s="150">
        <f>B34+C34</f>
        <v/>
      </c>
      <c r="E34" s="151" t="inlineStr">
        <is>
          <t>توريدات أبو خالد للخزنة</t>
        </is>
      </c>
    </row>
    <row r="35">
      <c r="A35" s="157" t="inlineStr">
        <is>
          <t>صافي المسحوبات غير المسددة (أرباح مسحوبة فعلياً)</t>
        </is>
      </c>
      <c r="B35" s="158">
        <f>B32-B34</f>
        <v/>
      </c>
      <c r="C35" s="158">
        <f>C32-C34</f>
        <v/>
      </c>
      <c r="D35" s="158">
        <f>B35+C35</f>
        <v/>
      </c>
      <c r="E35" s="157" t="inlineStr">
        <is>
          <t>سالب = دفع أكثر من مسحوباته</t>
        </is>
      </c>
    </row>
    <row r="37">
      <c r="A37" s="148" t="inlineStr">
        <is>
          <t>5) الأرصدة النهائية</t>
        </is>
      </c>
    </row>
    <row r="38">
      <c r="A38" s="149" t="inlineStr">
        <is>
          <t>البند</t>
        </is>
      </c>
      <c r="B38" s="149" t="inlineStr">
        <is>
          <t>أبو خالد</t>
        </is>
      </c>
      <c r="C38" s="149" t="inlineStr">
        <is>
          <t>أبو مازن</t>
        </is>
      </c>
      <c r="D38" s="149" t="inlineStr">
        <is>
          <t>الإجمالي</t>
        </is>
      </c>
      <c r="E38" s="149" t="inlineStr">
        <is>
          <t>ملاحظة</t>
        </is>
      </c>
    </row>
    <row r="39">
      <c r="A39" s="154" t="inlineStr">
        <is>
          <t>صافي الحساب (له على المزرعة)</t>
        </is>
      </c>
      <c r="B39" s="155">
        <f>'تقفيل المديونية'!C21</f>
        <v/>
      </c>
      <c r="C39" s="155">
        <f>'تقفيل المديونية'!C43</f>
        <v/>
      </c>
      <c r="D39" s="155">
        <f>B39+C39</f>
        <v/>
      </c>
      <c r="E39" s="154" t="inlineStr">
        <is>
          <t>من صفحة تقفيل المديونية</t>
        </is>
      </c>
    </row>
  </sheetData>
  <mergeCells count="7">
    <mergeCell ref="A4:E4"/>
    <mergeCell ref="A2:E2"/>
    <mergeCell ref="A1:E1"/>
    <mergeCell ref="A37:E37"/>
    <mergeCell ref="A22:E22"/>
    <mergeCell ref="A9:E9"/>
    <mergeCell ref="A27:E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rightToLeft="1" tabSelected="0" workbookViewId="0">
      <selection activeCell="A1" sqref="A1"/>
    </sheetView>
  </sheetViews>
  <sheetFormatPr baseColWidth="8" defaultRowHeight="15"/>
  <cols>
    <col width="64" customWidth="1" min="1" max="1"/>
    <col width="20" customWidth="1" min="2" max="2"/>
    <col width="20" customWidth="1" min="3" max="3"/>
    <col width="48" customWidth="1" min="4" max="4"/>
  </cols>
  <sheetData>
    <row r="1" ht="30" customHeight="1">
      <c r="A1" s="146" t="inlineStr">
        <is>
          <t>ميزان الخزنة التراكمي – من 1-11-2025 حتى 31-7-2026</t>
        </is>
      </c>
    </row>
    <row r="2" ht="30" customHeight="1">
      <c r="A2" s="147" t="inlineStr">
        <is>
          <t>الخزنة القديمة (كشف الحساب) ثم خزنة النظام الجديد – بعد حذف عمليات الجزيرة الحديثة</t>
        </is>
      </c>
    </row>
    <row r="4">
      <c r="A4" s="149" t="inlineStr">
        <is>
          <t>البند</t>
        </is>
      </c>
      <c r="B4" s="149" t="inlineStr">
        <is>
          <t>مقبوضات</t>
        </is>
      </c>
      <c r="C4" s="149" t="inlineStr">
        <is>
          <t>مدفوعات</t>
        </is>
      </c>
      <c r="D4" s="149" t="inlineStr">
        <is>
          <t>ملاحظة</t>
        </is>
      </c>
    </row>
    <row r="5">
      <c r="A5" s="148" t="inlineStr">
        <is>
          <t>الخزنة القديمة (1-11-2025 إلى 3-6-2026)</t>
        </is>
      </c>
    </row>
    <row r="6">
      <c r="A6" s="151" t="inlineStr">
        <is>
          <t>توريدات عصمت الله خان (5001)</t>
        </is>
      </c>
      <c r="B6" s="150">
        <f>'ميزان الخزنة'!D4</f>
        <v/>
      </c>
      <c r="C6" s="151" t="n"/>
      <c r="D6" s="151" t="n"/>
    </row>
    <row r="7">
      <c r="A7" s="151" t="inlineStr">
        <is>
          <t>توريدات عماد حمدي (5002)</t>
        </is>
      </c>
      <c r="B7" s="150">
        <f>'ميزان الخزنة'!D5</f>
        <v/>
      </c>
      <c r="C7" s="151" t="n"/>
      <c r="D7" s="151" t="n"/>
    </row>
    <row r="8">
      <c r="A8" s="151" t="inlineStr">
        <is>
          <t>توريدات وسدادات أبو خالد (5000) بعد حذف الجزيرة</t>
        </is>
      </c>
      <c r="B8" s="150">
        <f>'ميزان الخزنة'!D6</f>
        <v/>
      </c>
      <c r="C8" s="151" t="n"/>
      <c r="D8" s="151" t="n"/>
    </row>
    <row r="9">
      <c r="A9" s="151" t="inlineStr">
        <is>
          <t>مصروفات الخزنة (بعد حذف الجزيرة) شاملة مسحوبات الشركاء</t>
        </is>
      </c>
      <c r="B9" s="151" t="n"/>
      <c r="C9" s="150">
        <f>-'ميزان الخزنة'!D7-'ميزان الخزنة'!D8</f>
        <v/>
      </c>
      <c r="D9" s="151" t="inlineStr">
        <is>
          <t>شاملة 100,000 + 13,000 + 2,000 مسحوبات شركاء</t>
        </is>
      </c>
    </row>
    <row r="10">
      <c r="A10" s="152" t="inlineStr">
        <is>
          <t>رصيد الخزنة القديمة في 3-6-2026</t>
        </is>
      </c>
      <c r="B10" s="153">
        <f>SUM(B6:B9)-SUM(C6:C9)</f>
        <v/>
      </c>
      <c r="C10" s="152" t="n"/>
      <c r="D10" s="152" t="inlineStr">
        <is>
          <t>مطابق 41,269.50</t>
        </is>
      </c>
    </row>
    <row r="11">
      <c r="A11" s="148" t="inlineStr">
        <is>
          <t>خزنة النظام الجديد (7-6-2026 إلى 31-7-2026)</t>
        </is>
      </c>
    </row>
    <row r="12">
      <c r="A12" s="151" t="inlineStr">
        <is>
          <t>الرصيد الافتتاحي (تقرير REP-568910)</t>
        </is>
      </c>
      <c r="B12" s="150" t="n">
        <v>41269</v>
      </c>
      <c r="C12" s="151" t="n"/>
      <c r="D12" s="151" t="inlineStr">
        <is>
          <t>فرق 0.50 كسور عن رصيد الخزنة القديمة</t>
        </is>
      </c>
    </row>
    <row r="13">
      <c r="A13" s="151" t="inlineStr">
        <is>
          <t>مقبوضات يونيو–يوليو 2026</t>
        </is>
      </c>
      <c r="B13" s="150">
        <f>'خزنة الرياض 6-7 2026'!F72</f>
        <v/>
      </c>
      <c r="C13" s="151" t="n"/>
      <c r="D13" s="151" t="n"/>
    </row>
    <row r="14">
      <c r="A14" s="151" t="inlineStr">
        <is>
          <t>مدفوعات يونيو–يوليو 2026</t>
        </is>
      </c>
      <c r="B14" s="151" t="n"/>
      <c r="C14" s="150">
        <f>'خزنة الرياض 6-7 2026'!G72</f>
        <v/>
      </c>
      <c r="D14" s="151" t="inlineStr">
        <is>
          <t>رواتب 5-2026 + عهد + سداد جزئي PO-0777 + مصروفات</t>
        </is>
      </c>
    </row>
    <row r="15">
      <c r="A15" s="154" t="inlineStr">
        <is>
          <t>رصيد الخزنة في 31-7-2026</t>
        </is>
      </c>
      <c r="B15" s="155">
        <f>B12+B13-C14</f>
        <v/>
      </c>
      <c r="C15" s="154" t="n"/>
      <c r="D15" s="154" t="inlineStr">
        <is>
          <t>الرصيد التراكمي الصحيح للخزنة</t>
        </is>
      </c>
    </row>
    <row r="18">
      <c r="A18" s="148" t="inlineStr">
        <is>
          <t>مصروفات التشغيل المدفوعة من الخزنة (للاستخدام في نسب المساهمة)</t>
        </is>
      </c>
    </row>
    <row r="19">
      <c r="A19" s="151" t="inlineStr">
        <is>
          <t>إجمالي مدفوعات الخزنة (قديمة + جديدة)</t>
        </is>
      </c>
      <c r="B19" s="151" t="n"/>
      <c r="C19" s="150">
        <f>C9+C14</f>
        <v/>
      </c>
      <c r="D19" s="151" t="n"/>
    </row>
    <row r="20">
      <c r="A20" s="152" t="inlineStr">
        <is>
          <t>يُخصم مسحوبات الشركاء (100,000 + 13,000 + 2,000) وأرصدة عهد غير مسواة (1,543.91)</t>
        </is>
      </c>
      <c r="B20" s="152" t="n"/>
      <c r="C20" s="153">
        <f>C19-115000-1543.91</f>
        <v/>
      </c>
      <c r="D20" s="152" t="inlineStr">
        <is>
          <t>مصروفات تشغيل مدفوعة من إيرادات المزرعة</t>
        </is>
      </c>
    </row>
  </sheetData>
  <mergeCells count="5">
    <mergeCell ref="A1:D1"/>
    <mergeCell ref="A5:D5"/>
    <mergeCell ref="A18:D18"/>
    <mergeCell ref="A2:D2"/>
    <mergeCell ref="A11:D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rightToLeft="1" tabSelected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50" customWidth="1" min="4" max="4"/>
  </cols>
  <sheetData>
    <row r="1" ht="30" customHeight="1">
      <c r="A1" s="146" t="inlineStr">
        <is>
          <t>المديونيات الخارجية والأرصدة القائمة في 31-7-2026</t>
        </is>
      </c>
    </row>
    <row r="3">
      <c r="A3" s="149" t="inlineStr">
        <is>
          <t>البند</t>
        </is>
      </c>
      <c r="B3" s="149" t="inlineStr">
        <is>
          <t>لصالح المزرعة</t>
        </is>
      </c>
      <c r="C3" s="149" t="inlineStr">
        <is>
          <t>على المزرعة</t>
        </is>
      </c>
      <c r="D3" s="149" t="inlineStr">
        <is>
          <t>ملاحظة</t>
        </is>
      </c>
    </row>
    <row r="4">
      <c r="A4" s="151" t="inlineStr">
        <is>
          <t>رصيد الخزنة النقدي</t>
        </is>
      </c>
      <c r="B4" s="150">
        <f>'ميزان الخزنة التراكمي'!B15</f>
        <v/>
      </c>
      <c r="C4" s="151" t="n"/>
      <c r="D4" s="151" t="n"/>
    </row>
    <row r="5">
      <c r="A5" s="151" t="inlineStr">
        <is>
          <t>مديونية المندوب عصمت الله خان (جملة + سيارة 1219)</t>
        </is>
      </c>
      <c r="B5" s="150" t="n">
        <v>53952.5</v>
      </c>
      <c r="C5" s="151" t="n"/>
      <c r="D5" s="151" t="inlineStr">
        <is>
          <t>الكشف القديم + النظام الجديد – سدادات العملاء القديمة محسوبة</t>
        </is>
      </c>
    </row>
    <row r="6">
      <c r="A6" s="151" t="inlineStr">
        <is>
          <t>مديونية المندوب عماد حمدي (جملة + سيارة 3010)</t>
        </is>
      </c>
      <c r="B6" s="150" t="n">
        <v>0</v>
      </c>
      <c r="C6" s="151" t="n"/>
      <c r="D6" s="151" t="inlineStr">
        <is>
          <t>7,132.75 – سُددت بالكامل خصماً من راتبه (قرار)</t>
        </is>
      </c>
    </row>
    <row r="7">
      <c r="A7" s="151" t="inlineStr">
        <is>
          <t>رصيد عهد لدى أصحابها بدون تسوية</t>
        </is>
      </c>
      <c r="B7" s="150" t="n">
        <v>1543.91</v>
      </c>
      <c r="C7" s="151" t="n"/>
      <c r="D7" s="151" t="inlineStr">
        <is>
          <t>تفصيله بصفحة العهد - الملخص (حسين 881.98 – إسماعيل 149.95 – عظمت 511.98)</t>
        </is>
      </c>
    </row>
    <row r="8">
      <c r="A8" s="151" t="inlineStr">
        <is>
          <t>سلفة زهور رائد الخير – متبقي للإعادة</t>
        </is>
      </c>
      <c r="B8" s="151" t="n"/>
      <c r="C8" s="151" t="n"/>
      <c r="D8" s="151" t="inlineStr">
        <is>
          <t>20,000 زهرة تُعاد عيناً – بدون قيمة مالية</t>
        </is>
      </c>
    </row>
    <row r="9">
      <c r="A9" s="152" t="inlineStr">
        <is>
          <t>الإجمالي</t>
        </is>
      </c>
      <c r="B9" s="153">
        <f>SUM(B4:B8)</f>
        <v/>
      </c>
      <c r="C9" s="153">
        <f>SUM(C4:C8)</f>
        <v/>
      </c>
      <c r="D9" s="152" t="n"/>
    </row>
    <row r="11">
      <c r="A11" t="inlineStr">
        <is>
          <t>ملاحظة: لا توجد أي مديونية خارجية على المزرعة. مشتريات بساتين الرياض غير المسددة (111,895 = PO-1023 + PO-0776 + متبقي PO-0777) جزء من رصيد أبو خالد المستحق له (437,759.31) وليست مديونية منفصلة. لا توجد مديونية للجزيرة الحديثة (كل مسحوباتها مسددة وخاصة ببساتين الرياض – محذوفة من الحسابات).</t>
        </is>
      </c>
    </row>
  </sheetData>
  <mergeCells count="2">
    <mergeCell ref="A1:D1"/>
    <mergeCell ref="A11:D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rightToLeft="1" tabSelected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0" customWidth="1" min="3" max="3"/>
    <col width="18" customWidth="1" min="4" max="4"/>
  </cols>
  <sheetData>
    <row r="1" ht="30" customHeight="1">
      <c r="A1" s="146" t="inlineStr">
        <is>
          <t>سجل القرارات المعتمدة من صاحب الحساب والمطبقة في هذا الملف</t>
        </is>
      </c>
    </row>
    <row r="3">
      <c r="A3" s="149" t="inlineStr">
        <is>
          <t>م</t>
        </is>
      </c>
      <c r="B3" s="149" t="inlineStr">
        <is>
          <t>القسم</t>
        </is>
      </c>
      <c r="C3" s="149" t="inlineStr">
        <is>
          <t>القرار</t>
        </is>
      </c>
      <c r="D3" s="149" t="inlineStr">
        <is>
          <t>المبلغ</t>
        </is>
      </c>
    </row>
    <row r="4">
      <c r="A4" s="150" t="n">
        <v>1</v>
      </c>
      <c r="B4" s="151" t="inlineStr">
        <is>
          <t>الشركاء</t>
        </is>
      </c>
      <c r="C4" s="151" t="inlineStr">
        <is>
          <t>أبو خالد = مالك مؤسسة بساتين الرياض، أبو مازن = مالك نسما الشرق (مزرعة تبوك). لا توزيع أرباح بنسب – التقفيل بالأرصدة.</t>
        </is>
      </c>
      <c r="D4" s="151" t="n"/>
    </row>
    <row r="5">
      <c r="A5" s="150" t="n">
        <v>2</v>
      </c>
      <c r="B5" s="151" t="inlineStr">
        <is>
          <t>الضريبة</t>
        </is>
      </c>
      <c r="C5" s="151" t="inlineStr">
        <is>
          <t>لا ضريبة على أي تحويل بين المزرعتين أو مسحوبات لأي شريك – كل القيم قبل الضريبة.</t>
        </is>
      </c>
      <c r="D5" s="151" t="n"/>
    </row>
    <row r="6">
      <c r="A6" s="150" t="n">
        <v>3</v>
      </c>
      <c r="B6" s="151" t="inlineStr">
        <is>
          <t>التسعير</t>
        </is>
      </c>
      <c r="C6" s="151" t="inlineStr">
        <is>
          <t>أسعار موحدة للطرفين (صفحة قائمة الأسعار الموحدة) – 0.50 للفينكا والزينيا والامرانتس والبيتونيا والسيلوزيا والفضية والماري جولد والسالفيا والهيبوستس والكيليوس والزهور الموسمية.</t>
        </is>
      </c>
      <c r="D6" s="151" t="n"/>
    </row>
    <row r="7">
      <c r="A7" s="150" t="n">
        <v>4</v>
      </c>
      <c r="B7" s="151" t="inlineStr">
        <is>
          <t>التسعير</t>
        </is>
      </c>
      <c r="C7" s="151" t="inlineStr">
        <is>
          <t>الأصناف التي باعها أبو خالد سابقاً: أقل سعر في عقوده (عدا الكلانشو 3 والسينيراريا 2.5 والتيكوماريا 3 والأحجار 18/11 حسب القرار).</t>
        </is>
      </c>
      <c r="D7" s="151" t="n"/>
    </row>
    <row r="8">
      <c r="A8" s="150" t="n">
        <v>5</v>
      </c>
      <c r="B8" s="151" t="inlineStr">
        <is>
          <t>الجزيرة الحديثة</t>
        </is>
      </c>
      <c r="C8" s="151" t="inlineStr">
        <is>
          <t>حذف كل مشتريات وإيداعات الجزيرة من كل الحسابات – ربحها لأبو خالد ضمنياً.</t>
        </is>
      </c>
      <c r="D8" s="151" t="n"/>
    </row>
    <row r="9">
      <c r="A9" s="150" t="n">
        <v>6</v>
      </c>
      <c r="B9" s="151" t="inlineStr">
        <is>
          <t>عقد عرعر</t>
        </is>
      </c>
      <c r="C9" s="151" t="inlineStr">
        <is>
          <t>(205,750 من الرياض + 69,625 من تبوك) × 0.50 – تبوك 72,625 ناقص 3,000 تالف.</t>
        </is>
      </c>
      <c r="D9" s="150" t="n">
        <v>137687.5</v>
      </c>
    </row>
    <row r="10">
      <c r="A10" s="150" t="n">
        <v>7</v>
      </c>
      <c r="B10" s="151" t="inlineStr">
        <is>
          <t>أبو خالد</t>
        </is>
      </c>
      <c r="C10" s="151" t="inlineStr">
        <is>
          <t>189,235 مساهمة تأسيس فوق كشف التأسيس.</t>
        </is>
      </c>
      <c r="D10" s="150" t="n">
        <v>189235</v>
      </c>
    </row>
    <row r="11">
      <c r="A11" s="150" t="n">
        <v>8</v>
      </c>
      <c r="B11" s="151" t="inlineStr">
        <is>
          <t>أبو خالد</t>
        </is>
      </c>
      <c r="C11" s="151" t="inlineStr">
        <is>
          <t>2,000 (18-5-2026) مرتجع نقدي على حسابه.</t>
        </is>
      </c>
      <c r="D11" s="150" t="n">
        <v>2000</v>
      </c>
    </row>
    <row r="12">
      <c r="A12" s="150" t="n">
        <v>9</v>
      </c>
      <c r="B12" s="151" t="inlineStr">
        <is>
          <t>الخزنة</t>
        </is>
      </c>
      <c r="C12" s="151" t="inlineStr">
        <is>
          <t>100,000 (9-3-2026): 70,000 لأبو خالد و30,000 لأبو مازن.</t>
        </is>
      </c>
      <c r="D12" s="150" t="n">
        <v>100000</v>
      </c>
    </row>
    <row r="13">
      <c r="A13" s="150" t="n">
        <v>10</v>
      </c>
      <c r="B13" s="151" t="inlineStr">
        <is>
          <t>أبو مازن</t>
        </is>
      </c>
      <c r="C13" s="151" t="inlineStr">
        <is>
          <t>197,452 و13,000 مسحوبات شخصية.</t>
        </is>
      </c>
      <c r="D13" s="150" t="n">
        <v>210452</v>
      </c>
    </row>
    <row r="14">
      <c r="A14" s="150" t="n">
        <v>11</v>
      </c>
      <c r="B14" s="151" t="inlineStr">
        <is>
          <t>ما قبل نوفمبر</t>
        </is>
      </c>
      <c r="C14" s="151" t="inlineStr">
        <is>
          <t>تسوية 62,937 بدل عقود أبو خالد قبل نوفمبر – مصروفات التسوية 295,615.50 معتمدة.</t>
        </is>
      </c>
      <c r="D14" s="150" t="n">
        <v>62937</v>
      </c>
    </row>
    <row r="15">
      <c r="A15" s="150" t="n">
        <v>12</v>
      </c>
      <c r="B15" s="151" t="inlineStr">
        <is>
          <t>الموردين</t>
        </is>
      </c>
      <c r="C15" s="151" t="inlineStr">
        <is>
          <t>PO-0777: مسدد 11,000 والمتبقي 55,420 – PO-1023 غير مسدد 33,950 – PO-0776 (24-6-2026) غير مسدد 22,525 – PO-0707 مسدد.</t>
        </is>
      </c>
      <c r="D15" s="150" t="n">
        <v>111895</v>
      </c>
    </row>
    <row r="16">
      <c r="A16" s="150" t="n">
        <v>13</v>
      </c>
      <c r="B16" s="151" t="inlineStr">
        <is>
          <t>المناديب</t>
        </is>
      </c>
      <c r="C16" s="151" t="inlineStr">
        <is>
          <t>عصمت 53,952.50 – عماد 7,132.75 سُددت بالكامل خصماً من الراتب.</t>
        </is>
      </c>
      <c r="D16" s="150" t="n">
        <v>53952.5</v>
      </c>
    </row>
    <row r="17">
      <c r="A17" s="150" t="n">
        <v>14</v>
      </c>
      <c r="B17" s="151" t="inlineStr">
        <is>
          <t>الخزنة</t>
        </is>
      </c>
      <c r="C17" s="151" t="inlineStr">
        <is>
          <t>الصرف بدون بيان (18,115.44) مصروفات تشغيل – 1,500 أسمدة.</t>
        </is>
      </c>
      <c r="D17" s="150" t="n">
        <v>19615.44</v>
      </c>
    </row>
    <row r="18">
      <c r="A18" s="150" t="n">
        <v>15</v>
      </c>
      <c r="B18" s="151" t="inlineStr">
        <is>
          <t>الخزنة</t>
        </is>
      </c>
      <c r="C18" s="151" t="inlineStr">
        <is>
          <t>53 قيد بمبلغ صفر = عهد مغطاة بتصفية عهدة حسين – رواتب 5-2026 (29,457.25) مدفوعة DIS-0001.</t>
        </is>
      </c>
      <c r="D18" s="150" t="n">
        <v>29457.25</v>
      </c>
    </row>
    <row r="19">
      <c r="A19" s="150" t="n">
        <v>16</v>
      </c>
      <c r="B19" s="151" t="inlineStr">
        <is>
          <t>المصروفات</t>
        </is>
      </c>
      <c r="C19" s="151" t="inlineStr">
        <is>
          <t>المدارات PO-267/309 و PO1040/1043 مشتريات حقيقية مستقلة.</t>
        </is>
      </c>
      <c r="D19" s="151" t="n"/>
    </row>
    <row r="20">
      <c r="A20" s="150" t="n">
        <v>17</v>
      </c>
      <c r="B20" s="151" t="inlineStr">
        <is>
          <t>أبو مازن</t>
        </is>
      </c>
      <c r="C20" s="151" t="inlineStr">
        <is>
          <t>مشتريات 2025 المدفوعة من تبوك 231,992.26.</t>
        </is>
      </c>
      <c r="D20" s="150" t="n">
        <v>231992.26</v>
      </c>
    </row>
    <row r="21">
      <c r="A21" s="150" t="n">
        <v>18</v>
      </c>
      <c r="B21" s="151" t="inlineStr">
        <is>
          <t>أبو مازن</t>
        </is>
      </c>
      <c r="C21" s="151" t="inlineStr">
        <is>
          <t>ديزل الدريس 24,888 (2026) منفصل عن ديزل العهد.</t>
        </is>
      </c>
      <c r="D21" s="150" t="n">
        <v>24888</v>
      </c>
    </row>
    <row r="22">
      <c r="A22" s="150" t="n">
        <v>19</v>
      </c>
      <c r="B22" s="151" t="inlineStr">
        <is>
          <t>التأسيس</t>
        </is>
      </c>
      <c r="C22" s="151" t="inlineStr">
        <is>
          <t>دينة عماد 123,000 مستبعدة – سُحبت لنسما 10-9-2026 – إهلاك 25% = 26,453.42 لصالح نسما.</t>
        </is>
      </c>
      <c r="D22" s="150" t="n">
        <v>26453.42</v>
      </c>
    </row>
    <row r="23">
      <c r="A23" s="150" t="n">
        <v>20</v>
      </c>
      <c r="B23" s="151" t="inlineStr">
        <is>
          <t>الإيجار</t>
        </is>
      </c>
      <c r="C23" s="151" t="inlineStr">
        <is>
          <t>300,000 (2024–2025) + 150,000 (2026) دعم كامل من أبو مازن – مرة واحدة.</t>
        </is>
      </c>
      <c r="D23" s="150" t="n">
        <v>450000</v>
      </c>
    </row>
    <row r="24">
      <c r="A24" s="150" t="n">
        <v>21</v>
      </c>
      <c r="B24" s="151" t="inlineStr">
        <is>
          <t>أبو مازن</t>
        </is>
      </c>
      <c r="C24" s="151" t="inlineStr">
        <is>
          <t>مصروفات تشغيل 2024 (412,040.67) مدفوعة بالكامل من أبو مازن.</t>
        </is>
      </c>
      <c r="D24" s="150" t="n">
        <v>412040.67</v>
      </c>
    </row>
    <row r="25">
      <c r="A25" s="150" t="n">
        <v>22</v>
      </c>
      <c r="B25" s="151" t="inlineStr">
        <is>
          <t>إيرادات</t>
        </is>
      </c>
      <c r="C25" s="151" t="inlineStr">
        <is>
          <t>413,236 مصروفات تشغيل من إيرادات ما قبل الفترة عن طريق أبو خالد (ليست دعماً) – مختلفة عن 412,040.67.</t>
        </is>
      </c>
      <c r="D25" s="150" t="n">
        <v>413236</v>
      </c>
    </row>
    <row r="26">
      <c r="A26" s="150" t="n">
        <v>23</v>
      </c>
      <c r="B26" s="151" t="inlineStr">
        <is>
          <t>أبو مازن</t>
        </is>
      </c>
      <c r="C26" s="151" t="inlineStr">
        <is>
          <t>العهدة الإدارية 2026 (174,142.15) مدفوعة من أبو مازن – شاملة الإيجار 150,000 ورسوم 1-8 وكفر الدينة.</t>
        </is>
      </c>
      <c r="D26" s="150" t="n">
        <v>174142.15</v>
      </c>
    </row>
    <row r="27">
      <c r="A27" s="150" t="n">
        <v>24</v>
      </c>
      <c r="B27" s="151" t="inlineStr">
        <is>
          <t>الفواتير</t>
        </is>
      </c>
      <c r="C27" s="151" t="inlineStr">
        <is>
          <t>الفاتورة 58 ملغاة (مكررة) – الفاتورة 156 = 5,448.75 – الفواتير 1–24 تجريبية.</t>
        </is>
      </c>
      <c r="D27" s="150" t="n">
        <v>12742.5</v>
      </c>
    </row>
    <row r="28">
      <c r="A28" s="150" t="n">
        <v>25</v>
      </c>
      <c r="B28" s="151" t="inlineStr">
        <is>
          <t>المبيعات</t>
        </is>
      </c>
      <c r="C28" s="151" t="inlineStr">
        <is>
          <t>مبيعات يوليو 2025 مجمعة في سندي 30-7 (WHT-1908 و WHK-1909).</t>
        </is>
      </c>
      <c r="D28" s="151" t="n"/>
    </row>
    <row r="29">
      <c r="A29" s="150" t="n">
        <v>26</v>
      </c>
      <c r="B29" s="151" t="inlineStr">
        <is>
          <t>المواد</t>
        </is>
      </c>
      <c r="C29" s="151" t="inlineStr">
        <is>
          <t>لا حركة 3–12 يونيو 2026 – RAW-OUT#186-REV1 إعادة تكويد – OD373 المعتمد 240.</t>
        </is>
      </c>
      <c r="D29" s="151" t="n"/>
    </row>
    <row r="30">
      <c r="A30" s="150" t="n">
        <v>27</v>
      </c>
      <c r="B30" s="151" t="inlineStr">
        <is>
          <t>المواد</t>
        </is>
      </c>
      <c r="C30" s="151" t="inlineStr">
        <is>
          <t>PO-213 (بيتونيا 6,000) مخصوم من الترحيل – 17,900 فينكا مفقودة مخصومة من الطلب 58991 – فرق الشجيرات 2,045 على الرياض.</t>
        </is>
      </c>
      <c r="D30" s="151" t="n"/>
    </row>
    <row r="31">
      <c r="A31" s="150" t="n">
        <v>28</v>
      </c>
      <c r="B31" s="151" t="inlineStr">
        <is>
          <t>المواد</t>
        </is>
      </c>
      <c r="C31" s="151" t="inlineStr">
        <is>
          <t>RNP-1787 (25-7-2025) لا يُحسب – RNP-1787 (4-8-2025) = 33,000 فينكا لنسما – RNP-2293 = 40,000 فينكا – RNP-2297 = بيتونيا 6,500 + جيرانيوم 500 + ماري جولد 250 – RNP-2427 = 11,000 بيتونيا – RNT-2141 = 15,000 مركن 16 + 100 كمبوست – RNT-2166 = 596 سكندابسس – RNT-3077 و RNT-3346 حسب أذونات الصرف.</t>
        </is>
      </c>
      <c r="D31" s="151" t="n"/>
    </row>
    <row r="32">
      <c r="A32" s="150" t="n">
        <v>29</v>
      </c>
      <c r="B32" s="151" t="inlineStr">
        <is>
          <t>المواد</t>
        </is>
      </c>
      <c r="C32" s="151" t="inlineStr">
        <is>
          <t>سلفة رائد الخير (PO-0764 مقابل EXR-0820 / ISV-0075) بدون أثر مالي – متبقي 20,000 زهرة.</t>
        </is>
      </c>
      <c r="D32" s="151" t="n"/>
    </row>
    <row r="33">
      <c r="A33" s="150" t="n">
        <v>30</v>
      </c>
      <c r="B33" s="151" t="inlineStr">
        <is>
          <t>المواد</t>
        </is>
      </c>
      <c r="C33" s="151" t="inlineStr">
        <is>
          <t>NS-1466: P00481 و P00522 شحنتان مختلفتان – الشحن الخارجي 11,300 على نسما ويُهمل.</t>
        </is>
      </c>
      <c r="D33" s="151" t="n"/>
    </row>
    <row r="34">
      <c r="A34" s="150" t="n">
        <v>31</v>
      </c>
      <c r="B34" s="151" t="inlineStr">
        <is>
          <t>العهد</t>
        </is>
      </c>
      <c r="C34" s="151" t="inlineStr">
        <is>
          <t>1,543.91 رصيد باقٍ لدى أصحاب العهد.</t>
        </is>
      </c>
      <c r="D34" s="150" t="n">
        <v>1543.91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tabSelected="0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59" t="inlineStr">
        <is>
          <t>ملخص التسعير الموحد بين الطرفين (بدون ضريبة)</t>
        </is>
      </c>
    </row>
    <row r="2">
      <c r="A2" s="22" t="inlineStr">
        <is>
          <t>البند</t>
        </is>
      </c>
      <c r="B2" s="22" t="inlineStr">
        <is>
          <t>الإجمالي المسجل</t>
        </is>
      </c>
      <c r="C2" s="22" t="inlineStr">
        <is>
          <t>الإجمالي بالسعر الموحد</t>
        </is>
      </c>
      <c r="D2" s="22" t="inlineStr">
        <is>
          <t>الفرق</t>
        </is>
      </c>
      <c r="E2" s="22" t="inlineStr">
        <is>
          <t>الأثر</t>
        </is>
      </c>
    </row>
    <row r="3">
      <c r="A3" s="16" t="inlineStr">
        <is>
          <t>فرق أسعار أبو خالد (كل العقود المفصلة)</t>
        </is>
      </c>
      <c r="B3" s="17">
        <f>'فرق أسعار أبو خالد'!H61</f>
        <v/>
      </c>
      <c r="C3" s="17">
        <f>'فرق أسعار أبو خالد'!J61</f>
        <v/>
      </c>
      <c r="D3" s="17">
        <f>'فرق أسعار أبو خالد'!K61</f>
        <v/>
      </c>
      <c r="E3" s="16" t="inlineStr">
        <is>
          <t>فرق مرتجع لصالح أبو خالد (يُخصم من مسحوباته)</t>
        </is>
      </c>
    </row>
    <row r="4">
      <c r="A4" s="16" t="inlineStr">
        <is>
          <t>مسحوبات نسما من الرياض</t>
        </is>
      </c>
      <c r="B4" s="17">
        <f>'مسحوبات نسما من الرياض'!G134</f>
        <v/>
      </c>
      <c r="C4" s="17">
        <f>'مسحوبات نسما من الرياض'!I134</f>
        <v/>
      </c>
      <c r="D4" s="17">
        <f>'مسحوبات نسما من الرياض'!J134</f>
        <v/>
      </c>
      <c r="E4" s="16" t="inlineStr">
        <is>
          <t>مديونية على أبو مازن</t>
        </is>
      </c>
    </row>
    <row r="5">
      <c r="A5" s="16" t="inlineStr">
        <is>
          <t>مسحوبات نسما قبل الفترة</t>
        </is>
      </c>
      <c r="B5" s="17">
        <f>'مسحوبات نسما قبل الفترة'!G14</f>
        <v/>
      </c>
      <c r="C5" s="17">
        <f>'مسحوبات نسما قبل الفترة'!I14</f>
        <v/>
      </c>
      <c r="D5" s="17">
        <f>'مسحوبات نسما قبل الفترة'!J14</f>
        <v/>
      </c>
      <c r="E5" s="16" t="inlineStr">
        <is>
          <t>مديونية على أبو مازن</t>
        </is>
      </c>
    </row>
    <row r="6">
      <c r="A6" s="16" t="inlineStr">
        <is>
          <t>ترحيل تبوك إلى الرياض</t>
        </is>
      </c>
      <c r="B6" s="17">
        <f>'ترحيل تبوك إلى الرياض'!G30</f>
        <v/>
      </c>
      <c r="C6" s="17">
        <f>'ترحيل تبوك إلى الرياض'!I30</f>
        <v/>
      </c>
      <c r="D6" s="17">
        <f>'ترحيل تبوك إلى الرياض'!J30</f>
        <v/>
      </c>
      <c r="E6" s="16" t="inlineStr">
        <is>
          <t>دعم تشغيلي من أبو مازن</t>
        </is>
      </c>
    </row>
    <row r="7"/>
    <row r="8">
      <c r="A8" s="16" t="inlineStr">
        <is>
          <t>ملاحظات:</t>
        </is>
      </c>
    </row>
    <row r="9">
      <c r="A9" s="16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0">
      <c r="A10" s="16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1">
      <c r="A11" s="16" t="inlineStr">
        <is>
          <t>3) عقود أبو خالد: فرق السعر محسوب لكل العقود التي لها تفصيل بنود (منها WHK-2656 ضمن تسوية ما قبل نوفمبر). عقود ما قبل نوفمبر بدون تفصيل بنود مشمولة بتسوية 62,937. عقد عرعر WHK-2364 مسعّر أصلاً 0.50.</t>
        </is>
      </c>
    </row>
    <row r="12">
      <c r="A12" s="16" t="inlineStr">
        <is>
          <t>4) الترحيل من الرياض إلى تبوك = مديونية على أبو مازن، ومن تبوك إلى الرياض = دعم تشغيلي من أبو مازن.</t>
        </is>
      </c>
    </row>
    <row r="13">
      <c r="A13" s="16" t="inlineStr">
        <is>
          <t>5) أُلغي PO-213 (بيتونيا 6,000) وخُصمت 17,900 فينكا مفقودة من الطلب 58991، وسلفة رائد الخير (ISV-0075) مستبعدة.</t>
        </is>
      </c>
    </row>
    <row r="14">
      <c r="A14" s="16" t="inlineStr">
        <is>
          <t>6) تكاليف الشحن الخارجي لأوامر ما قبل الفترة تحمّلتها نسما (11,300) ولا تُحمّل على أي طرف.</t>
        </is>
      </c>
    </row>
    <row r="15">
      <c r="A15" s="16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160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2" t="inlineStr">
        <is>
          <t>م</t>
        </is>
      </c>
      <c r="B2" s="22" t="inlineStr">
        <is>
          <t>مفتاح الصنف</t>
        </is>
      </c>
      <c r="C2" s="22" t="inlineStr">
        <is>
          <t>الأسماء كما وردت بالسندات</t>
        </is>
      </c>
      <c r="D2" s="22" t="inlineStr">
        <is>
          <t>الأسعار الحالية بالسندات</t>
        </is>
      </c>
      <c r="E2" s="22" t="inlineStr">
        <is>
          <t>السعر الموحد</t>
        </is>
      </c>
      <c r="F2" s="22" t="inlineStr">
        <is>
          <t>الحالة</t>
        </is>
      </c>
      <c r="G2" s="22" t="inlineStr">
        <is>
          <t>يظهر في</t>
        </is>
      </c>
      <c r="H2" s="22" t="inlineStr">
        <is>
          <t>إجمالي الكمية</t>
        </is>
      </c>
      <c r="I2" s="22" t="inlineStr">
        <is>
          <t>أقل سعر باع به لأبو خالد</t>
        </is>
      </c>
    </row>
    <row r="3">
      <c r="A3" s="17" t="n">
        <v>1</v>
      </c>
      <c r="B3" s="16" t="inlineStr">
        <is>
          <t>امرانتس</t>
        </is>
      </c>
      <c r="C3" s="16" t="inlineStr">
        <is>
          <t>زهور امرانتس</t>
        </is>
      </c>
      <c r="D3" s="16" t="inlineStr">
        <is>
          <t>0.5</t>
        </is>
      </c>
      <c r="E3" s="27" t="n">
        <v>0.5</v>
      </c>
      <c r="F3" s="16" t="inlineStr">
        <is>
          <t>موحد 0.50 (قرارك)</t>
        </is>
      </c>
      <c r="G3" s="16" t="inlineStr">
        <is>
          <t>عقود أبو خالد + مسحوبات تبوك من الرياض</t>
        </is>
      </c>
      <c r="H3" s="17" t="n">
        <v>8700</v>
      </c>
      <c r="I3" s="17" t="n">
        <v>0.5</v>
      </c>
    </row>
    <row r="4">
      <c r="A4" s="17" t="n">
        <v>2</v>
      </c>
      <c r="B4" s="16" t="inlineStr">
        <is>
          <t>بيتونيا</t>
        </is>
      </c>
      <c r="C4" s="16" t="inlineStr">
        <is>
          <t>زهور بيتونيا</t>
        </is>
      </c>
      <c r="D4" s="16" t="inlineStr">
        <is>
          <t>0.5 / 0.55 / 0.7 / 0.75</t>
        </is>
      </c>
      <c r="E4" s="27" t="n">
        <v>0.5</v>
      </c>
      <c r="F4" s="16" t="inlineStr">
        <is>
          <t>موحد 0.50 (قرارك)</t>
        </is>
      </c>
      <c r="G4" s="16" t="inlineStr">
        <is>
          <t>عقود أبو خالد + مسحوبات تبوك من الرياض + ترحيل تبوك للرياض</t>
        </is>
      </c>
      <c r="H4" s="17" t="n">
        <v>271347</v>
      </c>
      <c r="I4" s="17" t="n">
        <v>0.5</v>
      </c>
    </row>
    <row r="5">
      <c r="A5" s="17" t="n">
        <v>3</v>
      </c>
      <c r="B5" s="16" t="inlineStr">
        <is>
          <t>زينيا</t>
        </is>
      </c>
      <c r="C5" s="16" t="inlineStr">
        <is>
          <t>زهور زينيا</t>
        </is>
      </c>
      <c r="D5" s="16" t="inlineStr">
        <is>
          <t>0.5</t>
        </is>
      </c>
      <c r="E5" s="27" t="n">
        <v>0.5</v>
      </c>
      <c r="F5" s="16" t="inlineStr">
        <is>
          <t>موحد 0.50 (قرارك)</t>
        </is>
      </c>
      <c r="G5" s="16" t="inlineStr">
        <is>
          <t>عقود أبو خالد + مسحوبات تبوك من الرياض</t>
        </is>
      </c>
      <c r="H5" s="17" t="n">
        <v>69275</v>
      </c>
      <c r="I5" s="17" t="n">
        <v>0.5</v>
      </c>
    </row>
    <row r="6">
      <c r="A6" s="17" t="n">
        <v>4</v>
      </c>
      <c r="B6" s="16" t="inlineStr">
        <is>
          <t>سالفيا مركن 9</t>
        </is>
      </c>
      <c r="C6" s="16" t="inlineStr">
        <is>
          <t>زهور سالفيا مركن 9 / زهور سالفيا مركن9 سم</t>
        </is>
      </c>
      <c r="D6" s="16" t="inlineStr">
        <is>
          <t>0.5 / 0.6 / 0.75</t>
        </is>
      </c>
      <c r="E6" s="27" t="n">
        <v>0.5</v>
      </c>
      <c r="F6" s="16" t="inlineStr">
        <is>
          <t>موحد 0.50 (قرارك)</t>
        </is>
      </c>
      <c r="G6" s="16" t="inlineStr">
        <is>
          <t>عقود أبو خالد + مسحوبات تبوك من الرياض</t>
        </is>
      </c>
      <c r="H6" s="17" t="n">
        <v>6337</v>
      </c>
      <c r="I6" s="17" t="n">
        <v>0.5</v>
      </c>
    </row>
    <row r="7">
      <c r="A7" s="17" t="n">
        <v>5</v>
      </c>
      <c r="B7" s="16" t="inlineStr">
        <is>
          <t>سيلوزيا</t>
        </is>
      </c>
      <c r="C7" s="16" t="inlineStr">
        <is>
          <t>زهور سيلوزيا</t>
        </is>
      </c>
      <c r="D7" s="16" t="inlineStr">
        <is>
          <t>0.5</t>
        </is>
      </c>
      <c r="E7" s="27" t="n">
        <v>0.5</v>
      </c>
      <c r="F7" s="16" t="inlineStr">
        <is>
          <t>موحد 0.50 (قرارك)</t>
        </is>
      </c>
      <c r="G7" s="16" t="inlineStr">
        <is>
          <t>عقود أبو خالد</t>
        </is>
      </c>
      <c r="H7" s="17" t="n">
        <v>3000</v>
      </c>
      <c r="I7" s="17" t="n">
        <v>0.5</v>
      </c>
    </row>
    <row r="8">
      <c r="A8" s="17" t="n">
        <v>6</v>
      </c>
      <c r="B8" s="16" t="inlineStr">
        <is>
          <t>فضيه</t>
        </is>
      </c>
      <c r="C8" s="16" t="inlineStr">
        <is>
          <t>زهور فضية</t>
        </is>
      </c>
      <c r="D8" s="16" t="inlineStr">
        <is>
          <t>0.5</t>
        </is>
      </c>
      <c r="E8" s="27" t="n">
        <v>0.5</v>
      </c>
      <c r="F8" s="16" t="inlineStr">
        <is>
          <t>موحد 0.50 (قرارك)</t>
        </is>
      </c>
      <c r="G8" s="16" t="inlineStr">
        <is>
          <t>مسحوبات تبوك من الرياض</t>
        </is>
      </c>
      <c r="H8" s="17" t="n">
        <v>300</v>
      </c>
      <c r="I8" s="16" t="inlineStr">
        <is>
          <t>—</t>
        </is>
      </c>
    </row>
    <row r="9">
      <c r="A9" s="17" t="n">
        <v>7</v>
      </c>
      <c r="B9" s="16" t="inlineStr">
        <is>
          <t>فينكا</t>
        </is>
      </c>
      <c r="C9" s="16" t="inlineStr">
        <is>
          <t>زهور فينكا</t>
        </is>
      </c>
      <c r="D9" s="16" t="inlineStr">
        <is>
          <t>0.55</t>
        </is>
      </c>
      <c r="E9" s="27" t="n">
        <v>0.5</v>
      </c>
      <c r="F9" s="16" t="inlineStr">
        <is>
          <t>موحد 0.50 (قرارك)</t>
        </is>
      </c>
      <c r="G9" s="16" t="inlineStr">
        <is>
          <t>مسحوبات تبوك من الرياض</t>
        </is>
      </c>
      <c r="H9" s="17" t="n">
        <v>73000</v>
      </c>
      <c r="I9" s="16" t="inlineStr">
        <is>
          <t>—</t>
        </is>
      </c>
    </row>
    <row r="10">
      <c r="A10" s="17" t="n">
        <v>8</v>
      </c>
      <c r="B10" s="16" t="inlineStr">
        <is>
          <t>فينكا ابيض</t>
        </is>
      </c>
      <c r="C10" s="16" t="inlineStr">
        <is>
          <t>فينكا أبيض</t>
        </is>
      </c>
      <c r="D10" s="16" t="inlineStr">
        <is>
          <t>—</t>
        </is>
      </c>
      <c r="E10" s="27" t="n">
        <v>0.5</v>
      </c>
      <c r="F10" s="16" t="inlineStr">
        <is>
          <t>موحد 0.50 (قرارك)</t>
        </is>
      </c>
      <c r="G10" s="16" t="inlineStr">
        <is>
          <t>مسحوبات قبل الفترة</t>
        </is>
      </c>
      <c r="H10" s="17" t="n">
        <v>9000</v>
      </c>
      <c r="I10" s="16" t="inlineStr">
        <is>
          <t>—</t>
        </is>
      </c>
    </row>
    <row r="11">
      <c r="A11" s="17" t="n">
        <v>9</v>
      </c>
      <c r="B11" s="16" t="inlineStr">
        <is>
          <t>فينكا ابيض نقطه حمراء</t>
        </is>
      </c>
      <c r="C11" s="16" t="inlineStr">
        <is>
          <t>فينكا أبيض نقطة حمراء</t>
        </is>
      </c>
      <c r="D11" s="16" t="inlineStr">
        <is>
          <t>—</t>
        </is>
      </c>
      <c r="E11" s="27" t="n">
        <v>0.5</v>
      </c>
      <c r="F11" s="16" t="inlineStr">
        <is>
          <t>موحد 0.50 (قرارك)</t>
        </is>
      </c>
      <c r="G11" s="16" t="inlineStr">
        <is>
          <t>مسحوبات قبل الفترة</t>
        </is>
      </c>
      <c r="H11" s="17" t="n">
        <v>3875</v>
      </c>
      <c r="I11" s="16" t="inlineStr">
        <is>
          <t>—</t>
        </is>
      </c>
    </row>
    <row r="12">
      <c r="A12" s="17" t="n">
        <v>10</v>
      </c>
      <c r="B12" s="16" t="inlineStr">
        <is>
          <t>فينكا احمر</t>
        </is>
      </c>
      <c r="C12" s="16" t="inlineStr">
        <is>
          <t>فينكا أحمر</t>
        </is>
      </c>
      <c r="D12" s="16" t="inlineStr">
        <is>
          <t>—</t>
        </is>
      </c>
      <c r="E12" s="27" t="n">
        <v>0.5</v>
      </c>
      <c r="F12" s="16" t="inlineStr">
        <is>
          <t>موحد 0.50 (قرارك)</t>
        </is>
      </c>
      <c r="G12" s="16" t="inlineStr">
        <is>
          <t>مسحوبات قبل الفترة</t>
        </is>
      </c>
      <c r="H12" s="17" t="n">
        <v>11000</v>
      </c>
      <c r="I12" s="16" t="inlineStr">
        <is>
          <t>—</t>
        </is>
      </c>
    </row>
    <row r="13">
      <c r="A13" s="17" t="n">
        <v>11</v>
      </c>
      <c r="B13" s="16" t="inlineStr">
        <is>
          <t>فينكا احمر بنقطه</t>
        </is>
      </c>
      <c r="C13" s="16" t="inlineStr">
        <is>
          <t>فينكا أحمر بنقطة</t>
        </is>
      </c>
      <c r="D13" s="16" t="inlineStr">
        <is>
          <t>—</t>
        </is>
      </c>
      <c r="E13" s="27" t="n">
        <v>0.5</v>
      </c>
      <c r="F13" s="16" t="inlineStr">
        <is>
          <t>موحد 0.50 (قرارك)</t>
        </is>
      </c>
      <c r="G13" s="16" t="inlineStr">
        <is>
          <t>مسحوبات قبل الفترة</t>
        </is>
      </c>
      <c r="H13" s="17" t="n">
        <v>3000</v>
      </c>
      <c r="I13" s="16" t="inlineStr">
        <is>
          <t>—</t>
        </is>
      </c>
    </row>
    <row r="14">
      <c r="A14" s="17" t="n">
        <v>12</v>
      </c>
      <c r="B14" s="16" t="inlineStr">
        <is>
          <t>فينكا ازرق</t>
        </is>
      </c>
      <c r="C14" s="16" t="inlineStr">
        <is>
          <t>فينكا أزرق</t>
        </is>
      </c>
      <c r="D14" s="16" t="inlineStr">
        <is>
          <t>—</t>
        </is>
      </c>
      <c r="E14" s="27" t="n">
        <v>0.5</v>
      </c>
      <c r="F14" s="16" t="inlineStr">
        <is>
          <t>موحد 0.50 (قرارك)</t>
        </is>
      </c>
      <c r="G14" s="16" t="inlineStr">
        <is>
          <t>مسحوبات قبل الفترة</t>
        </is>
      </c>
      <c r="H14" s="17" t="n">
        <v>5000</v>
      </c>
      <c r="I14" s="16" t="inlineStr">
        <is>
          <t>—</t>
        </is>
      </c>
    </row>
    <row r="15">
      <c r="A15" s="17" t="n">
        <v>13</v>
      </c>
      <c r="B15" s="16" t="inlineStr">
        <is>
          <t>فينكا روزا</t>
        </is>
      </c>
      <c r="C15" s="16" t="inlineStr">
        <is>
          <t>زهور فينكا روزا</t>
        </is>
      </c>
      <c r="D15" s="16" t="inlineStr">
        <is>
          <t>0.5 / 0.55</t>
        </is>
      </c>
      <c r="E15" s="27" t="n">
        <v>0.5</v>
      </c>
      <c r="F15" s="16" t="inlineStr">
        <is>
          <t>موحد 0.50 (قرارك)</t>
        </is>
      </c>
      <c r="G15" s="16" t="inlineStr">
        <is>
          <t>عقود أبو خالد + مسحوبات تبوك من الرياض</t>
        </is>
      </c>
      <c r="H15" s="17" t="n">
        <v>190390</v>
      </c>
      <c r="I15" s="17" t="n">
        <v>0.55</v>
      </c>
    </row>
    <row r="16">
      <c r="A16" s="17" t="n">
        <v>14</v>
      </c>
      <c r="B16" s="16" t="inlineStr">
        <is>
          <t>فينكا مشمشي</t>
        </is>
      </c>
      <c r="C16" s="16" t="inlineStr">
        <is>
          <t>فينكا مشمشي</t>
        </is>
      </c>
      <c r="D16" s="16" t="inlineStr">
        <is>
          <t>—</t>
        </is>
      </c>
      <c r="E16" s="27" t="n">
        <v>0.5</v>
      </c>
      <c r="F16" s="16" t="inlineStr">
        <is>
          <t>موحد 0.50 (قرارك)</t>
        </is>
      </c>
      <c r="G16" s="16" t="inlineStr">
        <is>
          <t>مسحوبات قبل الفترة</t>
        </is>
      </c>
      <c r="H16" s="17" t="n">
        <v>5000</v>
      </c>
      <c r="I16" s="16" t="inlineStr">
        <is>
          <t>—</t>
        </is>
      </c>
    </row>
    <row r="17">
      <c r="A17" s="17" t="n">
        <v>15</v>
      </c>
      <c r="B17" s="16" t="inlineStr">
        <is>
          <t>ماري جولد</t>
        </is>
      </c>
      <c r="C17" s="16" t="inlineStr">
        <is>
          <t>زهور مارى جولد / زهور ماري جولد / مارى جولد</t>
        </is>
      </c>
      <c r="D17" s="16" t="inlineStr">
        <is>
          <t>0.5 / 0.7</t>
        </is>
      </c>
      <c r="E17" s="27" t="n">
        <v>0.5</v>
      </c>
      <c r="F17" s="16" t="inlineStr">
        <is>
          <t>موحد 0.50 (قرارك)</t>
        </is>
      </c>
      <c r="G17" s="16" t="inlineStr">
        <is>
          <t>عقود أبو خالد + مسحوبات تبوك من الرياض</t>
        </is>
      </c>
      <c r="H17" s="17" t="n">
        <v>16025</v>
      </c>
      <c r="I17" s="17" t="n">
        <v>0.7</v>
      </c>
    </row>
    <row r="18">
      <c r="A18" s="17" t="n">
        <v>16</v>
      </c>
      <c r="B18" s="16" t="inlineStr">
        <is>
          <t>ماري جولد فرنسي</t>
        </is>
      </c>
      <c r="C18" s="16" t="inlineStr">
        <is>
          <t>زهور ماري جولد فرنسى</t>
        </is>
      </c>
      <c r="D18" s="16" t="inlineStr">
        <is>
          <t>0.5</t>
        </is>
      </c>
      <c r="E18" s="27" t="n">
        <v>0.5</v>
      </c>
      <c r="F18" s="16" t="inlineStr">
        <is>
          <t>موحد 0.50 (قرارك)</t>
        </is>
      </c>
      <c r="G18" s="16" t="inlineStr">
        <is>
          <t>مسحوبات تبوك من الرياض</t>
        </is>
      </c>
      <c r="H18" s="17" t="n">
        <v>250</v>
      </c>
      <c r="I18" s="16" t="inlineStr">
        <is>
          <t>—</t>
        </is>
      </c>
    </row>
    <row r="19">
      <c r="A19" s="17" t="n">
        <v>17</v>
      </c>
      <c r="B19" s="16" t="inlineStr">
        <is>
          <t>موسميه</t>
        </is>
      </c>
      <c r="C19" s="16" t="inlineStr">
        <is>
          <t>زهور موسمية (SEASONAL FLOWERS) / زهور موسمية – غير شامل التوصيل</t>
        </is>
      </c>
      <c r="D19" s="16" t="inlineStr">
        <is>
          <t>—</t>
        </is>
      </c>
      <c r="E19" s="27" t="n">
        <v>0.5</v>
      </c>
      <c r="F19" s="16" t="inlineStr">
        <is>
          <t>موحد 0.50 (قرارك)</t>
        </is>
      </c>
      <c r="G19" s="16" t="inlineStr">
        <is>
          <t>مسحوبات قبل الفترة</t>
        </is>
      </c>
      <c r="H19" s="17" t="n">
        <v>66000</v>
      </c>
      <c r="I19" s="16" t="inlineStr">
        <is>
          <t>—</t>
        </is>
      </c>
    </row>
    <row r="20">
      <c r="A20" s="17" t="n">
        <v>18</v>
      </c>
      <c r="B20" s="16" t="inlineStr">
        <is>
          <t>هيبوستس</t>
        </is>
      </c>
      <c r="C20" s="16" t="inlineStr">
        <is>
          <t>زهور هيبوستس / زهور هيبوستس مركن9 سم / هيبوستس</t>
        </is>
      </c>
      <c r="D20" s="16" t="inlineStr">
        <is>
          <t>0.55 / 0.7 / 2.5</t>
        </is>
      </c>
      <c r="E20" s="27" t="n">
        <v>0.5</v>
      </c>
      <c r="F20" s="16" t="inlineStr">
        <is>
          <t>موحد 0.50 (قرارك)</t>
        </is>
      </c>
      <c r="G20" s="16" t="inlineStr">
        <is>
          <t>عقود أبو خالد + مسحوبات تبوك من الرياض</t>
        </is>
      </c>
      <c r="H20" s="17" t="n">
        <v>4575</v>
      </c>
      <c r="I20" s="17" t="n">
        <v>0.7</v>
      </c>
    </row>
    <row r="21">
      <c r="A21" s="17" t="n">
        <v>19</v>
      </c>
      <c r="B21" s="16" t="inlineStr">
        <is>
          <t>اشجار تيسبيسيا 2- 3 متر</t>
        </is>
      </c>
      <c r="C21" s="16" t="inlineStr">
        <is>
          <t>أشجار تيسبيسيا 2-3 متر</t>
        </is>
      </c>
      <c r="D21" s="16" t="inlineStr">
        <is>
          <t>60</t>
        </is>
      </c>
      <c r="E21" s="27" t="n">
        <v>60</v>
      </c>
      <c r="F21" s="16" t="inlineStr">
        <is>
          <t>معتمد (قرارك)</t>
        </is>
      </c>
      <c r="G21" s="16" t="inlineStr">
        <is>
          <t>عقود أبو خالد</t>
        </is>
      </c>
      <c r="H21" s="17" t="n">
        <v>4</v>
      </c>
      <c r="I21" s="17" t="n">
        <v>60</v>
      </c>
    </row>
    <row r="22">
      <c r="A22" s="17" t="n">
        <v>20</v>
      </c>
      <c r="B22" s="16" t="inlineStr">
        <is>
          <t>اقحوان افريقي مركن 12</t>
        </is>
      </c>
      <c r="C22" s="16" t="inlineStr">
        <is>
          <t>اقحوان افريقى مركن 12 / زهور اقحوان افريقى مركن12 سم / زهور اقحوان افريقي مركن 12</t>
        </is>
      </c>
      <c r="D22" s="16" t="inlineStr">
        <is>
          <t>3.25</t>
        </is>
      </c>
      <c r="E22" s="27" t="n">
        <v>3.25</v>
      </c>
      <c r="F22" s="16" t="inlineStr">
        <is>
          <t>معتمد (قرارك)</t>
        </is>
      </c>
      <c r="G22" s="16" t="inlineStr">
        <is>
          <t>عقود أبو خالد + مسحوبات تبوك من الرياض</t>
        </is>
      </c>
      <c r="H22" s="17" t="n">
        <v>7010</v>
      </c>
      <c r="I22" s="17" t="n">
        <v>3.25</v>
      </c>
    </row>
    <row r="23">
      <c r="A23" s="17" t="n">
        <v>21</v>
      </c>
      <c r="B23" s="16" t="inlineStr">
        <is>
          <t>اقحوان افريقي مركن 9</t>
        </is>
      </c>
      <c r="C23" s="16" t="inlineStr">
        <is>
          <t>زهور اقحوان افريقي مركن 9 / زهور اقحوان افريقي مركن9 سم</t>
        </is>
      </c>
      <c r="D23" s="16" t="inlineStr">
        <is>
          <t>1.5 / 2</t>
        </is>
      </c>
      <c r="E23" s="27" t="n">
        <v>1.5</v>
      </c>
      <c r="F23" s="16" t="inlineStr">
        <is>
          <t>معتمد (قرارك)</t>
        </is>
      </c>
      <c r="G23" s="16" t="inlineStr">
        <is>
          <t>عقود أبو خالد + مسحوبات تبوك من الرياض</t>
        </is>
      </c>
      <c r="H23" s="17" t="n">
        <v>5975</v>
      </c>
      <c r="I23" s="17" t="n">
        <v>1.5</v>
      </c>
    </row>
    <row r="24">
      <c r="A24" s="17" t="n">
        <v>22</v>
      </c>
      <c r="B24" s="16" t="inlineStr">
        <is>
          <t>اقحوان افريقي هولندي مركن 12</t>
        </is>
      </c>
      <c r="C24" s="16" t="inlineStr">
        <is>
          <t>زهور اقحوان افريقي هولندي مركن 12</t>
        </is>
      </c>
      <c r="D24" s="16" t="inlineStr">
        <is>
          <t>3.25</t>
        </is>
      </c>
      <c r="E24" s="27" t="n">
        <v>3</v>
      </c>
      <c r="F24" s="16" t="inlineStr">
        <is>
          <t>معتمد (قرارك)</t>
        </is>
      </c>
      <c r="G24" s="16" t="inlineStr">
        <is>
          <t>مسحوبات تبوك من الرياض</t>
        </is>
      </c>
      <c r="H24" s="17" t="n">
        <v>1875</v>
      </c>
      <c r="I24" s="16" t="inlineStr">
        <is>
          <t>—</t>
        </is>
      </c>
    </row>
    <row r="25">
      <c r="A25" s="17" t="n">
        <v>23</v>
      </c>
      <c r="B25" s="16" t="inlineStr">
        <is>
          <t>اكاسيا جلوكا من 1 - 2 متر</t>
        </is>
      </c>
      <c r="C25" s="16" t="inlineStr">
        <is>
          <t>اكاسيا جلوكا من 1 - 2 متر</t>
        </is>
      </c>
      <c r="D25" s="16" t="inlineStr">
        <is>
          <t>25</t>
        </is>
      </c>
      <c r="E25" s="27" t="n">
        <v>12</v>
      </c>
      <c r="F25" s="16" t="inlineStr">
        <is>
          <t>معتمد (قرارك)</t>
        </is>
      </c>
      <c r="G25" s="16" t="inlineStr">
        <is>
          <t>مسحوبات تبوك من الرياض</t>
        </is>
      </c>
      <c r="H25" s="17" t="n">
        <v>172</v>
      </c>
      <c r="I25" s="16" t="inlineStr">
        <is>
          <t>—</t>
        </is>
      </c>
    </row>
    <row r="26">
      <c r="A26" s="17" t="n">
        <v>24</v>
      </c>
      <c r="B26" s="16" t="inlineStr">
        <is>
          <t>اكاليفا</t>
        </is>
      </c>
      <c r="C26" s="16" t="inlineStr">
        <is>
          <t>اكاليفا / اكاليفيا</t>
        </is>
      </c>
      <c r="D26" s="16" t="inlineStr">
        <is>
          <t>2.5</t>
        </is>
      </c>
      <c r="E26" s="27" t="n">
        <v>3</v>
      </c>
      <c r="F26" s="16" t="inlineStr">
        <is>
          <t>معتمد (قرارك)</t>
        </is>
      </c>
      <c r="G26" s="16" t="inlineStr">
        <is>
          <t>مسحوبات تبوك من الرياض + ترحيل تبوك للرياض</t>
        </is>
      </c>
      <c r="H26" s="17" t="n">
        <v>120</v>
      </c>
      <c r="I26" s="16" t="inlineStr">
        <is>
          <t>—</t>
        </is>
      </c>
    </row>
    <row r="27">
      <c r="A27" s="17" t="n">
        <v>25</v>
      </c>
      <c r="B27" s="16" t="inlineStr">
        <is>
          <t>اليسوم</t>
        </is>
      </c>
      <c r="C27" s="16" t="inlineStr">
        <is>
          <t>زهور اليسوم / زهور اليسوم مركن9 سم</t>
        </is>
      </c>
      <c r="D27" s="16" t="inlineStr">
        <is>
          <t>0.5</t>
        </is>
      </c>
      <c r="E27" s="27" t="n">
        <v>0.5</v>
      </c>
      <c r="F27" s="16" t="inlineStr">
        <is>
          <t>معتمد (قرارك)</t>
        </is>
      </c>
      <c r="G27" s="16" t="inlineStr">
        <is>
          <t>عقود أبو خالد + مسحوبات تبوك من الرياض + ترحيل تبوك للرياض</t>
        </is>
      </c>
      <c r="H27" s="17" t="n">
        <v>5275</v>
      </c>
      <c r="I27" s="17" t="n">
        <v>0.5</v>
      </c>
    </row>
    <row r="28">
      <c r="A28" s="17" t="n">
        <v>26</v>
      </c>
      <c r="B28" s="16" t="inlineStr">
        <is>
          <t>بانستيم اخضر</t>
        </is>
      </c>
      <c r="C28" s="16" t="inlineStr">
        <is>
          <t>بانستيم اخضر</t>
        </is>
      </c>
      <c r="D28" s="16" t="inlineStr">
        <is>
          <t>2.5</t>
        </is>
      </c>
      <c r="E28" s="27" t="n">
        <v>3</v>
      </c>
      <c r="F28" s="16" t="inlineStr">
        <is>
          <t>معتمد (قرارك)</t>
        </is>
      </c>
      <c r="G28" s="16" t="inlineStr">
        <is>
          <t>مسحوبات تبوك من الرياض</t>
        </is>
      </c>
      <c r="H28" s="17" t="n">
        <v>150</v>
      </c>
      <c r="I28" s="16" t="inlineStr">
        <is>
          <t>—</t>
        </is>
      </c>
    </row>
    <row r="29">
      <c r="A29" s="17" t="n">
        <v>27</v>
      </c>
      <c r="B29" s="16" t="inlineStr">
        <is>
          <t>بوتنج سويل 70 لتر</t>
        </is>
      </c>
      <c r="C29" s="16" t="inlineStr">
        <is>
          <t>بوتنج سويل 70 لتر</t>
        </is>
      </c>
      <c r="D29" s="16" t="inlineStr">
        <is>
          <t>46</t>
        </is>
      </c>
      <c r="E29" s="27" t="n">
        <v>64</v>
      </c>
      <c r="F29" s="16" t="inlineStr">
        <is>
          <t>معتمد (قرارك)</t>
        </is>
      </c>
      <c r="G29" s="16" t="inlineStr">
        <is>
          <t>مسحوبات تبوك من الرياض</t>
        </is>
      </c>
      <c r="H29" s="17" t="n">
        <v>10</v>
      </c>
      <c r="I29" s="16" t="inlineStr">
        <is>
          <t>—</t>
        </is>
      </c>
    </row>
    <row r="30">
      <c r="A30" s="17" t="n">
        <v>28</v>
      </c>
      <c r="B30" s="16" t="inlineStr">
        <is>
          <t>بيرلايت 100 لتر</t>
        </is>
      </c>
      <c r="C30" s="16" t="inlineStr">
        <is>
          <t>بيرلايت 100 لتر</t>
        </is>
      </c>
      <c r="D30" s="16" t="inlineStr">
        <is>
          <t>32.5</t>
        </is>
      </c>
      <c r="E30" s="27" t="n">
        <v>25</v>
      </c>
      <c r="F30" s="16" t="inlineStr">
        <is>
          <t>معتمد (قرارك)</t>
        </is>
      </c>
      <c r="G30" s="16" t="inlineStr">
        <is>
          <t>مسحوبات تبوك من الرياض + ترحيل تبوك للرياض</t>
        </is>
      </c>
      <c r="H30" s="17" t="n">
        <v>225</v>
      </c>
      <c r="I30" s="16" t="inlineStr">
        <is>
          <t>—</t>
        </is>
      </c>
    </row>
    <row r="31">
      <c r="A31" s="17" t="n">
        <v>29</v>
      </c>
      <c r="B31" s="16" t="inlineStr">
        <is>
          <t>تجيل كروي مركن 9</t>
        </is>
      </c>
      <c r="C31" s="16" t="inlineStr">
        <is>
          <t>تجيل كروي مركن 9 سم</t>
        </is>
      </c>
      <c r="D31" s="16" t="inlineStr">
        <is>
          <t>1.1</t>
        </is>
      </c>
      <c r="E31" s="27" t="n">
        <v>0.9</v>
      </c>
      <c r="F31" s="16" t="inlineStr">
        <is>
          <t>معتمد (قرارك)</t>
        </is>
      </c>
      <c r="G31" s="16" t="inlineStr">
        <is>
          <t>مسحوبات تبوك من الرياض</t>
        </is>
      </c>
      <c r="H31" s="17" t="n">
        <v>2400</v>
      </c>
      <c r="I31" s="16" t="inlineStr">
        <is>
          <t>—</t>
        </is>
      </c>
    </row>
    <row r="32">
      <c r="A32" s="17" t="n">
        <v>30</v>
      </c>
      <c r="B32" s="16" t="inlineStr">
        <is>
          <t>تراديسكانتيا مركن 19 علاقي</t>
        </is>
      </c>
      <c r="C32" s="16" t="inlineStr">
        <is>
          <t>تراديسكانتيا مركن 19 علاقي</t>
        </is>
      </c>
      <c r="D32" s="16" t="inlineStr">
        <is>
          <t>10</t>
        </is>
      </c>
      <c r="E32" s="27" t="n">
        <v>9.5</v>
      </c>
      <c r="F32" s="16" t="inlineStr">
        <is>
          <t>معتمد (قرارك)</t>
        </is>
      </c>
      <c r="G32" s="16" t="inlineStr">
        <is>
          <t>مسحوبات تبوك من الرياض</t>
        </is>
      </c>
      <c r="H32" s="17" t="n">
        <v>515</v>
      </c>
      <c r="I32" s="16" t="inlineStr">
        <is>
          <t>—</t>
        </is>
      </c>
    </row>
    <row r="33">
      <c r="A33" s="17" t="n">
        <v>31</v>
      </c>
      <c r="B33" s="16" t="inlineStr">
        <is>
          <t>تيكوماريا 50</t>
        </is>
      </c>
      <c r="C33" s="16" t="inlineStr">
        <is>
          <t>تيكوماريا / تيكوماريا 50 سم / تيكوماريا50 سم</t>
        </is>
      </c>
      <c r="D33" s="16" t="inlineStr">
        <is>
          <t>2.5 / 4</t>
        </is>
      </c>
      <c r="E33" s="27" t="n">
        <v>3</v>
      </c>
      <c r="F33" s="16" t="inlineStr">
        <is>
          <t>معتمد (قرارك)</t>
        </is>
      </c>
      <c r="G33" s="16" t="inlineStr">
        <is>
          <t>عقود أبو خالد + مسحوبات تبوك من الرياض + ترحيل تبوك للرياض</t>
        </is>
      </c>
      <c r="H33" s="17" t="n">
        <v>3530</v>
      </c>
      <c r="I33" s="17" t="n">
        <v>4</v>
      </c>
    </row>
    <row r="34">
      <c r="A34" s="17" t="n">
        <v>32</v>
      </c>
      <c r="B34" s="16" t="inlineStr">
        <is>
          <t>جازانيا</t>
        </is>
      </c>
      <c r="C34" s="16" t="inlineStr">
        <is>
          <t>زهور جازانيا</t>
        </is>
      </c>
      <c r="D34" s="16" t="inlineStr">
        <is>
          <t>0.5</t>
        </is>
      </c>
      <c r="E34" s="27" t="n">
        <v>0.5</v>
      </c>
      <c r="F34" s="16" t="inlineStr">
        <is>
          <t>معتمد (قرارك)</t>
        </is>
      </c>
      <c r="G34" s="16" t="inlineStr">
        <is>
          <t>عقود أبو خالد + مسحوبات تبوك من الرياض</t>
        </is>
      </c>
      <c r="H34" s="17" t="n">
        <v>5525</v>
      </c>
      <c r="I34" s="17" t="n">
        <v>0.5</v>
      </c>
    </row>
    <row r="35">
      <c r="A35" s="17" t="n">
        <v>33</v>
      </c>
      <c r="B35" s="16" t="inlineStr">
        <is>
          <t>جهنميه بلدي 1 متر</t>
        </is>
      </c>
      <c r="C35" s="16" t="inlineStr">
        <is>
          <t>جهنمية بلدي1 متر</t>
        </is>
      </c>
      <c r="D35" s="16" t="inlineStr">
        <is>
          <t>6</t>
        </is>
      </c>
      <c r="E35" s="27" t="n">
        <v>4</v>
      </c>
      <c r="F35" s="16" t="inlineStr">
        <is>
          <t>معتمد (قرارك)</t>
        </is>
      </c>
      <c r="G35" s="16" t="inlineStr">
        <is>
          <t>مسحوبات تبوك من الرياض</t>
        </is>
      </c>
      <c r="H35" s="17" t="n">
        <v>10</v>
      </c>
      <c r="I35" s="16" t="inlineStr">
        <is>
          <t>—</t>
        </is>
      </c>
    </row>
    <row r="36">
      <c r="A36" s="17" t="n">
        <v>34</v>
      </c>
      <c r="B36" s="16" t="inlineStr">
        <is>
          <t>جهنميه بلدي 50</t>
        </is>
      </c>
      <c r="C36" s="16" t="inlineStr">
        <is>
          <t>جهنمية بلدى واحد عود 50سم / جهنمية بلدي 50 سم</t>
        </is>
      </c>
      <c r="D36" s="16" t="inlineStr">
        <is>
          <t>2.5 / 5</t>
        </is>
      </c>
      <c r="E36" s="27" t="n">
        <v>3</v>
      </c>
      <c r="F36" s="16" t="inlineStr">
        <is>
          <t>معتمد (قرارك)</t>
        </is>
      </c>
      <c r="G36" s="16" t="inlineStr">
        <is>
          <t>مسحوبات تبوك من الرياض + ترحيل تبوك للرياض</t>
        </is>
      </c>
      <c r="H36" s="17" t="n">
        <v>600</v>
      </c>
      <c r="I36" s="16" t="inlineStr">
        <is>
          <t>—</t>
        </is>
      </c>
    </row>
    <row r="37">
      <c r="A37" s="17" t="n">
        <v>35</v>
      </c>
      <c r="B37" s="16" t="inlineStr">
        <is>
          <t>جهنميه تايلاندي مركن 25</t>
        </is>
      </c>
      <c r="C37" s="16" t="inlineStr">
        <is>
          <t>جهنميه تايلاندى مركن 25</t>
        </is>
      </c>
      <c r="D37" s="16" t="inlineStr">
        <is>
          <t>250</t>
        </is>
      </c>
      <c r="E37" s="27" t="n">
        <v>200</v>
      </c>
      <c r="F37" s="16" t="inlineStr">
        <is>
          <t>معتمد (قرارك)</t>
        </is>
      </c>
      <c r="G37" s="16" t="inlineStr">
        <is>
          <t>مسحوبات تبوك من الرياض</t>
        </is>
      </c>
      <c r="H37" s="17" t="n">
        <v>10</v>
      </c>
      <c r="I37" s="16" t="inlineStr">
        <is>
          <t>—</t>
        </is>
      </c>
    </row>
    <row r="38">
      <c r="A38" s="17" t="n">
        <v>36</v>
      </c>
      <c r="B38" s="16" t="inlineStr">
        <is>
          <t>جهنميه كرويه تايلندي صغير</t>
        </is>
      </c>
      <c r="C38" s="16" t="inlineStr">
        <is>
          <t>جهنمية كروية تايلندي صغير</t>
        </is>
      </c>
      <c r="D38" s="16" t="inlineStr">
        <is>
          <t>250</t>
        </is>
      </c>
      <c r="E38" s="27" t="n">
        <v>200</v>
      </c>
      <c r="F38" s="16" t="inlineStr">
        <is>
          <t>معتمد (قرارك)</t>
        </is>
      </c>
      <c r="G38" s="16" t="inlineStr">
        <is>
          <t>مسحوبات تبوك من الرياض</t>
        </is>
      </c>
      <c r="H38" s="17" t="n">
        <v>2</v>
      </c>
      <c r="I38" s="16" t="inlineStr">
        <is>
          <t>—</t>
        </is>
      </c>
    </row>
    <row r="39">
      <c r="A39" s="17" t="n">
        <v>37</v>
      </c>
      <c r="B39" s="16" t="inlineStr">
        <is>
          <t>جهنميه كرويه تايلندي كبير</t>
        </is>
      </c>
      <c r="C39" s="16" t="inlineStr">
        <is>
          <t>جهنمية كروية تايلندي كبير</t>
        </is>
      </c>
      <c r="D39" s="16" t="inlineStr">
        <is>
          <t>300</t>
        </is>
      </c>
      <c r="E39" s="27" t="n">
        <v>230</v>
      </c>
      <c r="F39" s="16" t="inlineStr">
        <is>
          <t>معتمد (قرارك)</t>
        </is>
      </c>
      <c r="G39" s="16" t="inlineStr">
        <is>
          <t>مسحوبات تبوك من الرياض</t>
        </is>
      </c>
      <c r="H39" s="17" t="n">
        <v>5</v>
      </c>
      <c r="I39" s="16" t="inlineStr">
        <is>
          <t>—</t>
        </is>
      </c>
    </row>
    <row r="40">
      <c r="A40" s="17" t="n">
        <v>38</v>
      </c>
      <c r="B40" s="16" t="inlineStr">
        <is>
          <t>جيرانيوم مركن 12</t>
        </is>
      </c>
      <c r="C40" s="16" t="inlineStr">
        <is>
          <t>جيرانيوم مركن 12 / زهور جيرانيوم مركن 12 / زهور جيرانيوم مركن12 سم</t>
        </is>
      </c>
      <c r="D40" s="16" t="inlineStr">
        <is>
          <t>3 / 3.75</t>
        </is>
      </c>
      <c r="E40" s="27" t="n">
        <v>3</v>
      </c>
      <c r="F40" s="16" t="inlineStr">
        <is>
          <t>معتمد (قرارك)</t>
        </is>
      </c>
      <c r="G40" s="16" t="inlineStr">
        <is>
          <t>عقود أبو خالد + مسحوبات تبوك من الرياض</t>
        </is>
      </c>
      <c r="H40" s="17" t="n">
        <v>20355</v>
      </c>
      <c r="I40" s="17" t="n">
        <v>3</v>
      </c>
    </row>
    <row r="41">
      <c r="A41" s="17" t="n">
        <v>39</v>
      </c>
      <c r="B41" s="16" t="inlineStr">
        <is>
          <t>جيرانيوم مركن 9</t>
        </is>
      </c>
      <c r="C41" s="16" t="inlineStr">
        <is>
          <t>زهور جرانيوم مركن9 سم / زهور جيرانيوم مركن 9</t>
        </is>
      </c>
      <c r="D41" s="16" t="inlineStr">
        <is>
          <t>1.25 / 1.4 / 1.5</t>
        </is>
      </c>
      <c r="E41" s="27" t="n">
        <v>1.25</v>
      </c>
      <c r="F41" s="16" t="inlineStr">
        <is>
          <t>معتمد (قرارك)</t>
        </is>
      </c>
      <c r="G41" s="16" t="inlineStr">
        <is>
          <t>عقود أبو خالد + مسحوبات تبوك من الرياض</t>
        </is>
      </c>
      <c r="H41" s="17" t="n">
        <v>41825</v>
      </c>
      <c r="I41" s="17" t="n">
        <v>1.25</v>
      </c>
    </row>
    <row r="42">
      <c r="A42" s="17" t="n">
        <v>40</v>
      </c>
      <c r="B42" s="16" t="inlineStr">
        <is>
          <t>جيرانيوم هولندي مركن 12</t>
        </is>
      </c>
      <c r="C42" s="16" t="inlineStr">
        <is>
          <t>زهور جيرانيوم  هولندي مركن12 / زهور جيرانيوم هولندى مركن12 سم / زهور جيرانيوم هولندي مركن 12</t>
        </is>
      </c>
      <c r="D42" s="16" t="inlineStr">
        <is>
          <t>3.45 / 3.75</t>
        </is>
      </c>
      <c r="E42" s="27" t="n">
        <v>3.45</v>
      </c>
      <c r="F42" s="16" t="inlineStr">
        <is>
          <t>معتمد (قرارك)</t>
        </is>
      </c>
      <c r="G42" s="16" t="inlineStr">
        <is>
          <t>عقود أبو خالد + مسحوبات تبوك من الرياض</t>
        </is>
      </c>
      <c r="H42" s="17" t="n">
        <v>1295</v>
      </c>
      <c r="I42" s="17" t="n">
        <v>3.45</v>
      </c>
    </row>
    <row r="43">
      <c r="A43" s="17" t="n">
        <v>41</v>
      </c>
      <c r="B43" s="16" t="inlineStr">
        <is>
          <t>حجر ديكوري ابيض لامع 1: 3</t>
        </is>
      </c>
      <c r="C43" s="16" t="inlineStr">
        <is>
          <t>ابيض لامع / حجر ديكوري أبيض لامع 1:3 سم (10 كجم)</t>
        </is>
      </c>
      <c r="D43" s="16" t="inlineStr">
        <is>
          <t>18 / 25</t>
        </is>
      </c>
      <c r="E43" s="27" t="n">
        <v>18</v>
      </c>
      <c r="F43" s="16" t="inlineStr">
        <is>
          <t>معتمد (قرارك)</t>
        </is>
      </c>
      <c r="G43" s="16" t="inlineStr">
        <is>
          <t>عقود أبو خالد + ترحيل تبوك للرياض</t>
        </is>
      </c>
      <c r="H43" s="17" t="n">
        <v>16</v>
      </c>
      <c r="I43" s="17" t="n">
        <v>25</v>
      </c>
    </row>
    <row r="44">
      <c r="A44" s="17" t="n">
        <v>42</v>
      </c>
      <c r="B44" s="16" t="inlineStr">
        <is>
          <t>حجر ديكوري ابيض مطفي 3: 5</t>
        </is>
      </c>
      <c r="C44" s="16" t="inlineStr">
        <is>
          <t>حجر ديكورى ابيض مطفى 3:5سم-10كجم / حجر ديكوري أبيض مطفي 3:5 سم (10 كجم)</t>
        </is>
      </c>
      <c r="D44" s="16" t="inlineStr">
        <is>
          <t>10 / 13</t>
        </is>
      </c>
      <c r="E44" s="27" t="n">
        <v>11</v>
      </c>
      <c r="F44" s="16" t="inlineStr">
        <is>
          <t>معتمد (قرارك)</t>
        </is>
      </c>
      <c r="G44" s="16" t="inlineStr">
        <is>
          <t>عقود أبو خالد + ترحيل تبوك للرياض</t>
        </is>
      </c>
      <c r="H44" s="17" t="n">
        <v>1123</v>
      </c>
      <c r="I44" s="17" t="n">
        <v>13</v>
      </c>
    </row>
    <row r="45">
      <c r="A45" s="17" t="n">
        <v>43</v>
      </c>
      <c r="B45" s="16" t="inlineStr">
        <is>
          <t>حجر ديكوري احمر لامع 1: 3</t>
        </is>
      </c>
      <c r="C45" s="16" t="inlineStr">
        <is>
          <t>احمر لامع / حجر ديكوري أحمر لامع 1:3 سم (10 كجم)</t>
        </is>
      </c>
      <c r="D45" s="16" t="inlineStr">
        <is>
          <t>18 / 25</t>
        </is>
      </c>
      <c r="E45" s="27" t="n">
        <v>18</v>
      </c>
      <c r="F45" s="16" t="inlineStr">
        <is>
          <t>معتمد (قرارك)</t>
        </is>
      </c>
      <c r="G45" s="16" t="inlineStr">
        <is>
          <t>عقود أبو خالد + ترحيل تبوك للرياض</t>
        </is>
      </c>
      <c r="H45" s="17" t="n">
        <v>15</v>
      </c>
      <c r="I45" s="17" t="n">
        <v>25</v>
      </c>
    </row>
    <row r="46">
      <c r="A46" s="17" t="n">
        <v>44</v>
      </c>
      <c r="B46" s="16" t="inlineStr">
        <is>
          <t>حجر ديكوري احمر مطفي</t>
        </is>
      </c>
      <c r="C46" s="16" t="inlineStr">
        <is>
          <t>احمر مطفى</t>
        </is>
      </c>
      <c r="D46" s="16" t="inlineStr">
        <is>
          <t>10</t>
        </is>
      </c>
      <c r="E46" s="27" t="n">
        <v>11</v>
      </c>
      <c r="F46" s="16" t="inlineStr">
        <is>
          <t>معتمد (قرارك)</t>
        </is>
      </c>
      <c r="G46" s="16" t="inlineStr">
        <is>
          <t>ترحيل تبوك للرياض</t>
        </is>
      </c>
      <c r="H46" s="17" t="n">
        <v>70</v>
      </c>
      <c r="I46" s="16" t="inlineStr">
        <is>
          <t>—</t>
        </is>
      </c>
    </row>
    <row r="47">
      <c r="A47" s="17" t="n">
        <v>45</v>
      </c>
      <c r="B47" s="16" t="inlineStr">
        <is>
          <t>حجر ديكوري اسود لامع 1: 3</t>
        </is>
      </c>
      <c r="C47" s="16" t="inlineStr">
        <is>
          <t>اسود لامع / حجر ديكوري أسود لامع 1:3 سم (10 كجم)</t>
        </is>
      </c>
      <c r="D47" s="16" t="inlineStr">
        <is>
          <t>18 / 25</t>
        </is>
      </c>
      <c r="E47" s="27" t="n">
        <v>18</v>
      </c>
      <c r="F47" s="16" t="inlineStr">
        <is>
          <t>معتمد (قرارك)</t>
        </is>
      </c>
      <c r="G47" s="16" t="inlineStr">
        <is>
          <t>عقود أبو خالد + ترحيل تبوك للرياض</t>
        </is>
      </c>
      <c r="H47" s="17" t="n">
        <v>14</v>
      </c>
      <c r="I47" s="17" t="n">
        <v>25</v>
      </c>
    </row>
    <row r="48">
      <c r="A48" s="17" t="n">
        <v>46</v>
      </c>
      <c r="B48" s="16" t="inlineStr">
        <is>
          <t>حجر ديكوري اصفر مطفي 1: 3</t>
        </is>
      </c>
      <c r="C48" s="16" t="inlineStr">
        <is>
          <t>اصفر مطفى / حجر اصفر مطفى / حجر ديكوري أصفر مطفي 1:3 سم (10 كجم)</t>
        </is>
      </c>
      <c r="D48" s="16" t="inlineStr">
        <is>
          <t>10 / 10.5 / 13</t>
        </is>
      </c>
      <c r="E48" s="27" t="n">
        <v>11</v>
      </c>
      <c r="F48" s="16" t="inlineStr">
        <is>
          <t>معتمد (قرارك)</t>
        </is>
      </c>
      <c r="G48" s="16" t="inlineStr">
        <is>
          <t>عقود أبو خالد + مسحوبات تبوك من الرياض + ترحيل تبوك للرياض</t>
        </is>
      </c>
      <c r="H48" s="17" t="n">
        <v>202</v>
      </c>
      <c r="I48" s="17" t="n">
        <v>13</v>
      </c>
    </row>
    <row r="49">
      <c r="A49" s="17" t="n">
        <v>47</v>
      </c>
      <c r="B49" s="16" t="inlineStr">
        <is>
          <t>دورانتا اخضر</t>
        </is>
      </c>
      <c r="C49" s="16" t="inlineStr">
        <is>
          <t>دورانتا أخضر / دورانتا اخضر</t>
        </is>
      </c>
      <c r="D49" s="16" t="inlineStr">
        <is>
          <t>2.5</t>
        </is>
      </c>
      <c r="E49" s="27" t="n">
        <v>3</v>
      </c>
      <c r="F49" s="16" t="inlineStr">
        <is>
          <t>معتمد (قرارك)</t>
        </is>
      </c>
      <c r="G49" s="16" t="inlineStr">
        <is>
          <t>مسحوبات تبوك من الرياض + ترحيل تبوك للرياض</t>
        </is>
      </c>
      <c r="H49" s="17" t="n">
        <v>4000</v>
      </c>
      <c r="I49" s="16" t="inlineStr">
        <is>
          <t>—</t>
        </is>
      </c>
    </row>
    <row r="50">
      <c r="A50" s="17" t="n">
        <v>48</v>
      </c>
      <c r="B50" s="16" t="inlineStr">
        <is>
          <t>رويليا</t>
        </is>
      </c>
      <c r="C50" s="16" t="inlineStr">
        <is>
          <t>رويليا</t>
        </is>
      </c>
      <c r="D50" s="16" t="inlineStr">
        <is>
          <t>2.5</t>
        </is>
      </c>
      <c r="E50" s="27" t="n">
        <v>3</v>
      </c>
      <c r="F50" s="16" t="inlineStr">
        <is>
          <t>معتمد (قرارك)</t>
        </is>
      </c>
      <c r="G50" s="16" t="inlineStr">
        <is>
          <t>مسحوبات تبوك من الرياض + ترحيل تبوك للرياض</t>
        </is>
      </c>
      <c r="H50" s="17" t="n">
        <v>600</v>
      </c>
      <c r="I50" s="16" t="inlineStr">
        <is>
          <t>—</t>
        </is>
      </c>
    </row>
    <row r="51">
      <c r="A51" s="17" t="n">
        <v>49</v>
      </c>
      <c r="B51" s="16" t="inlineStr">
        <is>
          <t>سكندابسس مركن 19 علاقي</t>
        </is>
      </c>
      <c r="C51" s="16" t="inlineStr">
        <is>
          <t>سكندابسس مركن 19 علاقي</t>
        </is>
      </c>
      <c r="D51" s="16" t="inlineStr">
        <is>
          <t>9 / 10</t>
        </is>
      </c>
      <c r="E51" s="27" t="n">
        <v>9.5</v>
      </c>
      <c r="F51" s="16" t="inlineStr">
        <is>
          <t>معتمد (قرارك)</t>
        </is>
      </c>
      <c r="G51" s="16" t="inlineStr">
        <is>
          <t>مسحوبات تبوك من الرياض</t>
        </is>
      </c>
      <c r="H51" s="17" t="n">
        <v>2896</v>
      </c>
      <c r="I51" s="16" t="inlineStr">
        <is>
          <t>—</t>
        </is>
      </c>
    </row>
    <row r="52">
      <c r="A52" s="17" t="n">
        <v>50</v>
      </c>
      <c r="B52" s="16" t="inlineStr">
        <is>
          <t>سيسبانيا 1 - 2 متر</t>
        </is>
      </c>
      <c r="C52" s="16" t="inlineStr">
        <is>
          <t>سيسلبانيا 1 - 2 متر</t>
        </is>
      </c>
      <c r="D52" s="16" t="inlineStr">
        <is>
          <t>25.5</t>
        </is>
      </c>
      <c r="E52" s="27" t="n">
        <v>4.5</v>
      </c>
      <c r="F52" s="16" t="inlineStr">
        <is>
          <t>معتمد (قرارك)</t>
        </is>
      </c>
      <c r="G52" s="16" t="inlineStr">
        <is>
          <t>مسحوبات تبوك من الرياض</t>
        </is>
      </c>
      <c r="H52" s="17" t="n">
        <v>240</v>
      </c>
      <c r="I52" s="16" t="inlineStr">
        <is>
          <t>—</t>
        </is>
      </c>
    </row>
    <row r="53">
      <c r="A53" s="17" t="n">
        <v>51</v>
      </c>
      <c r="B53" s="16" t="inlineStr">
        <is>
          <t>سينيراريا مركن 12</t>
        </is>
      </c>
      <c r="C53" s="16" t="inlineStr">
        <is>
          <t>زهور سينيراريا 12 / زهور سينيراريا مركن12 سم</t>
        </is>
      </c>
      <c r="D53" s="16" t="inlineStr">
        <is>
          <t>2.5 / 5</t>
        </is>
      </c>
      <c r="E53" s="27" t="n">
        <v>2.5</v>
      </c>
      <c r="F53" s="16" t="inlineStr">
        <is>
          <t>معتمد (قرارك)</t>
        </is>
      </c>
      <c r="G53" s="16" t="inlineStr">
        <is>
          <t>عقود أبو خالد + مسحوبات تبوك من الرياض</t>
        </is>
      </c>
      <c r="H53" s="17" t="n">
        <v>348</v>
      </c>
      <c r="I53" s="17" t="n">
        <v>5</v>
      </c>
    </row>
    <row r="54">
      <c r="A54" s="17" t="n">
        <v>52</v>
      </c>
      <c r="B54" s="16" t="inlineStr">
        <is>
          <t>فل بلدي</t>
        </is>
      </c>
      <c r="C54" s="16" t="inlineStr">
        <is>
          <t>فل بلدى / فل بلدي</t>
        </is>
      </c>
      <c r="D54" s="16" t="inlineStr">
        <is>
          <t>2.5</t>
        </is>
      </c>
      <c r="E54" s="27" t="n">
        <v>3</v>
      </c>
      <c r="F54" s="16" t="inlineStr">
        <is>
          <t>معتمد (قرارك)</t>
        </is>
      </c>
      <c r="G54" s="16" t="inlineStr">
        <is>
          <t>مسحوبات تبوك من الرياض + ترحيل تبوك للرياض</t>
        </is>
      </c>
      <c r="H54" s="17" t="n">
        <v>500</v>
      </c>
      <c r="I54" s="16" t="inlineStr">
        <is>
          <t>—</t>
        </is>
      </c>
    </row>
    <row r="55">
      <c r="A55" s="17" t="n">
        <v>53</v>
      </c>
      <c r="B55" s="16" t="inlineStr">
        <is>
          <t>فيكس بندا 50</t>
        </is>
      </c>
      <c r="C55" s="16" t="inlineStr">
        <is>
          <t>فيكس بندا 50 سم</t>
        </is>
      </c>
      <c r="D55" s="16" t="inlineStr">
        <is>
          <t>10</t>
        </is>
      </c>
      <c r="E55" s="27" t="n">
        <v>4</v>
      </c>
      <c r="F55" s="16" t="inlineStr">
        <is>
          <t>معتمد (قرارك)</t>
        </is>
      </c>
      <c r="G55" s="16" t="inlineStr">
        <is>
          <t>مسحوبات تبوك من الرياض</t>
        </is>
      </c>
      <c r="H55" s="17" t="n">
        <v>10</v>
      </c>
      <c r="I55" s="16" t="inlineStr">
        <is>
          <t>—</t>
        </is>
      </c>
    </row>
    <row r="56">
      <c r="A56" s="17" t="n">
        <v>54</v>
      </c>
      <c r="B56" s="16" t="inlineStr">
        <is>
          <t>قرنفل امريكي 12</t>
        </is>
      </c>
      <c r="C56" s="16" t="inlineStr">
        <is>
          <t>زهور قرنفل امريكي 12</t>
        </is>
      </c>
      <c r="D56" s="16" t="inlineStr">
        <is>
          <t>4</t>
        </is>
      </c>
      <c r="E56" s="27" t="n">
        <v>2.5</v>
      </c>
      <c r="F56" s="16" t="inlineStr">
        <is>
          <t>معتمد (قرارك)</t>
        </is>
      </c>
      <c r="G56" s="16" t="inlineStr">
        <is>
          <t>مسحوبات تبوك من الرياض</t>
        </is>
      </c>
      <c r="H56" s="17" t="n">
        <v>90</v>
      </c>
      <c r="I56" s="16" t="inlineStr">
        <is>
          <t>—</t>
        </is>
      </c>
    </row>
    <row r="57">
      <c r="A57" s="17" t="n">
        <v>55</v>
      </c>
      <c r="B57" s="16" t="inlineStr">
        <is>
          <t>قرنفل صيني</t>
        </is>
      </c>
      <c r="C57" s="16" t="inlineStr">
        <is>
          <t>زهور قرنفل صيني / زهور قرنفل صيني مركن9 سم</t>
        </is>
      </c>
      <c r="D57" s="16" t="inlineStr">
        <is>
          <t>0.5</t>
        </is>
      </c>
      <c r="E57" s="27" t="n">
        <v>0.5</v>
      </c>
      <c r="F57" s="16" t="inlineStr">
        <is>
          <t>معتمد (قرارك)</t>
        </is>
      </c>
      <c r="G57" s="16" t="inlineStr">
        <is>
          <t>عقود أبو خالد + مسحوبات تبوك من الرياض</t>
        </is>
      </c>
      <c r="H57" s="17" t="n">
        <v>3550</v>
      </c>
      <c r="I57" s="17" t="n">
        <v>0.5</v>
      </c>
    </row>
    <row r="58">
      <c r="A58" s="17" t="n">
        <v>56</v>
      </c>
      <c r="B58" s="16" t="inlineStr">
        <is>
          <t>كف مريم 1. 5 : 2 م</t>
        </is>
      </c>
      <c r="C58" s="16" t="inlineStr">
        <is>
          <t>كف مريم 1.5 : 2 م</t>
        </is>
      </c>
      <c r="D58" s="16" t="inlineStr">
        <is>
          <t>5.5</t>
        </is>
      </c>
      <c r="E58" s="27" t="n">
        <v>5.5</v>
      </c>
      <c r="F58" s="16" t="inlineStr">
        <is>
          <t>معتمد (قرارك)</t>
        </is>
      </c>
      <c r="G58" s="16" t="inlineStr">
        <is>
          <t>مسحوبات تبوك من الرياض</t>
        </is>
      </c>
      <c r="H58" s="17" t="n">
        <v>6</v>
      </c>
      <c r="I58" s="16" t="inlineStr">
        <is>
          <t>—</t>
        </is>
      </c>
    </row>
    <row r="59">
      <c r="A59" s="17" t="n">
        <v>57</v>
      </c>
      <c r="B59" s="16" t="inlineStr">
        <is>
          <t>كلانشو هولندي مركن 12</t>
        </is>
      </c>
      <c r="C59" s="16" t="inlineStr">
        <is>
          <t>كالنشو هولندى مركن12 سم / كلانشو هولندي مركن 12</t>
        </is>
      </c>
      <c r="D59" s="16" t="inlineStr">
        <is>
          <t>4 / 5</t>
        </is>
      </c>
      <c r="E59" s="27" t="n">
        <v>3</v>
      </c>
      <c r="F59" s="16" t="inlineStr">
        <is>
          <t>معتمد (قرارك)</t>
        </is>
      </c>
      <c r="G59" s="16" t="inlineStr">
        <is>
          <t>عقود أبو خالد + مسحوبات تبوك من الرياض</t>
        </is>
      </c>
      <c r="H59" s="17" t="n">
        <v>2720</v>
      </c>
      <c r="I59" s="17" t="n">
        <v>4</v>
      </c>
    </row>
    <row r="60">
      <c r="A60" s="17" t="n">
        <v>58</v>
      </c>
      <c r="B60" s="16" t="inlineStr">
        <is>
          <t>كمبوست 10 ك</t>
        </is>
      </c>
      <c r="C60" s="16" t="inlineStr">
        <is>
          <t>كمبوست 10 ك</t>
        </is>
      </c>
      <c r="D60" s="16" t="inlineStr">
        <is>
          <t>2</t>
        </is>
      </c>
      <c r="E60" s="27" t="n">
        <v>2</v>
      </c>
      <c r="F60" s="16" t="inlineStr">
        <is>
          <t>معتمد (قرارك)</t>
        </is>
      </c>
      <c r="G60" s="16" t="inlineStr">
        <is>
          <t>مسحوبات تبوك من الرياض</t>
        </is>
      </c>
      <c r="H60" s="17" t="n">
        <v>170</v>
      </c>
      <c r="I60" s="16" t="inlineStr">
        <is>
          <t>—</t>
        </is>
      </c>
    </row>
    <row r="61">
      <c r="A61" s="17" t="n">
        <v>59</v>
      </c>
      <c r="B61" s="16" t="inlineStr">
        <is>
          <t>كيليوس</t>
        </is>
      </c>
      <c r="C61" s="16" t="inlineStr">
        <is>
          <t>زهور كيليوس</t>
        </is>
      </c>
      <c r="D61" s="16" t="inlineStr">
        <is>
          <t>0.55</t>
        </is>
      </c>
      <c r="E61" s="27" t="n">
        <v>0.5</v>
      </c>
      <c r="F61" s="16" t="inlineStr">
        <is>
          <t>معتمد (قرارك)</t>
        </is>
      </c>
      <c r="G61" s="16" t="inlineStr">
        <is>
          <t>عقود أبو خالد</t>
        </is>
      </c>
      <c r="H61" s="17" t="n">
        <v>2200</v>
      </c>
      <c r="I61" s="17" t="n">
        <v>0.55</v>
      </c>
    </row>
    <row r="62">
      <c r="A62" s="17" t="n">
        <v>60</v>
      </c>
      <c r="B62" s="16" t="inlineStr">
        <is>
          <t>لانتانا لبناني صغير</t>
        </is>
      </c>
      <c r="C62" s="16" t="inlineStr">
        <is>
          <t>لانتانا لبناني صغير</t>
        </is>
      </c>
      <c r="D62" s="16" t="inlineStr">
        <is>
          <t>2.5</t>
        </is>
      </c>
      <c r="E62" s="27" t="n">
        <v>3</v>
      </c>
      <c r="F62" s="16" t="inlineStr">
        <is>
          <t>معتمد (قرارك)</t>
        </is>
      </c>
      <c r="G62" s="16" t="inlineStr">
        <is>
          <t>مسحوبات تبوك من الرياض + ترحيل تبوك للرياض</t>
        </is>
      </c>
      <c r="H62" s="17" t="n">
        <v>200</v>
      </c>
      <c r="I62" s="16" t="inlineStr">
        <is>
          <t>—</t>
        </is>
      </c>
    </row>
    <row r="63">
      <c r="A63" s="17" t="n">
        <v>61</v>
      </c>
      <c r="B63" s="16" t="inlineStr">
        <is>
          <t>مركن 16</t>
        </is>
      </c>
      <c r="C63" s="16" t="inlineStr">
        <is>
          <t>مركن 16 سم</t>
        </is>
      </c>
      <c r="D63" s="16" t="inlineStr">
        <is>
          <t>0.5</t>
        </is>
      </c>
      <c r="E63" s="27" t="n">
        <v>0.5</v>
      </c>
      <c r="F63" s="16" t="inlineStr">
        <is>
          <t>معتمد (قرارك)</t>
        </is>
      </c>
      <c r="G63" s="16" t="inlineStr">
        <is>
          <t>مسحوبات تبوك من الرياض</t>
        </is>
      </c>
      <c r="H63" s="17" t="n">
        <v>15000</v>
      </c>
      <c r="I63" s="16" t="inlineStr">
        <is>
          <t>—</t>
        </is>
      </c>
    </row>
    <row r="64">
      <c r="A64" s="17" t="n">
        <v>62</v>
      </c>
      <c r="B64" s="16" t="inlineStr">
        <is>
          <t>ملفوف مركن 9</t>
        </is>
      </c>
      <c r="C64" s="16" t="inlineStr">
        <is>
          <t>زهور ملفوف براسيكا مركن9 سم / زهور ملفوف مركن 9</t>
        </is>
      </c>
      <c r="D64" s="16" t="inlineStr">
        <is>
          <t>0.5</t>
        </is>
      </c>
      <c r="E64" s="27" t="n">
        <v>0.5</v>
      </c>
      <c r="F64" s="16" t="inlineStr">
        <is>
          <t>معتمد (قرارك)</t>
        </is>
      </c>
      <c r="G64" s="16" t="inlineStr">
        <is>
          <t>عقود أبو خالد + مسحوبات تبوك من الرياض</t>
        </is>
      </c>
      <c r="H64" s="17" t="n">
        <v>2862</v>
      </c>
      <c r="I64" s="17" t="n">
        <v>0.5</v>
      </c>
    </row>
    <row r="65">
      <c r="A65" s="17" t="n">
        <v>63</v>
      </c>
      <c r="B65" s="16" t="inlineStr">
        <is>
          <t>منثور مركن 9</t>
        </is>
      </c>
      <c r="C65" s="16" t="inlineStr">
        <is>
          <t>زهور منثور مركن 9</t>
        </is>
      </c>
      <c r="D65" s="16" t="inlineStr">
        <is>
          <t>0.5</t>
        </is>
      </c>
      <c r="E65" s="27" t="n">
        <v>0.5</v>
      </c>
      <c r="F65" s="16" t="inlineStr">
        <is>
          <t>معتمد (قرارك)</t>
        </is>
      </c>
      <c r="G65" s="16" t="inlineStr">
        <is>
          <t>مسحوبات تبوك من الرياض</t>
        </is>
      </c>
      <c r="H65" s="17" t="n">
        <v>462</v>
      </c>
      <c r="I65" s="16" t="inlineStr">
        <is>
          <t>—</t>
        </is>
      </c>
    </row>
    <row r="66">
      <c r="A66" s="17" t="n">
        <v>64</v>
      </c>
      <c r="B66" s="16" t="inlineStr">
        <is>
          <t>نخيل سايكس 30</t>
        </is>
      </c>
      <c r="C66" s="16" t="inlineStr">
        <is>
          <t>نخيل سايكس 30 سم</t>
        </is>
      </c>
      <c r="D66" s="16" t="inlineStr">
        <is>
          <t>262.5</t>
        </is>
      </c>
      <c r="E66" s="27" t="n">
        <v>300</v>
      </c>
      <c r="F66" s="16" t="inlineStr">
        <is>
          <t>معتمد (قرارك)</t>
        </is>
      </c>
      <c r="G66" s="16" t="inlineStr">
        <is>
          <t>مسحوبات تبوك من الرياض</t>
        </is>
      </c>
      <c r="H66" s="17" t="n">
        <v>4</v>
      </c>
      <c r="I66" s="16" t="inlineStr">
        <is>
          <t>—</t>
        </is>
      </c>
    </row>
    <row r="67">
      <c r="A67" s="17" t="n">
        <v>65</v>
      </c>
      <c r="B67" s="16" t="inlineStr">
        <is>
          <t>نخيل سايكس 40</t>
        </is>
      </c>
      <c r="C67" s="16" t="inlineStr">
        <is>
          <t>نخيل سايكس 40 سم</t>
        </is>
      </c>
      <c r="D67" s="16" t="inlineStr">
        <is>
          <t>400</t>
        </is>
      </c>
      <c r="E67" s="27" t="n">
        <v>350</v>
      </c>
      <c r="F67" s="16" t="inlineStr">
        <is>
          <t>معتمد (قرارك)</t>
        </is>
      </c>
      <c r="G67" s="16" t="inlineStr">
        <is>
          <t>مسحوبات تبوك من الرياض</t>
        </is>
      </c>
      <c r="H67" s="17" t="n">
        <v>3</v>
      </c>
      <c r="I67" s="16" t="inlineStr">
        <is>
          <t>—</t>
        </is>
      </c>
    </row>
    <row r="68">
      <c r="A68" s="17" t="n">
        <v>66</v>
      </c>
      <c r="B68" s="16" t="inlineStr">
        <is>
          <t>هيدرا علاقي مركن 19</t>
        </is>
      </c>
      <c r="C68" s="16" t="inlineStr">
        <is>
          <t>هيدرا علاقي مركن 19</t>
        </is>
      </c>
      <c r="D68" s="16" t="inlineStr">
        <is>
          <t>10</t>
        </is>
      </c>
      <c r="E68" s="27" t="n">
        <v>7</v>
      </c>
      <c r="F68" s="16" t="inlineStr">
        <is>
          <t>معتمد (قرارك)</t>
        </is>
      </c>
      <c r="G68" s="16" t="inlineStr">
        <is>
          <t>مسحوبات تبوك من الرياض</t>
        </is>
      </c>
      <c r="H68" s="17" t="n">
        <v>288</v>
      </c>
      <c r="I68" s="16" t="inlineStr">
        <is>
          <t>—</t>
        </is>
      </c>
    </row>
    <row r="69">
      <c r="A69" s="17" t="n">
        <v>67</v>
      </c>
      <c r="B69" s="16" t="inlineStr">
        <is>
          <t>وايتكس 50</t>
        </is>
      </c>
      <c r="C69" s="16" t="inlineStr">
        <is>
          <t>وايتكس 50 سم</t>
        </is>
      </c>
      <c r="D69" s="16" t="inlineStr">
        <is>
          <t>2.5</t>
        </is>
      </c>
      <c r="E69" s="27" t="n">
        <v>3</v>
      </c>
      <c r="F69" s="16" t="inlineStr">
        <is>
          <t>معتمد (قرارك)</t>
        </is>
      </c>
      <c r="G69" s="16" t="inlineStr">
        <is>
          <t>ترحيل تبوك للرياض</t>
        </is>
      </c>
      <c r="H69" s="17" t="n">
        <v>400</v>
      </c>
      <c r="I69" s="16" t="inlineStr">
        <is>
          <t>—</t>
        </is>
      </c>
    </row>
    <row r="70">
      <c r="A70" s="17" t="n">
        <v>68</v>
      </c>
      <c r="B70" s="16" t="inlineStr">
        <is>
          <t>ياسمين ازرق</t>
        </is>
      </c>
      <c r="C70" s="16" t="inlineStr">
        <is>
          <t>ياسمين أزرق / ياسمين ازرق  50 سم</t>
        </is>
      </c>
      <c r="D70" s="16" t="inlineStr">
        <is>
          <t>2.5</t>
        </is>
      </c>
      <c r="E70" s="27" t="n">
        <v>3</v>
      </c>
      <c r="F70" s="16" t="inlineStr">
        <is>
          <t>معتمد (قرارك)</t>
        </is>
      </c>
      <c r="G70" s="16" t="inlineStr">
        <is>
          <t>مسحوبات تبوك من الرياض + ترحيل تبوك للرياض</t>
        </is>
      </c>
      <c r="H70" s="17" t="n">
        <v>730</v>
      </c>
      <c r="I70" s="16" t="inlineStr">
        <is>
          <t>—</t>
        </is>
      </c>
    </row>
    <row r="71">
      <c r="A71" s="17" t="n">
        <v>69</v>
      </c>
      <c r="B71" s="16" t="inlineStr">
        <is>
          <t>ياسمين هندي كبير</t>
        </is>
      </c>
      <c r="C71" s="16" t="inlineStr">
        <is>
          <t>ياسمين هندي كبير</t>
        </is>
      </c>
      <c r="D71" s="16" t="inlineStr">
        <is>
          <t>32.5</t>
        </is>
      </c>
      <c r="E71" s="27" t="n">
        <v>30</v>
      </c>
      <c r="F71" s="16" t="inlineStr">
        <is>
          <t>معتمد (قرارك)</t>
        </is>
      </c>
      <c r="G71" s="16" t="inlineStr">
        <is>
          <t>مسحوبات تبوك من الرياض</t>
        </is>
      </c>
      <c r="H71" s="17" t="n">
        <v>20</v>
      </c>
      <c r="I71" s="16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160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الفاتورة</t>
        </is>
      </c>
      <c r="E2" s="22" t="inlineStr">
        <is>
          <t>الصنف</t>
        </is>
      </c>
      <c r="F2" s="22" t="inlineStr">
        <is>
          <t>الكمية</t>
        </is>
      </c>
      <c r="G2" s="22" t="inlineStr">
        <is>
          <t>السعر المسجل</t>
        </is>
      </c>
      <c r="H2" s="22" t="inlineStr">
        <is>
          <t>الإجمالي المسجل</t>
        </is>
      </c>
      <c r="I2" s="22" t="inlineStr">
        <is>
          <t>السعر الموحد</t>
        </is>
      </c>
      <c r="J2" s="22" t="inlineStr">
        <is>
          <t>الإجمالي الموحد</t>
        </is>
      </c>
      <c r="K2" s="22" t="inlineStr">
        <is>
          <t>الفرق (المسجل − الموحد)</t>
        </is>
      </c>
      <c r="L2" s="22" t="inlineStr">
        <is>
          <t>ملاحظة</t>
        </is>
      </c>
    </row>
    <row r="3">
      <c r="A3" s="17" t="n">
        <v>1</v>
      </c>
      <c r="B3" s="161" t="n">
        <v>45957</v>
      </c>
      <c r="C3" s="16" t="inlineStr">
        <is>
          <t>WHK-2656</t>
        </is>
      </c>
      <c r="D3" s="16" t="inlineStr">
        <is>
          <t>RN-INV#26</t>
        </is>
      </c>
      <c r="E3" s="16" t="inlineStr">
        <is>
          <t>زهور بيتونيا</t>
        </is>
      </c>
      <c r="F3" s="17" t="n">
        <v>1200</v>
      </c>
      <c r="G3" s="17" t="n">
        <v>0.75</v>
      </c>
      <c r="H3" s="17">
        <f>IF(G3="","",F3*G3)</f>
        <v/>
      </c>
      <c r="I3" s="17">
        <f>IFERROR(IF(VLOOKUP("بيتونيا",'قائمة الأسعار الموحدة'!$B$3:$E$71,4,FALSE)="",G3,VLOOKUP("بيتونيا",'قائمة الأسعار الموحدة'!$B$3:$E$71,4,FALSE)),G3)</f>
        <v/>
      </c>
      <c r="J3" s="17">
        <f>IF(I3="","",F3*I3)</f>
        <v/>
      </c>
      <c r="K3" s="17">
        <f>IF(OR(H3="",J3=""),"",H3-J3)</f>
        <v/>
      </c>
      <c r="L3" s="16" t="inlineStr">
        <is>
          <t>قبل 1-11-2025 – ضمن تسوية 62,937 – فرق السعر يُرد لأبو خالد</t>
        </is>
      </c>
    </row>
    <row r="4">
      <c r="A4" s="17" t="n">
        <v>2</v>
      </c>
      <c r="B4" s="161" t="n">
        <v>45963</v>
      </c>
      <c r="C4" s="16" t="inlineStr">
        <is>
          <t>WHK-2712</t>
        </is>
      </c>
      <c r="D4" s="16" t="inlineStr">
        <is>
          <t>RN-INV#31</t>
        </is>
      </c>
      <c r="E4" s="16" t="inlineStr">
        <is>
          <t>زهور بيتونيا</t>
        </is>
      </c>
      <c r="F4" s="17" t="n">
        <v>1500</v>
      </c>
      <c r="G4" s="17" t="n">
        <v>0.75</v>
      </c>
      <c r="H4" s="17">
        <f>IF(G4="","",F4*G4)</f>
        <v/>
      </c>
      <c r="I4" s="17">
        <f>IFERROR(IF(VLOOKUP("بيتونيا",'قائمة الأسعار الموحدة'!$B$3:$E$71,4,FALSE)="",G4,VLOOKUP("بيتونيا",'قائمة الأسعار الموحدة'!$B$3:$E$71,4,FALSE)),G4)</f>
        <v/>
      </c>
      <c r="J4" s="17">
        <f>IF(I4="","",F4*I4)</f>
        <v/>
      </c>
      <c r="K4" s="17">
        <f>IF(OR(H4="",J4=""),"",H4-J4)</f>
        <v/>
      </c>
      <c r="L4" s="16" t="inlineStr"/>
    </row>
    <row r="5">
      <c r="A5" s="17" t="n">
        <v>3</v>
      </c>
      <c r="B5" s="161" t="n">
        <v>45966</v>
      </c>
      <c r="C5" s="16" t="inlineStr">
        <is>
          <t>WHK-2776</t>
        </is>
      </c>
      <c r="D5" s="16" t="inlineStr">
        <is>
          <t>RN-INV#35</t>
        </is>
      </c>
      <c r="E5" s="16" t="inlineStr">
        <is>
          <t>زهور بيتونيا</t>
        </is>
      </c>
      <c r="F5" s="17" t="n">
        <v>1075</v>
      </c>
      <c r="G5" s="17" t="n">
        <v>0.7</v>
      </c>
      <c r="H5" s="17">
        <f>IF(G5="","",F5*G5)</f>
        <v/>
      </c>
      <c r="I5" s="17">
        <f>IFERROR(IF(VLOOKUP("بيتونيا",'قائمة الأسعار الموحدة'!$B$3:$E$71,4,FALSE)="",G5,VLOOKUP("بيتونيا",'قائمة الأسعار الموحدة'!$B$3:$E$71,4,FALSE)),G5)</f>
        <v/>
      </c>
      <c r="J5" s="17">
        <f>IF(I5="","",F5*I5)</f>
        <v/>
      </c>
      <c r="K5" s="17">
        <f>IF(OR(H5="",J5=""),"",H5-J5)</f>
        <v/>
      </c>
      <c r="L5" s="16" t="inlineStr"/>
    </row>
    <row r="6">
      <c r="A6" s="17" t="n">
        <v>4</v>
      </c>
      <c r="B6" s="161" t="n">
        <v>45967</v>
      </c>
      <c r="C6" s="16" t="inlineStr">
        <is>
          <t>WHK-2787</t>
        </is>
      </c>
      <c r="D6" s="16" t="inlineStr">
        <is>
          <t>RN-INV#37</t>
        </is>
      </c>
      <c r="E6" s="16" t="inlineStr">
        <is>
          <t>زهور بيتونيا</t>
        </is>
      </c>
      <c r="F6" s="17" t="n">
        <v>450</v>
      </c>
      <c r="G6" s="17" t="n">
        <v>0.75</v>
      </c>
      <c r="H6" s="17">
        <f>IF(G6="","",F6*G6)</f>
        <v/>
      </c>
      <c r="I6" s="17">
        <f>IFERROR(IF(VLOOKUP("بيتونيا",'قائمة الأسعار الموحدة'!$B$3:$E$71,4,FALSE)="",G6,VLOOKUP("بيتونيا",'قائمة الأسعار الموحدة'!$B$3:$E$71,4,FALSE)),G6)</f>
        <v/>
      </c>
      <c r="J6" s="17">
        <f>IF(I6="","",F6*I6)</f>
        <v/>
      </c>
      <c r="K6" s="17">
        <f>IF(OR(H6="",J6=""),"",H6-J6)</f>
        <v/>
      </c>
      <c r="L6" s="16" t="inlineStr"/>
    </row>
    <row r="7">
      <c r="A7" s="17" t="n">
        <v>5</v>
      </c>
      <c r="B7" s="161" t="n">
        <v>45969</v>
      </c>
      <c r="C7" s="16" t="inlineStr">
        <is>
          <t>WHK-2804</t>
        </is>
      </c>
      <c r="D7" s="16" t="inlineStr">
        <is>
          <t>RN-INV#39</t>
        </is>
      </c>
      <c r="E7" s="16" t="inlineStr">
        <is>
          <t>زهور سالفيا مركن9 سم</t>
        </is>
      </c>
      <c r="F7" s="17" t="n">
        <v>2725</v>
      </c>
      <c r="G7" s="17" t="n">
        <v>0.75</v>
      </c>
      <c r="H7" s="17">
        <f>IF(G7="","",F7*G7)</f>
        <v/>
      </c>
      <c r="I7" s="17">
        <f>IFERROR(IF(VLOOKUP("سالفيا مركن 9",'قائمة الأسعار الموحدة'!$B$3:$E$71,4,FALSE)="",G7,VLOOKUP("سالفيا مركن 9",'قائمة الأسعار الموحدة'!$B$3:$E$71,4,FALSE)),G7)</f>
        <v/>
      </c>
      <c r="J7" s="17">
        <f>IF(I7="","",F7*I7)</f>
        <v/>
      </c>
      <c r="K7" s="17">
        <f>IF(OR(H7="",J7=""),"",H7-J7)</f>
        <v/>
      </c>
      <c r="L7" s="16" t="inlineStr"/>
    </row>
    <row r="8">
      <c r="A8" s="17" t="n">
        <v>6</v>
      </c>
      <c r="B8" s="161" t="n">
        <v>45969</v>
      </c>
      <c r="C8" s="16" t="inlineStr">
        <is>
          <t>WHK-2804</t>
        </is>
      </c>
      <c r="D8" s="16" t="inlineStr">
        <is>
          <t>RN-INV#39</t>
        </is>
      </c>
      <c r="E8" s="16" t="inlineStr">
        <is>
          <t>زهور بيتونيا</t>
        </is>
      </c>
      <c r="F8" s="17" t="n">
        <v>825</v>
      </c>
      <c r="G8" s="17" t="n">
        <v>0.75</v>
      </c>
      <c r="H8" s="17">
        <f>IF(G8="","",F8*G8)</f>
        <v/>
      </c>
      <c r="I8" s="17">
        <f>IFERROR(IF(VLOOKUP("بيتونيا",'قائمة الأسعار الموحدة'!$B$3:$E$71,4,FALSE)="",G8,VLOOKUP("بيتونيا",'قائمة الأسعار الموحدة'!$B$3:$E$71,4,FALSE)),G8)</f>
        <v/>
      </c>
      <c r="J8" s="17">
        <f>IF(I8="","",F8*I8)</f>
        <v/>
      </c>
      <c r="K8" s="17">
        <f>IF(OR(H8="",J8=""),"",H8-J8)</f>
        <v/>
      </c>
      <c r="L8" s="16" t="inlineStr"/>
    </row>
    <row r="9">
      <c r="A9" s="17" t="n">
        <v>7</v>
      </c>
      <c r="B9" s="161" t="n">
        <v>45969</v>
      </c>
      <c r="C9" s="16" t="inlineStr">
        <is>
          <t>WHK-2804</t>
        </is>
      </c>
      <c r="D9" s="16" t="inlineStr">
        <is>
          <t>RN-INV#39</t>
        </is>
      </c>
      <c r="E9" s="16" t="inlineStr">
        <is>
          <t>زهور اقحوان افريقى مركن12 سم</t>
        </is>
      </c>
      <c r="F9" s="17" t="n">
        <v>3750</v>
      </c>
      <c r="G9" s="17" t="n">
        <v>3.25</v>
      </c>
      <c r="H9" s="17">
        <f>IF(G9="","",F9*G9)</f>
        <v/>
      </c>
      <c r="I9" s="19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17">
        <f>IF(I9="","",F9*I9)</f>
        <v/>
      </c>
      <c r="K9" s="17">
        <f>IF(OR(H9="",J9=""),"",H9-J9)</f>
        <v/>
      </c>
      <c r="L9" s="16" t="inlineStr"/>
    </row>
    <row r="10">
      <c r="A10" s="17" t="n">
        <v>8</v>
      </c>
      <c r="B10" s="161" t="n">
        <v>45971</v>
      </c>
      <c r="C10" s="16" t="inlineStr">
        <is>
          <t>WHK-2835</t>
        </is>
      </c>
      <c r="D10" s="16" t="inlineStr">
        <is>
          <t>RN-INV#43</t>
        </is>
      </c>
      <c r="E10" s="16" t="inlineStr">
        <is>
          <t>زهور بيتونيا</t>
        </is>
      </c>
      <c r="F10" s="17" t="n">
        <v>3250</v>
      </c>
      <c r="G10" s="17" t="n">
        <v>0.75</v>
      </c>
      <c r="H10" s="17">
        <f>IF(G10="","",F10*G10)</f>
        <v/>
      </c>
      <c r="I10" s="17">
        <f>IFERROR(IF(VLOOKUP("بيتونيا",'قائمة الأسعار الموحدة'!$B$3:$E$71,4,FALSE)="",G10,VLOOKUP("بيتونيا",'قائمة الأسعار الموحدة'!$B$3:$E$71,4,FALSE)),G10)</f>
        <v/>
      </c>
      <c r="J10" s="17">
        <f>IF(I10="","",F10*I10)</f>
        <v/>
      </c>
      <c r="K10" s="17">
        <f>IF(OR(H10="",J10=""),"",H10-J10)</f>
        <v/>
      </c>
      <c r="L10" s="16" t="inlineStr"/>
    </row>
    <row r="11">
      <c r="A11" s="17" t="n">
        <v>9</v>
      </c>
      <c r="B11" s="161" t="n">
        <v>45971</v>
      </c>
      <c r="C11" s="16" t="inlineStr">
        <is>
          <t>WHK-2835</t>
        </is>
      </c>
      <c r="D11" s="16" t="inlineStr">
        <is>
          <t>RN-INV#43</t>
        </is>
      </c>
      <c r="E11" s="16" t="inlineStr">
        <is>
          <t>زهور جرانيوم مركن9 سم</t>
        </is>
      </c>
      <c r="F11" s="17" t="n">
        <v>900</v>
      </c>
      <c r="G11" s="17" t="n">
        <v>1.4</v>
      </c>
      <c r="H11" s="17">
        <f>IF(G11="","",F11*G11)</f>
        <v/>
      </c>
      <c r="I11" s="19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17">
        <f>IF(I11="","",F11*I11)</f>
        <v/>
      </c>
      <c r="K11" s="17">
        <f>IF(OR(H11="",J11=""),"",H11-J11)</f>
        <v/>
      </c>
      <c r="L11" s="16" t="inlineStr"/>
    </row>
    <row r="12">
      <c r="A12" s="17" t="n">
        <v>10</v>
      </c>
      <c r="B12" s="161" t="n">
        <v>45971</v>
      </c>
      <c r="C12" s="16" t="inlineStr">
        <is>
          <t>WHK-2835</t>
        </is>
      </c>
      <c r="D12" s="16" t="inlineStr">
        <is>
          <t>RN-INV#43</t>
        </is>
      </c>
      <c r="E12" s="16" t="inlineStr">
        <is>
          <t>زهور جيرانيوم مركن12 سم</t>
        </is>
      </c>
      <c r="F12" s="17" t="n">
        <v>500</v>
      </c>
      <c r="G12" s="17" t="n">
        <v>3</v>
      </c>
      <c r="H12" s="17">
        <f>IF(G12="","",F12*G12)</f>
        <v/>
      </c>
      <c r="I12" s="19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17">
        <f>IF(I12="","",F12*I12)</f>
        <v/>
      </c>
      <c r="K12" s="17">
        <f>IF(OR(H12="",J12=""),"",H12-J12)</f>
        <v/>
      </c>
      <c r="L12" s="16" t="inlineStr"/>
    </row>
    <row r="13">
      <c r="A13" s="17" t="n">
        <v>11</v>
      </c>
      <c r="B13" s="161" t="n">
        <v>45971</v>
      </c>
      <c r="C13" s="16" t="inlineStr">
        <is>
          <t>WHK-2835</t>
        </is>
      </c>
      <c r="D13" s="16" t="inlineStr">
        <is>
          <t>RN-INV#43</t>
        </is>
      </c>
      <c r="E13" s="16" t="inlineStr">
        <is>
          <t>زهور جيرانيوم هولندى مركن12 سم</t>
        </is>
      </c>
      <c r="F13" s="17" t="n">
        <v>500</v>
      </c>
      <c r="G13" s="17" t="n">
        <v>3.75</v>
      </c>
      <c r="H13" s="17">
        <f>IF(G13="","",F13*G13)</f>
        <v/>
      </c>
      <c r="I13" s="19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17">
        <f>IF(I13="","",F13*I13)</f>
        <v/>
      </c>
      <c r="K13" s="17">
        <f>IF(OR(H13="",J13=""),"",H13-J13)</f>
        <v/>
      </c>
      <c r="L13" s="16" t="inlineStr"/>
    </row>
    <row r="14">
      <c r="A14" s="17" t="n">
        <v>12</v>
      </c>
      <c r="B14" s="161" t="n">
        <v>45971</v>
      </c>
      <c r="C14" s="16" t="inlineStr">
        <is>
          <t>WHK-2835</t>
        </is>
      </c>
      <c r="D14" s="16" t="inlineStr">
        <is>
          <t>RN-INV#43</t>
        </is>
      </c>
      <c r="E14" s="16" t="inlineStr">
        <is>
          <t>زهور هيبوستس مركن9 سم</t>
        </is>
      </c>
      <c r="F14" s="17" t="n">
        <v>500</v>
      </c>
      <c r="G14" s="17" t="n">
        <v>0.7</v>
      </c>
      <c r="H14" s="17">
        <f>IF(G14="","",F14*G14)</f>
        <v/>
      </c>
      <c r="I14" s="17">
        <f>IFERROR(IF(VLOOKUP("هيبوستس",'قائمة الأسعار الموحدة'!$B$3:$E$71,4,FALSE)="",G14,VLOOKUP("هيبوستس",'قائمة الأسعار الموحدة'!$B$3:$E$71,4,FALSE)),G14)</f>
        <v/>
      </c>
      <c r="J14" s="17">
        <f>IF(I14="","",F14*I14)</f>
        <v/>
      </c>
      <c r="K14" s="17">
        <f>IF(OR(H14="",J14=""),"",H14-J14)</f>
        <v/>
      </c>
      <c r="L14" s="16" t="inlineStr"/>
    </row>
    <row r="15">
      <c r="A15" s="17" t="n">
        <v>13</v>
      </c>
      <c r="B15" s="161" t="n">
        <v>45971</v>
      </c>
      <c r="C15" s="16" t="inlineStr">
        <is>
          <t>WHK-2835</t>
        </is>
      </c>
      <c r="D15" s="16" t="inlineStr">
        <is>
          <t>RN-INV#43</t>
        </is>
      </c>
      <c r="E15" s="16" t="inlineStr">
        <is>
          <t>زهور اقحوان افريقى مركن12 سم</t>
        </is>
      </c>
      <c r="F15" s="17" t="n">
        <v>500</v>
      </c>
      <c r="G15" s="17" t="n">
        <v>3.25</v>
      </c>
      <c r="H15" s="17">
        <f>IF(G15="","",F15*G15)</f>
        <v/>
      </c>
      <c r="I15" s="19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17">
        <f>IF(I15="","",F15*I15)</f>
        <v/>
      </c>
      <c r="K15" s="17">
        <f>IF(OR(H15="",J15=""),"",H15-J15)</f>
        <v/>
      </c>
      <c r="L15" s="16" t="inlineStr"/>
    </row>
    <row r="16">
      <c r="A16" s="17" t="n">
        <v>14</v>
      </c>
      <c r="B16" s="161" t="n">
        <v>45972</v>
      </c>
      <c r="C16" s="16" t="inlineStr">
        <is>
          <t>WHK-2853</t>
        </is>
      </c>
      <c r="D16" s="16" t="inlineStr">
        <is>
          <t>RN-INV#46</t>
        </is>
      </c>
      <c r="E16" s="16" t="inlineStr">
        <is>
          <t>زهور بيتونيا</t>
        </is>
      </c>
      <c r="F16" s="17" t="n">
        <v>10000</v>
      </c>
      <c r="G16" s="17" t="n">
        <v>0.75</v>
      </c>
      <c r="H16" s="17">
        <f>IF(G16="","",F16*G16)</f>
        <v/>
      </c>
      <c r="I16" s="17">
        <f>IFERROR(IF(VLOOKUP("بيتونيا",'قائمة الأسعار الموحدة'!$B$3:$E$71,4,FALSE)="",G16,VLOOKUP("بيتونيا",'قائمة الأسعار الموحدة'!$B$3:$E$71,4,FALSE)),G16)</f>
        <v/>
      </c>
      <c r="J16" s="17">
        <f>IF(I16="","",F16*I16)</f>
        <v/>
      </c>
      <c r="K16" s="17">
        <f>IF(OR(H16="",J16=""),"",H16-J16)</f>
        <v/>
      </c>
      <c r="L16" s="16" t="inlineStr"/>
    </row>
    <row r="17">
      <c r="A17" s="17" t="n">
        <v>15</v>
      </c>
      <c r="B17" s="161" t="n">
        <v>45973</v>
      </c>
      <c r="C17" s="16" t="inlineStr">
        <is>
          <t>WHK-2868</t>
        </is>
      </c>
      <c r="D17" s="16" t="inlineStr">
        <is>
          <t>RN-INV#47</t>
        </is>
      </c>
      <c r="E17" s="16" t="inlineStr">
        <is>
          <t>زهور بيتونيا</t>
        </is>
      </c>
      <c r="F17" s="17" t="n">
        <v>2000</v>
      </c>
      <c r="G17" s="17" t="n">
        <v>0.75</v>
      </c>
      <c r="H17" s="17">
        <f>IF(G17="","",F17*G17)</f>
        <v/>
      </c>
      <c r="I17" s="17">
        <f>IFERROR(IF(VLOOKUP("بيتونيا",'قائمة الأسعار الموحدة'!$B$3:$E$71,4,FALSE)="",G17,VLOOKUP("بيتونيا",'قائمة الأسعار الموحدة'!$B$3:$E$71,4,FALSE)),G17)</f>
        <v/>
      </c>
      <c r="J17" s="17">
        <f>IF(I17="","",F17*I17)</f>
        <v/>
      </c>
      <c r="K17" s="17">
        <f>IF(OR(H17="",J17=""),"",H17-J17)</f>
        <v/>
      </c>
      <c r="L17" s="16" t="inlineStr"/>
    </row>
    <row r="18">
      <c r="A18" s="17" t="n">
        <v>16</v>
      </c>
      <c r="B18" s="161" t="n">
        <v>45974</v>
      </c>
      <c r="C18" s="16" t="inlineStr">
        <is>
          <t>WHK-2881</t>
        </is>
      </c>
      <c r="D18" s="16" t="inlineStr">
        <is>
          <t>RN-INV#49</t>
        </is>
      </c>
      <c r="E18" s="16" t="inlineStr">
        <is>
          <t>زهور جيرانيوم هولندى مركن12 سم</t>
        </is>
      </c>
      <c r="F18" s="17" t="n">
        <v>510</v>
      </c>
      <c r="G18" s="17" t="n">
        <v>3.45</v>
      </c>
      <c r="H18" s="17">
        <f>IF(G18="","",F18*G18)</f>
        <v/>
      </c>
      <c r="I18" s="19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17">
        <f>IF(I18="","",F18*I18)</f>
        <v/>
      </c>
      <c r="K18" s="17">
        <f>IF(OR(H18="",J18=""),"",H18-J18)</f>
        <v/>
      </c>
      <c r="L18" s="16" t="inlineStr"/>
    </row>
    <row r="19">
      <c r="A19" s="17" t="n">
        <v>17</v>
      </c>
      <c r="B19" s="161" t="n">
        <v>45978</v>
      </c>
      <c r="C19" s="16" t="inlineStr">
        <is>
          <t>WHK-2912</t>
        </is>
      </c>
      <c r="D19" s="16" t="inlineStr">
        <is>
          <t>RN-INV#52</t>
        </is>
      </c>
      <c r="E19" s="16" t="inlineStr">
        <is>
          <t>زهور بيتونيا</t>
        </is>
      </c>
      <c r="F19" s="17" t="n">
        <v>2600</v>
      </c>
      <c r="G19" s="17" t="n">
        <v>0.75</v>
      </c>
      <c r="H19" s="17">
        <f>IF(G19="","",F19*G19)</f>
        <v/>
      </c>
      <c r="I19" s="17">
        <f>IFERROR(IF(VLOOKUP("بيتونيا",'قائمة الأسعار الموحدة'!$B$3:$E$71,4,FALSE)="",G19,VLOOKUP("بيتونيا",'قائمة الأسعار الموحدة'!$B$3:$E$71,4,FALSE)),G19)</f>
        <v/>
      </c>
      <c r="J19" s="17">
        <f>IF(I19="","",F19*I19)</f>
        <v/>
      </c>
      <c r="K19" s="17">
        <f>IF(OR(H19="",J19=""),"",H19-J19)</f>
        <v/>
      </c>
      <c r="L19" s="16" t="inlineStr"/>
    </row>
    <row r="20">
      <c r="A20" s="17" t="n">
        <v>18</v>
      </c>
      <c r="B20" s="161" t="n">
        <v>45978</v>
      </c>
      <c r="C20" s="16" t="inlineStr">
        <is>
          <t>WHK-2912</t>
        </is>
      </c>
      <c r="D20" s="16" t="inlineStr">
        <is>
          <t>RN-INV#52</t>
        </is>
      </c>
      <c r="E20" s="16" t="inlineStr">
        <is>
          <t>زهور جرانيوم مركن9 سم</t>
        </is>
      </c>
      <c r="F20" s="17" t="n">
        <v>500</v>
      </c>
      <c r="G20" s="17" t="n">
        <v>1.4</v>
      </c>
      <c r="H20" s="17">
        <f>IF(G20="","",F20*G20)</f>
        <v/>
      </c>
      <c r="I20" s="19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17">
        <f>IF(I20="","",F20*I20)</f>
        <v/>
      </c>
      <c r="K20" s="17">
        <f>IF(OR(H20="",J20=""),"",H20-J20)</f>
        <v/>
      </c>
      <c r="L20" s="16" t="inlineStr"/>
    </row>
    <row r="21">
      <c r="A21" s="17" t="n">
        <v>19</v>
      </c>
      <c r="B21" s="161" t="n">
        <v>45981</v>
      </c>
      <c r="C21" s="16" t="inlineStr">
        <is>
          <t>WHK-2948</t>
        </is>
      </c>
      <c r="D21" s="16" t="inlineStr">
        <is>
          <t>RN-INV#55</t>
        </is>
      </c>
      <c r="E21" s="16" t="inlineStr">
        <is>
          <t>زهور بيتونيا</t>
        </is>
      </c>
      <c r="F21" s="17" t="n">
        <v>1300</v>
      </c>
      <c r="G21" s="17" t="n">
        <v>0.75</v>
      </c>
      <c r="H21" s="17">
        <f>IF(G21="","",F21*G21)</f>
        <v/>
      </c>
      <c r="I21" s="17">
        <f>IFERROR(IF(VLOOKUP("بيتونيا",'قائمة الأسعار الموحدة'!$B$3:$E$71,4,FALSE)="",G21,VLOOKUP("بيتونيا",'قائمة الأسعار الموحدة'!$B$3:$E$71,4,FALSE)),G21)</f>
        <v/>
      </c>
      <c r="J21" s="17">
        <f>IF(I21="","",F21*I21)</f>
        <v/>
      </c>
      <c r="K21" s="17">
        <f>IF(OR(H21="",J21=""),"",H21-J21)</f>
        <v/>
      </c>
      <c r="L21" s="16" t="inlineStr"/>
    </row>
    <row r="22">
      <c r="A22" s="17" t="n">
        <v>20</v>
      </c>
      <c r="B22" s="161" t="n">
        <v>45981</v>
      </c>
      <c r="C22" s="16" t="inlineStr">
        <is>
          <t>WHK-2948</t>
        </is>
      </c>
      <c r="D22" s="16" t="inlineStr">
        <is>
          <t>RN-INV#55</t>
        </is>
      </c>
      <c r="E22" s="16" t="inlineStr">
        <is>
          <t>زهور جرانيوم مركن9 سم</t>
        </is>
      </c>
      <c r="F22" s="17" t="n">
        <v>400</v>
      </c>
      <c r="G22" s="17" t="n">
        <v>1.4</v>
      </c>
      <c r="H22" s="17">
        <f>IF(G22="","",F22*G22)</f>
        <v/>
      </c>
      <c r="I22" s="19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17">
        <f>IF(I22="","",F22*I22)</f>
        <v/>
      </c>
      <c r="K22" s="17">
        <f>IF(OR(H22="",J22=""),"",H22-J22)</f>
        <v/>
      </c>
      <c r="L22" s="16" t="inlineStr"/>
    </row>
    <row r="23">
      <c r="A23" s="17" t="n">
        <v>21</v>
      </c>
      <c r="B23" s="161" t="n">
        <v>45984</v>
      </c>
      <c r="C23" s="16" t="inlineStr">
        <is>
          <t>WHK-2971</t>
        </is>
      </c>
      <c r="D23" s="16" t="inlineStr">
        <is>
          <t>RN-INV#61</t>
        </is>
      </c>
      <c r="E23" s="16" t="inlineStr">
        <is>
          <t>زهور بيتونيا</t>
        </is>
      </c>
      <c r="F23" s="17" t="n">
        <v>8700</v>
      </c>
      <c r="G23" s="17" t="n">
        <v>0.7</v>
      </c>
      <c r="H23" s="17">
        <f>IF(G23="","",F23*G23)</f>
        <v/>
      </c>
      <c r="I23" s="17">
        <f>IFERROR(IF(VLOOKUP("بيتونيا",'قائمة الأسعار الموحدة'!$B$3:$E$71,4,FALSE)="",G23,VLOOKUP("بيتونيا",'قائمة الأسعار الموحدة'!$B$3:$E$71,4,FALSE)),G23)</f>
        <v/>
      </c>
      <c r="J23" s="17">
        <f>IF(I23="","",F23*I23)</f>
        <v/>
      </c>
      <c r="K23" s="17">
        <f>IF(OR(H23="",J23=""),"",H23-J23)</f>
        <v/>
      </c>
      <c r="L23" s="16" t="inlineStr"/>
    </row>
    <row r="24">
      <c r="A24" s="17" t="n">
        <v>22</v>
      </c>
      <c r="B24" s="161" t="n">
        <v>45985</v>
      </c>
      <c r="C24" s="16" t="inlineStr">
        <is>
          <t>WHK-2995</t>
        </is>
      </c>
      <c r="D24" s="16" t="inlineStr">
        <is>
          <t>RN-INV#64</t>
        </is>
      </c>
      <c r="E24" s="16" t="inlineStr">
        <is>
          <t>زهور بيتونيا</t>
        </is>
      </c>
      <c r="F24" s="17" t="n">
        <v>6000</v>
      </c>
      <c r="G24" s="17" t="n">
        <v>0.7</v>
      </c>
      <c r="H24" s="17">
        <f>IF(G24="","",F24*G24)</f>
        <v/>
      </c>
      <c r="I24" s="17">
        <f>IFERROR(IF(VLOOKUP("بيتونيا",'قائمة الأسعار الموحدة'!$B$3:$E$71,4,FALSE)="",G24,VLOOKUP("بيتونيا",'قائمة الأسعار الموحدة'!$B$3:$E$71,4,FALSE)),G24)</f>
        <v/>
      </c>
      <c r="J24" s="17">
        <f>IF(I24="","",F24*I24)</f>
        <v/>
      </c>
      <c r="K24" s="17">
        <f>IF(OR(H24="",J24=""),"",H24-J24)</f>
        <v/>
      </c>
      <c r="L24" s="16" t="inlineStr"/>
    </row>
    <row r="25">
      <c r="A25" s="17" t="n">
        <v>23</v>
      </c>
      <c r="B25" s="161" t="n">
        <v>45988</v>
      </c>
      <c r="C25" s="16" t="inlineStr">
        <is>
          <t>WHK-3029</t>
        </is>
      </c>
      <c r="D25" s="16" t="inlineStr">
        <is>
          <t>RN-INV#68</t>
        </is>
      </c>
      <c r="E25" s="16" t="inlineStr">
        <is>
          <t>زهور مارى جولد</t>
        </is>
      </c>
      <c r="F25" s="17" t="n">
        <v>225</v>
      </c>
      <c r="G25" s="17" t="n">
        <v>0.7</v>
      </c>
      <c r="H25" s="17">
        <f>IF(G25="","",F25*G25)</f>
        <v/>
      </c>
      <c r="I25" s="17">
        <f>IFERROR(IF(VLOOKUP("ماري جولد",'قائمة الأسعار الموحدة'!$B$3:$E$71,4,FALSE)="",G25,VLOOKUP("ماري جولد",'قائمة الأسعار الموحدة'!$B$3:$E$71,4,FALSE)),G25)</f>
        <v/>
      </c>
      <c r="J25" s="17">
        <f>IF(I25="","",F25*I25)</f>
        <v/>
      </c>
      <c r="K25" s="17">
        <f>IF(OR(H25="",J25=""),"",H25-J25)</f>
        <v/>
      </c>
      <c r="L25" s="16" t="inlineStr"/>
    </row>
    <row r="26">
      <c r="A26" s="17" t="n">
        <v>24</v>
      </c>
      <c r="B26" s="161" t="n">
        <v>45996</v>
      </c>
      <c r="C26" s="16" t="inlineStr">
        <is>
          <t>WHK-3135</t>
        </is>
      </c>
      <c r="D26" s="16" t="inlineStr">
        <is>
          <t>RN-INV#78</t>
        </is>
      </c>
      <c r="E26" s="16" t="inlineStr">
        <is>
          <t>زهور بيتونيا</t>
        </is>
      </c>
      <c r="F26" s="17" t="n">
        <v>2400</v>
      </c>
      <c r="G26" s="17" t="n">
        <v>0.7</v>
      </c>
      <c r="H26" s="17">
        <f>IF(G26="","",F26*G26)</f>
        <v/>
      </c>
      <c r="I26" s="17">
        <f>IFERROR(IF(VLOOKUP("بيتونيا",'قائمة الأسعار الموحدة'!$B$3:$E$71,4,FALSE)="",G26,VLOOKUP("بيتونيا",'قائمة الأسعار الموحدة'!$B$3:$E$71,4,FALSE)),G26)</f>
        <v/>
      </c>
      <c r="J26" s="17">
        <f>IF(I26="","",F26*I26)</f>
        <v/>
      </c>
      <c r="K26" s="17">
        <f>IF(OR(H26="",J26=""),"",H26-J26)</f>
        <v/>
      </c>
      <c r="L26" s="16" t="inlineStr"/>
    </row>
    <row r="27">
      <c r="A27" s="17" t="n">
        <v>25</v>
      </c>
      <c r="B27" s="161" t="n">
        <v>46006</v>
      </c>
      <c r="C27" s="16" t="inlineStr">
        <is>
          <t>WHK-3243</t>
        </is>
      </c>
      <c r="D27" s="16" t="inlineStr">
        <is>
          <t>RN-INV#89</t>
        </is>
      </c>
      <c r="E27" s="16" t="inlineStr">
        <is>
          <t>زهور جرانيوم مركن9 سم</t>
        </is>
      </c>
      <c r="F27" s="17" t="n">
        <v>1500</v>
      </c>
      <c r="G27" s="17" t="n">
        <v>1.25</v>
      </c>
      <c r="H27" s="17">
        <f>IF(G27="","",F27*G27)</f>
        <v/>
      </c>
      <c r="I27" s="19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17">
        <f>IF(I27="","",F27*I27)</f>
        <v/>
      </c>
      <c r="K27" s="17">
        <f>IF(OR(H27="",J27=""),"",H27-J27)</f>
        <v/>
      </c>
      <c r="L27" s="16" t="inlineStr"/>
    </row>
    <row r="28">
      <c r="A28" s="17" t="n">
        <v>26</v>
      </c>
      <c r="B28" s="161" t="n">
        <v>46021</v>
      </c>
      <c r="C28" s="16" t="inlineStr">
        <is>
          <t>WHK-3400</t>
        </is>
      </c>
      <c r="D28" s="16" t="inlineStr">
        <is>
          <t>RN-INV#103</t>
        </is>
      </c>
      <c r="E28" s="16" t="inlineStr">
        <is>
          <t>حجر ديكوري أبيض لامع 1:3 سم (10 كجم)</t>
        </is>
      </c>
      <c r="F28" s="17" t="n">
        <v>5</v>
      </c>
      <c r="G28" s="17" t="n">
        <v>25</v>
      </c>
      <c r="H28" s="17">
        <f>IF(G28="","",F28*G28)</f>
        <v/>
      </c>
      <c r="I28" s="19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17">
        <f>IF(I28="","",F28*I28)</f>
        <v/>
      </c>
      <c r="K28" s="17">
        <f>IF(OR(H28="",J28=""),"",H28-J28)</f>
        <v/>
      </c>
      <c r="L28" s="16" t="inlineStr"/>
    </row>
    <row r="29">
      <c r="A29" s="17" t="n">
        <v>27</v>
      </c>
      <c r="B29" s="161" t="n">
        <v>46021</v>
      </c>
      <c r="C29" s="16" t="inlineStr">
        <is>
          <t>WHK-3400</t>
        </is>
      </c>
      <c r="D29" s="16" t="inlineStr">
        <is>
          <t>RN-INV#103</t>
        </is>
      </c>
      <c r="E29" s="16" t="inlineStr">
        <is>
          <t>حجر ديكوري أحمر لامع 1:3 سم (10 كجم)</t>
        </is>
      </c>
      <c r="F29" s="17" t="n">
        <v>5</v>
      </c>
      <c r="G29" s="17" t="n">
        <v>25</v>
      </c>
      <c r="H29" s="17">
        <f>IF(G29="","",F29*G29)</f>
        <v/>
      </c>
      <c r="I29" s="19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17">
        <f>IF(I29="","",F29*I29)</f>
        <v/>
      </c>
      <c r="K29" s="17">
        <f>IF(OR(H29="",J29=""),"",H29-J29)</f>
        <v/>
      </c>
      <c r="L29" s="16" t="inlineStr"/>
    </row>
    <row r="30">
      <c r="A30" s="17" t="n">
        <v>28</v>
      </c>
      <c r="B30" s="161" t="n">
        <v>46021</v>
      </c>
      <c r="C30" s="16" t="inlineStr">
        <is>
          <t>WHK-3400</t>
        </is>
      </c>
      <c r="D30" s="16" t="inlineStr">
        <is>
          <t>RN-INV#103</t>
        </is>
      </c>
      <c r="E30" s="16" t="inlineStr">
        <is>
          <t>حجر ديكوري أبيض مطفي 3:5 سم (10 كجم)</t>
        </is>
      </c>
      <c r="F30" s="17" t="n">
        <v>5</v>
      </c>
      <c r="G30" s="17" t="n">
        <v>13</v>
      </c>
      <c r="H30" s="17">
        <f>IF(G30="","",F30*G30)</f>
        <v/>
      </c>
      <c r="I30" s="19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17">
        <f>IF(I30="","",F30*I30)</f>
        <v/>
      </c>
      <c r="K30" s="17">
        <f>IF(OR(H30="",J30=""),"",H30-J30)</f>
        <v/>
      </c>
      <c r="L30" s="16" t="inlineStr"/>
    </row>
    <row r="31">
      <c r="A31" s="17" t="n">
        <v>29</v>
      </c>
      <c r="B31" s="161" t="n">
        <v>46021</v>
      </c>
      <c r="C31" s="16" t="inlineStr">
        <is>
          <t>WHK-3400</t>
        </is>
      </c>
      <c r="D31" s="16" t="inlineStr">
        <is>
          <t>RN-INV#103</t>
        </is>
      </c>
      <c r="E31" s="16" t="inlineStr">
        <is>
          <t>حجر ديكوري أسود لامع 1:3 سم (10 كجم)</t>
        </is>
      </c>
      <c r="F31" s="17" t="n">
        <v>5</v>
      </c>
      <c r="G31" s="17" t="n">
        <v>25</v>
      </c>
      <c r="H31" s="17">
        <f>IF(G31="","",F31*G31)</f>
        <v/>
      </c>
      <c r="I31" s="19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17">
        <f>IF(I31="","",F31*I31)</f>
        <v/>
      </c>
      <c r="K31" s="17">
        <f>IF(OR(H31="",J31=""),"",H31-J31)</f>
        <v/>
      </c>
      <c r="L31" s="16" t="inlineStr"/>
    </row>
    <row r="32">
      <c r="A32" s="17" t="n">
        <v>30</v>
      </c>
      <c r="B32" s="161" t="n">
        <v>46021</v>
      </c>
      <c r="C32" s="16" t="inlineStr">
        <is>
          <t>WHK-3400</t>
        </is>
      </c>
      <c r="D32" s="16" t="inlineStr">
        <is>
          <t>RN-INV#103</t>
        </is>
      </c>
      <c r="E32" s="16" t="inlineStr">
        <is>
          <t>حجر ديكوري أصفر مطفي 1:3 سم (10 كجم)</t>
        </is>
      </c>
      <c r="F32" s="17" t="n">
        <v>5</v>
      </c>
      <c r="G32" s="17" t="n">
        <v>13</v>
      </c>
      <c r="H32" s="17">
        <f>IF(G32="","",F32*G32)</f>
        <v/>
      </c>
      <c r="I32" s="19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17">
        <f>IF(I32="","",F32*I32)</f>
        <v/>
      </c>
      <c r="K32" s="17">
        <f>IF(OR(H32="",J32=""),"",H32-J32)</f>
        <v/>
      </c>
      <c r="L32" s="16" t="inlineStr"/>
    </row>
    <row r="33">
      <c r="A33" s="17" t="n">
        <v>31</v>
      </c>
      <c r="B33" s="161" t="n">
        <v>46058</v>
      </c>
      <c r="C33" s="16" t="inlineStr">
        <is>
          <t>WHK-3758</t>
        </is>
      </c>
      <c r="D33" s="16" t="inlineStr">
        <is>
          <t>RN-INV#140</t>
        </is>
      </c>
      <c r="E33" s="16" t="inlineStr">
        <is>
          <t>زهور بيتونيا</t>
        </is>
      </c>
      <c r="F33" s="17" t="n">
        <v>35600</v>
      </c>
      <c r="G33" s="17" t="n">
        <v>0.5</v>
      </c>
      <c r="H33" s="17">
        <f>IF(G33="","",F33*G33)</f>
        <v/>
      </c>
      <c r="I33" s="17">
        <f>IFERROR(IF(VLOOKUP("بيتونيا",'قائمة الأسعار الموحدة'!$B$3:$E$71,4,FALSE)="",G33,VLOOKUP("بيتونيا",'قائمة الأسعار الموحدة'!$B$3:$E$71,4,FALSE)),G33)</f>
        <v/>
      </c>
      <c r="J33" s="17">
        <f>IF(I33="","",F33*I33)</f>
        <v/>
      </c>
      <c r="K33" s="17">
        <f>IF(OR(H33="",J33=""),"",H33-J33)</f>
        <v/>
      </c>
      <c r="L33" s="16" t="inlineStr"/>
    </row>
    <row r="34">
      <c r="A34" s="17" t="n">
        <v>32</v>
      </c>
      <c r="B34" s="161" t="n">
        <v>46058</v>
      </c>
      <c r="C34" s="16" t="inlineStr">
        <is>
          <t>WHK-3758</t>
        </is>
      </c>
      <c r="D34" s="16" t="inlineStr">
        <is>
          <t>RN-INV#140</t>
        </is>
      </c>
      <c r="E34" s="16" t="inlineStr">
        <is>
          <t>زهور سالفيا مركن9 سم</t>
        </is>
      </c>
      <c r="F34" s="17" t="n">
        <v>3000</v>
      </c>
      <c r="G34" s="17" t="n">
        <v>0.5</v>
      </c>
      <c r="H34" s="17">
        <f>IF(G34="","",F34*G34)</f>
        <v/>
      </c>
      <c r="I34" s="17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17">
        <f>IF(I34="","",F34*I34)</f>
        <v/>
      </c>
      <c r="K34" s="17">
        <f>IF(OR(H34="",J34=""),"",H34-J34)</f>
        <v/>
      </c>
      <c r="L34" s="16" t="inlineStr"/>
    </row>
    <row r="35">
      <c r="A35" s="17" t="n">
        <v>33</v>
      </c>
      <c r="B35" s="161" t="n">
        <v>46058</v>
      </c>
      <c r="C35" s="16" t="inlineStr">
        <is>
          <t>WHK-3758</t>
        </is>
      </c>
      <c r="D35" s="16" t="inlineStr">
        <is>
          <t>RN-INV#140</t>
        </is>
      </c>
      <c r="E35" s="16" t="inlineStr">
        <is>
          <t>زهور قرنفل صيني مركن9 سم</t>
        </is>
      </c>
      <c r="F35" s="17" t="n">
        <v>2000</v>
      </c>
      <c r="G35" s="17" t="n">
        <v>0.5</v>
      </c>
      <c r="H35" s="17">
        <f>IF(G35="","",F35*G35)</f>
        <v/>
      </c>
      <c r="I35" s="19">
        <f>IFERROR(IF(VLOOKUP("قرنفل صيني",'قائمة الأسعار الموحدة'!$B$3:$E$71,4,FALSE)="",G35,VLOOKUP("قرنفل صيني",'قائمة الأسعار الموحدة'!$B$3:$E$71,4,FALSE)),G35)</f>
        <v/>
      </c>
      <c r="J35" s="17">
        <f>IF(I35="","",F35*I35)</f>
        <v/>
      </c>
      <c r="K35" s="17">
        <f>IF(OR(H35="",J35=""),"",H35-J35)</f>
        <v/>
      </c>
      <c r="L35" s="16" t="inlineStr"/>
    </row>
    <row r="36">
      <c r="A36" s="17" t="n">
        <v>34</v>
      </c>
      <c r="B36" s="161" t="n">
        <v>46058</v>
      </c>
      <c r="C36" s="16" t="inlineStr">
        <is>
          <t>WHK-3760</t>
        </is>
      </c>
      <c r="D36" s="16" t="inlineStr">
        <is>
          <t>RN-INV#141</t>
        </is>
      </c>
      <c r="E36" s="16" t="inlineStr">
        <is>
          <t>زهور بيتونيا</t>
        </is>
      </c>
      <c r="F36" s="17" t="n">
        <v>55450</v>
      </c>
      <c r="G36" s="17" t="n">
        <v>0.5</v>
      </c>
      <c r="H36" s="17">
        <f>IF(G36="","",F36*G36)</f>
        <v/>
      </c>
      <c r="I36" s="17">
        <f>IFERROR(IF(VLOOKUP("بيتونيا",'قائمة الأسعار الموحدة'!$B$3:$E$71,4,FALSE)="",G36,VLOOKUP("بيتونيا",'قائمة الأسعار الموحدة'!$B$3:$E$71,4,FALSE)),G36)</f>
        <v/>
      </c>
      <c r="J36" s="17">
        <f>IF(I36="","",F36*I36)</f>
        <v/>
      </c>
      <c r="K36" s="17">
        <f>IF(OR(H36="",J36=""),"",H36-J36)</f>
        <v/>
      </c>
      <c r="L36" s="16" t="inlineStr"/>
    </row>
    <row r="37">
      <c r="A37" s="17" t="n">
        <v>35</v>
      </c>
      <c r="B37" s="161" t="n">
        <v>46058</v>
      </c>
      <c r="C37" s="16" t="inlineStr">
        <is>
          <t>WHK-3760</t>
        </is>
      </c>
      <c r="D37" s="16" t="inlineStr">
        <is>
          <t>RN-INV#141</t>
        </is>
      </c>
      <c r="E37" s="16" t="inlineStr">
        <is>
          <t>زهور سالفيا مركن9 سم</t>
        </is>
      </c>
      <c r="F37" s="17" t="n">
        <v>300</v>
      </c>
      <c r="G37" s="17" t="n">
        <v>0.5</v>
      </c>
      <c r="H37" s="17">
        <f>IF(G37="","",F37*G37)</f>
        <v/>
      </c>
      <c r="I37" s="17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17">
        <f>IF(I37="","",F37*I37)</f>
        <v/>
      </c>
      <c r="K37" s="17">
        <f>IF(OR(H37="",J37=""),"",H37-J37)</f>
        <v/>
      </c>
      <c r="L37" s="16" t="inlineStr"/>
    </row>
    <row r="38">
      <c r="A38" s="17" t="n">
        <v>36</v>
      </c>
      <c r="B38" s="161" t="n">
        <v>46058</v>
      </c>
      <c r="C38" s="16" t="inlineStr">
        <is>
          <t>WHK-3760</t>
        </is>
      </c>
      <c r="D38" s="16" t="inlineStr">
        <is>
          <t>RN-INV#141</t>
        </is>
      </c>
      <c r="E38" s="16" t="inlineStr">
        <is>
          <t>زهور اليسوم مركن9 سم</t>
        </is>
      </c>
      <c r="F38" s="17" t="n">
        <v>200</v>
      </c>
      <c r="G38" s="17" t="n">
        <v>0.5</v>
      </c>
      <c r="H38" s="17">
        <f>IF(G38="","",F38*G38)</f>
        <v/>
      </c>
      <c r="I38" s="19">
        <f>IFERROR(IF(VLOOKUP("اليسوم",'قائمة الأسعار الموحدة'!$B$3:$E$71,4,FALSE)="",G38,VLOOKUP("اليسوم",'قائمة الأسعار الموحدة'!$B$3:$E$71,4,FALSE)),G38)</f>
        <v/>
      </c>
      <c r="J38" s="17">
        <f>IF(I38="","",F38*I38)</f>
        <v/>
      </c>
      <c r="K38" s="17">
        <f>IF(OR(H38="",J38=""),"",H38-J38)</f>
        <v/>
      </c>
      <c r="L38" s="16" t="inlineStr"/>
    </row>
    <row r="39">
      <c r="A39" s="17" t="n">
        <v>37</v>
      </c>
      <c r="B39" s="161" t="n">
        <v>46058</v>
      </c>
      <c r="C39" s="16" t="inlineStr">
        <is>
          <t>WHK-3760</t>
        </is>
      </c>
      <c r="D39" s="16" t="inlineStr">
        <is>
          <t>RN-INV#141</t>
        </is>
      </c>
      <c r="E39" s="16" t="inlineStr">
        <is>
          <t>زهور قرنفل صيني مركن9 سم</t>
        </is>
      </c>
      <c r="F39" s="17" t="n">
        <v>300</v>
      </c>
      <c r="G39" s="17" t="n">
        <v>0.5</v>
      </c>
      <c r="H39" s="17">
        <f>IF(G39="","",F39*G39)</f>
        <v/>
      </c>
      <c r="I39" s="19">
        <f>IFERROR(IF(VLOOKUP("قرنفل صيني",'قائمة الأسعار الموحدة'!$B$3:$E$71,4,FALSE)="",G39,VLOOKUP("قرنفل صيني",'قائمة الأسعار الموحدة'!$B$3:$E$71,4,FALSE)),G39)</f>
        <v/>
      </c>
      <c r="J39" s="17">
        <f>IF(I39="","",F39*I39)</f>
        <v/>
      </c>
      <c r="K39" s="17">
        <f>IF(OR(H39="",J39=""),"",H39-J39)</f>
        <v/>
      </c>
      <c r="L39" s="16" t="inlineStr"/>
    </row>
    <row r="40">
      <c r="A40" s="17" t="n">
        <v>38</v>
      </c>
      <c r="B40" s="161" t="n">
        <v>46058</v>
      </c>
      <c r="C40" s="16" t="inlineStr">
        <is>
          <t>WHK-3760</t>
        </is>
      </c>
      <c r="D40" s="16" t="inlineStr">
        <is>
          <t>RN-INV#141</t>
        </is>
      </c>
      <c r="E40" s="16" t="inlineStr">
        <is>
          <t>زهور ملفوف براسيكا مركن9 سم</t>
        </is>
      </c>
      <c r="F40" s="17" t="n">
        <v>50</v>
      </c>
      <c r="G40" s="17" t="n">
        <v>0.5</v>
      </c>
      <c r="H40" s="17">
        <f>IF(G40="","",F40*G40)</f>
        <v/>
      </c>
      <c r="I40" s="19">
        <f>IFERROR(IF(VLOOKUP("ملفوف مركن 9",'قائمة الأسعار الموحدة'!$B$3:$E$71,4,FALSE)="",G40,VLOOKUP("ملفوف مركن 9",'قائمة الأسعار الموحدة'!$B$3:$E$71,4,FALSE)),G40)</f>
        <v/>
      </c>
      <c r="J40" s="17">
        <f>IF(I40="","",F40*I40)</f>
        <v/>
      </c>
      <c r="K40" s="17">
        <f>IF(OR(H40="",J40=""),"",H40-J40)</f>
        <v/>
      </c>
      <c r="L40" s="16" t="inlineStr"/>
    </row>
    <row r="41">
      <c r="A41" s="17" t="n">
        <v>39</v>
      </c>
      <c r="B41" s="161" t="n">
        <v>46058</v>
      </c>
      <c r="C41" s="16" t="inlineStr">
        <is>
          <t>WHK-3760</t>
        </is>
      </c>
      <c r="D41" s="16" t="inlineStr">
        <is>
          <t>RN-INV#141</t>
        </is>
      </c>
      <c r="E41" s="16" t="inlineStr">
        <is>
          <t>زهور سينيراريا مركن12 سم</t>
        </is>
      </c>
      <c r="F41" s="17" t="n">
        <v>300</v>
      </c>
      <c r="G41" s="17" t="n">
        <v>5</v>
      </c>
      <c r="H41" s="17">
        <f>IF(G41="","",F41*G41)</f>
        <v/>
      </c>
      <c r="I41" s="19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17">
        <f>IF(I41="","",F41*I41)</f>
        <v/>
      </c>
      <c r="K41" s="17">
        <f>IF(OR(H41="",J41=""),"",H41-J41)</f>
        <v/>
      </c>
      <c r="L41" s="16" t="inlineStr"/>
    </row>
    <row r="42">
      <c r="A42" s="17" t="n">
        <v>40</v>
      </c>
      <c r="B42" s="161" t="n">
        <v>46058</v>
      </c>
      <c r="C42" s="16" t="inlineStr">
        <is>
          <t>WHK-3760</t>
        </is>
      </c>
      <c r="D42" s="16" t="inlineStr">
        <is>
          <t>RN-INV#141</t>
        </is>
      </c>
      <c r="E42" s="16" t="inlineStr">
        <is>
          <t>زهور اقحوان افريقي مركن9 سم</t>
        </is>
      </c>
      <c r="F42" s="17" t="n">
        <v>100</v>
      </c>
      <c r="G42" s="17" t="n">
        <v>2</v>
      </c>
      <c r="H42" s="17">
        <f>IF(G42="","",F42*G42)</f>
        <v/>
      </c>
      <c r="I42" s="19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17">
        <f>IF(I42="","",F42*I42)</f>
        <v/>
      </c>
      <c r="K42" s="17">
        <f>IF(OR(H42="",J42=""),"",H42-J42)</f>
        <v/>
      </c>
      <c r="L42" s="16" t="inlineStr"/>
    </row>
    <row r="43">
      <c r="A43" s="17" t="n">
        <v>41</v>
      </c>
      <c r="B43" s="161" t="n">
        <v>46058</v>
      </c>
      <c r="C43" s="16" t="inlineStr">
        <is>
          <t>WHK-3760</t>
        </is>
      </c>
      <c r="D43" s="16" t="inlineStr">
        <is>
          <t>RN-INV#141</t>
        </is>
      </c>
      <c r="E43" s="16" t="inlineStr">
        <is>
          <t>كالنشو هولندى مركن12 سم</t>
        </is>
      </c>
      <c r="F43" s="17" t="n">
        <v>200</v>
      </c>
      <c r="G43" s="17" t="n">
        <v>5</v>
      </c>
      <c r="H43" s="17">
        <f>IF(G43="","",F43*G43)</f>
        <v/>
      </c>
      <c r="I43" s="19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17">
        <f>IF(I43="","",F43*I43)</f>
        <v/>
      </c>
      <c r="K43" s="17">
        <f>IF(OR(H43="",J43=""),"",H43-J43)</f>
        <v/>
      </c>
      <c r="L43" s="16" t="inlineStr"/>
    </row>
    <row r="44">
      <c r="A44" s="17" t="n">
        <v>42</v>
      </c>
      <c r="B44" s="161" t="n">
        <v>46064</v>
      </c>
      <c r="C44" s="16" t="inlineStr">
        <is>
          <t>WHK-3809</t>
        </is>
      </c>
      <c r="D44" s="16" t="inlineStr">
        <is>
          <t>RN-INV#149</t>
        </is>
      </c>
      <c r="E44" s="16" t="inlineStr">
        <is>
          <t>زهور جرانيوم مركن9 سم</t>
        </is>
      </c>
      <c r="F44" s="17" t="n">
        <v>2500</v>
      </c>
      <c r="G44" s="17" t="n">
        <v>1.25</v>
      </c>
      <c r="H44" s="17">
        <f>IF(G44="","",F44*G44)</f>
        <v/>
      </c>
      <c r="I44" s="19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17">
        <f>IF(I44="","",F44*I44)</f>
        <v/>
      </c>
      <c r="K44" s="17">
        <f>IF(OR(H44="",J44=""),"",H44-J44)</f>
        <v/>
      </c>
      <c r="L44" s="16" t="inlineStr"/>
    </row>
    <row r="45">
      <c r="A45" s="17" t="n">
        <v>43</v>
      </c>
      <c r="B45" s="161" t="n">
        <v>46072</v>
      </c>
      <c r="C45" s="16" t="inlineStr">
        <is>
          <t>WHK-3878</t>
        </is>
      </c>
      <c r="D45" s="16" t="inlineStr">
        <is>
          <t>RN-INV#160</t>
        </is>
      </c>
      <c r="E45" s="16" t="inlineStr">
        <is>
          <t>زهور بيتونيا</t>
        </is>
      </c>
      <c r="F45" s="17" t="n">
        <v>4025</v>
      </c>
      <c r="G45" s="17" t="n">
        <v>0.5</v>
      </c>
      <c r="H45" s="17">
        <f>IF(G45="","",F45*G45)</f>
        <v/>
      </c>
      <c r="I45" s="17">
        <f>IFERROR(IF(VLOOKUP("بيتونيا",'قائمة الأسعار الموحدة'!$B$3:$E$71,4,FALSE)="",G45,VLOOKUP("بيتونيا",'قائمة الأسعار الموحدة'!$B$3:$E$71,4,FALSE)),G45)</f>
        <v/>
      </c>
      <c r="J45" s="17">
        <f>IF(I45="","",F45*I45)</f>
        <v/>
      </c>
      <c r="K45" s="17">
        <f>IF(OR(H45="",J45=""),"",H45-J45)</f>
        <v/>
      </c>
      <c r="L45" s="16" t="inlineStr"/>
    </row>
    <row r="46">
      <c r="A46" s="17" t="n">
        <v>44</v>
      </c>
      <c r="B46" s="161" t="n">
        <v>46084</v>
      </c>
      <c r="C46" s="16" t="inlineStr">
        <is>
          <t>WHK-3923</t>
        </is>
      </c>
      <c r="D46" s="16" t="inlineStr">
        <is>
          <t>RN-INV#166</t>
        </is>
      </c>
      <c r="E46" s="16" t="inlineStr">
        <is>
          <t>زهور اقحوان افريقي مركن9 سم</t>
        </is>
      </c>
      <c r="F46" s="17" t="n">
        <v>2075</v>
      </c>
      <c r="G46" s="17" t="n">
        <v>1.5</v>
      </c>
      <c r="H46" s="17">
        <f>IF(G46="","",F46*G46)</f>
        <v/>
      </c>
      <c r="I46" s="19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17">
        <f>IF(I46="","",F46*I46)</f>
        <v/>
      </c>
      <c r="K46" s="17">
        <f>IF(OR(H46="",J46=""),"",H46-J46)</f>
        <v/>
      </c>
      <c r="L46" s="16" t="inlineStr"/>
    </row>
    <row r="47">
      <c r="A47" s="17" t="n">
        <v>45</v>
      </c>
      <c r="B47" s="161" t="n">
        <v>46084</v>
      </c>
      <c r="C47" s="16" t="inlineStr">
        <is>
          <t>WHK-3923</t>
        </is>
      </c>
      <c r="D47" s="16" t="inlineStr">
        <is>
          <t>RN-INV#166</t>
        </is>
      </c>
      <c r="E47" s="16" t="inlineStr">
        <is>
          <t>زهور جرانيوم مركن9 سم</t>
        </is>
      </c>
      <c r="F47" s="17" t="n">
        <v>3000</v>
      </c>
      <c r="G47" s="17" t="n">
        <v>1.25</v>
      </c>
      <c r="H47" s="17">
        <f>IF(G47="","",F47*G47)</f>
        <v/>
      </c>
      <c r="I47" s="19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17">
        <f>IF(I47="","",F47*I47)</f>
        <v/>
      </c>
      <c r="K47" s="17">
        <f>IF(OR(H47="",J47=""),"",H47-J47)</f>
        <v/>
      </c>
      <c r="L47" s="16" t="inlineStr"/>
    </row>
    <row r="48">
      <c r="A48" s="17" t="n">
        <v>46</v>
      </c>
      <c r="B48" s="161" t="n">
        <v>46085</v>
      </c>
      <c r="C48" s="16" t="inlineStr">
        <is>
          <t>WHK-3963</t>
        </is>
      </c>
      <c r="D48" s="16" t="inlineStr">
        <is>
          <t>RN-INV#174</t>
        </is>
      </c>
      <c r="E48" s="16" t="inlineStr">
        <is>
          <t>زهور اقحوان افريقي مركن9 سم</t>
        </is>
      </c>
      <c r="F48" s="17" t="n">
        <v>1000</v>
      </c>
      <c r="G48" s="17" t="n">
        <v>1.5</v>
      </c>
      <c r="H48" s="17">
        <f>IF(G48="","",F48*G48)</f>
        <v/>
      </c>
      <c r="I48" s="19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17">
        <f>IF(I48="","",F48*I48)</f>
        <v/>
      </c>
      <c r="K48" s="17">
        <f>IF(OR(H48="",J48=""),"",H48-J48)</f>
        <v/>
      </c>
      <c r="L48" s="16" t="inlineStr"/>
    </row>
    <row r="49">
      <c r="A49" s="17" t="n">
        <v>47</v>
      </c>
      <c r="B49" s="161" t="n">
        <v>46085</v>
      </c>
      <c r="C49" s="16" t="inlineStr">
        <is>
          <t>WHK-3963</t>
        </is>
      </c>
      <c r="D49" s="16" t="inlineStr">
        <is>
          <t>RN-INV#174</t>
        </is>
      </c>
      <c r="E49" s="16" t="inlineStr">
        <is>
          <t>كالنشو هولندى مركن12 سم</t>
        </is>
      </c>
      <c r="F49" s="17" t="n">
        <v>300</v>
      </c>
      <c r="G49" s="17" t="n">
        <v>4</v>
      </c>
      <c r="H49" s="17">
        <f>IF(G49="","",F49*G49)</f>
        <v/>
      </c>
      <c r="I49" s="19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17">
        <f>IF(I49="","",F49*I49)</f>
        <v/>
      </c>
      <c r="K49" s="17">
        <f>IF(OR(H49="",J49=""),"",H49-J49)</f>
        <v/>
      </c>
      <c r="L49" s="16" t="inlineStr"/>
    </row>
    <row r="50">
      <c r="A50" s="17" t="n">
        <v>48</v>
      </c>
      <c r="B50" s="161" t="n">
        <v>46145</v>
      </c>
      <c r="C50" s="16" t="inlineStr">
        <is>
          <t>WHK-4256</t>
        </is>
      </c>
      <c r="D50" s="16" t="inlineStr">
        <is>
          <t>RN-INV#227</t>
        </is>
      </c>
      <c r="E50" s="16" t="inlineStr">
        <is>
          <t>زهور زينيا</t>
        </is>
      </c>
      <c r="F50" s="17" t="n">
        <v>25625</v>
      </c>
      <c r="G50" s="17" t="n">
        <v>0.5</v>
      </c>
      <c r="H50" s="17">
        <f>IF(G50="","",F50*G50)</f>
        <v/>
      </c>
      <c r="I50" s="17">
        <f>IFERROR(IF(VLOOKUP("زينيا",'قائمة الأسعار الموحدة'!$B$3:$E$71,4,FALSE)="",G50,VLOOKUP("زينيا",'قائمة الأسعار الموحدة'!$B$3:$E$71,4,FALSE)),G50)</f>
        <v/>
      </c>
      <c r="J50" s="17">
        <f>IF(I50="","",F50*I50)</f>
        <v/>
      </c>
      <c r="K50" s="17">
        <f>IF(OR(H50="",J50=""),"",H50-J50)</f>
        <v/>
      </c>
      <c r="L50" s="16" t="inlineStr"/>
    </row>
    <row r="51">
      <c r="A51" s="17" t="n">
        <v>49</v>
      </c>
      <c r="B51" s="161" t="n">
        <v>46145</v>
      </c>
      <c r="C51" s="16" t="inlineStr">
        <is>
          <t>WHK-4256</t>
        </is>
      </c>
      <c r="D51" s="16" t="inlineStr">
        <is>
          <t>RN-INV#227</t>
        </is>
      </c>
      <c r="E51" s="16" t="inlineStr">
        <is>
          <t>زهور سيلوزيا</t>
        </is>
      </c>
      <c r="F51" s="17" t="n">
        <v>3000</v>
      </c>
      <c r="G51" s="17" t="n">
        <v>0.5</v>
      </c>
      <c r="H51" s="17">
        <f>IF(G51="","",F51*G51)</f>
        <v/>
      </c>
      <c r="I51" s="17">
        <f>IFERROR(IF(VLOOKUP("سيلوزيا",'قائمة الأسعار الموحدة'!$B$3:$E$71,4,FALSE)="",G51,VLOOKUP("سيلوزيا",'قائمة الأسعار الموحدة'!$B$3:$E$71,4,FALSE)),G51)</f>
        <v/>
      </c>
      <c r="J51" s="17">
        <f>IF(I51="","",F51*I51)</f>
        <v/>
      </c>
      <c r="K51" s="17">
        <f>IF(OR(H51="",J51=""),"",H51-J51)</f>
        <v/>
      </c>
      <c r="L51" s="16" t="inlineStr"/>
    </row>
    <row r="52">
      <c r="A52" s="17" t="n">
        <v>50</v>
      </c>
      <c r="B52" s="161" t="n">
        <v>46145</v>
      </c>
      <c r="C52" s="16" t="inlineStr">
        <is>
          <t>WHK-4256</t>
        </is>
      </c>
      <c r="D52" s="16" t="inlineStr">
        <is>
          <t>RN-INV#227</t>
        </is>
      </c>
      <c r="E52" s="16" t="inlineStr">
        <is>
          <t>زهور امرانتس</t>
        </is>
      </c>
      <c r="F52" s="17" t="n">
        <v>5000</v>
      </c>
      <c r="G52" s="17" t="n">
        <v>0.5</v>
      </c>
      <c r="H52" s="17">
        <f>IF(G52="","",F52*G52)</f>
        <v/>
      </c>
      <c r="I52" s="17">
        <f>IFERROR(IF(VLOOKUP("امرانتس",'قائمة الأسعار الموحدة'!$B$3:$E$71,4,FALSE)="",G52,VLOOKUP("امرانتس",'قائمة الأسعار الموحدة'!$B$3:$E$71,4,FALSE)),G52)</f>
        <v/>
      </c>
      <c r="J52" s="17">
        <f>IF(I52="","",F52*I52)</f>
        <v/>
      </c>
      <c r="K52" s="17">
        <f>IF(OR(H52="",J52=""),"",H52-J52)</f>
        <v/>
      </c>
      <c r="L52" s="16" t="inlineStr"/>
    </row>
    <row r="53">
      <c r="A53" s="17" t="n">
        <v>51</v>
      </c>
      <c r="B53" s="161" t="n">
        <v>46145</v>
      </c>
      <c r="C53" s="16" t="inlineStr">
        <is>
          <t>WHK-4256</t>
        </is>
      </c>
      <c r="D53" s="16" t="inlineStr">
        <is>
          <t>RN-INV#227</t>
        </is>
      </c>
      <c r="E53" s="16" t="inlineStr">
        <is>
          <t>زهور جازانيا</t>
        </is>
      </c>
      <c r="F53" s="17" t="n">
        <v>4475</v>
      </c>
      <c r="G53" s="17" t="n">
        <v>0.5</v>
      </c>
      <c r="H53" s="17">
        <f>IF(G53="","",F53*G53)</f>
        <v/>
      </c>
      <c r="I53" s="19">
        <f>IFERROR(IF(VLOOKUP("جازانيا",'قائمة الأسعار الموحدة'!$B$3:$E$71,4,FALSE)="",G53,VLOOKUP("جازانيا",'قائمة الأسعار الموحدة'!$B$3:$E$71,4,FALSE)),G53)</f>
        <v/>
      </c>
      <c r="J53" s="17">
        <f>IF(I53="","",F53*I53)</f>
        <v/>
      </c>
      <c r="K53" s="17">
        <f>IF(OR(H53="",J53=""),"",H53-J53)</f>
        <v/>
      </c>
      <c r="L53" s="16" t="inlineStr"/>
    </row>
    <row r="54">
      <c r="A54" s="17" t="n">
        <v>52</v>
      </c>
      <c r="B54" s="161" t="n">
        <v>46145</v>
      </c>
      <c r="C54" s="16" t="inlineStr">
        <is>
          <t>WHK-4256</t>
        </is>
      </c>
      <c r="D54" s="16" t="inlineStr">
        <is>
          <t>RN-INV#227</t>
        </is>
      </c>
      <c r="E54" s="16" t="inlineStr">
        <is>
          <t>تيكوماريا50 سم</t>
        </is>
      </c>
      <c r="F54" s="17" t="n">
        <v>50</v>
      </c>
      <c r="G54" s="17" t="n">
        <v>4</v>
      </c>
      <c r="H54" s="17">
        <f>IF(G54="","",F54*G54)</f>
        <v/>
      </c>
      <c r="I54" s="19">
        <f>IFERROR(IF(VLOOKUP("تيكوماريا 50",'قائمة الأسعار الموحدة'!$B$3:$E$71,4,FALSE)="",G54,VLOOKUP("تيكوماريا 50",'قائمة الأسعار الموحدة'!$B$3:$E$71,4,FALSE)),G54)</f>
        <v/>
      </c>
      <c r="J54" s="17">
        <f>IF(I54="","",F54*I54)</f>
        <v/>
      </c>
      <c r="K54" s="17">
        <f>IF(OR(H54="",J54=""),"",H54-J54)</f>
        <v/>
      </c>
      <c r="L54" s="16" t="inlineStr"/>
    </row>
    <row r="55">
      <c r="A55" s="17" t="n">
        <v>53</v>
      </c>
      <c r="B55" s="161" t="n">
        <v>46145</v>
      </c>
      <c r="C55" s="16" t="inlineStr">
        <is>
          <t>WHK-4256</t>
        </is>
      </c>
      <c r="D55" s="16" t="inlineStr">
        <is>
          <t>RN-INV#227</t>
        </is>
      </c>
      <c r="E55" s="16" t="inlineStr">
        <is>
          <t>أشجار تيسبيسيا 2-3 متر</t>
        </is>
      </c>
      <c r="F55" s="17" t="n">
        <v>4</v>
      </c>
      <c r="G55" s="17" t="n">
        <v>60</v>
      </c>
      <c r="H55" s="17">
        <f>IF(G55="","",F55*G55)</f>
        <v/>
      </c>
      <c r="I55" s="19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17">
        <f>IF(I55="","",F55*I55)</f>
        <v/>
      </c>
      <c r="K55" s="17">
        <f>IF(OR(H55="",J55=""),"",H55-J55)</f>
        <v/>
      </c>
      <c r="L55" s="16" t="inlineStr"/>
    </row>
    <row r="56">
      <c r="A56" s="17" t="n">
        <v>54</v>
      </c>
      <c r="B56" s="161" t="n">
        <v>46147</v>
      </c>
      <c r="C56" s="16" t="inlineStr">
        <is>
          <t>WHK-4275</t>
        </is>
      </c>
      <c r="D56" s="16" t="inlineStr">
        <is>
          <t>RN-INV#231</t>
        </is>
      </c>
      <c r="E56" s="16" t="inlineStr">
        <is>
          <t>زهور فينكا روزا</t>
        </is>
      </c>
      <c r="F56" s="17" t="n">
        <v>37400</v>
      </c>
      <c r="G56" s="17" t="n">
        <v>0.55</v>
      </c>
      <c r="H56" s="17">
        <f>IF(G56="","",F56*G56)</f>
        <v/>
      </c>
      <c r="I56" s="17">
        <f>IFERROR(IF(VLOOKUP("فينكا روزا",'قائمة الأسعار الموحدة'!$B$3:$E$71,4,FALSE)="",G56,VLOOKUP("فينكا روزا",'قائمة الأسعار الموحدة'!$B$3:$E$71,4,FALSE)),G56)</f>
        <v/>
      </c>
      <c r="J56" s="17">
        <f>IF(I56="","",F56*I56)</f>
        <v/>
      </c>
      <c r="K56" s="17">
        <f>IF(OR(H56="",J56=""),"",H56-J56)</f>
        <v/>
      </c>
      <c r="L56" s="16" t="inlineStr"/>
    </row>
    <row r="57">
      <c r="A57" s="17" t="n">
        <v>55</v>
      </c>
      <c r="B57" s="161" t="n">
        <v>46147</v>
      </c>
      <c r="C57" s="16" t="inlineStr">
        <is>
          <t>WHK-4275</t>
        </is>
      </c>
      <c r="D57" s="16" t="inlineStr">
        <is>
          <t>RN-INV#231</t>
        </is>
      </c>
      <c r="E57" s="16" t="inlineStr">
        <is>
          <t>زهور كيليوس</t>
        </is>
      </c>
      <c r="F57" s="17" t="n">
        <v>2200</v>
      </c>
      <c r="G57" s="17" t="n">
        <v>0.55</v>
      </c>
      <c r="H57" s="17">
        <f>IF(G57="","",F57*G57)</f>
        <v/>
      </c>
      <c r="I57" s="19">
        <f>IFERROR(IF(VLOOKUP("كيليوس",'قائمة الأسعار الموحدة'!$B$3:$E$71,4,FALSE)="",G57,VLOOKUP("كيليوس",'قائمة الأسعار الموحدة'!$B$3:$E$71,4,FALSE)),G57)</f>
        <v/>
      </c>
      <c r="J57" s="17">
        <f>IF(I57="","",F57*I57)</f>
        <v/>
      </c>
      <c r="K57" s="17">
        <f>IF(OR(H57="",J57=""),"",H57-J57)</f>
        <v/>
      </c>
      <c r="L57" s="16" t="inlineStr"/>
    </row>
    <row r="58">
      <c r="A58" s="17" t="n">
        <v>56</v>
      </c>
      <c r="B58" s="161" t="n">
        <v>46152</v>
      </c>
      <c r="C58" s="16" t="inlineStr">
        <is>
          <t>WHK-4291</t>
        </is>
      </c>
      <c r="D58" s="16" t="inlineStr">
        <is>
          <t>RN-INV#239</t>
        </is>
      </c>
      <c r="E58" s="16" t="inlineStr">
        <is>
          <t>زهور فينكا روزا</t>
        </is>
      </c>
      <c r="F58" s="17" t="n">
        <v>5700</v>
      </c>
      <c r="G58" s="17" t="n">
        <v>0.55</v>
      </c>
      <c r="H58" s="17">
        <f>IF(G58="","",F58*G58)</f>
        <v/>
      </c>
      <c r="I58" s="17">
        <f>IFERROR(IF(VLOOKUP("فينكا روزا",'قائمة الأسعار الموحدة'!$B$3:$E$71,4,FALSE)="",G58,VLOOKUP("فينكا روزا",'قائمة الأسعار الموحدة'!$B$3:$E$71,4,FALSE)),G58)</f>
        <v/>
      </c>
      <c r="J58" s="17">
        <f>IF(I58="","",F58*I58)</f>
        <v/>
      </c>
      <c r="K58" s="17">
        <f>IF(OR(H58="",J58=""),"",H58-J58)</f>
        <v/>
      </c>
      <c r="L58" s="16" t="inlineStr"/>
    </row>
    <row r="59">
      <c r="A59" s="17" t="n">
        <v>57</v>
      </c>
      <c r="B59" s="161" t="n">
        <v>46154</v>
      </c>
      <c r="C59" s="16" t="inlineStr">
        <is>
          <t>WHK-4305</t>
        </is>
      </c>
      <c r="D59" s="16" t="inlineStr">
        <is>
          <t>RN-INV#243</t>
        </is>
      </c>
      <c r="E59" s="16" t="inlineStr">
        <is>
          <t>زهور فينكا روزا</t>
        </is>
      </c>
      <c r="F59" s="17" t="n">
        <v>5500</v>
      </c>
      <c r="G59" s="17" t="n">
        <v>0.55</v>
      </c>
      <c r="H59" s="17">
        <f>IF(G59="","",F59*G59)</f>
        <v/>
      </c>
      <c r="I59" s="17">
        <f>IFERROR(IF(VLOOKUP("فينكا روزا",'قائمة الأسعار الموحدة'!$B$3:$E$71,4,FALSE)="",G59,VLOOKUP("فينكا روزا",'قائمة الأسعار الموحدة'!$B$3:$E$71,4,FALSE)),G59)</f>
        <v/>
      </c>
      <c r="J59" s="17">
        <f>IF(I59="","",F59*I59)</f>
        <v/>
      </c>
      <c r="K59" s="17">
        <f>IF(OR(H59="",J59=""),"",H59-J59)</f>
        <v/>
      </c>
      <c r="L59" s="16" t="inlineStr"/>
    </row>
    <row r="60">
      <c r="A60" s="17" t="n">
        <v>58</v>
      </c>
      <c r="B60" s="161" t="n">
        <v>46160</v>
      </c>
      <c r="C60" s="16" t="inlineStr">
        <is>
          <t>WHK-4323</t>
        </is>
      </c>
      <c r="D60" s="16" t="inlineStr">
        <is>
          <t>RN-INV#250</t>
        </is>
      </c>
      <c r="E60" s="16" t="inlineStr">
        <is>
          <t>زهور امرانتس</t>
        </is>
      </c>
      <c r="F60" s="17" t="n">
        <v>1500</v>
      </c>
      <c r="G60" s="17" t="n">
        <v>0.5</v>
      </c>
      <c r="H60" s="17">
        <f>IF(G60="","",F60*G60)</f>
        <v/>
      </c>
      <c r="I60" s="17">
        <f>IFERROR(IF(VLOOKUP("امرانتس",'قائمة الأسعار الموحدة'!$B$3:$E$71,4,FALSE)="",G60,VLOOKUP("امرانتس",'قائمة الأسعار الموحدة'!$B$3:$E$71,4,FALSE)),G60)</f>
        <v/>
      </c>
      <c r="J60" s="17">
        <f>IF(I60="","",F60*I60)</f>
        <v/>
      </c>
      <c r="K60" s="17">
        <f>IF(OR(H60="",J60=""),"",H60-J60)</f>
        <v/>
      </c>
      <c r="L60" s="16" t="inlineStr"/>
    </row>
    <row r="61">
      <c r="A61" s="162" t="n"/>
      <c r="B61" s="162" t="n"/>
      <c r="C61" s="162" t="n"/>
      <c r="D61" s="162" t="n"/>
      <c r="E61" s="9" t="inlineStr">
        <is>
          <t>الإجمالي</t>
        </is>
      </c>
      <c r="F61" s="10">
        <f>SUM(F3:F60)</f>
        <v/>
      </c>
      <c r="G61" s="162" t="n"/>
      <c r="H61" s="10">
        <f>SUM(H3:H60)</f>
        <v/>
      </c>
      <c r="I61" s="162" t="n"/>
      <c r="J61" s="10">
        <f>SUM(J3:J60)</f>
        <v/>
      </c>
      <c r="K61" s="10">
        <f>SUM(K3:K60)</f>
        <v/>
      </c>
      <c r="L61" s="16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مسحوبات تبوك (نسما) من مزرعة الرياض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45906</v>
      </c>
      <c r="C3" s="16" t="inlineStr">
        <is>
          <t>RNP-2113</t>
        </is>
      </c>
      <c r="D3" s="16" t="inlineStr">
        <is>
          <t>مارى جولد</t>
        </is>
      </c>
      <c r="E3" s="17" t="n">
        <v>10000</v>
      </c>
      <c r="F3" s="17" t="n">
        <v>0.5</v>
      </c>
      <c r="G3" s="17">
        <f>IF(F3="","",E3*F3)</f>
        <v/>
      </c>
      <c r="H3" s="17">
        <f>IFERROR(IF(VLOOKUP("ماري جولد",'قائمة الأسعار الموحدة'!$B$3:$E$71,4,FALSE)="",F3,VLOOKUP("ماري جولد",'قائمة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/>
    </row>
    <row r="4">
      <c r="A4" s="17" t="n">
        <v>2</v>
      </c>
      <c r="B4" s="161" t="n">
        <v>45926</v>
      </c>
      <c r="C4" s="16" t="inlineStr">
        <is>
          <t>RNP-2297</t>
        </is>
      </c>
      <c r="D4" s="16" t="inlineStr">
        <is>
          <t>زهور بيتونيا</t>
        </is>
      </c>
      <c r="E4" s="17" t="n">
        <v>6500</v>
      </c>
      <c r="F4" s="17" t="n">
        <v>0.5</v>
      </c>
      <c r="G4" s="17">
        <f>IF(F4="","",E4*F4)</f>
        <v/>
      </c>
      <c r="H4" s="17">
        <f>IFERROR(IF(VLOOKUP("بيتونيا",'قائمة الأسعار الموحدة'!$B$3:$E$71,4,FALSE)="",F4,VLOOKUP("بيتونيا",'قائمة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رقم السند مصحح: المحاسب كتبه RNP-2293 والصحيح RNP-2297 (قيمة النظام 4,725)</t>
        </is>
      </c>
    </row>
    <row r="5">
      <c r="A5" s="17" t="n">
        <v>3</v>
      </c>
      <c r="B5" s="161" t="n">
        <v>45926</v>
      </c>
      <c r="C5" s="16" t="inlineStr">
        <is>
          <t>RNP-2297</t>
        </is>
      </c>
      <c r="D5" s="16" t="inlineStr">
        <is>
          <t>زهور جيرانيوم مركن 12</t>
        </is>
      </c>
      <c r="E5" s="17" t="n">
        <v>500</v>
      </c>
      <c r="F5" s="17" t="n">
        <v>3.75</v>
      </c>
      <c r="G5" s="17">
        <f>IF(F5="","",E5*F5)</f>
        <v/>
      </c>
      <c r="H5" s="19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رقم السند مصحح: المحاسب كتبه RNP-2293 والصحيح RNP-2297 (قيمة النظام 4,725)</t>
        </is>
      </c>
    </row>
    <row r="6">
      <c r="A6" s="17" t="n">
        <v>4</v>
      </c>
      <c r="B6" s="161" t="n">
        <v>45926</v>
      </c>
      <c r="C6" s="16" t="inlineStr">
        <is>
          <t>RNP-2297</t>
        </is>
      </c>
      <c r="D6" s="16" t="inlineStr">
        <is>
          <t>زهور ماري جولد فرنسى</t>
        </is>
      </c>
      <c r="E6" s="17" t="n">
        <v>250</v>
      </c>
      <c r="F6" s="17" t="n">
        <v>0.5</v>
      </c>
      <c r="G6" s="17">
        <f>IF(F6="","",E6*F6)</f>
        <v/>
      </c>
      <c r="H6" s="17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رقم السند مصحح: المحاسب كتبه RNP-2293 والصحيح RNP-2297 (قيمة النظام 4,725)</t>
        </is>
      </c>
    </row>
    <row r="7">
      <c r="A7" s="17" t="n">
        <v>5</v>
      </c>
      <c r="B7" s="161" t="n">
        <v>45926</v>
      </c>
      <c r="C7" s="16" t="inlineStr">
        <is>
          <t>RNP-2367</t>
        </is>
      </c>
      <c r="D7" s="16" t="inlineStr">
        <is>
          <t>حجر اصفر مطفى</t>
        </is>
      </c>
      <c r="E7" s="17" t="n">
        <v>1</v>
      </c>
      <c r="F7" s="17" t="n">
        <v>10.5</v>
      </c>
      <c r="G7" s="17">
        <f>IF(F7="","",E7*F7)</f>
        <v/>
      </c>
      <c r="H7" s="19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/>
    </row>
    <row r="8">
      <c r="A8" s="17" t="n">
        <v>6</v>
      </c>
      <c r="B8" s="161" t="n">
        <v>45937</v>
      </c>
      <c r="C8" s="16" t="inlineStr">
        <is>
          <t>RNP-2395</t>
        </is>
      </c>
      <c r="D8" s="16" t="inlineStr">
        <is>
          <t>سكندابسس مركن 19 علاقي</t>
        </is>
      </c>
      <c r="E8" s="17" t="n">
        <v>2000</v>
      </c>
      <c r="F8" s="17" t="n">
        <v>10</v>
      </c>
      <c r="G8" s="17">
        <f>IF(F8="","",E8*F8)</f>
        <v/>
      </c>
      <c r="H8" s="19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/>
    </row>
    <row r="9">
      <c r="A9" s="17" t="n">
        <v>7</v>
      </c>
      <c r="B9" s="161" t="n">
        <v>45937</v>
      </c>
      <c r="C9" s="16" t="inlineStr">
        <is>
          <t>RNP-2395</t>
        </is>
      </c>
      <c r="D9" s="16" t="inlineStr">
        <is>
          <t>هيدرا علاقي مركن 19</t>
        </is>
      </c>
      <c r="E9" s="17" t="n">
        <v>188</v>
      </c>
      <c r="F9" s="17" t="n">
        <v>10</v>
      </c>
      <c r="G9" s="17">
        <f>IF(F9="","",E9*F9)</f>
        <v/>
      </c>
      <c r="H9" s="19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1" t="n">
        <v>45937</v>
      </c>
      <c r="C10" s="16" t="inlineStr">
        <is>
          <t>RNP-2395</t>
        </is>
      </c>
      <c r="D10" s="16" t="inlineStr">
        <is>
          <t>اقحوان افريقى مركن 12</t>
        </is>
      </c>
      <c r="E10" s="17" t="n">
        <v>2010</v>
      </c>
      <c r="F10" s="17" t="n">
        <v>3.25</v>
      </c>
      <c r="G10" s="17">
        <f>IF(F10="","",E10*F10)</f>
        <v/>
      </c>
      <c r="H10" s="19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1" t="n">
        <v>45937</v>
      </c>
      <c r="C11" s="16" t="inlineStr">
        <is>
          <t>RNP-2395</t>
        </is>
      </c>
      <c r="D11" s="16" t="inlineStr">
        <is>
          <t xml:space="preserve">هيبوستس </t>
        </is>
      </c>
      <c r="E11" s="17" t="n">
        <v>1500</v>
      </c>
      <c r="F11" s="17" t="n">
        <v>2.5</v>
      </c>
      <c r="G11" s="17">
        <f>IF(F11="","",E11*F11)</f>
        <v/>
      </c>
      <c r="H11" s="17">
        <f>IFERROR(IF(VLOOKUP("هيبوستس",'قائمة الأسعار الموحدة'!$B$3:$E$71,4,FALSE)="",F11,VLOOKUP("هيبوستس",'قائمة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1" t="n">
        <v>45937</v>
      </c>
      <c r="C12" s="16" t="inlineStr">
        <is>
          <t>RNP-2395</t>
        </is>
      </c>
      <c r="D12" s="16" t="inlineStr">
        <is>
          <t>زهور جيرانيوم مركن 12</t>
        </is>
      </c>
      <c r="E12" s="17" t="n">
        <v>1005</v>
      </c>
      <c r="F12" s="17" t="n">
        <v>3.75</v>
      </c>
      <c r="G12" s="17">
        <f>IF(F12="","",E12*F12)</f>
        <v/>
      </c>
      <c r="H12" s="19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1" t="n">
        <v>45937</v>
      </c>
      <c r="C13" s="16" t="inlineStr">
        <is>
          <t>RNP-2395</t>
        </is>
      </c>
      <c r="D13" s="16" t="inlineStr">
        <is>
          <t>زهور جيرانيوم مركن 9</t>
        </is>
      </c>
      <c r="E13" s="17" t="n">
        <v>1000</v>
      </c>
      <c r="F13" s="17" t="n">
        <v>1.5</v>
      </c>
      <c r="G13" s="17">
        <f>IF(F13="","",E13*F13)</f>
        <v/>
      </c>
      <c r="H13" s="19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1" t="n">
        <v>45937</v>
      </c>
      <c r="C14" s="16" t="inlineStr">
        <is>
          <t>RNP-2395</t>
        </is>
      </c>
      <c r="D14" s="16" t="inlineStr">
        <is>
          <t>جهنميه تايلاندى مركن 25</t>
        </is>
      </c>
      <c r="E14" s="17" t="n">
        <v>10</v>
      </c>
      <c r="F14" s="17" t="n">
        <v>250</v>
      </c>
      <c r="G14" s="17">
        <f>IF(F14="","",E14*F14)</f>
        <v/>
      </c>
      <c r="H14" s="19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1" t="n">
        <v>45937</v>
      </c>
      <c r="C15" s="16" t="inlineStr">
        <is>
          <t>RNP-2395</t>
        </is>
      </c>
      <c r="D15" s="16" t="inlineStr">
        <is>
          <t>تراديسكانتيا مركن 19 علاقي</t>
        </is>
      </c>
      <c r="E15" s="17" t="n">
        <v>220</v>
      </c>
      <c r="F15" s="17" t="n">
        <v>10</v>
      </c>
      <c r="G15" s="17">
        <f>IF(F15="","",E15*F15)</f>
        <v/>
      </c>
      <c r="H15" s="19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1" t="n">
        <v>45947</v>
      </c>
      <c r="C16" s="16" t="inlineStr">
        <is>
          <t>RNP-2512</t>
        </is>
      </c>
      <c r="D16" s="16" t="inlineStr">
        <is>
          <t>زهور ماري جولد</t>
        </is>
      </c>
      <c r="E16" s="17" t="n">
        <v>1100</v>
      </c>
      <c r="F16" s="17" t="n">
        <v>0.5</v>
      </c>
      <c r="G16" s="17">
        <f>IF(F16="","",E16*F16)</f>
        <v/>
      </c>
      <c r="H16" s="17">
        <f>IFERROR(IF(VLOOKUP("ماري جولد",'قائمة الأسعار الموحدة'!$B$3:$E$71,4,FALSE)="",F16,VLOOKUP("ماري جولد",'قائمة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1" t="n">
        <v>45947</v>
      </c>
      <c r="C17" s="16" t="inlineStr">
        <is>
          <t>RNP-2512</t>
        </is>
      </c>
      <c r="D17" s="16" t="inlineStr">
        <is>
          <t>زهور بيتونيا</t>
        </is>
      </c>
      <c r="E17" s="17" t="n">
        <v>3600</v>
      </c>
      <c r="F17" s="17" t="n">
        <v>0.5</v>
      </c>
      <c r="G17" s="17">
        <f>IF(F17="","",E17*F17)</f>
        <v/>
      </c>
      <c r="H17" s="17">
        <f>IFERROR(IF(VLOOKUP("بيتونيا",'قائمة الأسعار الموحدة'!$B$3:$E$71,4,FALSE)="",F17,VLOOKUP("بيتونيا",'قائمة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1" t="n">
        <v>45947</v>
      </c>
      <c r="C18" s="16" t="inlineStr">
        <is>
          <t>RNP-2512</t>
        </is>
      </c>
      <c r="D18" s="16" t="inlineStr">
        <is>
          <t>بوتنج سويل 70 لتر</t>
        </is>
      </c>
      <c r="E18" s="17" t="n">
        <v>10</v>
      </c>
      <c r="F18" s="17" t="n">
        <v>46</v>
      </c>
      <c r="G18" s="17">
        <f>IF(F18="","",E18*F18)</f>
        <v/>
      </c>
      <c r="H18" s="19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1" t="n">
        <v>45954</v>
      </c>
      <c r="C19" s="16" t="inlineStr">
        <is>
          <t>RNP-2608</t>
        </is>
      </c>
      <c r="D19" s="16" t="inlineStr">
        <is>
          <t>زهور بيتونيا</t>
        </is>
      </c>
      <c r="E19" s="17" t="n">
        <v>20000</v>
      </c>
      <c r="F19" s="17" t="n">
        <v>0.5</v>
      </c>
      <c r="G19" s="17">
        <f>IF(F19="","",E19*F19)</f>
        <v/>
      </c>
      <c r="H19" s="17">
        <f>IFERROR(IF(VLOOKUP("بيتونيا",'قائمة الأسعار الموحدة'!$B$3:$E$71,4,FALSE)="",F19,VLOOKUP("بيتونيا",'قائمة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1" t="n">
        <v>45962</v>
      </c>
      <c r="C20" s="16" t="inlineStr">
        <is>
          <t>RNP-2704</t>
        </is>
      </c>
      <c r="D20" s="16" t="inlineStr">
        <is>
          <t>زهور اقحوان افريقي مركن 12</t>
        </is>
      </c>
      <c r="E20" s="17" t="n">
        <v>750</v>
      </c>
      <c r="F20" s="17" t="n">
        <v>3.25</v>
      </c>
      <c r="G20" s="17">
        <f>IF(F20="","",E20*F20)</f>
        <v/>
      </c>
      <c r="H20" s="19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B21" s="161" t="n">
        <v>45962</v>
      </c>
      <c r="C21" s="16" t="inlineStr">
        <is>
          <t>RNP-2704</t>
        </is>
      </c>
      <c r="D21" s="16" t="inlineStr">
        <is>
          <t>زهور قرنفل صيني</t>
        </is>
      </c>
      <c r="E21" s="17" t="n">
        <v>250</v>
      </c>
      <c r="F21" s="17" t="n">
        <v>0.5</v>
      </c>
      <c r="G21" s="17">
        <f>IF(F21="","",E21*F21)</f>
        <v/>
      </c>
      <c r="H21" s="19">
        <f>IFERROR(IF(VLOOKUP("قرنفل صيني",'قائمة الأسعار الموحدة'!$B$3:$E$71,4,FALSE)="",F21,VLOOKUP("قرنفل صيني",'قائمة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/>
    </row>
    <row r="22">
      <c r="A22" s="17" t="n">
        <v>20</v>
      </c>
      <c r="B22" s="161" t="n">
        <v>45962</v>
      </c>
      <c r="C22" s="16" t="inlineStr">
        <is>
          <t>RNP-2704</t>
        </is>
      </c>
      <c r="D22" s="16" t="inlineStr">
        <is>
          <t>لانتانا لبناني صغير</t>
        </is>
      </c>
      <c r="E22" s="17" t="n">
        <v>40</v>
      </c>
      <c r="F22" s="17" t="n">
        <v>2.5</v>
      </c>
      <c r="G22" s="17">
        <f>IF(F22="","",E22*F22)</f>
        <v/>
      </c>
      <c r="H22" s="19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/>
    </row>
    <row r="23">
      <c r="A23" s="17" t="n">
        <v>21</v>
      </c>
      <c r="B23" s="161" t="n">
        <v>45962</v>
      </c>
      <c r="C23" s="16" t="inlineStr">
        <is>
          <t>RNP-2704</t>
        </is>
      </c>
      <c r="D23" s="16" t="inlineStr">
        <is>
          <t>بانستيم اخضر</t>
        </is>
      </c>
      <c r="E23" s="17" t="n">
        <v>150</v>
      </c>
      <c r="F23" s="17" t="n">
        <v>2.5</v>
      </c>
      <c r="G23" s="17">
        <f>IF(F23="","",E23*F23)</f>
        <v/>
      </c>
      <c r="H23" s="19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/>
    </row>
    <row r="24">
      <c r="A24" s="17" t="n">
        <v>22</v>
      </c>
      <c r="B24" s="161" t="n">
        <v>45964</v>
      </c>
      <c r="C24" s="16" t="inlineStr">
        <is>
          <t>RNP-2748</t>
        </is>
      </c>
      <c r="D24" s="16" t="inlineStr">
        <is>
          <t>زهور جيرانيوم مركن 9</t>
        </is>
      </c>
      <c r="E24" s="17" t="n">
        <v>625</v>
      </c>
      <c r="F24" s="17" t="n">
        <v>1.5</v>
      </c>
      <c r="G24" s="17">
        <f>IF(F24="","",E24*F24)</f>
        <v/>
      </c>
      <c r="H24" s="19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/>
    </row>
    <row r="25">
      <c r="A25" s="17" t="n">
        <v>23</v>
      </c>
      <c r="B25" s="161" t="n">
        <v>45969</v>
      </c>
      <c r="C25" s="16" t="inlineStr">
        <is>
          <t>RNP-2805</t>
        </is>
      </c>
      <c r="D25" s="16" t="inlineStr">
        <is>
          <t>زهور جيرانيوم مركن 9</t>
        </is>
      </c>
      <c r="E25" s="17" t="n">
        <v>30000</v>
      </c>
      <c r="F25" s="17" t="n">
        <v>1.5</v>
      </c>
      <c r="G25" s="17">
        <f>IF(F25="","",E25*F25)</f>
        <v/>
      </c>
      <c r="H25" s="19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/>
    </row>
    <row r="26">
      <c r="A26" s="17" t="n">
        <v>24</v>
      </c>
      <c r="B26" s="161" t="n">
        <v>45969</v>
      </c>
      <c r="C26" s="16" t="inlineStr">
        <is>
          <t>RNP-2805</t>
        </is>
      </c>
      <c r="D26" s="16" t="inlineStr">
        <is>
          <t xml:space="preserve">زهور هيبوستس </t>
        </is>
      </c>
      <c r="E26" s="17" t="n">
        <v>1000</v>
      </c>
      <c r="F26" s="17" t="n">
        <v>0.55</v>
      </c>
      <c r="G26" s="17">
        <f>IF(F26="","",E26*F26)</f>
        <v/>
      </c>
      <c r="H26" s="17">
        <f>IFERROR(IF(VLOOKUP("هيبوستس",'قائمة الأسعار الموحدة'!$B$3:$E$71,4,FALSE)="",F26,VLOOKUP("هيبوستس",'قائمة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/>
    </row>
    <row r="27">
      <c r="A27" s="17" t="n">
        <v>25</v>
      </c>
      <c r="B27" s="161" t="n">
        <v>45999</v>
      </c>
      <c r="C27" s="16" t="inlineStr">
        <is>
          <t>RNP-3160</t>
        </is>
      </c>
      <c r="D27" s="16" t="inlineStr">
        <is>
          <t>كمبوست 10 ك</t>
        </is>
      </c>
      <c r="E27" s="17" t="n">
        <v>19</v>
      </c>
      <c r="F27" s="17" t="n">
        <v>2</v>
      </c>
      <c r="G27" s="17">
        <f>IF(F27="","",E27*F27)</f>
        <v/>
      </c>
      <c r="H27" s="19">
        <f>IFERROR(IF(VLOOKUP("كمبوست 10 ك",'قائمة الأسعار الموحدة'!$B$3:$E$71,4,FALSE)="",F27,VLOOKUP("كمبوست 10 ك",'قائمة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/>
    </row>
    <row r="28">
      <c r="A28" s="17" t="n">
        <v>26</v>
      </c>
      <c r="B28" s="161" t="n">
        <v>45999</v>
      </c>
      <c r="C28" s="16" t="inlineStr">
        <is>
          <t>RNP-3165</t>
        </is>
      </c>
      <c r="D28" s="16" t="inlineStr">
        <is>
          <t>زهور اليسوم</t>
        </is>
      </c>
      <c r="E28" s="17" t="n">
        <v>175</v>
      </c>
      <c r="F28" s="17" t="n">
        <v>0.5</v>
      </c>
      <c r="G28" s="17">
        <f>IF(F28="","",E28*F28)</f>
        <v/>
      </c>
      <c r="H28" s="19">
        <f>IFERROR(IF(VLOOKUP("اليسوم",'قائمة الأسعار الموحدة'!$B$3:$E$71,4,FALSE)="",F28,VLOOKUP("اليسوم",'قائمة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/>
    </row>
    <row r="29">
      <c r="A29" s="17" t="n">
        <v>27</v>
      </c>
      <c r="B29" s="161" t="n">
        <v>46011</v>
      </c>
      <c r="C29" s="16" t="inlineStr">
        <is>
          <t>RNP-3276</t>
        </is>
      </c>
      <c r="D29" s="16" t="inlineStr">
        <is>
          <t>زهور ماري جولد</t>
        </is>
      </c>
      <c r="E29" s="17" t="n">
        <v>1500</v>
      </c>
      <c r="F29" s="17" t="n">
        <v>0.5</v>
      </c>
      <c r="G29" s="17">
        <f>IF(F29="","",E29*F29)</f>
        <v/>
      </c>
      <c r="H29" s="17">
        <f>IFERROR(IF(VLOOKUP("ماري جولد",'قائمة الأسعار الموحدة'!$B$3:$E$71,4,FALSE)="",F29,VLOOKUP("ماري جولد",'قائمة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/>
    </row>
    <row r="30">
      <c r="A30" s="17" t="n">
        <v>28</v>
      </c>
      <c r="B30" s="161" t="n">
        <v>46011</v>
      </c>
      <c r="C30" s="16" t="inlineStr">
        <is>
          <t>RNP-3276</t>
        </is>
      </c>
      <c r="D30" s="16" t="inlineStr">
        <is>
          <t>زهور بيتونيا</t>
        </is>
      </c>
      <c r="E30" s="17" t="n">
        <v>5885</v>
      </c>
      <c r="F30" s="17" t="n">
        <v>0.5</v>
      </c>
      <c r="G30" s="17">
        <f>IF(F30="","",E30*F30)</f>
        <v/>
      </c>
      <c r="H30" s="17">
        <f>IFERROR(IF(VLOOKUP("بيتونيا",'قائمة الأسعار الموحدة'!$B$3:$E$71,4,FALSE)="",F30,VLOOKUP("بيتونيا",'قائمة الأسعار الموحدة'!$B$3:$E$71,4,FALSE)),F30)</f>
        <v/>
      </c>
      <c r="I30" s="17">
        <f>IF(H30="","",E30*H30)</f>
        <v/>
      </c>
      <c r="J30" s="17">
        <f>IF(OR(G30="",I30=""),"",G30-I30)</f>
        <v/>
      </c>
      <c r="K30" s="16" t="inlineStr"/>
    </row>
    <row r="31">
      <c r="A31" s="17" t="n">
        <v>29</v>
      </c>
      <c r="B31" s="161" t="n">
        <v>46011</v>
      </c>
      <c r="C31" s="16" t="inlineStr">
        <is>
          <t>RNP-3276</t>
        </is>
      </c>
      <c r="D31" s="16" t="inlineStr">
        <is>
          <t>اكاسيا جلوكا من 1 - 2 متر</t>
        </is>
      </c>
      <c r="E31" s="17" t="n">
        <v>16</v>
      </c>
      <c r="F31" s="17" t="n">
        <v>25</v>
      </c>
      <c r="G31" s="17">
        <f>IF(F31="","",E31*F31)</f>
        <v/>
      </c>
      <c r="H31" s="19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17">
        <f>IF(H31="","",E31*H31)</f>
        <v/>
      </c>
      <c r="J31" s="17">
        <f>IF(OR(G31="",I31=""),"",G31-I31)</f>
        <v/>
      </c>
      <c r="K31" s="16" t="inlineStr"/>
    </row>
    <row r="32">
      <c r="A32" s="17" t="n">
        <v>30</v>
      </c>
      <c r="B32" s="161" t="n">
        <v>46026</v>
      </c>
      <c r="C32" s="16" t="inlineStr">
        <is>
          <t>RNP-3432</t>
        </is>
      </c>
      <c r="D32" s="16" t="inlineStr">
        <is>
          <t>جيرانيوم مركن 12</t>
        </is>
      </c>
      <c r="E32" s="17" t="n">
        <v>17900</v>
      </c>
      <c r="F32" s="17" t="n">
        <v>3</v>
      </c>
      <c r="G32" s="17">
        <f>IF(F32="","",E32*F32)</f>
        <v/>
      </c>
      <c r="H32" s="19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17">
        <f>IF(H32="","",E32*H32)</f>
        <v/>
      </c>
      <c r="J32" s="17">
        <f>IF(OR(G32="",I32=""),"",G32-I32)</f>
        <v/>
      </c>
      <c r="K32" s="16" t="inlineStr"/>
    </row>
    <row r="33">
      <c r="A33" s="17" t="n">
        <v>31</v>
      </c>
      <c r="B33" s="161" t="n">
        <v>46026</v>
      </c>
      <c r="C33" s="16" t="inlineStr">
        <is>
          <t>RNP-3432</t>
        </is>
      </c>
      <c r="D33" s="16" t="inlineStr">
        <is>
          <t>زهور اليسوم</t>
        </is>
      </c>
      <c r="E33" s="17" t="n">
        <v>2000</v>
      </c>
      <c r="F33" s="17" t="n">
        <v>0.5</v>
      </c>
      <c r="G33" s="17">
        <f>IF(F33="","",E33*F33)</f>
        <v/>
      </c>
      <c r="H33" s="19">
        <f>IFERROR(IF(VLOOKUP("اليسوم",'قائمة الأسعار الموحدة'!$B$3:$E$71,4,FALSE)="",F33,VLOOKUP("اليسوم",'قائمة الأسعار الموحدة'!$B$3:$E$71,4,FALSE)),F33)</f>
        <v/>
      </c>
      <c r="I33" s="17">
        <f>IF(H33="","",E33*H33)</f>
        <v/>
      </c>
      <c r="J33" s="17">
        <f>IF(OR(G33="",I33=""),"",G33-I33)</f>
        <v/>
      </c>
      <c r="K33" s="16" t="inlineStr"/>
    </row>
    <row r="34">
      <c r="A34" s="17" t="n">
        <v>32</v>
      </c>
      <c r="B34" s="161" t="n">
        <v>46026</v>
      </c>
      <c r="C34" s="16" t="inlineStr">
        <is>
          <t>RNP-3433</t>
        </is>
      </c>
      <c r="D34" s="16" t="inlineStr">
        <is>
          <t>زهور جيرانيوم مركن 9</t>
        </is>
      </c>
      <c r="E34" s="17" t="n">
        <v>1400</v>
      </c>
      <c r="F34" s="17" t="n">
        <v>1.5</v>
      </c>
      <c r="G34" s="17">
        <f>IF(F34="","",E34*F34)</f>
        <v/>
      </c>
      <c r="H34" s="19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17">
        <f>IF(H34="","",E34*H34)</f>
        <v/>
      </c>
      <c r="J34" s="17">
        <f>IF(OR(G34="",I34=""),"",G34-I34)</f>
        <v/>
      </c>
      <c r="K34" s="16" t="inlineStr"/>
    </row>
    <row r="35">
      <c r="A35" s="17" t="n">
        <v>33</v>
      </c>
      <c r="B35" s="161" t="n">
        <v>46026</v>
      </c>
      <c r="C35" s="16" t="inlineStr">
        <is>
          <t>RNP-3433</t>
        </is>
      </c>
      <c r="D35" s="16" t="inlineStr">
        <is>
          <t>زهور بيتونيا</t>
        </is>
      </c>
      <c r="E35" s="17" t="n">
        <v>1000</v>
      </c>
      <c r="F35" s="17" t="n">
        <v>0.5</v>
      </c>
      <c r="G35" s="17">
        <f>IF(F35="","",E35*F35)</f>
        <v/>
      </c>
      <c r="H35" s="17">
        <f>IFERROR(IF(VLOOKUP("بيتونيا",'قائمة الأسعار الموحدة'!$B$3:$E$71,4,FALSE)="",F35,VLOOKUP("بيتونيا",'قائمة الأسعار الموحدة'!$B$3:$E$71,4,FALSE)),F35)</f>
        <v/>
      </c>
      <c r="I35" s="17">
        <f>IF(H35="","",E35*H35)</f>
        <v/>
      </c>
      <c r="J35" s="17">
        <f>IF(OR(G35="",I35=""),"",G35-I35)</f>
        <v/>
      </c>
      <c r="K35" s="16" t="inlineStr"/>
    </row>
    <row r="36">
      <c r="A36" s="17" t="n">
        <v>34</v>
      </c>
      <c r="B36" s="161" t="n">
        <v>46026</v>
      </c>
      <c r="C36" s="16" t="inlineStr">
        <is>
          <t>RNP-3433</t>
        </is>
      </c>
      <c r="D36" s="16" t="inlineStr">
        <is>
          <t>زهور ماري جولد</t>
        </is>
      </c>
      <c r="E36" s="17" t="n">
        <v>600</v>
      </c>
      <c r="F36" s="17" t="n">
        <v>0.5</v>
      </c>
      <c r="G36" s="17">
        <f>IF(F36="","",E36*F36)</f>
        <v/>
      </c>
      <c r="H36" s="17">
        <f>IFERROR(IF(VLOOKUP("ماري جولد",'قائمة الأسعار الموحدة'!$B$3:$E$71,4,FALSE)="",F36,VLOOKUP("ماري جولد",'قائمة الأسعار الموحدة'!$B$3:$E$71,4,FALSE)),F36)</f>
        <v/>
      </c>
      <c r="I36" s="17">
        <f>IF(H36="","",E36*H36)</f>
        <v/>
      </c>
      <c r="J36" s="17">
        <f>IF(OR(G36="",I36=""),"",G36-I36)</f>
        <v/>
      </c>
      <c r="K36" s="16" t="inlineStr"/>
    </row>
    <row r="37">
      <c r="A37" s="17" t="n">
        <v>35</v>
      </c>
      <c r="B37" s="161" t="n">
        <v>46026</v>
      </c>
      <c r="C37" s="16" t="inlineStr">
        <is>
          <t>RNP-3433</t>
        </is>
      </c>
      <c r="D37" s="16" t="inlineStr">
        <is>
          <t>زهور اليسوم</t>
        </is>
      </c>
      <c r="E37" s="17" t="n">
        <v>2000</v>
      </c>
      <c r="F37" s="17" t="n">
        <v>0.5</v>
      </c>
      <c r="G37" s="17">
        <f>IF(F37="","",E37*F37)</f>
        <v/>
      </c>
      <c r="H37" s="19">
        <f>IFERROR(IF(VLOOKUP("اليسوم",'قائمة الأسعار الموحدة'!$B$3:$E$71,4,FALSE)="",F37,VLOOKUP("اليسوم",'قائمة الأسعار الموحدة'!$B$3:$E$71,4,FALSE)),F37)</f>
        <v/>
      </c>
      <c r="I37" s="17">
        <f>IF(H37="","",E37*H37)</f>
        <v/>
      </c>
      <c r="J37" s="17">
        <f>IF(OR(G37="",I37=""),"",G37-I37)</f>
        <v/>
      </c>
      <c r="K37" s="16" t="inlineStr"/>
    </row>
    <row r="38">
      <c r="A38" s="17" t="n">
        <v>36</v>
      </c>
      <c r="B38" s="161" t="n">
        <v>46026</v>
      </c>
      <c r="C38" s="16" t="inlineStr">
        <is>
          <t>RNT-3434</t>
        </is>
      </c>
      <c r="D38" s="16" t="inlineStr">
        <is>
          <t>زهور ماري جولد</t>
        </is>
      </c>
      <c r="E38" s="17" t="n">
        <v>2000</v>
      </c>
      <c r="F38" s="17" t="n">
        <v>0.5</v>
      </c>
      <c r="G38" s="17">
        <f>IF(F38="","",E38*F38)</f>
        <v/>
      </c>
      <c r="H38" s="17">
        <f>IFERROR(IF(VLOOKUP("ماري جولد",'قائمة الأسعار الموحدة'!$B$3:$E$71,4,FALSE)="",F38,VLOOKUP("ماري جولد",'قائمة الأسعار الموحدة'!$B$3:$E$71,4,FALSE)),F38)</f>
        <v/>
      </c>
      <c r="I38" s="17">
        <f>IF(H38="","",E38*H38)</f>
        <v/>
      </c>
      <c r="J38" s="17">
        <f>IF(OR(G38="",I38=""),"",G38-I38)</f>
        <v/>
      </c>
      <c r="K38" s="16" t="inlineStr"/>
    </row>
    <row r="39">
      <c r="A39" s="17" t="n">
        <v>37</v>
      </c>
      <c r="B39" s="161" t="n">
        <v>46029</v>
      </c>
      <c r="C39" s="16" t="inlineStr">
        <is>
          <t>RNP-3491</t>
        </is>
      </c>
      <c r="D39" s="16" t="inlineStr">
        <is>
          <t>زهور بيتونيا</t>
        </is>
      </c>
      <c r="E39" s="17" t="n">
        <v>2200</v>
      </c>
      <c r="F39" s="17" t="n">
        <v>0.5</v>
      </c>
      <c r="G39" s="17">
        <f>IF(F39="","",E39*F39)</f>
        <v/>
      </c>
      <c r="H39" s="17">
        <f>IFERROR(IF(VLOOKUP("بيتونيا",'قائمة الأسعار الموحدة'!$B$3:$E$71,4,FALSE)="",F39,VLOOKUP("بيتونيا",'قائمة الأسعار الموحدة'!$B$3:$E$71,4,FALSE)),F39)</f>
        <v/>
      </c>
      <c r="I39" s="17">
        <f>IF(H39="","",E39*H39)</f>
        <v/>
      </c>
      <c r="J39" s="17">
        <f>IF(OR(G39="",I39=""),"",G39-I39)</f>
        <v/>
      </c>
      <c r="K39" s="16" t="inlineStr"/>
    </row>
    <row r="40">
      <c r="A40" s="17" t="n">
        <v>38</v>
      </c>
      <c r="B40" s="161" t="n">
        <v>46029</v>
      </c>
      <c r="C40" s="16" t="inlineStr">
        <is>
          <t>RNP-3491</t>
        </is>
      </c>
      <c r="D40" s="16" t="inlineStr">
        <is>
          <t>زهور اليسوم</t>
        </is>
      </c>
      <c r="E40" s="17" t="n">
        <v>700</v>
      </c>
      <c r="F40" s="17" t="n">
        <v>0.5</v>
      </c>
      <c r="G40" s="17">
        <f>IF(F40="","",E40*F40)</f>
        <v/>
      </c>
      <c r="H40" s="19">
        <f>IFERROR(IF(VLOOKUP("اليسوم",'قائمة الأسعار الموحدة'!$B$3:$E$71,4,FALSE)="",F40,VLOOKUP("اليسوم",'قائمة الأسعار الموحدة'!$B$3:$E$71,4,FALSE)),F40)</f>
        <v/>
      </c>
      <c r="I40" s="17">
        <f>IF(H40="","",E40*H40)</f>
        <v/>
      </c>
      <c r="J40" s="17">
        <f>IF(OR(G40="",I40=""),"",G40-I40)</f>
        <v/>
      </c>
      <c r="K40" s="16" t="inlineStr"/>
    </row>
    <row r="41">
      <c r="A41" s="17" t="n">
        <v>39</v>
      </c>
      <c r="B41" s="161" t="n">
        <v>46029</v>
      </c>
      <c r="C41" s="16" t="inlineStr">
        <is>
          <t>RNP-3491</t>
        </is>
      </c>
      <c r="D41" s="16" t="inlineStr">
        <is>
          <t>دورانتا اخضر</t>
        </is>
      </c>
      <c r="E41" s="17" t="n">
        <v>1200</v>
      </c>
      <c r="F41" s="17" t="n">
        <v>2.5</v>
      </c>
      <c r="G41" s="17">
        <f>IF(F41="","",E41*F41)</f>
        <v/>
      </c>
      <c r="H41" s="19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17">
        <f>IF(H41="","",E41*H41)</f>
        <v/>
      </c>
      <c r="J41" s="17">
        <f>IF(OR(G41="",I41=""),"",G41-I41)</f>
        <v/>
      </c>
      <c r="K41" s="16" t="inlineStr"/>
    </row>
    <row r="42">
      <c r="A42" s="17" t="n">
        <v>40</v>
      </c>
      <c r="B42" s="161" t="n">
        <v>46033</v>
      </c>
      <c r="C42" s="16" t="inlineStr">
        <is>
          <t>RNP-3520</t>
        </is>
      </c>
      <c r="D42" s="16" t="inlineStr">
        <is>
          <t>زهور بيتونيا</t>
        </is>
      </c>
      <c r="E42" s="17" t="n">
        <v>6000</v>
      </c>
      <c r="F42" s="17" t="n">
        <v>0.5</v>
      </c>
      <c r="G42" s="17">
        <f>IF(F42="","",E42*F42)</f>
        <v/>
      </c>
      <c r="H42" s="17">
        <f>IFERROR(IF(VLOOKUP("بيتونيا",'قائمة الأسعار الموحدة'!$B$3:$E$71,4,FALSE)="",F42,VLOOKUP("بيتونيا",'قائمة الأسعار الموحدة'!$B$3:$E$71,4,FALSE)),F42)</f>
        <v/>
      </c>
      <c r="I42" s="17">
        <f>IF(H42="","",E42*H42)</f>
        <v/>
      </c>
      <c r="J42" s="17">
        <f>IF(OR(G42="",I42=""),"",G42-I42)</f>
        <v/>
      </c>
      <c r="K42" s="16" t="inlineStr"/>
    </row>
    <row r="43">
      <c r="A43" s="17" t="n">
        <v>41</v>
      </c>
      <c r="B43" s="161" t="n">
        <v>46040</v>
      </c>
      <c r="C43" s="16" t="inlineStr">
        <is>
          <t>RNP-3586</t>
        </is>
      </c>
      <c r="D43" s="16" t="inlineStr">
        <is>
          <t>تيكوماريا</t>
        </is>
      </c>
      <c r="E43" s="17" t="n">
        <v>34</v>
      </c>
      <c r="F43" s="17" t="n">
        <v>2.5</v>
      </c>
      <c r="G43" s="17">
        <f>IF(F43="","",E43*F43)</f>
        <v/>
      </c>
      <c r="H43" s="19">
        <f>IFERROR(IF(VLOOKUP("تيكوماريا 50",'قائمة الأسعار الموحدة'!$B$3:$E$71,4,FALSE)="",F43,VLOOKUP("تيكوماريا 50",'قائمة الأسعار الموحدة'!$B$3:$E$71,4,FALSE)),F43)</f>
        <v/>
      </c>
      <c r="I43" s="17">
        <f>IF(H43="","",E43*H43)</f>
        <v/>
      </c>
      <c r="J43" s="17">
        <f>IF(OR(G43="",I43=""),"",G43-I43)</f>
        <v/>
      </c>
      <c r="K43" s="16" t="inlineStr"/>
    </row>
    <row r="44">
      <c r="A44" s="17" t="n">
        <v>42</v>
      </c>
      <c r="B44" s="161" t="n">
        <v>46042</v>
      </c>
      <c r="C44" s="16" t="inlineStr">
        <is>
          <t>RNT-3604</t>
        </is>
      </c>
      <c r="D44" s="16" t="inlineStr">
        <is>
          <t>تراديسكانتيا مركن 19 علاقي</t>
        </is>
      </c>
      <c r="E44" s="17" t="n">
        <v>270</v>
      </c>
      <c r="F44" s="17" t="n">
        <v>10</v>
      </c>
      <c r="G44" s="17">
        <f>IF(F44="","",E44*F44)</f>
        <v/>
      </c>
      <c r="H44" s="19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17">
        <f>IF(H44="","",E44*H44)</f>
        <v/>
      </c>
      <c r="J44" s="17">
        <f>IF(OR(G44="",I44=""),"",G44-I44)</f>
        <v/>
      </c>
      <c r="K44" s="16" t="inlineStr"/>
    </row>
    <row r="45">
      <c r="A45" s="17" t="n">
        <v>43</v>
      </c>
      <c r="B45" s="161" t="n">
        <v>46042</v>
      </c>
      <c r="C45" s="16" t="inlineStr">
        <is>
          <t>RNT-3604</t>
        </is>
      </c>
      <c r="D45" s="16" t="inlineStr">
        <is>
          <t>كلانشو هولندي مركن 12</t>
        </is>
      </c>
      <c r="E45" s="17" t="n">
        <v>1500</v>
      </c>
      <c r="F45" s="17" t="n">
        <v>4</v>
      </c>
      <c r="G45" s="17">
        <f>IF(F45="","",E45*F45)</f>
        <v/>
      </c>
      <c r="H45" s="19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17">
        <f>IF(H45="","",E45*H45)</f>
        <v/>
      </c>
      <c r="J45" s="17">
        <f>IF(OR(G45="",I45=""),"",G45-I45)</f>
        <v/>
      </c>
      <c r="K45" s="16" t="inlineStr"/>
    </row>
    <row r="46">
      <c r="A46" s="17" t="n">
        <v>44</v>
      </c>
      <c r="B46" s="161" t="n">
        <v>46042</v>
      </c>
      <c r="C46" s="16" t="inlineStr">
        <is>
          <t>RNT-3604</t>
        </is>
      </c>
      <c r="D46" s="16" t="inlineStr">
        <is>
          <t>زهور قرنفل صيني</t>
        </is>
      </c>
      <c r="E46" s="17" t="n">
        <v>1000</v>
      </c>
      <c r="F46" s="17" t="n">
        <v>0.5</v>
      </c>
      <c r="G46" s="17">
        <f>IF(F46="","",E46*F46)</f>
        <v/>
      </c>
      <c r="H46" s="19">
        <f>IFERROR(IF(VLOOKUP("قرنفل صيني",'قائمة الأسعار الموحدة'!$B$3:$E$71,4,FALSE)="",F46,VLOOKUP("قرنفل صيني",'قائمة الأسعار الموحدة'!$B$3:$E$71,4,FALSE)),F46)</f>
        <v/>
      </c>
      <c r="I46" s="17">
        <f>IF(H46="","",E46*H46)</f>
        <v/>
      </c>
      <c r="J46" s="17">
        <f>IF(OR(G46="",I46=""),"",G46-I46)</f>
        <v/>
      </c>
      <c r="K46" s="16" t="inlineStr"/>
    </row>
    <row r="47">
      <c r="A47" s="17" t="n">
        <v>45</v>
      </c>
      <c r="B47" s="161" t="n">
        <v>46042</v>
      </c>
      <c r="C47" s="16" t="inlineStr">
        <is>
          <t>RNP-3613</t>
        </is>
      </c>
      <c r="D47" s="16" t="inlineStr">
        <is>
          <t>جيرانيوم مركن 12</t>
        </is>
      </c>
      <c r="E47" s="17" t="n">
        <v>450</v>
      </c>
      <c r="F47" s="17" t="n">
        <v>3</v>
      </c>
      <c r="G47" s="17">
        <f>IF(F47="","",E47*F47)</f>
        <v/>
      </c>
      <c r="H47" s="19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17">
        <f>IF(H47="","",E47*H47)</f>
        <v/>
      </c>
      <c r="J47" s="17">
        <f>IF(OR(G47="",I47=""),"",G47-I47)</f>
        <v/>
      </c>
      <c r="K47" s="16" t="inlineStr"/>
    </row>
    <row r="48">
      <c r="A48" s="17" t="n">
        <v>46</v>
      </c>
      <c r="B48" s="161" t="n">
        <v>46042</v>
      </c>
      <c r="C48" s="16" t="inlineStr">
        <is>
          <t>RNP-3613</t>
        </is>
      </c>
      <c r="D48" s="16" t="inlineStr">
        <is>
          <t>نخيل سايكس 30 سم</t>
        </is>
      </c>
      <c r="E48" s="17" t="n">
        <v>4</v>
      </c>
      <c r="F48" s="17" t="n">
        <v>262.5</v>
      </c>
      <c r="G48" s="17">
        <f>IF(F48="","",E48*F48)</f>
        <v/>
      </c>
      <c r="H48" s="19">
        <f>IFERROR(IF(VLOOKUP("نخيل سايكس 30",'قائمة الأسعار الموحدة'!$B$3:$E$71,4,FALSE)="",F48,VLOOKUP("نخيل سايكس 30",'قائمة الأسعار الموحدة'!$B$3:$E$71,4,FALSE)),F48)</f>
        <v/>
      </c>
      <c r="I48" s="17">
        <f>IF(H48="","",E48*H48)</f>
        <v/>
      </c>
      <c r="J48" s="17">
        <f>IF(OR(G48="",I48=""),"",G48-I48)</f>
        <v/>
      </c>
      <c r="K48" s="16" t="inlineStr"/>
    </row>
    <row r="49">
      <c r="A49" s="17" t="n">
        <v>47</v>
      </c>
      <c r="B49" s="161" t="n">
        <v>46042</v>
      </c>
      <c r="C49" s="16" t="inlineStr">
        <is>
          <t>RNP-3613</t>
        </is>
      </c>
      <c r="D49" s="16" t="inlineStr">
        <is>
          <t>جهنمية بلدي 50 سم</t>
        </is>
      </c>
      <c r="E49" s="17" t="n">
        <v>30</v>
      </c>
      <c r="F49" s="17" t="n">
        <v>5</v>
      </c>
      <c r="G49" s="17">
        <f>IF(F49="","",E49*F49)</f>
        <v/>
      </c>
      <c r="H49" s="19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17">
        <f>IF(H49="","",E49*H49)</f>
        <v/>
      </c>
      <c r="J49" s="17">
        <f>IF(OR(G49="",I49=""),"",G49-I49)</f>
        <v/>
      </c>
      <c r="K49" s="16" t="inlineStr"/>
    </row>
    <row r="50">
      <c r="A50" s="17" t="n">
        <v>48</v>
      </c>
      <c r="B50" s="161" t="n">
        <v>46060</v>
      </c>
      <c r="C50" s="16" t="inlineStr">
        <is>
          <t>RNP-3767</t>
        </is>
      </c>
      <c r="D50" s="16" t="inlineStr">
        <is>
          <t>زهور اقحوان افريقي هولندي مركن 12</t>
        </is>
      </c>
      <c r="E50" s="17" t="n">
        <v>1785</v>
      </c>
      <c r="F50" s="17" t="n">
        <v>3.25</v>
      </c>
      <c r="G50" s="17">
        <f>IF(F50="","",E50*F50)</f>
        <v/>
      </c>
      <c r="H50" s="19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17">
        <f>IF(H50="","",E50*H50)</f>
        <v/>
      </c>
      <c r="J50" s="17">
        <f>IF(OR(G50="",I50=""),"",G50-I50)</f>
        <v/>
      </c>
      <c r="K50" s="16" t="inlineStr"/>
    </row>
    <row r="51">
      <c r="A51" s="17" t="n">
        <v>49</v>
      </c>
      <c r="B51" s="161" t="n">
        <v>46060</v>
      </c>
      <c r="C51" s="16" t="inlineStr">
        <is>
          <t>RNP-3767</t>
        </is>
      </c>
      <c r="D51" s="16" t="inlineStr">
        <is>
          <t>زهور ملفوف مركن 9</t>
        </is>
      </c>
      <c r="E51" s="17" t="n">
        <v>2000</v>
      </c>
      <c r="F51" s="17" t="n">
        <v>0.5</v>
      </c>
      <c r="G51" s="17">
        <f>IF(F51="","",E51*F51)</f>
        <v/>
      </c>
      <c r="H51" s="19">
        <f>IFERROR(IF(VLOOKUP("ملفوف مركن 9",'قائمة الأسعار الموحدة'!$B$3:$E$71,4,FALSE)="",F51,VLOOKUP("ملفوف مركن 9",'قائمة الأسعار الموحدة'!$B$3:$E$71,4,FALSE)),F51)</f>
        <v/>
      </c>
      <c r="I51" s="17">
        <f>IF(H51="","",E51*H51)</f>
        <v/>
      </c>
      <c r="J51" s="17">
        <f>IF(OR(G51="",I51=""),"",G51-I51)</f>
        <v/>
      </c>
      <c r="K51" s="16" t="inlineStr"/>
    </row>
    <row r="52">
      <c r="A52" s="17" t="n">
        <v>50</v>
      </c>
      <c r="B52" s="161" t="n">
        <v>46064</v>
      </c>
      <c r="C52" s="16" t="inlineStr">
        <is>
          <t>RNT-3805</t>
        </is>
      </c>
      <c r="D52" s="16" t="inlineStr">
        <is>
          <t>زهور اقحوان افريقي هولندي مركن 12</t>
        </is>
      </c>
      <c r="E52" s="17" t="n">
        <v>90</v>
      </c>
      <c r="F52" s="17" t="n">
        <v>3.25</v>
      </c>
      <c r="G52" s="17">
        <f>IF(F52="","",E52*F52)</f>
        <v/>
      </c>
      <c r="H52" s="19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17">
        <f>IF(H52="","",E52*H52)</f>
        <v/>
      </c>
      <c r="J52" s="17">
        <f>IF(OR(G52="",I52=""),"",G52-I52)</f>
        <v/>
      </c>
      <c r="K52" s="16" t="inlineStr"/>
    </row>
    <row r="53">
      <c r="A53" s="17" t="n">
        <v>51</v>
      </c>
      <c r="B53" s="161" t="n">
        <v>46064</v>
      </c>
      <c r="C53" s="16" t="inlineStr">
        <is>
          <t>RNT-3805</t>
        </is>
      </c>
      <c r="D53" s="16" t="inlineStr">
        <is>
          <t>زهور اقحوان افريقي مركن 9</t>
        </is>
      </c>
      <c r="E53" s="17" t="n">
        <v>150</v>
      </c>
      <c r="F53" s="17" t="n">
        <v>1.5</v>
      </c>
      <c r="G53" s="17">
        <f>IF(F53="","",E53*F53)</f>
        <v/>
      </c>
      <c r="H53" s="19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17">
        <f>IF(H53="","",E53*H53)</f>
        <v/>
      </c>
      <c r="J53" s="17">
        <f>IF(OR(G53="",I53=""),"",G53-I53)</f>
        <v/>
      </c>
      <c r="K53" s="16" t="inlineStr"/>
    </row>
    <row r="54">
      <c r="A54" s="17" t="n">
        <v>52</v>
      </c>
      <c r="B54" s="161" t="n">
        <v>46064</v>
      </c>
      <c r="C54" s="16" t="inlineStr">
        <is>
          <t>RNT-3805</t>
        </is>
      </c>
      <c r="D54" s="16" t="inlineStr">
        <is>
          <t>زهور منثور مركن 9</t>
        </is>
      </c>
      <c r="E54" s="17" t="n">
        <v>150</v>
      </c>
      <c r="F54" s="17" t="n">
        <v>0.5</v>
      </c>
      <c r="G54" s="17">
        <f>IF(F54="","",E54*F54)</f>
        <v/>
      </c>
      <c r="H54" s="19">
        <f>IFERROR(IF(VLOOKUP("منثور مركن 9",'قائمة الأسعار الموحدة'!$B$3:$E$71,4,FALSE)="",F54,VLOOKUP("منثور مركن 9",'قائمة الأسعار الموحدة'!$B$3:$E$71,4,FALSE)),F54)</f>
        <v/>
      </c>
      <c r="I54" s="17">
        <f>IF(H54="","",E54*H54)</f>
        <v/>
      </c>
      <c r="J54" s="17">
        <f>IF(OR(G54="",I54=""),"",G54-I54)</f>
        <v/>
      </c>
      <c r="K54" s="16" t="inlineStr"/>
    </row>
    <row r="55">
      <c r="A55" s="17" t="n">
        <v>53</v>
      </c>
      <c r="B55" s="161" t="n">
        <v>46064</v>
      </c>
      <c r="C55" s="16" t="inlineStr">
        <is>
          <t>RNT-3805</t>
        </is>
      </c>
      <c r="D55" s="16" t="inlineStr">
        <is>
          <t>زهور جيرانيوم  هولندي مركن12</t>
        </is>
      </c>
      <c r="E55" s="17" t="n">
        <v>180</v>
      </c>
      <c r="F55" s="17" t="n">
        <v>3.75</v>
      </c>
      <c r="G55" s="17">
        <f>IF(F55="","",E55*F55)</f>
        <v/>
      </c>
      <c r="H55" s="19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17">
        <f>IF(H55="","",E55*H55)</f>
        <v/>
      </c>
      <c r="J55" s="17">
        <f>IF(OR(G55="",I55=""),"",G55-I55)</f>
        <v/>
      </c>
      <c r="K55" s="16" t="inlineStr"/>
    </row>
    <row r="56">
      <c r="A56" s="17" t="n">
        <v>54</v>
      </c>
      <c r="B56" s="161" t="n">
        <v>46064</v>
      </c>
      <c r="C56" s="16" t="inlineStr">
        <is>
          <t>RNT-3805</t>
        </is>
      </c>
      <c r="D56" s="16" t="inlineStr">
        <is>
          <t>زهور قرنفل امريكي 12</t>
        </is>
      </c>
      <c r="E56" s="17" t="n">
        <v>90</v>
      </c>
      <c r="F56" s="17" t="n">
        <v>4</v>
      </c>
      <c r="G56" s="17">
        <f>IF(F56="","",E56*F56)</f>
        <v/>
      </c>
      <c r="H56" s="19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17">
        <f>IF(H56="","",E56*H56)</f>
        <v/>
      </c>
      <c r="J56" s="17">
        <f>IF(OR(G56="",I56=""),"",G56-I56)</f>
        <v/>
      </c>
      <c r="K56" s="16" t="inlineStr"/>
    </row>
    <row r="57">
      <c r="A57" s="17" t="n">
        <v>55</v>
      </c>
      <c r="B57" s="161" t="n">
        <v>46064</v>
      </c>
      <c r="C57" s="16" t="inlineStr">
        <is>
          <t>RNT-3805</t>
        </is>
      </c>
      <c r="D57" s="16" t="inlineStr">
        <is>
          <t>زهور سينيراريا 12</t>
        </is>
      </c>
      <c r="E57" s="17" t="n">
        <v>48</v>
      </c>
      <c r="F57" s="17" t="n">
        <v>2.5</v>
      </c>
      <c r="G57" s="17">
        <f>IF(F57="","",E57*F57)</f>
        <v/>
      </c>
      <c r="H57" s="19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17">
        <f>IF(H57="","",E57*H57)</f>
        <v/>
      </c>
      <c r="J57" s="17">
        <f>IF(OR(G57="",I57=""),"",G57-I57)</f>
        <v/>
      </c>
      <c r="K57" s="16" t="inlineStr"/>
    </row>
    <row r="58">
      <c r="A58" s="17" t="n">
        <v>56</v>
      </c>
      <c r="B58" s="161" t="n">
        <v>46068</v>
      </c>
      <c r="C58" s="16" t="inlineStr">
        <is>
          <t>RNP-3839</t>
        </is>
      </c>
      <c r="D58" s="16" t="inlineStr">
        <is>
          <t>زهور بيتونيا</t>
        </is>
      </c>
      <c r="E58" s="17" t="n">
        <v>312</v>
      </c>
      <c r="F58" s="17" t="n">
        <v>0.5</v>
      </c>
      <c r="G58" s="17">
        <f>IF(F58="","",E58*F58)</f>
        <v/>
      </c>
      <c r="H58" s="17">
        <f>IFERROR(IF(VLOOKUP("بيتونيا",'قائمة الأسعار الموحدة'!$B$3:$E$71,4,FALSE)="",F58,VLOOKUP("بيتونيا",'قائمة الأسعار الموحدة'!$B$3:$E$71,4,FALSE)),F58)</f>
        <v/>
      </c>
      <c r="I58" s="17">
        <f>IF(H58="","",E58*H58)</f>
        <v/>
      </c>
      <c r="J58" s="17">
        <f>IF(OR(G58="",I58=""),"",G58-I58)</f>
        <v/>
      </c>
      <c r="K58" s="16" t="inlineStr"/>
    </row>
    <row r="59">
      <c r="A59" s="17" t="n">
        <v>57</v>
      </c>
      <c r="B59" s="161" t="n">
        <v>46068</v>
      </c>
      <c r="C59" s="16" t="inlineStr">
        <is>
          <t>RNP-3839</t>
        </is>
      </c>
      <c r="D59" s="16" t="inlineStr">
        <is>
          <t>زهور منثور مركن 9</t>
        </is>
      </c>
      <c r="E59" s="17" t="n">
        <v>312</v>
      </c>
      <c r="F59" s="17" t="n">
        <v>0.5</v>
      </c>
      <c r="G59" s="17">
        <f>IF(F59="","",E59*F59)</f>
        <v/>
      </c>
      <c r="H59" s="19">
        <f>IFERROR(IF(VLOOKUP("منثور مركن 9",'قائمة الأسعار الموحدة'!$B$3:$E$71,4,FALSE)="",F59,VLOOKUP("منثور مركن 9",'قائمة الأسعار الموحدة'!$B$3:$E$71,4,FALSE)),F59)</f>
        <v/>
      </c>
      <c r="I59" s="17">
        <f>IF(H59="","",E59*H59)</f>
        <v/>
      </c>
      <c r="J59" s="17">
        <f>IF(OR(G59="",I59=""),"",G59-I59)</f>
        <v/>
      </c>
      <c r="K59" s="16" t="inlineStr"/>
    </row>
    <row r="60">
      <c r="A60" s="17" t="n">
        <v>58</v>
      </c>
      <c r="B60" s="161" t="n">
        <v>46068</v>
      </c>
      <c r="C60" s="16" t="inlineStr">
        <is>
          <t>RNP-3839</t>
        </is>
      </c>
      <c r="D60" s="16" t="inlineStr">
        <is>
          <t>زهور سالفيا مركن 9</t>
        </is>
      </c>
      <c r="E60" s="17" t="n">
        <v>312</v>
      </c>
      <c r="F60" s="17" t="n">
        <v>0.6</v>
      </c>
      <c r="G60" s="17">
        <f>IF(F60="","",E60*F60)</f>
        <v/>
      </c>
      <c r="H60" s="17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17">
        <f>IF(H60="","",E60*H60)</f>
        <v/>
      </c>
      <c r="J60" s="17">
        <f>IF(OR(G60="",I60=""),"",G60-I60)</f>
        <v/>
      </c>
      <c r="K60" s="16" t="inlineStr"/>
    </row>
    <row r="61">
      <c r="A61" s="17" t="n">
        <v>59</v>
      </c>
      <c r="B61" s="161" t="n">
        <v>46068</v>
      </c>
      <c r="C61" s="16" t="inlineStr">
        <is>
          <t>RNP-3839</t>
        </is>
      </c>
      <c r="D61" s="16" t="inlineStr">
        <is>
          <t>زهور ملفوف مركن 9</t>
        </is>
      </c>
      <c r="E61" s="17" t="n">
        <v>312</v>
      </c>
      <c r="F61" s="17" t="n">
        <v>0.5</v>
      </c>
      <c r="G61" s="17">
        <f>IF(F61="","",E61*F61)</f>
        <v/>
      </c>
      <c r="H61" s="19">
        <f>IFERROR(IF(VLOOKUP("ملفوف مركن 9",'قائمة الأسعار الموحدة'!$B$3:$E$71,4,FALSE)="",F61,VLOOKUP("ملفوف مركن 9",'قائمة الأسعار الموحدة'!$B$3:$E$71,4,FALSE)),F61)</f>
        <v/>
      </c>
      <c r="I61" s="17">
        <f>IF(H61="","",E61*H61)</f>
        <v/>
      </c>
      <c r="J61" s="17">
        <f>IF(OR(G61="",I61=""),"",G61-I61)</f>
        <v/>
      </c>
      <c r="K61" s="16" t="inlineStr"/>
    </row>
    <row r="62">
      <c r="A62" s="17" t="n">
        <v>60</v>
      </c>
      <c r="B62" s="161" t="n">
        <v>46104</v>
      </c>
      <c r="C62" s="16" t="inlineStr">
        <is>
          <t>RNT-180</t>
        </is>
      </c>
      <c r="D62" s="16" t="inlineStr">
        <is>
          <t>كلانشو هولندي مركن 12</t>
        </is>
      </c>
      <c r="E62" s="17" t="n">
        <v>420</v>
      </c>
      <c r="F62" s="17" t="n">
        <v>4</v>
      </c>
      <c r="G62" s="17">
        <f>IF(F62="","",E62*F62)</f>
        <v/>
      </c>
      <c r="H62" s="19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17">
        <f>IF(H62="","",E62*H62)</f>
        <v/>
      </c>
      <c r="J62" s="17">
        <f>IF(OR(G62="",I62=""),"",G62-I62)</f>
        <v/>
      </c>
      <c r="K62" s="16" t="inlineStr"/>
    </row>
    <row r="63">
      <c r="A63" s="17" t="n">
        <v>61</v>
      </c>
      <c r="B63" s="161" t="n">
        <v>46104</v>
      </c>
      <c r="C63" s="16" t="inlineStr">
        <is>
          <t>RNT-180</t>
        </is>
      </c>
      <c r="D63" s="16" t="inlineStr">
        <is>
          <t xml:space="preserve">زهور هيبوستس </t>
        </is>
      </c>
      <c r="E63" s="17" t="n">
        <v>1575</v>
      </c>
      <c r="F63" s="17" t="n">
        <v>0.55</v>
      </c>
      <c r="G63" s="17">
        <f>IF(F63="","",E63*F63)</f>
        <v/>
      </c>
      <c r="H63" s="17">
        <f>IFERROR(IF(VLOOKUP("هيبوستس",'قائمة الأسعار الموحدة'!$B$3:$E$71,4,FALSE)="",F63,VLOOKUP("هيبوستس",'قائمة الأسعار الموحدة'!$B$3:$E$71,4,FALSE)),F63)</f>
        <v/>
      </c>
      <c r="I63" s="17">
        <f>IF(H63="","",E63*H63)</f>
        <v/>
      </c>
      <c r="J63" s="17">
        <f>IF(OR(G63="",I63=""),"",G63-I63)</f>
        <v/>
      </c>
      <c r="K63" s="16" t="inlineStr"/>
    </row>
    <row r="64">
      <c r="A64" s="17" t="n">
        <v>62</v>
      </c>
      <c r="B64" s="161" t="n">
        <v>46104</v>
      </c>
      <c r="C64" s="16" t="inlineStr">
        <is>
          <t>RNT-180</t>
        </is>
      </c>
      <c r="D64" s="16" t="inlineStr">
        <is>
          <t>زهور اقحوان افريقي مركن 9</t>
        </is>
      </c>
      <c r="E64" s="17" t="n">
        <v>1000</v>
      </c>
      <c r="F64" s="17" t="n">
        <v>1.5</v>
      </c>
      <c r="G64" s="17">
        <f>IF(F64="","",E64*F64)</f>
        <v/>
      </c>
      <c r="H64" s="19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17">
        <f>IF(H64="","",E64*H64)</f>
        <v/>
      </c>
      <c r="J64" s="17">
        <f>IF(OR(G64="",I64=""),"",G64-I64)</f>
        <v/>
      </c>
      <c r="K64" s="16" t="inlineStr"/>
    </row>
    <row r="65">
      <c r="A65" s="17" t="n">
        <v>63</v>
      </c>
      <c r="B65" s="161" t="n">
        <v>46120</v>
      </c>
      <c r="C65" s="16" t="inlineStr">
        <is>
          <t>RNP-208</t>
        </is>
      </c>
      <c r="D65" s="16" t="inlineStr">
        <is>
          <t>زهور زينيا</t>
        </is>
      </c>
      <c r="E65" s="17" t="n">
        <v>4000</v>
      </c>
      <c r="F65" s="17" t="n">
        <v>0.5</v>
      </c>
      <c r="G65" s="17">
        <f>IF(F65="","",E65*F65)</f>
        <v/>
      </c>
      <c r="H65" s="17">
        <f>IFERROR(IF(VLOOKUP("زينيا",'قائمة الأسعار الموحدة'!$B$3:$E$71,4,FALSE)="",F65,VLOOKUP("زينيا",'قائمة الأسعار الموحدة'!$B$3:$E$71,4,FALSE)),F65)</f>
        <v/>
      </c>
      <c r="I65" s="17">
        <f>IF(H65="","",E65*H65)</f>
        <v/>
      </c>
      <c r="J65" s="17">
        <f>IF(OR(G65="",I65=""),"",G65-I65)</f>
        <v/>
      </c>
      <c r="K65" s="16" t="inlineStr"/>
    </row>
    <row r="66">
      <c r="A66" s="17" t="n">
        <v>64</v>
      </c>
      <c r="B66" s="161" t="n">
        <v>46121</v>
      </c>
      <c r="C66" s="16" t="inlineStr">
        <is>
          <t>RNP-213</t>
        </is>
      </c>
      <c r="D66" s="16" t="inlineStr">
        <is>
          <t>زهور امرانتس</t>
        </is>
      </c>
      <c r="E66" s="17" t="n">
        <v>700</v>
      </c>
      <c r="F66" s="17" t="n">
        <v>0.5</v>
      </c>
      <c r="G66" s="17">
        <f>IF(F66="","",E66*F66)</f>
        <v/>
      </c>
      <c r="H66" s="17">
        <f>IFERROR(IF(VLOOKUP("امرانتس",'قائمة الأسعار الموحدة'!$B$3:$E$71,4,FALSE)="",F66,VLOOKUP("امرانتس",'قائمة الأسعار الموحدة'!$B$3:$E$71,4,FALSE)),F66)</f>
        <v/>
      </c>
      <c r="I66" s="17">
        <f>IF(H66="","",E66*H66)</f>
        <v/>
      </c>
      <c r="J66" s="17">
        <f>IF(OR(G66="",I66=""),"",G66-I66)</f>
        <v/>
      </c>
      <c r="K66" s="16" t="inlineStr"/>
    </row>
    <row r="67">
      <c r="A67" s="17" t="n">
        <v>65</v>
      </c>
      <c r="B67" s="161" t="n">
        <v>46121</v>
      </c>
      <c r="C67" s="16" t="inlineStr">
        <is>
          <t>RNP-213</t>
        </is>
      </c>
      <c r="D67" s="16" t="inlineStr">
        <is>
          <t>زهور فينكا روزا</t>
        </is>
      </c>
      <c r="E67" s="17" t="n">
        <v>700</v>
      </c>
      <c r="F67" s="17" t="n">
        <v>0.5</v>
      </c>
      <c r="G67" s="17">
        <f>IF(F67="","",E67*F67)</f>
        <v/>
      </c>
      <c r="H67" s="17">
        <f>IFERROR(IF(VLOOKUP("فينكا روزا",'قائمة الأسعار الموحدة'!$B$3:$E$71,4,FALSE)="",F67,VLOOKUP("فينكا روزا",'قائمة الأسعار الموحدة'!$B$3:$E$71,4,FALSE)),F67)</f>
        <v/>
      </c>
      <c r="I67" s="17">
        <f>IF(H67="","",E67*H67)</f>
        <v/>
      </c>
      <c r="J67" s="17">
        <f>IF(OR(G67="",I67=""),"",G67-I67)</f>
        <v/>
      </c>
      <c r="K67" s="16" t="inlineStr"/>
    </row>
    <row r="68">
      <c r="A68" s="17" t="n">
        <v>66</v>
      </c>
      <c r="B68" s="161" t="n">
        <v>46121</v>
      </c>
      <c r="C68" s="16" t="inlineStr">
        <is>
          <t>RNT-211</t>
        </is>
      </c>
      <c r="D68" s="16" t="inlineStr">
        <is>
          <t>زهور اقحوان افريقي مركن 9</t>
        </is>
      </c>
      <c r="E68" s="17" t="n">
        <v>1650</v>
      </c>
      <c r="F68" s="17" t="n">
        <v>1.5</v>
      </c>
      <c r="G68" s="17">
        <f>IF(F68="","",E68*F68)</f>
        <v/>
      </c>
      <c r="H68" s="19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17">
        <f>IF(H68="","",E68*H68)</f>
        <v/>
      </c>
      <c r="J68" s="17">
        <f>IF(OR(G68="",I68=""),"",G68-I68)</f>
        <v/>
      </c>
      <c r="K68" s="16" t="inlineStr"/>
    </row>
    <row r="69">
      <c r="A69" s="17" t="n">
        <v>67</v>
      </c>
      <c r="B69" s="161" t="n">
        <v>46121</v>
      </c>
      <c r="C69" s="16" t="inlineStr">
        <is>
          <t>RNT-211</t>
        </is>
      </c>
      <c r="D69" s="16" t="inlineStr">
        <is>
          <t>زهور فينكا روزا</t>
        </is>
      </c>
      <c r="E69" s="17" t="n">
        <v>750</v>
      </c>
      <c r="F69" s="17" t="n">
        <v>0.5</v>
      </c>
      <c r="G69" s="17">
        <f>IF(F69="","",E69*F69)</f>
        <v/>
      </c>
      <c r="H69" s="17">
        <f>IFERROR(IF(VLOOKUP("فينكا روزا",'قائمة الأسعار الموحدة'!$B$3:$E$71,4,FALSE)="",F69,VLOOKUP("فينكا روزا",'قائمة الأسعار الموحدة'!$B$3:$E$71,4,FALSE)),F69)</f>
        <v/>
      </c>
      <c r="I69" s="17">
        <f>IF(H69="","",E69*H69)</f>
        <v/>
      </c>
      <c r="J69" s="17">
        <f>IF(OR(G69="",I69=""),"",G69-I69)</f>
        <v/>
      </c>
      <c r="K69" s="16" t="inlineStr"/>
    </row>
    <row r="70">
      <c r="A70" s="17" t="n">
        <v>68</v>
      </c>
      <c r="B70" s="161" t="n">
        <v>46123</v>
      </c>
      <c r="C70" s="16" t="inlineStr">
        <is>
          <t>RNP-216</t>
        </is>
      </c>
      <c r="D70" s="16" t="inlineStr">
        <is>
          <t>زهور جازانيا</t>
        </is>
      </c>
      <c r="E70" s="17" t="n">
        <v>50</v>
      </c>
      <c r="F70" s="17" t="n">
        <v>0.5</v>
      </c>
      <c r="G70" s="17">
        <f>IF(F70="","",E70*F70)</f>
        <v/>
      </c>
      <c r="H70" s="19">
        <f>IFERROR(IF(VLOOKUP("جازانيا",'قائمة الأسعار الموحدة'!$B$3:$E$71,4,FALSE)="",F70,VLOOKUP("جازانيا",'قائمة الأسعار الموحدة'!$B$3:$E$71,4,FALSE)),F70)</f>
        <v/>
      </c>
      <c r="I70" s="17">
        <f>IF(H70="","",E70*H70)</f>
        <v/>
      </c>
      <c r="J70" s="17">
        <f>IF(OR(G70="",I70=""),"",G70-I70)</f>
        <v/>
      </c>
      <c r="K70" s="16" t="inlineStr"/>
    </row>
    <row r="71">
      <c r="A71" s="17" t="n">
        <v>69</v>
      </c>
      <c r="B71" s="161" t="n">
        <v>46123</v>
      </c>
      <c r="C71" s="16" t="inlineStr">
        <is>
          <t>RNP-216</t>
        </is>
      </c>
      <c r="D71" s="16" t="inlineStr">
        <is>
          <t>زهور زينيا</t>
        </is>
      </c>
      <c r="E71" s="17" t="n">
        <v>50</v>
      </c>
      <c r="F71" s="17" t="n">
        <v>0.5</v>
      </c>
      <c r="G71" s="17">
        <f>IF(F71="","",E71*F71)</f>
        <v/>
      </c>
      <c r="H71" s="17">
        <f>IFERROR(IF(VLOOKUP("زينيا",'قائمة الأسعار الموحدة'!$B$3:$E$71,4,FALSE)="",F71,VLOOKUP("زينيا",'قائمة الأسعار الموحدة'!$B$3:$E$71,4,FALSE)),F71)</f>
        <v/>
      </c>
      <c r="I71" s="17">
        <f>IF(H71="","",E71*H71)</f>
        <v/>
      </c>
      <c r="J71" s="17">
        <f>IF(OR(G71="",I71=""),"",G71-I71)</f>
        <v/>
      </c>
      <c r="K71" s="16" t="inlineStr"/>
    </row>
    <row r="72">
      <c r="A72" s="17" t="n">
        <v>70</v>
      </c>
      <c r="B72" s="161" t="n">
        <v>46127</v>
      </c>
      <c r="C72" s="16" t="inlineStr">
        <is>
          <t>RNP-224</t>
        </is>
      </c>
      <c r="D72" s="16" t="inlineStr">
        <is>
          <t>زهور فينكا روزا</t>
        </is>
      </c>
      <c r="E72" s="17" t="n">
        <v>1000</v>
      </c>
      <c r="F72" s="17" t="n">
        <v>0.5</v>
      </c>
      <c r="G72" s="17">
        <f>IF(F72="","",E72*F72)</f>
        <v/>
      </c>
      <c r="H72" s="17">
        <f>IFERROR(IF(VLOOKUP("فينكا روزا",'قائمة الأسعار الموحدة'!$B$3:$E$71,4,FALSE)="",F72,VLOOKUP("فينكا روزا",'قائمة الأسعار الموحدة'!$B$3:$E$71,4,FALSE)),F72)</f>
        <v/>
      </c>
      <c r="I72" s="17">
        <f>IF(H72="","",E72*H72)</f>
        <v/>
      </c>
      <c r="J72" s="17">
        <f>IF(OR(G72="",I72=""),"",G72-I72)</f>
        <v/>
      </c>
      <c r="K72" s="16" t="inlineStr"/>
    </row>
    <row r="73">
      <c r="A73" s="17" t="n">
        <v>71</v>
      </c>
      <c r="B73" s="161" t="n">
        <v>46138</v>
      </c>
      <c r="C73" s="16" t="inlineStr">
        <is>
          <t>RNP-243</t>
        </is>
      </c>
      <c r="D73" s="16" t="inlineStr">
        <is>
          <t>زهور زينيا</t>
        </is>
      </c>
      <c r="E73" s="17" t="n">
        <v>7000</v>
      </c>
      <c r="F73" s="17" t="n">
        <v>0.5</v>
      </c>
      <c r="G73" s="17">
        <f>IF(F73="","",E73*F73)</f>
        <v/>
      </c>
      <c r="H73" s="17">
        <f>IFERROR(IF(VLOOKUP("زينيا",'قائمة الأسعار الموحدة'!$B$3:$E$71,4,FALSE)="",F73,VLOOKUP("زينيا",'قائمة الأسعار الموحدة'!$B$3:$E$71,4,FALSE)),F73)</f>
        <v/>
      </c>
      <c r="I73" s="17">
        <f>IF(H73="","",E73*H73)</f>
        <v/>
      </c>
      <c r="J73" s="17">
        <f>IF(OR(G73="",I73=""),"",G73-I73)</f>
        <v/>
      </c>
      <c r="K73" s="16" t="inlineStr"/>
    </row>
    <row r="74">
      <c r="A74" s="17" t="n">
        <v>72</v>
      </c>
      <c r="B74" s="161" t="n">
        <v>46138</v>
      </c>
      <c r="C74" s="16" t="inlineStr">
        <is>
          <t>RNP-243</t>
        </is>
      </c>
      <c r="D74" s="16" t="inlineStr">
        <is>
          <t>زهور امرانتس</t>
        </is>
      </c>
      <c r="E74" s="17" t="n">
        <v>1000</v>
      </c>
      <c r="F74" s="17" t="n">
        <v>0.5</v>
      </c>
      <c r="G74" s="17">
        <f>IF(F74="","",E74*F74)</f>
        <v/>
      </c>
      <c r="H74" s="17">
        <f>IFERROR(IF(VLOOKUP("امرانتس",'قائمة الأسعار الموحدة'!$B$3:$E$71,4,FALSE)="",F74,VLOOKUP("امرانتس",'قائمة الأسعار الموحدة'!$B$3:$E$71,4,FALSE)),F74)</f>
        <v/>
      </c>
      <c r="I74" s="17">
        <f>IF(H74="","",E74*H74)</f>
        <v/>
      </c>
      <c r="J74" s="17">
        <f>IF(OR(G74="",I74=""),"",G74-I74)</f>
        <v/>
      </c>
      <c r="K74" s="16" t="inlineStr"/>
    </row>
    <row r="75">
      <c r="A75" s="17" t="n">
        <v>73</v>
      </c>
      <c r="B75" s="161" t="n">
        <v>46144</v>
      </c>
      <c r="C75" s="16" t="inlineStr">
        <is>
          <t>RNP-260</t>
        </is>
      </c>
      <c r="D75" s="16" t="inlineStr">
        <is>
          <t>زهور فينكا روزا</t>
        </is>
      </c>
      <c r="E75" s="17" t="n">
        <v>400</v>
      </c>
      <c r="F75" s="17" t="n">
        <v>0.5</v>
      </c>
      <c r="G75" s="17">
        <f>IF(F75="","",E75*F75)</f>
        <v/>
      </c>
      <c r="H75" s="17">
        <f>IFERROR(IF(VLOOKUP("فينكا روزا",'قائمة الأسعار الموحدة'!$B$3:$E$71,4,FALSE)="",F75,VLOOKUP("فينكا روزا",'قائمة الأسعار الموحدة'!$B$3:$E$71,4,FALSE)),F75)</f>
        <v/>
      </c>
      <c r="I75" s="17">
        <f>IF(H75="","",E75*H75)</f>
        <v/>
      </c>
      <c r="J75" s="17">
        <f>IF(OR(G75="",I75=""),"",G75-I75)</f>
        <v/>
      </c>
      <c r="K75" s="16" t="inlineStr"/>
    </row>
    <row r="76">
      <c r="A76" s="17" t="n">
        <v>74</v>
      </c>
      <c r="B76" s="161" t="n">
        <v>46144</v>
      </c>
      <c r="C76" s="16" t="inlineStr">
        <is>
          <t>RNP-260</t>
        </is>
      </c>
      <c r="D76" s="16" t="inlineStr">
        <is>
          <t>زهور زينيا</t>
        </is>
      </c>
      <c r="E76" s="17" t="n">
        <v>400</v>
      </c>
      <c r="F76" s="17" t="n">
        <v>0.5</v>
      </c>
      <c r="G76" s="17">
        <f>IF(F76="","",E76*F76)</f>
        <v/>
      </c>
      <c r="H76" s="17">
        <f>IFERROR(IF(VLOOKUP("زينيا",'قائمة الأسعار الموحدة'!$B$3:$E$71,4,FALSE)="",F76,VLOOKUP("زينيا",'قائمة الأسعار الموحدة'!$B$3:$E$71,4,FALSE)),F76)</f>
        <v/>
      </c>
      <c r="I76" s="17">
        <f>IF(H76="","",E76*H76)</f>
        <v/>
      </c>
      <c r="J76" s="17">
        <f>IF(OR(G76="",I76=""),"",G76-I76)</f>
        <v/>
      </c>
      <c r="K76" s="16" t="inlineStr"/>
    </row>
    <row r="77">
      <c r="A77" s="17" t="n">
        <v>75</v>
      </c>
      <c r="B77" s="161" t="n">
        <v>46147</v>
      </c>
      <c r="C77" s="16" t="inlineStr">
        <is>
          <t>RNP-266</t>
        </is>
      </c>
      <c r="D77" s="16" t="inlineStr">
        <is>
          <t>زهور فينكا روزا</t>
        </is>
      </c>
      <c r="E77" s="17" t="n">
        <v>1720</v>
      </c>
      <c r="F77" s="17" t="n">
        <v>0.5</v>
      </c>
      <c r="G77" s="17">
        <f>IF(F77="","",E77*F77)</f>
        <v/>
      </c>
      <c r="H77" s="17">
        <f>IFERROR(IF(VLOOKUP("فينكا روزا",'قائمة الأسعار الموحدة'!$B$3:$E$71,4,FALSE)="",F77,VLOOKUP("فينكا روزا",'قائمة الأسعار الموحدة'!$B$3:$E$71,4,FALSE)),F77)</f>
        <v/>
      </c>
      <c r="I77" s="17">
        <f>IF(H77="","",E77*H77)</f>
        <v/>
      </c>
      <c r="J77" s="17">
        <f>IF(OR(G77="",I77=""),"",G77-I77)</f>
        <v/>
      </c>
      <c r="K77" s="16" t="inlineStr"/>
    </row>
    <row r="78">
      <c r="A78" s="17" t="n">
        <v>76</v>
      </c>
      <c r="B78" s="161" t="n">
        <v>46147</v>
      </c>
      <c r="C78" s="16" t="inlineStr">
        <is>
          <t>RNP-266</t>
        </is>
      </c>
      <c r="D78" s="16" t="inlineStr">
        <is>
          <t>زهور جازانيا</t>
        </is>
      </c>
      <c r="E78" s="17" t="n">
        <v>1000</v>
      </c>
      <c r="F78" s="17" t="n">
        <v>0.5</v>
      </c>
      <c r="G78" s="17">
        <f>IF(F78="","",E78*F78)</f>
        <v/>
      </c>
      <c r="H78" s="19">
        <f>IFERROR(IF(VLOOKUP("جازانيا",'قائمة الأسعار الموحدة'!$B$3:$E$71,4,FALSE)="",F78,VLOOKUP("جازانيا",'قائمة الأسعار الموحدة'!$B$3:$E$71,4,FALSE)),F78)</f>
        <v/>
      </c>
      <c r="I78" s="17">
        <f>IF(H78="","",E78*H78)</f>
        <v/>
      </c>
      <c r="J78" s="17">
        <f>IF(OR(G78="",I78=""),"",G78-I78)</f>
        <v/>
      </c>
      <c r="K78" s="16" t="inlineStr"/>
    </row>
    <row r="79">
      <c r="A79" s="17" t="n">
        <v>77</v>
      </c>
      <c r="B79" s="161" t="n">
        <v>46160</v>
      </c>
      <c r="C79" s="16" t="inlineStr">
        <is>
          <t>RNP-299</t>
        </is>
      </c>
      <c r="D79" s="16" t="inlineStr">
        <is>
          <t>زهور فينكا روزا</t>
        </is>
      </c>
      <c r="E79" s="17" t="n">
        <v>26000</v>
      </c>
      <c r="F79" s="17" t="n">
        <v>0.5</v>
      </c>
      <c r="G79" s="17">
        <f>IF(F79="","",E79*F79)</f>
        <v/>
      </c>
      <c r="H79" s="17">
        <f>IFERROR(IF(VLOOKUP("فينكا روزا",'قائمة الأسعار الموحدة'!$B$3:$E$71,4,FALSE)="",F79,VLOOKUP("فينكا روزا",'قائمة الأسعار الموحدة'!$B$3:$E$71,4,FALSE)),F79)</f>
        <v/>
      </c>
      <c r="I79" s="17">
        <f>IF(H79="","",E79*H79)</f>
        <v/>
      </c>
      <c r="J79" s="17">
        <f>IF(OR(G79="",I79=""),"",G79-I79)</f>
        <v/>
      </c>
      <c r="K79" s="16" t="inlineStr"/>
    </row>
    <row r="80">
      <c r="A80" s="17" t="n">
        <v>78</v>
      </c>
      <c r="B80" s="161" t="n">
        <v>46163</v>
      </c>
      <c r="C80" s="16" t="inlineStr">
        <is>
          <t>RNP-301</t>
        </is>
      </c>
      <c r="D80" s="16" t="inlineStr">
        <is>
          <t>زهور زينيا</t>
        </is>
      </c>
      <c r="E80" s="17" t="n">
        <v>24000</v>
      </c>
      <c r="F80" s="17" t="n">
        <v>0.5</v>
      </c>
      <c r="G80" s="17">
        <f>IF(F80="","",E80*F80)</f>
        <v/>
      </c>
      <c r="H80" s="17">
        <f>IFERROR(IF(VLOOKUP("زينيا",'قائمة الأسعار الموحدة'!$B$3:$E$71,4,FALSE)="",F80,VLOOKUP("زينيا",'قائمة الأسعار الموحدة'!$B$3:$E$71,4,FALSE)),F80)</f>
        <v/>
      </c>
      <c r="I80" s="17">
        <f>IF(H80="","",E80*H80)</f>
        <v/>
      </c>
      <c r="J80" s="17">
        <f>IF(OR(G80="",I80=""),"",G80-I80)</f>
        <v/>
      </c>
      <c r="K80" s="16" t="inlineStr"/>
    </row>
    <row r="81">
      <c r="A81" s="17" t="n">
        <v>79</v>
      </c>
      <c r="B81" s="161" t="n">
        <v>46163</v>
      </c>
      <c r="C81" s="16" t="inlineStr">
        <is>
          <t>RNP-301</t>
        </is>
      </c>
      <c r="D81" s="16" t="inlineStr">
        <is>
          <t>زهور فينكا روزا</t>
        </is>
      </c>
      <c r="E81" s="17" t="n">
        <v>15500</v>
      </c>
      <c r="F81" s="17" t="n">
        <v>0.5</v>
      </c>
      <c r="G81" s="17">
        <f>IF(F81="","",E81*F81)</f>
        <v/>
      </c>
      <c r="H81" s="17">
        <f>IFERROR(IF(VLOOKUP("فينكا روزا",'قائمة الأسعار الموحدة'!$B$3:$E$71,4,FALSE)="",F81,VLOOKUP("فينكا روزا",'قائمة الأسعار الموحدة'!$B$3:$E$71,4,FALSE)),F81)</f>
        <v/>
      </c>
      <c r="I81" s="17">
        <f>IF(H81="","",E81*H81)</f>
        <v/>
      </c>
      <c r="J81" s="17">
        <f>IF(OR(G81="",I81=""),"",G81-I81)</f>
        <v/>
      </c>
      <c r="K81" s="16" t="inlineStr"/>
    </row>
    <row r="82">
      <c r="A82" s="17" t="n">
        <v>80</v>
      </c>
      <c r="B82" s="161" t="n">
        <v>46184</v>
      </c>
      <c r="C82" s="16" t="inlineStr">
        <is>
          <t>NS-0759</t>
        </is>
      </c>
      <c r="D82" s="16" t="inlineStr">
        <is>
          <t>زهور فينكا روزا</t>
        </is>
      </c>
      <c r="E82" s="17" t="n">
        <v>4000</v>
      </c>
      <c r="F82" s="17" t="n">
        <v>0.5</v>
      </c>
      <c r="G82" s="17">
        <f>IF(F82="","",E82*F82)</f>
        <v/>
      </c>
      <c r="H82" s="17">
        <f>IFERROR(IF(VLOOKUP("فينكا روزا",'قائمة الأسعار الموحدة'!$B$3:$E$71,4,FALSE)="",F82,VLOOKUP("فينكا روزا",'قائمة الأسعار الموحدة'!$B$3:$E$71,4,FALSE)),F82)</f>
        <v/>
      </c>
      <c r="I82" s="17">
        <f>IF(H82="","",E82*H82)</f>
        <v/>
      </c>
      <c r="J82" s="17">
        <f>IF(OR(G82="",I82=""),"",G82-I82)</f>
        <v/>
      </c>
      <c r="K82" s="16" t="inlineStr"/>
    </row>
    <row r="83">
      <c r="A83" s="17" t="n">
        <v>81</v>
      </c>
      <c r="B83" s="161" t="n">
        <v>46184</v>
      </c>
      <c r="C83" s="16" t="inlineStr">
        <is>
          <t>NS-575</t>
        </is>
      </c>
      <c r="D83" s="16" t="inlineStr">
        <is>
          <t>زهور زينيا</t>
        </is>
      </c>
      <c r="E83" s="17" t="n">
        <v>1200</v>
      </c>
      <c r="F83" s="17" t="n">
        <v>0.5</v>
      </c>
      <c r="G83" s="17">
        <f>IF(F83="","",E83*F83)</f>
        <v/>
      </c>
      <c r="H83" s="17">
        <f>IFERROR(IF(VLOOKUP("زينيا",'قائمة الأسعار الموحدة'!$B$3:$E$71,4,FALSE)="",F83,VLOOKUP("زينيا",'قائمة الأسعار الموحدة'!$B$3:$E$71,4,FALSE)),F83)</f>
        <v/>
      </c>
      <c r="I83" s="17">
        <f>IF(H83="","",E83*H83)</f>
        <v/>
      </c>
      <c r="J83" s="17">
        <f>IF(OR(G83="",I83=""),"",G83-I83)</f>
        <v/>
      </c>
      <c r="K83" s="16" t="inlineStr"/>
    </row>
    <row r="84">
      <c r="A84" s="17" t="n">
        <v>82</v>
      </c>
      <c r="B84" s="161" t="n">
        <v>46184</v>
      </c>
      <c r="C84" s="16" t="inlineStr">
        <is>
          <t>NS-575</t>
        </is>
      </c>
      <c r="D84" s="16" t="inlineStr">
        <is>
          <t>زهور امرانتس</t>
        </is>
      </c>
      <c r="E84" s="17" t="n">
        <v>500</v>
      </c>
      <c r="F84" s="17" t="n">
        <v>0.5</v>
      </c>
      <c r="G84" s="17">
        <f>IF(F84="","",E84*F84)</f>
        <v/>
      </c>
      <c r="H84" s="17">
        <f>IFERROR(IF(VLOOKUP("امرانتس",'قائمة الأسعار الموحدة'!$B$3:$E$71,4,FALSE)="",F84,VLOOKUP("امرانتس",'قائمة الأسعار الموحدة'!$B$3:$E$71,4,FALSE)),F84)</f>
        <v/>
      </c>
      <c r="I84" s="17">
        <f>IF(H84="","",E84*H84)</f>
        <v/>
      </c>
      <c r="J84" s="17">
        <f>IF(OR(G84="",I84=""),"",G84-I84)</f>
        <v/>
      </c>
      <c r="K84" s="16" t="inlineStr"/>
    </row>
    <row r="85">
      <c r="A85" s="17" t="n">
        <v>83</v>
      </c>
      <c r="B85" s="161" t="n">
        <v>46184</v>
      </c>
      <c r="C85" s="16" t="inlineStr">
        <is>
          <t>NS-575</t>
        </is>
      </c>
      <c r="D85" s="16" t="inlineStr">
        <is>
          <t>زهور فضية</t>
        </is>
      </c>
      <c r="E85" s="17" t="n">
        <v>300</v>
      </c>
      <c r="F85" s="17" t="n">
        <v>0.5</v>
      </c>
      <c r="G85" s="17">
        <f>IF(F85="","",E85*F85)</f>
        <v/>
      </c>
      <c r="H85" s="17">
        <f>IFERROR(IF(VLOOKUP("فضيه",'قائمة الأسعار الموحدة'!$B$3:$E$71,4,FALSE)="",F85,VLOOKUP("فضيه",'قائمة الأسعار الموحدة'!$B$3:$E$71,4,FALSE)),F85)</f>
        <v/>
      </c>
      <c r="I85" s="17">
        <f>IF(H85="","",E85*H85)</f>
        <v/>
      </c>
      <c r="J85" s="17">
        <f>IF(OR(G85="",I85=""),"",G85-I85)</f>
        <v/>
      </c>
      <c r="K85" s="16" t="inlineStr"/>
    </row>
    <row r="86">
      <c r="A86" s="17" t="n">
        <v>84</v>
      </c>
      <c r="B86" s="161" t="n">
        <v>46184</v>
      </c>
      <c r="C86" s="16" t="inlineStr">
        <is>
          <t>ISV-0066</t>
        </is>
      </c>
      <c r="D86" s="16" t="inlineStr">
        <is>
          <t>زهور فينكا روزا</t>
        </is>
      </c>
      <c r="E86" s="17" t="n">
        <v>40000</v>
      </c>
      <c r="F86" s="17" t="n">
        <v>0.5</v>
      </c>
      <c r="G86" s="17">
        <f>IF(F86="","",E86*F86)</f>
        <v/>
      </c>
      <c r="H86" s="17">
        <f>IFERROR(IF(VLOOKUP("فينكا روزا",'قائمة الأسعار الموحدة'!$B$3:$E$71,4,FALSE)="",F86,VLOOKUP("فينكا روزا",'قائمة الأسعار الموحدة'!$B$3:$E$71,4,FALSE)),F86)</f>
        <v/>
      </c>
      <c r="I86" s="17">
        <f>IF(H86="","",E86*H86)</f>
        <v/>
      </c>
      <c r="J86" s="17">
        <f>IF(OR(G86="",I86=""),"",G86-I86)</f>
        <v/>
      </c>
      <c r="K86" s="16" t="inlineStr"/>
    </row>
    <row r="87">
      <c r="A87" s="17" t="n">
        <v>85</v>
      </c>
      <c r="B87" s="161" t="n">
        <v>46187</v>
      </c>
      <c r="C87" s="16" t="inlineStr">
        <is>
          <t>NS-0755</t>
        </is>
      </c>
      <c r="D87" s="16" t="inlineStr">
        <is>
          <t>زهور فينكا روزا</t>
        </is>
      </c>
      <c r="E87" s="17" t="n">
        <v>3500</v>
      </c>
      <c r="F87" s="17" t="n">
        <v>0.5</v>
      </c>
      <c r="G87" s="17">
        <f>IF(F87="","",E87*F87)</f>
        <v/>
      </c>
      <c r="H87" s="17">
        <f>IFERROR(IF(VLOOKUP("فينكا روزا",'قائمة الأسعار الموحدة'!$B$3:$E$71,4,FALSE)="",F87,VLOOKUP("فينكا روزا",'قائمة الأسعار الموحدة'!$B$3:$E$71,4,FALSE)),F87)</f>
        <v/>
      </c>
      <c r="I87" s="17">
        <f>IF(H87="","",E87*H87)</f>
        <v/>
      </c>
      <c r="J87" s="17">
        <f>IF(OR(G87="",I87=""),"",G87-I87)</f>
        <v/>
      </c>
      <c r="K87" s="16" t="inlineStr"/>
    </row>
    <row r="88">
      <c r="A88" s="17" t="n">
        <v>86</v>
      </c>
      <c r="B88" s="161" t="n">
        <v>46187</v>
      </c>
      <c r="C88" s="16" t="inlineStr">
        <is>
          <t>NS-0755</t>
        </is>
      </c>
      <c r="D88" s="16" t="inlineStr">
        <is>
          <t>زهور زينيا</t>
        </is>
      </c>
      <c r="E88" s="17" t="n">
        <v>3500</v>
      </c>
      <c r="F88" s="17" t="n">
        <v>0.5</v>
      </c>
      <c r="G88" s="17">
        <f>IF(F88="","",E88*F88)</f>
        <v/>
      </c>
      <c r="H88" s="17">
        <f>IFERROR(IF(VLOOKUP("زينيا",'قائمة الأسعار الموحدة'!$B$3:$E$71,4,FALSE)="",F88,VLOOKUP("زينيا",'قائمة الأسعار الموحدة'!$B$3:$E$71,4,FALSE)),F88)</f>
        <v/>
      </c>
      <c r="I88" s="17">
        <f>IF(H88="","",E88*H88)</f>
        <v/>
      </c>
      <c r="J88" s="17">
        <f>IF(OR(G88="",I88=""),"",G88-I88)</f>
        <v/>
      </c>
      <c r="K88" s="16" t="inlineStr"/>
    </row>
    <row r="89">
      <c r="A89" s="17" t="n">
        <v>87</v>
      </c>
      <c r="B89" s="161" t="n">
        <v>46187</v>
      </c>
      <c r="C89" s="16" t="inlineStr">
        <is>
          <t>NS-0755</t>
        </is>
      </c>
      <c r="D89" s="16" t="inlineStr">
        <is>
          <t>اكاسيا جلوكا من 1 - 2 متر</t>
        </is>
      </c>
      <c r="E89" s="17" t="n">
        <v>6</v>
      </c>
      <c r="F89" s="17" t="n">
        <v>25</v>
      </c>
      <c r="G89" s="17">
        <f>IF(F89="","",E89*F89)</f>
        <v/>
      </c>
      <c r="H89" s="19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17">
        <f>IF(H89="","",E89*H89)</f>
        <v/>
      </c>
      <c r="J89" s="17">
        <f>IF(OR(G89="",I89=""),"",G89-I89)</f>
        <v/>
      </c>
      <c r="K89" s="16" t="inlineStr"/>
    </row>
    <row r="90">
      <c r="A90" s="17" t="n">
        <v>88</v>
      </c>
      <c r="B90" s="161" t="n">
        <v>46187</v>
      </c>
      <c r="C90" s="16" t="inlineStr">
        <is>
          <t>NS-0755</t>
        </is>
      </c>
      <c r="D90" s="16" t="inlineStr">
        <is>
          <t>كف مريم 1.5 : 2 م</t>
        </is>
      </c>
      <c r="E90" s="17" t="n">
        <v>6</v>
      </c>
      <c r="F90" s="17" t="n">
        <v>5.5</v>
      </c>
      <c r="G90" s="17">
        <f>IF(F90="","",E90*F90)</f>
        <v/>
      </c>
      <c r="H90" s="19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17">
        <f>IF(H90="","",E90*H90)</f>
        <v/>
      </c>
      <c r="J90" s="17">
        <f>IF(OR(G90="",I90=""),"",G90-I90)</f>
        <v/>
      </c>
      <c r="K90" s="16" t="inlineStr"/>
    </row>
    <row r="91">
      <c r="A91" s="17" t="n">
        <v>89</v>
      </c>
      <c r="B91" s="161" t="n">
        <v>46197</v>
      </c>
      <c r="C91" s="16" t="inlineStr">
        <is>
          <t>NS-0755</t>
        </is>
      </c>
      <c r="D91" s="16" t="inlineStr">
        <is>
          <t>جهنمية كروية تايلندي كبير</t>
        </is>
      </c>
      <c r="E91" s="17" t="n">
        <v>5</v>
      </c>
      <c r="F91" s="17" t="n">
        <v>300</v>
      </c>
      <c r="G91" s="17">
        <f>IF(F91="","",E91*F91)</f>
        <v/>
      </c>
      <c r="H91" s="19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17">
        <f>IF(H91="","",E91*H91)</f>
        <v/>
      </c>
      <c r="J91" s="17">
        <f>IF(OR(G91="",I91=""),"",G91-I91)</f>
        <v/>
      </c>
      <c r="K91" s="16" t="inlineStr"/>
    </row>
    <row r="92">
      <c r="A92" s="17" t="n">
        <v>90</v>
      </c>
      <c r="B92" s="161" t="n">
        <v>46187</v>
      </c>
      <c r="C92" s="16" t="inlineStr">
        <is>
          <t>NS-588</t>
        </is>
      </c>
      <c r="D92" s="16" t="inlineStr">
        <is>
          <t>زهور زينيا</t>
        </is>
      </c>
      <c r="E92" s="17" t="n">
        <v>3500</v>
      </c>
      <c r="F92" s="17" t="n">
        <v>0.5</v>
      </c>
      <c r="G92" s="17">
        <f>IF(F92="","",E92*F92)</f>
        <v/>
      </c>
      <c r="H92" s="17">
        <f>IFERROR(IF(VLOOKUP("زينيا",'قائمة الأسعار الموحدة'!$B$3:$E$71,4,FALSE)="",F92,VLOOKUP("زينيا",'قائمة الأسعار الموحدة'!$B$3:$E$71,4,FALSE)),F92)</f>
        <v/>
      </c>
      <c r="I92" s="17">
        <f>IF(H92="","",E92*H92)</f>
        <v/>
      </c>
      <c r="J92" s="17">
        <f>IF(OR(G92="",I92=""),"",G92-I92)</f>
        <v/>
      </c>
      <c r="K92" s="16" t="inlineStr"/>
    </row>
    <row r="93">
      <c r="A93" s="17" t="n">
        <v>91</v>
      </c>
      <c r="B93" s="161" t="n">
        <v>46190</v>
      </c>
      <c r="C93" s="16" t="inlineStr">
        <is>
          <t>ISV-0017</t>
        </is>
      </c>
      <c r="D93" s="16" t="inlineStr">
        <is>
          <t>جهنمية كروية تايلندي صغير</t>
        </is>
      </c>
      <c r="E93" s="17" t="n">
        <v>2</v>
      </c>
      <c r="F93" s="17" t="n">
        <v>250</v>
      </c>
      <c r="G93" s="17">
        <f>IF(F93="","",E93*F93)</f>
        <v/>
      </c>
      <c r="H93" s="19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17">
        <f>IF(H93="","",E93*H93)</f>
        <v/>
      </c>
      <c r="J93" s="17">
        <f>IF(OR(G93="",I93=""),"",G93-I93)</f>
        <v/>
      </c>
      <c r="K93" s="16" t="inlineStr"/>
    </row>
    <row r="94">
      <c r="A94" s="17" t="n">
        <v>92</v>
      </c>
      <c r="B94" s="161" t="n">
        <v>46195</v>
      </c>
      <c r="C94" s="16" t="inlineStr">
        <is>
          <t>NS-0786</t>
        </is>
      </c>
      <c r="D94" s="16" t="inlineStr">
        <is>
          <t>اكاسيا جلوكا من 1 - 2 متر</t>
        </is>
      </c>
      <c r="E94" s="17" t="n">
        <v>150</v>
      </c>
      <c r="F94" s="17" t="n">
        <v>25</v>
      </c>
      <c r="G94" s="17">
        <f>IF(F94="","",E94*F94)</f>
        <v/>
      </c>
      <c r="H94" s="19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17">
        <f>IF(H94="","",E94*H94)</f>
        <v/>
      </c>
      <c r="J94" s="17">
        <f>IF(OR(G94="",I94=""),"",G94-I94)</f>
        <v/>
      </c>
      <c r="K94" s="16" t="inlineStr"/>
    </row>
    <row r="95">
      <c r="A95" s="17" t="n">
        <v>93</v>
      </c>
      <c r="B95" s="161" t="n">
        <v>46200</v>
      </c>
      <c r="C95" s="16" t="inlineStr">
        <is>
          <t>NS-471</t>
        </is>
      </c>
      <c r="D95" s="16" t="inlineStr">
        <is>
          <t>زهور فينكا روزا</t>
        </is>
      </c>
      <c r="E95" s="17" t="n">
        <v>8000</v>
      </c>
      <c r="F95" s="17" t="n">
        <v>0.5</v>
      </c>
      <c r="G95" s="17">
        <f>IF(F95="","",E95*F95)</f>
        <v/>
      </c>
      <c r="H95" s="17">
        <f>IFERROR(IF(VLOOKUP("فينكا روزا",'قائمة الأسعار الموحدة'!$B$3:$E$71,4,FALSE)="",F95,VLOOKUP("فينكا روزا",'قائمة الأسعار الموحدة'!$B$3:$E$71,4,FALSE)),F95)</f>
        <v/>
      </c>
      <c r="I95" s="17">
        <f>IF(H95="","",E95*H95)</f>
        <v/>
      </c>
      <c r="J95" s="17">
        <f>IF(OR(G95="",I95=""),"",G95-I95)</f>
        <v/>
      </c>
      <c r="K95" s="16" t="inlineStr"/>
    </row>
    <row r="96">
      <c r="A96" s="17" t="n">
        <v>94</v>
      </c>
      <c r="B96" s="161" t="n">
        <v>46201</v>
      </c>
      <c r="C96" s="16" t="inlineStr">
        <is>
          <t>NS-470</t>
        </is>
      </c>
      <c r="D96" s="16" t="inlineStr">
        <is>
          <t>زهور فينكا روزا</t>
        </is>
      </c>
      <c r="E96" s="17" t="n">
        <v>35500</v>
      </c>
      <c r="F96" s="17" t="n">
        <v>0.5</v>
      </c>
      <c r="G96" s="17">
        <f>IF(F96="","",E96*F96)</f>
        <v/>
      </c>
      <c r="H96" s="17">
        <f>IFERROR(IF(VLOOKUP("فينكا روزا",'قائمة الأسعار الموحدة'!$B$3:$E$71,4,FALSE)="",F96,VLOOKUP("فينكا روزا",'قائمة الأسعار الموحدة'!$B$3:$E$71,4,FALSE)),F96)</f>
        <v/>
      </c>
      <c r="I96" s="17">
        <f>IF(H96="","",E96*H96)</f>
        <v/>
      </c>
      <c r="J96" s="17">
        <f>IF(OR(G96="",I96=""),"",G96-I96)</f>
        <v/>
      </c>
      <c r="K96" s="16" t="inlineStr"/>
    </row>
    <row r="97">
      <c r="A97" s="17" t="n">
        <v>95</v>
      </c>
      <c r="B97" s="161" t="n">
        <v>46205</v>
      </c>
      <c r="C97" s="16" t="inlineStr">
        <is>
          <t>ISV-0073</t>
        </is>
      </c>
      <c r="D97" s="16" t="inlineStr">
        <is>
          <t>زهور فينكا روزا</t>
        </is>
      </c>
      <c r="E97" s="17" t="n">
        <v>10000</v>
      </c>
      <c r="F97" s="17" t="n">
        <v>0.5</v>
      </c>
      <c r="G97" s="17">
        <f>IF(F97="","",E97*F97)</f>
        <v/>
      </c>
      <c r="H97" s="17">
        <f>IFERROR(IF(VLOOKUP("فينكا روزا",'قائمة الأسعار الموحدة'!$B$3:$E$71,4,FALSE)="",F97,VLOOKUP("فينكا روزا",'قائمة الأسعار الموحدة'!$B$3:$E$71,4,FALSE)),F97)</f>
        <v/>
      </c>
      <c r="I97" s="17">
        <f>IF(H97="","",E97*H97)</f>
        <v/>
      </c>
      <c r="J97" s="17">
        <f>IF(OR(G97="",I97=""),"",G97-I97)</f>
        <v/>
      </c>
      <c r="K97" s="16" t="inlineStr"/>
    </row>
    <row r="98">
      <c r="A98" s="17" t="n">
        <v>96</v>
      </c>
      <c r="B98" s="161" t="n">
        <v>46209</v>
      </c>
      <c r="C98" s="16" t="inlineStr">
        <is>
          <t>NS-0807</t>
        </is>
      </c>
      <c r="D98" s="16" t="inlineStr">
        <is>
          <t>زهور فينكا روزا</t>
        </is>
      </c>
      <c r="E98" s="17" t="n">
        <v>1300</v>
      </c>
      <c r="F98" s="17" t="n">
        <v>0.5</v>
      </c>
      <c r="G98" s="17">
        <f>IF(F98="","",E98*F98)</f>
        <v/>
      </c>
      <c r="H98" s="17">
        <f>IFERROR(IF(VLOOKUP("فينكا روزا",'قائمة الأسعار الموحدة'!$B$3:$E$71,4,FALSE)="",F98,VLOOKUP("فينكا روزا",'قائمة الأسعار الموحدة'!$B$3:$E$71,4,FALSE)),F98)</f>
        <v/>
      </c>
      <c r="I98" s="17">
        <f>IF(H98="","",E98*H98)</f>
        <v/>
      </c>
      <c r="J98" s="17">
        <f>IF(OR(G98="",I98=""),"",G98-I98)</f>
        <v/>
      </c>
      <c r="K98" s="16" t="inlineStr"/>
    </row>
    <row r="99">
      <c r="A99" s="17" t="n">
        <v>97</v>
      </c>
      <c r="B99" s="161" t="n">
        <v>46209</v>
      </c>
      <c r="C99" s="16" t="inlineStr">
        <is>
          <t>NS-0807</t>
        </is>
      </c>
      <c r="D99" s="16" t="inlineStr">
        <is>
          <t>تراديسكانتيا مركن 19 علاقي</t>
        </is>
      </c>
      <c r="E99" s="17" t="n">
        <v>25</v>
      </c>
      <c r="F99" s="17" t="n">
        <v>10</v>
      </c>
      <c r="G99" s="17">
        <f>IF(F99="","",E99*F99)</f>
        <v/>
      </c>
      <c r="H99" s="19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17">
        <f>IF(H99="","",E99*H99)</f>
        <v/>
      </c>
      <c r="J99" s="17">
        <f>IF(OR(G99="",I99=""),"",G99-I99)</f>
        <v/>
      </c>
      <c r="K99" s="16" t="inlineStr"/>
    </row>
    <row r="100">
      <c r="A100" s="17" t="n">
        <v>98</v>
      </c>
      <c r="B100" s="161" t="n">
        <v>46209</v>
      </c>
      <c r="C100" s="16" t="inlineStr">
        <is>
          <t>NS-0807</t>
        </is>
      </c>
      <c r="D100" s="16" t="inlineStr">
        <is>
          <t>نخيل سايكس 40 سم</t>
        </is>
      </c>
      <c r="E100" s="17" t="n">
        <v>3</v>
      </c>
      <c r="F100" s="17" t="n">
        <v>400</v>
      </c>
      <c r="G100" s="17">
        <f>IF(F100="","",E100*F100)</f>
        <v/>
      </c>
      <c r="H100" s="19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17">
        <f>IF(H100="","",E100*H100)</f>
        <v/>
      </c>
      <c r="J100" s="17">
        <f>IF(OR(G100="",I100=""),"",G100-I100)</f>
        <v/>
      </c>
      <c r="K100" s="16" t="inlineStr"/>
    </row>
    <row r="101">
      <c r="A101" s="17" t="n">
        <v>99</v>
      </c>
      <c r="B101" s="161" t="n">
        <v>46214</v>
      </c>
      <c r="C101" s="16" t="inlineStr">
        <is>
          <t>ISV-0090</t>
        </is>
      </c>
      <c r="D101" s="16" t="inlineStr">
        <is>
          <t>زهور فينكا روزا</t>
        </is>
      </c>
      <c r="E101" s="17" t="n">
        <v>1800</v>
      </c>
      <c r="F101" s="17" t="n">
        <v>0.5</v>
      </c>
      <c r="G101" s="17">
        <f>IF(F101="","",E101*F101)</f>
        <v/>
      </c>
      <c r="H101" s="17">
        <f>IFERROR(IF(VLOOKUP("فينكا روزا",'قائمة الأسعار الموحدة'!$B$3:$E$71,4,FALSE)="",F101,VLOOKUP("فينكا روزا",'قائمة الأسعار الموحدة'!$B$3:$E$71,4,FALSE)),F101)</f>
        <v/>
      </c>
      <c r="I101" s="17">
        <f>IF(H101="","",E101*H101)</f>
        <v/>
      </c>
      <c r="J101" s="17">
        <f>IF(OR(G101="",I101=""),"",G101-I101)</f>
        <v/>
      </c>
      <c r="K101" s="16" t="inlineStr"/>
    </row>
    <row r="102">
      <c r="A102" s="17" t="n">
        <v>100</v>
      </c>
      <c r="B102" s="161" t="n">
        <v>46214</v>
      </c>
      <c r="C102" s="16" t="inlineStr">
        <is>
          <t>ISV-0091</t>
        </is>
      </c>
      <c r="D102" s="16" t="inlineStr">
        <is>
          <t>زهور فينكا روزا</t>
        </is>
      </c>
      <c r="E102" s="17" t="n">
        <v>600</v>
      </c>
      <c r="F102" s="17" t="n">
        <v>0.5</v>
      </c>
      <c r="G102" s="17">
        <f>IF(F102="","",E102*F102)</f>
        <v/>
      </c>
      <c r="H102" s="17">
        <f>IFERROR(IF(VLOOKUP("فينكا روزا",'قائمة الأسعار الموحدة'!$B$3:$E$71,4,FALSE)="",F102,VLOOKUP("فينكا روزا",'قائمة الأسعار الموحدة'!$B$3:$E$71,4,FALSE)),F102)</f>
        <v/>
      </c>
      <c r="I102" s="17">
        <f>IF(H102="","",E102*H102)</f>
        <v/>
      </c>
      <c r="J102" s="17">
        <f>IF(OR(G102="",I102=""),"",G102-I102)</f>
        <v/>
      </c>
      <c r="K102" s="16" t="inlineStr"/>
    </row>
    <row r="103">
      <c r="A103" s="17" t="n">
        <v>101</v>
      </c>
      <c r="B103" s="161" t="n">
        <v>46214</v>
      </c>
      <c r="C103" s="16" t="inlineStr">
        <is>
          <t>ISV-0092</t>
        </is>
      </c>
      <c r="D103" s="16" t="inlineStr">
        <is>
          <t>زهور فينكا روزا</t>
        </is>
      </c>
      <c r="E103" s="17" t="n">
        <v>1500</v>
      </c>
      <c r="F103" s="17" t="n">
        <v>0.5</v>
      </c>
      <c r="G103" s="17">
        <f>IF(F103="","",E103*F103)</f>
        <v/>
      </c>
      <c r="H103" s="17">
        <f>IFERROR(IF(VLOOKUP("فينكا روزا",'قائمة الأسعار الموحدة'!$B$3:$E$71,4,FALSE)="",F103,VLOOKUP("فينكا روزا",'قائمة الأسعار الموحدة'!$B$3:$E$71,4,FALSE)),F103)</f>
        <v/>
      </c>
      <c r="I103" s="17">
        <f>IF(H103="","",E103*H103)</f>
        <v/>
      </c>
      <c r="J103" s="17">
        <f>IF(OR(G103="",I103=""),"",G103-I103)</f>
        <v/>
      </c>
      <c r="K103" s="16" t="inlineStr"/>
    </row>
    <row r="104">
      <c r="A104" s="17" t="n">
        <v>102</v>
      </c>
      <c r="B104" s="161" t="n">
        <v>46214</v>
      </c>
      <c r="C104" s="16" t="inlineStr">
        <is>
          <t>RNT - 205</t>
        </is>
      </c>
      <c r="D104" s="16" t="inlineStr">
        <is>
          <t>سكندابسس مركن 19 علاقي</t>
        </is>
      </c>
      <c r="E104" s="17" t="n">
        <v>300</v>
      </c>
      <c r="F104" s="17" t="n">
        <v>10</v>
      </c>
      <c r="G104" s="17">
        <f>IF(F104="","",E104*F104)</f>
        <v/>
      </c>
      <c r="H104" s="19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17">
        <f>IF(H104="","",E104*H104)</f>
        <v/>
      </c>
      <c r="J104" s="17">
        <f>IF(OR(G104="",I104=""),"",G104-I104)</f>
        <v/>
      </c>
      <c r="K104" s="16" t="inlineStr"/>
    </row>
    <row r="105">
      <c r="A105" s="17" t="n">
        <v>103</v>
      </c>
      <c r="B105" s="161" t="n">
        <v>46214</v>
      </c>
      <c r="C105" s="16" t="inlineStr">
        <is>
          <t>RNT - 205</t>
        </is>
      </c>
      <c r="D105" s="16" t="inlineStr">
        <is>
          <t>هيدرا علاقي مركن 19</t>
        </is>
      </c>
      <c r="E105" s="17" t="n">
        <v>100</v>
      </c>
      <c r="F105" s="17" t="n">
        <v>10</v>
      </c>
      <c r="G105" s="17">
        <f>IF(F105="","",E105*F105)</f>
        <v/>
      </c>
      <c r="H105" s="19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17">
        <f>IF(H105="","",E105*H105)</f>
        <v/>
      </c>
      <c r="J105" s="17">
        <f>IF(OR(G105="",I105=""),"",G105-I105)</f>
        <v/>
      </c>
      <c r="K105" s="16" t="inlineStr"/>
    </row>
    <row r="106">
      <c r="A106" s="17" t="n">
        <v>104</v>
      </c>
      <c r="B106" s="161" t="n">
        <v>46214</v>
      </c>
      <c r="C106" s="16" t="inlineStr">
        <is>
          <t>RNT - 205</t>
        </is>
      </c>
      <c r="D106" s="16" t="inlineStr">
        <is>
          <t xml:space="preserve">سيسلبانيا 1 - 2 متر </t>
        </is>
      </c>
      <c r="E106" s="17" t="n">
        <v>240</v>
      </c>
      <c r="F106" s="17" t="n">
        <v>25.5</v>
      </c>
      <c r="G106" s="17">
        <f>IF(F106="","",E106*F106)</f>
        <v/>
      </c>
      <c r="H106" s="19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17">
        <f>IF(H106="","",E106*H106)</f>
        <v/>
      </c>
      <c r="J106" s="17">
        <f>IF(OR(G106="",I106=""),"",G106-I106)</f>
        <v/>
      </c>
      <c r="K106" s="16" t="inlineStr"/>
    </row>
    <row r="107">
      <c r="A107" s="17" t="n">
        <v>105</v>
      </c>
      <c r="B107" s="161" t="n">
        <v>46229</v>
      </c>
      <c r="C107" s="16" t="inlineStr">
        <is>
          <t>ISV-0127</t>
        </is>
      </c>
      <c r="D107" s="16" t="inlineStr">
        <is>
          <t>زهور فينكا روزا</t>
        </is>
      </c>
      <c r="E107" s="17" t="n">
        <v>2720</v>
      </c>
      <c r="F107" s="17" t="n">
        <v>0.5</v>
      </c>
      <c r="G107" s="17">
        <f>IF(F107="","",E107*F107)</f>
        <v/>
      </c>
      <c r="H107" s="17">
        <f>IFERROR(IF(VLOOKUP("فينكا روزا",'قائمة الأسعار الموحدة'!$B$3:$E$71,4,FALSE)="",F107,VLOOKUP("فينكا روزا",'قائمة الأسعار الموحدة'!$B$3:$E$71,4,FALSE)),F107)</f>
        <v/>
      </c>
      <c r="I107" s="17">
        <f>IF(H107="","",E107*H107)</f>
        <v/>
      </c>
      <c r="J107" s="17">
        <f>IF(OR(G107="",I107=""),"",G107-I107)</f>
        <v/>
      </c>
      <c r="K107" s="16" t="inlineStr"/>
    </row>
    <row r="108">
      <c r="A108" s="17" t="n">
        <v>106</v>
      </c>
      <c r="B108" s="161" t="n">
        <v>46229</v>
      </c>
      <c r="C108" s="16" t="inlineStr">
        <is>
          <t>ISV-0128</t>
        </is>
      </c>
      <c r="D108" s="16" t="inlineStr">
        <is>
          <t>زهور فينكا روزا</t>
        </is>
      </c>
      <c r="E108" s="17" t="n">
        <v>4700</v>
      </c>
      <c r="F108" s="17" t="n">
        <v>0.5</v>
      </c>
      <c r="G108" s="17">
        <f>IF(F108="","",E108*F108)</f>
        <v/>
      </c>
      <c r="H108" s="17">
        <f>IFERROR(IF(VLOOKUP("فينكا روزا",'قائمة الأسعار الموحدة'!$B$3:$E$71,4,FALSE)="",F108,VLOOKUP("فينكا روزا",'قائمة الأسعار الموحدة'!$B$3:$E$71,4,FALSE)),F108)</f>
        <v/>
      </c>
      <c r="I108" s="17">
        <f>IF(H108="","",E108*H108)</f>
        <v/>
      </c>
      <c r="J108" s="17">
        <f>IF(OR(G108="",I108=""),"",G108-I108)</f>
        <v/>
      </c>
      <c r="K108" s="16" t="inlineStr"/>
    </row>
    <row r="109">
      <c r="A109" s="17" t="n">
        <v>107</v>
      </c>
      <c r="B109" s="161" t="n">
        <v>46229</v>
      </c>
      <c r="C109" s="16" t="inlineStr">
        <is>
          <t>ISV-0128</t>
        </is>
      </c>
      <c r="D109" s="16" t="inlineStr">
        <is>
          <t>جهنمية بلدي1 متر</t>
        </is>
      </c>
      <c r="E109" s="17" t="n">
        <v>10</v>
      </c>
      <c r="F109" s="17" t="n">
        <v>6</v>
      </c>
      <c r="G109" s="17">
        <f>IF(F109="","",E109*F109)</f>
        <v/>
      </c>
      <c r="H109" s="19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17">
        <f>IF(H109="","",E109*H109)</f>
        <v/>
      </c>
      <c r="J109" s="17">
        <f>IF(OR(G109="",I109=""),"",G109-I109)</f>
        <v/>
      </c>
      <c r="K109" s="16" t="inlineStr"/>
    </row>
    <row r="110">
      <c r="A110" s="17" t="n">
        <v>108</v>
      </c>
      <c r="B110" s="161" t="n">
        <v>46229</v>
      </c>
      <c r="C110" s="16" t="inlineStr">
        <is>
          <t>ISV-0128</t>
        </is>
      </c>
      <c r="D110" s="16" t="inlineStr">
        <is>
          <t>فيكس بندا 50 سم</t>
        </is>
      </c>
      <c r="E110" s="17" t="n">
        <v>10</v>
      </c>
      <c r="F110" s="17" t="n">
        <v>10</v>
      </c>
      <c r="G110" s="17">
        <f>IF(F110="","",E110*F110)</f>
        <v/>
      </c>
      <c r="H110" s="19">
        <f>IFERROR(IF(VLOOKUP("فيكس بندا 50",'قائمة الأسعار الموحدة'!$B$3:$E$71,4,FALSE)="",F110,VLOOKUP("فيكس بندا 50",'قائمة الأسعار الموحدة'!$B$3:$E$71,4,FALSE)),F110)</f>
        <v/>
      </c>
      <c r="I110" s="17">
        <f>IF(H110="","",E110*H110)</f>
        <v/>
      </c>
      <c r="J110" s="17">
        <f>IF(OR(G110="",I110=""),"",G110-I110)</f>
        <v/>
      </c>
      <c r="K110" s="16" t="inlineStr"/>
    </row>
    <row r="111">
      <c r="A111" s="17" t="n">
        <v>109</v>
      </c>
      <c r="B111" s="161" t="n">
        <v>46214</v>
      </c>
      <c r="C111" s="16" t="inlineStr">
        <is>
          <t>TRF-0107</t>
        </is>
      </c>
      <c r="D111" s="16" t="inlineStr">
        <is>
          <t>دورانتا أخضر</t>
        </is>
      </c>
      <c r="E111" s="17" t="n">
        <v>1290</v>
      </c>
      <c r="F111" s="17" t="n">
        <v>2.5</v>
      </c>
      <c r="G111" s="17">
        <f>IF(F111="","",E111*F111)</f>
        <v/>
      </c>
      <c r="H111" s="19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17">
        <f>IF(H111="","",E111*H111)</f>
        <v/>
      </c>
      <c r="J111" s="17">
        <f>IF(OR(G111="",I111=""),"",G111-I111)</f>
        <v/>
      </c>
      <c r="K111" s="16" t="inlineStr">
        <is>
          <t>صنف موجود بالسند بالنظام وأسقطه المحاسب – أُضيف</t>
        </is>
      </c>
    </row>
    <row r="112">
      <c r="A112" s="17" t="n">
        <v>110</v>
      </c>
      <c r="B112" s="161" t="n">
        <v>46214</v>
      </c>
      <c r="C112" s="16" t="inlineStr">
        <is>
          <t>TRF-0107</t>
        </is>
      </c>
      <c r="D112" s="16" t="inlineStr">
        <is>
          <t>اكاليفا</t>
        </is>
      </c>
      <c r="E112" s="17" t="n">
        <v>60</v>
      </c>
      <c r="F112" s="17" t="n">
        <v>2.5</v>
      </c>
      <c r="G112" s="17">
        <f>IF(F112="","",E112*F112)</f>
        <v/>
      </c>
      <c r="H112" s="19">
        <f>IFERROR(IF(VLOOKUP("اكاليفا",'قائمة الأسعار الموحدة'!$B$3:$E$71,4,FALSE)="",F112,VLOOKUP("اكاليفا",'قائمة الأسعار الموحدة'!$B$3:$E$71,4,FALSE)),F112)</f>
        <v/>
      </c>
      <c r="I112" s="17">
        <f>IF(H112="","",E112*H112)</f>
        <v/>
      </c>
      <c r="J112" s="17">
        <f>IF(OR(G112="",I112=""),"",G112-I112)</f>
        <v/>
      </c>
      <c r="K112" s="16" t="inlineStr">
        <is>
          <t>صنف موجود بالسند بالنظام وأسقطه المحاسب – أُضيف</t>
        </is>
      </c>
    </row>
    <row r="113">
      <c r="A113" s="17" t="n">
        <v>111</v>
      </c>
      <c r="B113" s="161" t="n">
        <v>46214</v>
      </c>
      <c r="C113" s="16" t="inlineStr">
        <is>
          <t>TRF-0107</t>
        </is>
      </c>
      <c r="D113" s="16" t="inlineStr">
        <is>
          <t>فل بلدي</t>
        </is>
      </c>
      <c r="E113" s="17" t="n">
        <v>450</v>
      </c>
      <c r="F113" s="17" t="n">
        <v>2.5</v>
      </c>
      <c r="G113" s="17">
        <f>IF(F113="","",E113*F113)</f>
        <v/>
      </c>
      <c r="H113" s="19">
        <f>IFERROR(IF(VLOOKUP("فل بلدي",'قائمة الأسعار الموحدة'!$B$3:$E$71,4,FALSE)="",F113,VLOOKUP("فل بلدي",'قائمة الأسعار الموحدة'!$B$3:$E$71,4,FALSE)),F113)</f>
        <v/>
      </c>
      <c r="I113" s="17">
        <f>IF(H113="","",E113*H113)</f>
        <v/>
      </c>
      <c r="J113" s="17">
        <f>IF(OR(G113="",I113=""),"",G113-I113)</f>
        <v/>
      </c>
      <c r="K113" s="16" t="inlineStr">
        <is>
          <t>صنف موجود بالسند بالنظام وأسقطه المحاسب – أُضيف</t>
        </is>
      </c>
    </row>
    <row r="114">
      <c r="A114" s="17" t="n">
        <v>112</v>
      </c>
      <c r="B114" s="161" t="n">
        <v>46214</v>
      </c>
      <c r="C114" s="16" t="inlineStr">
        <is>
          <t>TRF-0107</t>
        </is>
      </c>
      <c r="D114" s="16" t="inlineStr">
        <is>
          <t>تيكوماريا 50 سم</t>
        </is>
      </c>
      <c r="E114" s="17" t="n">
        <v>2384</v>
      </c>
      <c r="F114" s="17" t="n">
        <v>2.5</v>
      </c>
      <c r="G114" s="17">
        <f>IF(F114="","",E114*F114)</f>
        <v/>
      </c>
      <c r="H114" s="19">
        <f>IFERROR(IF(VLOOKUP("تيكوماريا 50",'قائمة الأسعار الموحدة'!$B$3:$E$71,4,FALSE)="",F114,VLOOKUP("تيكوماريا 50",'قائمة الأسعار الموحدة'!$B$3:$E$71,4,FALSE)),F114)</f>
        <v/>
      </c>
      <c r="I114" s="17">
        <f>IF(H114="","",E114*H114)</f>
        <v/>
      </c>
      <c r="J114" s="17">
        <f>IF(OR(G114="",I114=""),"",G114-I114)</f>
        <v/>
      </c>
      <c r="K114" s="16" t="inlineStr">
        <is>
          <t>صنف موجود بالسند بالنظام وأسقطه المحاسب – أُضيف</t>
        </is>
      </c>
    </row>
    <row r="115">
      <c r="A115" s="17" t="n">
        <v>113</v>
      </c>
      <c r="B115" s="161" t="n">
        <v>46214</v>
      </c>
      <c r="C115" s="16" t="inlineStr">
        <is>
          <t>TRF-0107</t>
        </is>
      </c>
      <c r="D115" s="16" t="inlineStr">
        <is>
          <t>ياسمين أزرق</t>
        </is>
      </c>
      <c r="E115" s="17" t="n">
        <v>580</v>
      </c>
      <c r="F115" s="17" t="n">
        <v>2.5</v>
      </c>
      <c r="G115" s="17">
        <f>IF(F115="","",E115*F115)</f>
        <v/>
      </c>
      <c r="H115" s="19">
        <f>IFERROR(IF(VLOOKUP("ياسمين ازرق",'قائمة الأسعار الموحدة'!$B$3:$E$71,4,FALSE)="",F115,VLOOKUP("ياسمين ازرق",'قائمة الأسعار الموحدة'!$B$3:$E$71,4,FALSE)),F115)</f>
        <v/>
      </c>
      <c r="I115" s="17">
        <f>IF(H115="","",E115*H115)</f>
        <v/>
      </c>
      <c r="J115" s="17">
        <f>IF(OR(G115="",I115=""),"",G115-I115)</f>
        <v/>
      </c>
      <c r="K115" s="16" t="inlineStr">
        <is>
          <t>صنف موجود بالسند بالنظام وأسقطه المحاسب – أُضيف</t>
        </is>
      </c>
    </row>
    <row r="116">
      <c r="A116" s="17" t="n">
        <v>114</v>
      </c>
      <c r="B116" s="161" t="n">
        <v>46214</v>
      </c>
      <c r="C116" s="16" t="inlineStr">
        <is>
          <t>TRF-0107</t>
        </is>
      </c>
      <c r="D116" s="16" t="inlineStr">
        <is>
          <t>تجيل كروي مركن 9 سم</t>
        </is>
      </c>
      <c r="E116" s="17" t="n">
        <v>2400</v>
      </c>
      <c r="F116" s="17" t="n">
        <v>1.1</v>
      </c>
      <c r="G116" s="17">
        <f>IF(F116="","",E116*F116)</f>
        <v/>
      </c>
      <c r="H116" s="19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17">
        <f>IF(H116="","",E116*H116)</f>
        <v/>
      </c>
      <c r="J116" s="17">
        <f>IF(OR(G116="",I116=""),"",G116-I116)</f>
        <v/>
      </c>
      <c r="K116" s="16" t="inlineStr">
        <is>
          <t>صنف موجود بالسند بالنظام وأسقطه المحاسب – أُضيف</t>
        </is>
      </c>
    </row>
    <row r="117">
      <c r="A117" s="17" t="n">
        <v>115</v>
      </c>
      <c r="B117" s="161" t="n">
        <v>46104</v>
      </c>
      <c r="C117" s="16" t="inlineStr">
        <is>
          <t>RNT-180</t>
        </is>
      </c>
      <c r="D117" s="16" t="inlineStr">
        <is>
          <t>بيرلايت 100 لتر</t>
        </is>
      </c>
      <c r="E117" s="17" t="n">
        <v>100</v>
      </c>
      <c r="F117" s="17" t="n">
        <v>32.5</v>
      </c>
      <c r="G117" s="17">
        <f>IF(F117="","",E117*F117)</f>
        <v/>
      </c>
      <c r="H117" s="19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17">
        <f>IF(H117="","",E117*H117)</f>
        <v/>
      </c>
      <c r="J117" s="17">
        <f>IF(OR(G117="",I117=""),"",G117-I117)</f>
        <v/>
      </c>
      <c r="K117" s="16" t="inlineStr">
        <is>
          <t>صنف موجود بالسند بالنظام وأسقطه المحاسب – أُضيف</t>
        </is>
      </c>
    </row>
    <row r="118">
      <c r="A118" s="17" t="n">
        <v>116</v>
      </c>
      <c r="B118" s="161" t="n">
        <v>46187</v>
      </c>
      <c r="C118" s="16" t="inlineStr">
        <is>
          <t>ISV-0010</t>
        </is>
      </c>
      <c r="D118" s="16" t="inlineStr">
        <is>
          <t>رويليا</t>
        </is>
      </c>
      <c r="E118" s="17" t="n">
        <v>94</v>
      </c>
      <c r="F118" s="17" t="n">
        <v>2.5</v>
      </c>
      <c r="G118" s="17">
        <f>IF(F118="","",E118*F118)</f>
        <v/>
      </c>
      <c r="H118" s="19">
        <f>IFERROR(IF(VLOOKUP("رويليا",'قائمة الأسعار الموحدة'!$B$3:$E$71,4,FALSE)="",F118,VLOOKUP("رويليا",'قائمة الأسعار الموحدة'!$B$3:$E$71,4,FALSE)),F118)</f>
        <v/>
      </c>
      <c r="I118" s="17">
        <f>IF(H118="","",E118*H118)</f>
        <v/>
      </c>
      <c r="J118" s="17">
        <f>IF(OR(G118="",I118=""),"",G118-I118)</f>
        <v/>
      </c>
      <c r="K118" s="16" t="inlineStr">
        <is>
          <t>صنف موجود بالسند بالنظام وأسقطه المحاسب – أُضيف</t>
        </is>
      </c>
    </row>
    <row r="119">
      <c r="A119" s="17" t="n">
        <v>117</v>
      </c>
      <c r="B119" s="161" t="n">
        <v>46209</v>
      </c>
      <c r="C119" s="16" t="inlineStr">
        <is>
          <t>ISV-0081</t>
        </is>
      </c>
      <c r="D119" s="16" t="inlineStr">
        <is>
          <t>تيكوماريا 50 سم</t>
        </is>
      </c>
      <c r="E119" s="17" t="n">
        <v>250</v>
      </c>
      <c r="F119" s="17" t="n">
        <v>2.5</v>
      </c>
      <c r="G119" s="17">
        <f>IF(F119="","",E119*F119)</f>
        <v/>
      </c>
      <c r="H119" s="19">
        <f>IFERROR(IF(VLOOKUP("تيكوماريا 50",'قائمة الأسعار الموحدة'!$B$3:$E$71,4,FALSE)="",F119,VLOOKUP("تيكوماريا 50",'قائمة الأسعار الموحدة'!$B$3:$E$71,4,FALSE)),F119)</f>
        <v/>
      </c>
      <c r="I119" s="17">
        <f>IF(H119="","",E119*H119)</f>
        <v/>
      </c>
      <c r="J119" s="17">
        <f>IF(OR(G119="",I119=""),"",G119-I119)</f>
        <v/>
      </c>
      <c r="K119" s="16" t="inlineStr">
        <is>
          <t>صنف موجود بالسند بالنظام وأسقطه المحاسب – أُضيف</t>
        </is>
      </c>
    </row>
    <row r="120">
      <c r="A120" s="17" t="n">
        <v>118</v>
      </c>
      <c r="B120" s="161" t="n">
        <v>46057</v>
      </c>
      <c r="C120" s="16" t="inlineStr">
        <is>
          <t>RNP-3756</t>
        </is>
      </c>
      <c r="D120" s="16" t="inlineStr">
        <is>
          <t>ياسمين هندي كبير</t>
        </is>
      </c>
      <c r="E120" s="17" t="n">
        <v>20</v>
      </c>
      <c r="F120" s="17" t="n">
        <v>32.5</v>
      </c>
      <c r="G120" s="17">
        <f>IF(F120="","",E120*F120)</f>
        <v/>
      </c>
      <c r="H120" s="19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17">
        <f>IF(H120="","",E120*H120)</f>
        <v/>
      </c>
      <c r="J120" s="17">
        <f>IF(OR(G120="",I120=""),"",G120-I120)</f>
        <v/>
      </c>
      <c r="K120" s="16" t="inlineStr">
        <is>
          <t>صنف موجود بالسند بالنظام وأسقطه المحاسب – أُضيف</t>
        </is>
      </c>
    </row>
    <row r="121">
      <c r="A121" s="17" t="n">
        <v>119</v>
      </c>
      <c r="B121" s="161" t="n">
        <v>45992</v>
      </c>
      <c r="C121" s="16" t="inlineStr">
        <is>
          <t>RNT-3077</t>
        </is>
      </c>
      <c r="D121" s="16" t="inlineStr">
        <is>
          <t>زهور جيرانيوم هولندي مركن 12</t>
        </is>
      </c>
      <c r="E121" s="17" t="n">
        <v>105</v>
      </c>
      <c r="F121" s="17" t="n">
        <v>3.45</v>
      </c>
      <c r="G121" s="17">
        <f>IF(F121="","",E121*F121)</f>
        <v/>
      </c>
      <c r="H121" s="19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17">
        <f>IF(H121="","",E121*H121)</f>
        <v/>
      </c>
      <c r="J121" s="17">
        <f>IF(OR(G121="",I121=""),"",G121-I121)</f>
        <v/>
      </c>
      <c r="K121" s="16" t="inlineStr">
        <is>
          <t>أصناف من إذن الصرف المرسل (RAW OUT#65/#90) – السعر المسجل = سعر النظام التقريبي</t>
        </is>
      </c>
    </row>
    <row r="122">
      <c r="A122" s="17" t="n">
        <v>120</v>
      </c>
      <c r="B122" s="161" t="n">
        <v>45992</v>
      </c>
      <c r="C122" s="16" t="inlineStr">
        <is>
          <t>RNT-3077</t>
        </is>
      </c>
      <c r="D122" s="16" t="inlineStr">
        <is>
          <t>كمبوست 10 ك</t>
        </is>
      </c>
      <c r="E122" s="17" t="n">
        <v>51</v>
      </c>
      <c r="F122" s="17" t="n">
        <v>2</v>
      </c>
      <c r="G122" s="17">
        <f>IF(F122="","",E122*F122)</f>
        <v/>
      </c>
      <c r="H122" s="19">
        <f>IFERROR(IF(VLOOKUP("كمبوست 10 ك",'قائمة الأسعار الموحدة'!$B$3:$E$71,4,FALSE)="",F122,VLOOKUP("كمبوست 10 ك",'قائمة الأسعار الموحدة'!$B$3:$E$71,4,FALSE)),F122)</f>
        <v/>
      </c>
      <c r="I122" s="17">
        <f>IF(H122="","",E122*H122)</f>
        <v/>
      </c>
      <c r="J122" s="17">
        <f>IF(OR(G122="",I122=""),"",G122-I122)</f>
        <v/>
      </c>
      <c r="K122" s="16" t="inlineStr">
        <is>
          <t>أصناف من إذن الصرف المرسل (RAW OUT#65/#90) – السعر المسجل = سعر النظام التقريبي</t>
        </is>
      </c>
    </row>
    <row r="123">
      <c r="A123" s="17" t="n">
        <v>121</v>
      </c>
      <c r="B123" s="161" t="n">
        <v>45992</v>
      </c>
      <c r="C123" s="16" t="inlineStr">
        <is>
          <t>RNT-3077</t>
        </is>
      </c>
      <c r="D123" s="16" t="inlineStr">
        <is>
          <t>بيرلايت 100 لتر</t>
        </is>
      </c>
      <c r="E123" s="17" t="n">
        <v>100</v>
      </c>
      <c r="F123" s="17" t="n">
        <v>32.5</v>
      </c>
      <c r="G123" s="17">
        <f>IF(F123="","",E123*F123)</f>
        <v/>
      </c>
      <c r="H123" s="19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17">
        <f>IF(H123="","",E123*H123)</f>
        <v/>
      </c>
      <c r="J123" s="17">
        <f>IF(OR(G123="",I123=""),"",G123-I123)</f>
        <v/>
      </c>
      <c r="K123" s="16" t="inlineStr">
        <is>
          <t>أصناف من إذن الصرف المرسل (RAW OUT#65/#90) – السعر المسجل = سعر النظام التقريبي</t>
        </is>
      </c>
    </row>
    <row r="124">
      <c r="A124" s="17" t="n">
        <v>122</v>
      </c>
      <c r="B124" s="161" t="n">
        <v>46016</v>
      </c>
      <c r="C124" s="16" t="inlineStr">
        <is>
          <t>RNT-3346</t>
        </is>
      </c>
      <c r="D124" s="16" t="inlineStr">
        <is>
          <t>زهور ماري جولد</t>
        </is>
      </c>
      <c r="E124" s="17" t="n">
        <v>600</v>
      </c>
      <c r="F124" s="17" t="n">
        <v>0.5</v>
      </c>
      <c r="G124" s="17">
        <f>IF(F124="","",E124*F124)</f>
        <v/>
      </c>
      <c r="H124" s="17">
        <f>IFERROR(IF(VLOOKUP("ماري جولد",'قائمة الأسعار الموحدة'!$B$3:$E$71,4,FALSE)="",F124,VLOOKUP("ماري جولد",'قائمة الأسعار الموحدة'!$B$3:$E$71,4,FALSE)),F124)</f>
        <v/>
      </c>
      <c r="I124" s="17">
        <f>IF(H124="","",E124*H124)</f>
        <v/>
      </c>
      <c r="J124" s="17">
        <f>IF(OR(G124="",I124=""),"",G124-I124)</f>
        <v/>
      </c>
      <c r="K124" s="16" t="inlineStr">
        <is>
          <t>أصناف من إذن الصرف المرسل (RAW OUT#65/#90) – السعر المسجل = سعر النظام التقريبي</t>
        </is>
      </c>
    </row>
    <row r="125">
      <c r="A125" s="17" t="n">
        <v>123</v>
      </c>
      <c r="B125" s="161" t="n">
        <v>46016</v>
      </c>
      <c r="C125" s="16" t="inlineStr">
        <is>
          <t>RNT-3346</t>
        </is>
      </c>
      <c r="D125" s="16" t="inlineStr">
        <is>
          <t>كلانشو هولندي مركن 12</t>
        </is>
      </c>
      <c r="E125" s="17" t="n">
        <v>300</v>
      </c>
      <c r="F125" s="17" t="n">
        <v>4</v>
      </c>
      <c r="G125" s="17">
        <f>IF(F125="","",E125*F125)</f>
        <v/>
      </c>
      <c r="H125" s="19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17">
        <f>IF(H125="","",E125*H125)</f>
        <v/>
      </c>
      <c r="J125" s="17">
        <f>IF(OR(G125="",I125=""),"",G125-I125)</f>
        <v/>
      </c>
      <c r="K125" s="16" t="inlineStr">
        <is>
          <t>أصناف من إذن الصرف المرسل (RAW OUT#65/#90) – السعر المسجل = سعر النظام التقريبي</t>
        </is>
      </c>
    </row>
    <row r="126">
      <c r="A126" s="17" t="n">
        <v>124</v>
      </c>
      <c r="B126" s="161" t="n">
        <v>46016</v>
      </c>
      <c r="C126" s="16" t="inlineStr">
        <is>
          <t>RNT-3346</t>
        </is>
      </c>
      <c r="D126" s="16" t="inlineStr">
        <is>
          <t>زهور ملفوف مركن 9</t>
        </is>
      </c>
      <c r="E126" s="17" t="n">
        <v>500</v>
      </c>
      <c r="F126" s="17" t="n">
        <v>0.5</v>
      </c>
      <c r="G126" s="17">
        <f>IF(F126="","",E126*F126)</f>
        <v/>
      </c>
      <c r="H126" s="19">
        <f>IFERROR(IF(VLOOKUP("ملفوف مركن 9",'قائمة الأسعار الموحدة'!$B$3:$E$71,4,FALSE)="",F126,VLOOKUP("ملفوف مركن 9",'قائمة الأسعار الموحدة'!$B$3:$E$71,4,FALSE)),F126)</f>
        <v/>
      </c>
      <c r="I126" s="17">
        <f>IF(H126="","",E126*H126)</f>
        <v/>
      </c>
      <c r="J126" s="17">
        <f>IF(OR(G126="",I126=""),"",G126-I126)</f>
        <v/>
      </c>
      <c r="K126" s="16" t="inlineStr">
        <is>
          <t>أصناف من إذن الصرف المرسل (RAW OUT#65/#90) – السعر المسجل = سعر النظام التقريبي</t>
        </is>
      </c>
    </row>
    <row r="127">
      <c r="A127" s="17" t="n">
        <v>125</v>
      </c>
      <c r="B127" s="161" t="n">
        <v>45873</v>
      </c>
      <c r="C127" s="16" t="inlineStr">
        <is>
          <t>RNP-1787</t>
        </is>
      </c>
      <c r="D127" s="16" t="inlineStr">
        <is>
          <t>زهور فينكا</t>
        </is>
      </c>
      <c r="E127" s="17" t="n">
        <v>33000</v>
      </c>
      <c r="F127" s="17" t="n">
        <v>0.55</v>
      </c>
      <c r="G127" s="17">
        <f>IF(F127="","",E127*F127)</f>
        <v/>
      </c>
      <c r="H127" s="17">
        <f>IFERROR(IF(VLOOKUP("فينكا",'قائمة الأسعار الموحدة'!$B$3:$E$71,4,FALSE)="",F127,VLOOKUP("فينكا",'قائمة الأسعار الموحدة'!$B$3:$E$71,4,FALSE)),F127)</f>
        <v/>
      </c>
      <c r="I127" s="17">
        <f>IF(H127="","",E127*H127)</f>
        <v/>
      </c>
      <c r="J127" s="17">
        <f>IF(OR(G127="",I127=""),"",G127-I127)</f>
        <v/>
      </c>
      <c r="K127" s="16" t="inlineStr">
        <is>
          <t>مسحوبات لنسما (تأكيدك) – 33,000 فينكا، قيمة النظام 18,150 قبل الضريبة</t>
        </is>
      </c>
    </row>
    <row r="128">
      <c r="A128" s="17" t="n">
        <v>126</v>
      </c>
      <c r="B128" s="161" t="n">
        <v>45926</v>
      </c>
      <c r="C128" s="16" t="inlineStr">
        <is>
          <t>RNP-2293</t>
        </is>
      </c>
      <c r="D128" s="16" t="inlineStr">
        <is>
          <t>زهور فينكا</t>
        </is>
      </c>
      <c r="E128" s="17" t="n">
        <v>40000</v>
      </c>
      <c r="F128" s="17" t="n">
        <v>0.55</v>
      </c>
      <c r="G128" s="17">
        <f>IF(F128="","",E128*F128)</f>
        <v/>
      </c>
      <c r="H128" s="17">
        <f>IFERROR(IF(VLOOKUP("فينكا",'قائمة الأسعار الموحدة'!$B$3:$E$71,4,FALSE)="",F128,VLOOKUP("فينكا",'قائمة الأسعار الموحدة'!$B$3:$E$71,4,FALSE)),F128)</f>
        <v/>
      </c>
      <c r="I128" s="17">
        <f>IF(H128="","",E128*H128)</f>
        <v/>
      </c>
      <c r="J128" s="17">
        <f>IF(OR(G128="",I128=""),"",G128-I128)</f>
        <v/>
      </c>
      <c r="K128" s="16" t="inlineStr">
        <is>
          <t>حسب إفادتك – 40,000 فينكا، مطابق لقيمة النظام 22,000 قبل الضريبة</t>
        </is>
      </c>
    </row>
    <row r="129">
      <c r="A129" s="17" t="n">
        <v>127</v>
      </c>
      <c r="B129" s="161" t="n">
        <v>45938</v>
      </c>
      <c r="C129" s="16" t="inlineStr">
        <is>
          <t>RNP-2427</t>
        </is>
      </c>
      <c r="D129" s="16" t="inlineStr">
        <is>
          <t>زهور بيتونيا</t>
        </is>
      </c>
      <c r="E129" s="17" t="n">
        <v>11000</v>
      </c>
      <c r="F129" s="17" t="n">
        <v>0.55</v>
      </c>
      <c r="G129" s="17">
        <f>IF(F129="","",E129*F129)</f>
        <v/>
      </c>
      <c r="H129" s="17">
        <f>IFERROR(IF(VLOOKUP("بيتونيا",'قائمة الأسعار الموحدة'!$B$3:$E$71,4,FALSE)="",F129,VLOOKUP("بيتونيا",'قائمة الأسعار الموحدة'!$B$3:$E$71,4,FALSE)),F129)</f>
        <v/>
      </c>
      <c r="I129" s="17">
        <f>IF(H129="","",E129*H129)</f>
        <v/>
      </c>
      <c r="J129" s="17">
        <f>IF(OR(G129="",I129=""),"",G129-I129)</f>
        <v/>
      </c>
      <c r="K129" s="16" t="inlineStr">
        <is>
          <t>حسب إفادتك – 11,000 بيتونيا (قيمة النظام 6,155 قبل الضريبة – فرق 105 عن 0.55)</t>
        </is>
      </c>
    </row>
    <row r="130">
      <c r="A130" s="17" t="n">
        <v>128</v>
      </c>
      <c r="B130" s="161" t="n">
        <v>45887</v>
      </c>
      <c r="C130" s="16" t="inlineStr">
        <is>
          <t>RNT-2166</t>
        </is>
      </c>
      <c r="D130" s="16" t="inlineStr">
        <is>
          <t>سكندابسس مركن 19 علاقي</t>
        </is>
      </c>
      <c r="E130" s="17" t="n">
        <v>596</v>
      </c>
      <c r="F130" s="17" t="n">
        <v>9</v>
      </c>
      <c r="G130" s="17">
        <f>IF(F130="","",E130*F130)</f>
        <v/>
      </c>
      <c r="H130" s="19">
        <f>IFERROR(IF(VLOOKUP("سكندابسس مركن 19 علاقي",'قائمة الأسعار الموحدة'!$B$3:$E$71,4,FALSE)="",F130,VLOOKUP("سكندابسس مركن 19 علاقي",'قائمة الأسعار الموحدة'!$B$3:$E$71,4,FALSE)),F130)</f>
        <v/>
      </c>
      <c r="I130" s="17">
        <f>IF(H130="","",E130*H130)</f>
        <v/>
      </c>
      <c r="J130" s="17">
        <f>IF(OR(G130="",I130=""),"",G130-I130)</f>
        <v/>
      </c>
      <c r="K130" s="16" t="inlineStr">
        <is>
          <t>حسب إفادتك – 596 سكندابسس × 9 (قيمة النظام 6,500 قبل الضريبة)</t>
        </is>
      </c>
    </row>
    <row r="131">
      <c r="A131" s="17" t="n">
        <v>129</v>
      </c>
      <c r="B131" s="161" t="n">
        <v>45909</v>
      </c>
      <c r="C131" s="16" t="inlineStr">
        <is>
          <t>RNT-2141</t>
        </is>
      </c>
      <c r="D131" s="16" t="inlineStr">
        <is>
          <t>مركن 16 سم</t>
        </is>
      </c>
      <c r="E131" s="17" t="n">
        <v>15000</v>
      </c>
      <c r="F131" s="17" t="n">
        <v>0.5</v>
      </c>
      <c r="G131" s="17">
        <f>IF(F131="","",E131*F131)</f>
        <v/>
      </c>
      <c r="H131" s="19">
        <f>IFERROR(IF(VLOOKUP("مركن 16",'قائمة الأسعار الموحدة'!$B$3:$E$71,4,FALSE)="",F131,VLOOKUP("مركن 16",'قائمة الأسعار الموحدة'!$B$3:$E$71,4,FALSE)),F131)</f>
        <v/>
      </c>
      <c r="I131" s="17">
        <f>IF(H131="","",E131*H131)</f>
        <v/>
      </c>
      <c r="J131" s="17">
        <f>IF(OR(G131="",I131=""),"",G131-I131)</f>
        <v/>
      </c>
      <c r="K131" s="16" t="inlineStr">
        <is>
          <t>أصناف حسب إفادتك – مطابق لقيمة النظام 7,700 قبل الضريبة</t>
        </is>
      </c>
    </row>
    <row r="132">
      <c r="A132" s="17" t="n">
        <v>130</v>
      </c>
      <c r="B132" s="161" t="n">
        <v>45909</v>
      </c>
      <c r="C132" s="16" t="inlineStr">
        <is>
          <t>RNT-2141</t>
        </is>
      </c>
      <c r="D132" s="16" t="inlineStr">
        <is>
          <t>كمبوست 10 ك</t>
        </is>
      </c>
      <c r="E132" s="17" t="n">
        <v>100</v>
      </c>
      <c r="F132" s="17" t="n">
        <v>2</v>
      </c>
      <c r="G132" s="17">
        <f>IF(F132="","",E132*F132)</f>
        <v/>
      </c>
      <c r="H132" s="19">
        <f>IFERROR(IF(VLOOKUP("كمبوست 10 ك",'قائمة الأسعار الموحدة'!$B$3:$E$71,4,FALSE)="",F132,VLOOKUP("كمبوست 10 ك",'قائمة الأسعار الموحدة'!$B$3:$E$71,4,FALSE)),F132)</f>
        <v/>
      </c>
      <c r="I132" s="17">
        <f>IF(H132="","",E132*H132)</f>
        <v/>
      </c>
      <c r="J132" s="17">
        <f>IF(OR(G132="",I132=""),"",G132-I132)</f>
        <v/>
      </c>
      <c r="K132" s="16" t="inlineStr">
        <is>
          <t>أصناف حسب إفادتك – مطابق لقيمة النظام 7,700 قبل الضريبة</t>
        </is>
      </c>
    </row>
    <row r="133">
      <c r="A133" s="17" t="n">
        <v>131</v>
      </c>
      <c r="B133" s="161" t="n">
        <v>46163</v>
      </c>
      <c r="C133" s="16" t="inlineStr">
        <is>
          <t>طلب 58991 (#299/#301)</t>
        </is>
      </c>
      <c r="D133" s="16" t="inlineStr">
        <is>
          <t>زهور فينكا روزا</t>
        </is>
      </c>
      <c r="E133" s="17" t="n">
        <v>-17900</v>
      </c>
      <c r="F133" s="17" t="n">
        <v>0.5</v>
      </c>
      <c r="G133" s="17">
        <f>IF(F133="","",E133*F133)</f>
        <v/>
      </c>
      <c r="H133" s="17">
        <f>IFERROR(IF(VLOOKUP("فينكا روزا",'قائمة الأسعار الموحدة'!$B$3:$E$71,4,FALSE)="",F133,VLOOKUP("فينكا روزا",'قائمة الأسعار الموحدة'!$B$3:$E$71,4,FALSE)),F133)</f>
        <v/>
      </c>
      <c r="I133" s="17">
        <f>IF(H133="","",E133*H133)</f>
        <v/>
      </c>
      <c r="J133" s="17">
        <f>IF(OR(G133="",I133=""),"",G133-I133)</f>
        <v/>
      </c>
      <c r="K133" s="16" t="inlineStr">
        <is>
          <t>خصم كمية مرفوضة/مفقودة مع المناديب (حسب قرارك)</t>
        </is>
      </c>
    </row>
    <row r="134">
      <c r="A134" s="162" t="n"/>
      <c r="B134" s="162" t="n"/>
      <c r="C134" s="162" t="n"/>
      <c r="D134" s="9" t="inlineStr">
        <is>
          <t>الإجمالي</t>
        </is>
      </c>
      <c r="E134" s="10">
        <f>SUM(E3:E133)</f>
        <v/>
      </c>
      <c r="F134" s="162" t="n"/>
      <c r="G134" s="10">
        <f>SUM(G3:G133)</f>
        <v/>
      </c>
      <c r="H134" s="162" t="n"/>
      <c r="I134" s="10">
        <f>SUM(I3:I133)</f>
        <v/>
      </c>
      <c r="J134" s="10">
        <f>SUM(J3:J133)</f>
        <v/>
      </c>
      <c r="K134" s="16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الترحيل من تبوك إلى مزرعة الرياض بالسعر الموحد = دعم تشغيلي من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45874</v>
      </c>
      <c r="C3" s="16" t="inlineStr">
        <is>
          <t>TNR-1867</t>
        </is>
      </c>
      <c r="D3" s="16" t="inlineStr">
        <is>
          <t>حجر ديكورى ابيض مطفى 3:5سم-10كجم</t>
        </is>
      </c>
      <c r="E3" s="17" t="n">
        <v>598</v>
      </c>
      <c r="F3" s="17" t="n">
        <v>10</v>
      </c>
      <c r="G3" s="17">
        <f>IF(F3="","",E3*F3)</f>
        <v/>
      </c>
      <c r="H3" s="19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تاريخ مصحح من 2026 إلى 2025</t>
        </is>
      </c>
    </row>
    <row r="4">
      <c r="A4" s="17" t="n">
        <v>2</v>
      </c>
      <c r="B4" s="161" t="n">
        <v>45874</v>
      </c>
      <c r="C4" s="16" t="inlineStr">
        <is>
          <t>TNR-1867</t>
        </is>
      </c>
      <c r="D4" s="16" t="inlineStr">
        <is>
          <t>ابيض لامع</t>
        </is>
      </c>
      <c r="E4" s="17" t="n">
        <v>11</v>
      </c>
      <c r="F4" s="17" t="n">
        <v>18</v>
      </c>
      <c r="G4" s="17">
        <f>IF(F4="","",E4*F4)</f>
        <v/>
      </c>
      <c r="H4" s="19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تاريخ مصحح من 2026 إلى 2025</t>
        </is>
      </c>
    </row>
    <row r="5">
      <c r="A5" s="17" t="n">
        <v>3</v>
      </c>
      <c r="B5" s="161" t="n">
        <v>45874</v>
      </c>
      <c r="C5" s="16" t="inlineStr">
        <is>
          <t>TNR-1867</t>
        </is>
      </c>
      <c r="D5" s="16" t="inlineStr">
        <is>
          <t xml:space="preserve">اسود لامع </t>
        </is>
      </c>
      <c r="E5" s="17" t="n">
        <v>9</v>
      </c>
      <c r="F5" s="17" t="n">
        <v>18</v>
      </c>
      <c r="G5" s="17">
        <f>IF(F5="","",E5*F5)</f>
        <v/>
      </c>
      <c r="H5" s="19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تاريخ مصحح من 2026 إلى 2025</t>
        </is>
      </c>
    </row>
    <row r="6">
      <c r="A6" s="17" t="n">
        <v>4</v>
      </c>
      <c r="B6" s="161" t="n">
        <v>45874</v>
      </c>
      <c r="C6" s="16" t="inlineStr">
        <is>
          <t>TNR-1867</t>
        </is>
      </c>
      <c r="D6" s="16" t="inlineStr">
        <is>
          <t xml:space="preserve">احمر لامع </t>
        </is>
      </c>
      <c r="E6" s="17" t="n">
        <v>10</v>
      </c>
      <c r="F6" s="17" t="n">
        <v>18</v>
      </c>
      <c r="G6" s="17">
        <f>IF(F6="","",E6*F6)</f>
        <v/>
      </c>
      <c r="H6" s="19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تاريخ مصحح من 2026 إلى 2025</t>
        </is>
      </c>
    </row>
    <row r="7">
      <c r="A7" s="17" t="n">
        <v>5</v>
      </c>
      <c r="B7" s="161" t="n">
        <v>45874</v>
      </c>
      <c r="C7" s="16" t="inlineStr">
        <is>
          <t>TNR-1867</t>
        </is>
      </c>
      <c r="D7" s="16" t="inlineStr">
        <is>
          <t>احمر مطفى</t>
        </is>
      </c>
      <c r="E7" s="17" t="n">
        <v>70</v>
      </c>
      <c r="F7" s="17" t="n">
        <v>10</v>
      </c>
      <c r="G7" s="17">
        <f>IF(F7="","",E7*F7)</f>
        <v/>
      </c>
      <c r="H7" s="19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تاريخ مصحح من 2026 إلى 2025</t>
        </is>
      </c>
    </row>
    <row r="8">
      <c r="A8" s="17" t="n">
        <v>6</v>
      </c>
      <c r="B8" s="161" t="n">
        <v>45874</v>
      </c>
      <c r="C8" s="16" t="inlineStr">
        <is>
          <t>TNR-1867</t>
        </is>
      </c>
      <c r="D8" s="16" t="inlineStr">
        <is>
          <t>اصفر مطفى</t>
        </is>
      </c>
      <c r="E8" s="17" t="n">
        <v>196</v>
      </c>
      <c r="F8" s="17" t="n">
        <v>10</v>
      </c>
      <c r="G8" s="17">
        <f>IF(F8="","",E8*F8)</f>
        <v/>
      </c>
      <c r="H8" s="19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تاريخ مصحح من 2026 إلى 2025</t>
        </is>
      </c>
    </row>
    <row r="9">
      <c r="A9" s="17" t="n">
        <v>7</v>
      </c>
      <c r="B9" s="161" t="n">
        <v>45969</v>
      </c>
      <c r="C9" s="16" t="inlineStr">
        <is>
          <t>TNR-2792</t>
        </is>
      </c>
      <c r="D9" s="16" t="inlineStr">
        <is>
          <t>جهنمية بلدى واحد عود 50سم</t>
        </is>
      </c>
      <c r="E9" s="17" t="n">
        <v>300</v>
      </c>
      <c r="F9" s="17" t="n">
        <v>2.5</v>
      </c>
      <c r="G9" s="17">
        <f>IF(F9="","",E9*F9)</f>
        <v/>
      </c>
      <c r="H9" s="19">
        <f>IFERROR(IF(VLOOKUP("جهنميه بلدي 50",'قائمة الأسعار الموحدة'!$B$3:$E$71,4,FALSE)="",F9,VLOOKUP("جهنميه بلدي 50",'قائمة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1" t="n">
        <v>45969</v>
      </c>
      <c r="C10" s="16" t="inlineStr">
        <is>
          <t>TNR-2792</t>
        </is>
      </c>
      <c r="D10" s="16" t="inlineStr">
        <is>
          <t>وايتكس 50 سم</t>
        </is>
      </c>
      <c r="E10" s="17" t="n">
        <v>400</v>
      </c>
      <c r="F10" s="17" t="n">
        <v>2.5</v>
      </c>
      <c r="G10" s="17">
        <f>IF(F10="","",E10*F10)</f>
        <v/>
      </c>
      <c r="H10" s="19">
        <f>IFERROR(IF(VLOOKUP("وايتكس 50",'قائمة الأسعار الموحدة'!$B$3:$E$71,4,FALSE)="",F10,VLOOKUP("وايتكس 50",'قائمة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1" t="n">
        <v>45969</v>
      </c>
      <c r="C11" s="16" t="inlineStr">
        <is>
          <t>TNR-2792</t>
        </is>
      </c>
      <c r="D11" s="16" t="inlineStr">
        <is>
          <t>دورانتا اخضر</t>
        </is>
      </c>
      <c r="E11" s="17" t="n">
        <v>300</v>
      </c>
      <c r="F11" s="17" t="n">
        <v>2.5</v>
      </c>
      <c r="G11" s="17">
        <f>IF(F11="","",E11*F11)</f>
        <v/>
      </c>
      <c r="H11" s="19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1" t="n">
        <v>45969</v>
      </c>
      <c r="C12" s="16" t="inlineStr">
        <is>
          <t>TNR-2792</t>
        </is>
      </c>
      <c r="D12" s="16" t="inlineStr">
        <is>
          <t>لانتانا لبناني صغير</t>
        </is>
      </c>
      <c r="E12" s="17" t="n">
        <v>100</v>
      </c>
      <c r="F12" s="17" t="n">
        <v>2.5</v>
      </c>
      <c r="G12" s="17">
        <f>IF(F12="","",E12*F12)</f>
        <v/>
      </c>
      <c r="H12" s="19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1" t="n">
        <v>45969</v>
      </c>
      <c r="C13" s="16" t="inlineStr">
        <is>
          <t>TNR-2792</t>
        </is>
      </c>
      <c r="D13" s="16" t="inlineStr">
        <is>
          <t>رويليا</t>
        </is>
      </c>
      <c r="E13" s="17" t="n">
        <v>300</v>
      </c>
      <c r="F13" s="17" t="n">
        <v>2.5</v>
      </c>
      <c r="G13" s="17">
        <f>IF(F13="","",E13*F13)</f>
        <v/>
      </c>
      <c r="H13" s="19">
        <f>IFERROR(IF(VLOOKUP("رويليا",'قائمة الأسعار الموحدة'!$B$3:$E$71,4,FALSE)="",F13,VLOOKUP("رويليا",'قائمة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1" t="n">
        <v>45981</v>
      </c>
      <c r="C14" s="16" t="inlineStr">
        <is>
          <t>TNR-2938</t>
        </is>
      </c>
      <c r="D14" s="16" t="inlineStr">
        <is>
          <t>زهور بيتونيا</t>
        </is>
      </c>
      <c r="E14" s="17" t="n">
        <v>8850</v>
      </c>
      <c r="F14" s="17" t="n">
        <v>0.5</v>
      </c>
      <c r="G14" s="17">
        <f>IF(F14="","",E14*F14)</f>
        <v/>
      </c>
      <c r="H14" s="17">
        <f>IFERROR(IF(VLOOKUP("بيتونيا",'قائمة الأسعار الموحدة'!$B$3:$E$71,4,FALSE)="",F14,VLOOKUP("بيتونيا",'قائمة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1" t="n">
        <v>45981</v>
      </c>
      <c r="C15" s="16" t="inlineStr">
        <is>
          <t>TNR-2938</t>
        </is>
      </c>
      <c r="D15" s="16" t="inlineStr">
        <is>
          <t>زهور اليسوم</t>
        </is>
      </c>
      <c r="E15" s="17" t="n">
        <v>200</v>
      </c>
      <c r="F15" s="17" t="n">
        <v>0.5</v>
      </c>
      <c r="G15" s="17">
        <f>IF(F15="","",E15*F15)</f>
        <v/>
      </c>
      <c r="H15" s="19">
        <f>IFERROR(IF(VLOOKUP("اليسوم",'قائمة الأسعار الموحدة'!$B$3:$E$71,4,FALSE)="",F15,VLOOKUP("اليسوم",'قائمة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1" t="n">
        <v>46002</v>
      </c>
      <c r="C16" s="16" t="inlineStr">
        <is>
          <t>TNR-3201</t>
        </is>
      </c>
      <c r="D16" s="16" t="inlineStr">
        <is>
          <t>حجر ديكورى ابيض مطفى 3:5سم-10كجم</t>
        </is>
      </c>
      <c r="E16" s="17" t="n">
        <v>320</v>
      </c>
      <c r="F16" s="17" t="n">
        <v>10</v>
      </c>
      <c r="G16" s="17">
        <f>IF(F16="","",E16*F16)</f>
        <v/>
      </c>
      <c r="H16" s="19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1" t="n">
        <v>46025</v>
      </c>
      <c r="C17" s="16" t="inlineStr">
        <is>
          <t>اذن صرف 319</t>
        </is>
      </c>
      <c r="D17" s="16" t="inlineStr">
        <is>
          <t>دورانتا اخضر</t>
        </is>
      </c>
      <c r="E17" s="17" t="n">
        <v>1200</v>
      </c>
      <c r="F17" s="17" t="n">
        <v>2.5</v>
      </c>
      <c r="G17" s="17">
        <f>IF(F17="","",E17*F17)</f>
        <v/>
      </c>
      <c r="H17" s="19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1" t="n">
        <v>46025</v>
      </c>
      <c r="C18" s="16" t="inlineStr">
        <is>
          <t>اذن صرف 319</t>
        </is>
      </c>
      <c r="D18" s="16" t="inlineStr">
        <is>
          <t>تيكوماريا</t>
        </is>
      </c>
      <c r="E18" s="17" t="n">
        <v>740</v>
      </c>
      <c r="F18" s="17" t="n">
        <v>2.5</v>
      </c>
      <c r="G18" s="17">
        <f>IF(F18="","",E18*F18)</f>
        <v/>
      </c>
      <c r="H18" s="19">
        <f>IFERROR(IF(VLOOKUP("تيكوماريا 50",'قائمة الأسعار الموحدة'!$B$3:$E$71,4,FALSE)="",F18,VLOOKUP("تيكوماريا 50",'قائمة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1" t="n">
        <v>46025</v>
      </c>
      <c r="C19" s="16" t="inlineStr">
        <is>
          <t>اذن صرف 319</t>
        </is>
      </c>
      <c r="D19" s="16" t="inlineStr">
        <is>
          <t>اكاليفيا</t>
        </is>
      </c>
      <c r="E19" s="17" t="n">
        <v>60</v>
      </c>
      <c r="F19" s="17" t="n">
        <v>2.5</v>
      </c>
      <c r="G19" s="17">
        <f>IF(F19="","",E19*F19)</f>
        <v/>
      </c>
      <c r="H19" s="19">
        <f>IFERROR(IF(VLOOKUP("اكاليفا",'قائمة الأسعار الموحدة'!$B$3:$E$71,4,FALSE)="",F19,VLOOKUP("اكاليفا",'قائمة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1" t="n">
        <v>46025</v>
      </c>
      <c r="C20" s="16" t="inlineStr">
        <is>
          <t>اذن صرف 319</t>
        </is>
      </c>
      <c r="D20" s="16" t="inlineStr">
        <is>
          <t>حجر ديكورى ابيض مطفى 3:5سم-10كجم</t>
        </is>
      </c>
      <c r="E20" s="17" t="n">
        <v>200</v>
      </c>
      <c r="F20" s="17" t="n">
        <v>10</v>
      </c>
      <c r="G20" s="17">
        <f>IF(F20="","",E20*F20)</f>
        <v/>
      </c>
      <c r="H20" s="19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C21" s="16" t="inlineStr">
        <is>
          <t>فرق PO الشجيرات</t>
        </is>
      </c>
      <c r="D21" s="16" t="inlineStr">
        <is>
          <t>جهنمية بلدى واحد عود 50سم</t>
        </is>
      </c>
      <c r="E21" s="17" t="n">
        <v>270</v>
      </c>
      <c r="F21" s="17" t="n">
        <v>2.5</v>
      </c>
      <c r="G21" s="17">
        <f>IF(F21="","",E21*F21)</f>
        <v/>
      </c>
      <c r="H21" s="19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>
        <is>
          <t>صافي ما باعته الرياض من براد الشجيرات</t>
        </is>
      </c>
    </row>
    <row r="22">
      <c r="A22" s="17" t="n">
        <v>20</v>
      </c>
      <c r="C22" s="16" t="inlineStr">
        <is>
          <t>فرق PO الشجيرات</t>
        </is>
      </c>
      <c r="D22" s="16" t="inlineStr">
        <is>
          <t>دورانتا اخضر</t>
        </is>
      </c>
      <c r="E22" s="17" t="n">
        <v>10</v>
      </c>
      <c r="F22" s="17" t="n">
        <v>2.5</v>
      </c>
      <c r="G22" s="17">
        <f>IF(F22="","",E22*F22)</f>
        <v/>
      </c>
      <c r="H22" s="19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>
        <is>
          <t>صافي ما باعته الرياض من براد الشجيرات</t>
        </is>
      </c>
    </row>
    <row r="23">
      <c r="A23" s="17" t="n">
        <v>21</v>
      </c>
      <c r="C23" s="16" t="inlineStr">
        <is>
          <t>فرق PO الشجيرات</t>
        </is>
      </c>
      <c r="D23" s="16" t="inlineStr">
        <is>
          <t>لانتانا لبناني صغير</t>
        </is>
      </c>
      <c r="E23" s="17" t="n">
        <v>60</v>
      </c>
      <c r="F23" s="17" t="n">
        <v>2.5</v>
      </c>
      <c r="G23" s="17">
        <f>IF(F23="","",E23*F23)</f>
        <v/>
      </c>
      <c r="H23" s="19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>
        <is>
          <t>صافي ما باعته الرياض من براد الشجيرات</t>
        </is>
      </c>
    </row>
    <row r="24">
      <c r="A24" s="17" t="n">
        <v>22</v>
      </c>
      <c r="C24" s="16" t="inlineStr">
        <is>
          <t>فرق PO الشجيرات</t>
        </is>
      </c>
      <c r="D24" s="16" t="inlineStr">
        <is>
          <t>رويليا</t>
        </is>
      </c>
      <c r="E24" s="17" t="n">
        <v>206</v>
      </c>
      <c r="F24" s="17" t="n">
        <v>2.5</v>
      </c>
      <c r="G24" s="17">
        <f>IF(F24="","",E24*F24)</f>
        <v/>
      </c>
      <c r="H24" s="19">
        <f>IFERROR(IF(VLOOKUP("رويليا",'قائمة الأسعار الموحدة'!$B$3:$E$71,4,FALSE)="",F24,VLOOKUP("رويليا",'قائمة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>
        <is>
          <t>صافي ما باعته الرياض من براد الشجيرات</t>
        </is>
      </c>
    </row>
    <row r="25">
      <c r="A25" s="17" t="n">
        <v>23</v>
      </c>
      <c r="C25" s="16" t="inlineStr">
        <is>
          <t>فرق PO الشجيرات</t>
        </is>
      </c>
      <c r="D25" s="16" t="inlineStr">
        <is>
          <t>تيكوماريا</t>
        </is>
      </c>
      <c r="E25" s="17" t="n">
        <v>72</v>
      </c>
      <c r="F25" s="17" t="n">
        <v>2.5</v>
      </c>
      <c r="G25" s="17">
        <f>IF(F25="","",E25*F25)</f>
        <v/>
      </c>
      <c r="H25" s="19">
        <f>IFERROR(IF(VLOOKUP("تيكوماريا 50",'قائمة الأسعار الموحدة'!$B$3:$E$71,4,FALSE)="",F25,VLOOKUP("تيكوماريا 50",'قائمة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>
        <is>
          <t>صافي ما باعته الرياض من براد الشجيرات</t>
        </is>
      </c>
    </row>
    <row r="26">
      <c r="A26" s="17" t="n">
        <v>24</v>
      </c>
      <c r="C26" s="16" t="inlineStr">
        <is>
          <t>فرق PO الشجيرات</t>
        </is>
      </c>
      <c r="D26" s="16" t="inlineStr">
        <is>
          <t>فل بلدى</t>
        </is>
      </c>
      <c r="E26" s="17" t="n">
        <v>50</v>
      </c>
      <c r="F26" s="17" t="n">
        <v>2.5</v>
      </c>
      <c r="G26" s="17">
        <f>IF(F26="","",E26*F26)</f>
        <v/>
      </c>
      <c r="H26" s="19">
        <f>IFERROR(IF(VLOOKUP("فل بلدي",'قائمة الأسعار الموحدة'!$B$3:$E$71,4,FALSE)="",F26,VLOOKUP("فل بلدي",'قائمة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>
        <is>
          <t>صافي ما باعته الرياض من براد الشجيرات</t>
        </is>
      </c>
    </row>
    <row r="27">
      <c r="A27" s="17" t="n">
        <v>25</v>
      </c>
      <c r="C27" s="16" t="inlineStr">
        <is>
          <t>فرق PO الشجيرات</t>
        </is>
      </c>
      <c r="D27" s="16" t="inlineStr">
        <is>
          <t>ياسمين ازرق  50 سم</t>
        </is>
      </c>
      <c r="E27" s="17" t="n">
        <v>150</v>
      </c>
      <c r="F27" s="17" t="n">
        <v>2.5</v>
      </c>
      <c r="G27" s="17">
        <f>IF(F27="","",E27*F27)</f>
        <v/>
      </c>
      <c r="H27" s="19">
        <f>IFERROR(IF(VLOOKUP("ياسمين ازرق",'قائمة الأسعار الموحدة'!$B$3:$E$71,4,FALSE)="",F27,VLOOKUP("ياسمين ازرق",'قائمة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>
        <is>
          <t>صافي ما باعته الرياض من براد الشجيرات</t>
        </is>
      </c>
    </row>
    <row r="28">
      <c r="A28" s="17" t="n">
        <v>26</v>
      </c>
      <c r="B28" s="161" t="n">
        <v>46231</v>
      </c>
      <c r="C28" s="16" t="inlineStr">
        <is>
          <t>TRF-0188</t>
        </is>
      </c>
      <c r="D28" s="16" t="inlineStr">
        <is>
          <t>بيرلايت 100 لتر</t>
        </is>
      </c>
      <c r="E28" s="17" t="n">
        <v>25</v>
      </c>
      <c r="F28" s="17" t="n">
        <v>32.5</v>
      </c>
      <c r="G28" s="17">
        <f>IF(F28="","",E28*F28)</f>
        <v/>
      </c>
      <c r="H28" s="19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>
        <is>
          <t>سند بالنظام لم يدرجه المحاسب – أُضيف</t>
        </is>
      </c>
    </row>
    <row r="29">
      <c r="A29" s="17" t="n">
        <v>27</v>
      </c>
      <c r="B29" s="161" t="n">
        <v>45976</v>
      </c>
      <c r="C29" s="16" t="inlineStr">
        <is>
          <t>TNR-2689 / TNR-2888</t>
        </is>
      </c>
      <c r="D29" s="16" t="inlineStr">
        <is>
          <t>زهور بيتونيا</t>
        </is>
      </c>
      <c r="E29" s="17" t="n">
        <v>69625</v>
      </c>
      <c r="F29" s="17" t="n">
        <v>0.5</v>
      </c>
      <c r="G29" s="17">
        <f>IF(F29="","",E29*F29)</f>
        <v/>
      </c>
      <c r="H29" s="17">
        <f>IFERROR(IF(VLOOKUP("بيتونيا",'قائمة الأسعار الموحدة'!$B$3:$E$71,4,FALSE)="",F29,VLOOKUP("بيتونيا",'قائمة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>
        <is>
          <t>بيتونيا عقد عرعر المحوّلة من تبوك (72,625 − 3,000 تالف)</t>
        </is>
      </c>
    </row>
    <row r="30">
      <c r="A30" s="162" t="n"/>
      <c r="B30" s="162" t="n"/>
      <c r="C30" s="162" t="n"/>
      <c r="D30" s="9" t="inlineStr">
        <is>
          <t>الإجمالي</t>
        </is>
      </c>
      <c r="E30" s="10">
        <f>SUM(E3:E29)</f>
        <v/>
      </c>
      <c r="F30" s="162" t="n"/>
      <c r="G30" s="10">
        <f>SUM(G3:G29)</f>
        <v/>
      </c>
      <c r="H30" s="162" t="n"/>
      <c r="I30" s="10">
        <f>SUM(I3:I29)</f>
        <v/>
      </c>
      <c r="J30" s="10">
        <f>SUM(J3:J29)</f>
        <v/>
      </c>
      <c r="K30" s="16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0" t="inlineStr">
        <is>
          <t>مسحوبات تبوك من الرياض قبل 30-7-2025 (أوامر P00480–P00523)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1" t="n">
        <v>45845</v>
      </c>
      <c r="C3" s="16" t="inlineStr">
        <is>
          <t>P00480</t>
        </is>
      </c>
      <c r="D3" s="16" t="inlineStr">
        <is>
          <t>فينكا أبيض نقطة حمراء</t>
        </is>
      </c>
      <c r="E3" s="17" t="n">
        <v>3875</v>
      </c>
      <c r="G3" s="17">
        <f>IF(F3="","",E3*F3)</f>
        <v/>
      </c>
      <c r="H3" s="17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شحن خارجي تحمّلته نسما 1,400 ريال – لا يُحمّل على أي طرف</t>
        </is>
      </c>
    </row>
    <row r="4">
      <c r="A4" s="17" t="n">
        <v>2</v>
      </c>
      <c r="B4" s="161" t="n">
        <v>45845</v>
      </c>
      <c r="C4" s="16" t="inlineStr">
        <is>
          <t>P00480</t>
        </is>
      </c>
      <c r="D4" s="16" t="inlineStr">
        <is>
          <t>فينكا أحمر بنقطة</t>
        </is>
      </c>
      <c r="E4" s="17" t="n">
        <v>3000</v>
      </c>
      <c r="G4" s="17">
        <f>IF(F4="","",E4*F4)</f>
        <v/>
      </c>
      <c r="H4" s="17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شحن خارجي تحمّلته نسما 1,400 ريال – لا يُحمّل على أي طرف</t>
        </is>
      </c>
    </row>
    <row r="5">
      <c r="A5" s="17" t="n">
        <v>3</v>
      </c>
      <c r="B5" s="161" t="n">
        <v>45845</v>
      </c>
      <c r="C5" s="16" t="inlineStr">
        <is>
          <t>P00481</t>
        </is>
      </c>
      <c r="D5" s="16" t="inlineStr">
        <is>
          <t>فينكا أحمر</t>
        </is>
      </c>
      <c r="E5" s="17" t="n">
        <v>5000</v>
      </c>
      <c r="G5" s="17">
        <f>IF(F5="","",E5*F5)</f>
        <v/>
      </c>
      <c r="H5" s="17">
        <f>IFERROR(IF(VLOOKUP("فينكا احمر",'قائمة الأسعار الموحدة'!$B$3:$E$71,4,FALSE)="",F5,VLOOKUP("فينكا احمر",'قائمة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شحن خارجي تحمّلته نسما 1,400 ريال – لا يُحمّل على أي طرف</t>
        </is>
      </c>
    </row>
    <row r="6">
      <c r="A6" s="17" t="n">
        <v>4</v>
      </c>
      <c r="B6" s="161" t="n">
        <v>45845</v>
      </c>
      <c r="C6" s="16" t="inlineStr">
        <is>
          <t>P00481</t>
        </is>
      </c>
      <c r="D6" s="16" t="inlineStr">
        <is>
          <t>فينكا أزرق</t>
        </is>
      </c>
      <c r="E6" s="17" t="n">
        <v>5000</v>
      </c>
      <c r="G6" s="17">
        <f>IF(F6="","",E6*F6)</f>
        <v/>
      </c>
      <c r="H6" s="17">
        <f>IFERROR(IF(VLOOKUP("فينكا ازرق",'قائمة الأسعار الموحدة'!$B$3:$E$71,4,FALSE)="",F6,VLOOKUP("فينكا ازرق",'قائمة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شحن خارجي تحمّلته نسما 1,400 ريال – لا يُحمّل على أي طرف</t>
        </is>
      </c>
    </row>
    <row r="7">
      <c r="A7" s="17" t="n">
        <v>5</v>
      </c>
      <c r="B7" s="161" t="n">
        <v>45845</v>
      </c>
      <c r="C7" s="16" t="inlineStr">
        <is>
          <t>P00481</t>
        </is>
      </c>
      <c r="D7" s="16" t="inlineStr">
        <is>
          <t>فينكا أبيض</t>
        </is>
      </c>
      <c r="E7" s="17" t="n">
        <v>3000</v>
      </c>
      <c r="G7" s="17">
        <f>IF(F7="","",E7*F7)</f>
        <v/>
      </c>
      <c r="H7" s="17">
        <f>IFERROR(IF(VLOOKUP("فينكا ابيض",'قائمة الأسعار الموحدة'!$B$3:$E$71,4,FALSE)="",F7,VLOOKUP("فينكا ابيض",'قائمة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شحن خارجي تحمّلته نسما 1,400 ريال – لا يُحمّل على أي طرف</t>
        </is>
      </c>
    </row>
    <row r="8">
      <c r="A8" s="17" t="n">
        <v>6</v>
      </c>
      <c r="B8" s="161" t="n">
        <v>45845</v>
      </c>
      <c r="C8" s="16" t="inlineStr">
        <is>
          <t>P00481</t>
        </is>
      </c>
      <c r="D8" s="16" t="inlineStr">
        <is>
          <t>فينكا مشمشي</t>
        </is>
      </c>
      <c r="E8" s="17" t="n">
        <v>5000</v>
      </c>
      <c r="G8" s="17">
        <f>IF(F8="","",E8*F8)</f>
        <v/>
      </c>
      <c r="H8" s="17">
        <f>IFERROR(IF(VLOOKUP("فينكا مشمشي",'قائمة الأسعار الموحدة'!$B$3:$E$71,4,FALSE)="",F8,VLOOKUP("فينكا مشمشي",'قائمة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شحن خارجي تحمّلته نسما 1,400 ريال – لا يُحمّل على أي طرف</t>
        </is>
      </c>
    </row>
    <row r="9">
      <c r="A9" s="17" t="n">
        <v>7</v>
      </c>
      <c r="B9" s="161" t="n">
        <v>45854</v>
      </c>
      <c r="C9" s="16" t="inlineStr">
        <is>
          <t>P00508</t>
        </is>
      </c>
      <c r="D9" s="16" t="inlineStr">
        <is>
          <t>فينكا أحمر</t>
        </is>
      </c>
      <c r="E9" s="17" t="n">
        <v>6000</v>
      </c>
      <c r="G9" s="17">
        <f>IF(F9="","",E9*F9)</f>
        <v/>
      </c>
      <c r="H9" s="17">
        <f>IFERROR(IF(VLOOKUP("فينكا احمر",'قائمة الأسعار الموحدة'!$B$3:$E$71,4,FALSE)="",F9,VLOOKUP("فينكا احمر",'قائمة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>
        <is>
          <t>شحن خارجي تحمّلته نسما 1,700 ريال – لا يُحمّل على أي طرف</t>
        </is>
      </c>
    </row>
    <row r="10">
      <c r="A10" s="17" t="n">
        <v>8</v>
      </c>
      <c r="B10" s="161" t="n">
        <v>45854</v>
      </c>
      <c r="C10" s="16" t="inlineStr">
        <is>
          <t>P00508</t>
        </is>
      </c>
      <c r="D10" s="16" t="inlineStr">
        <is>
          <t>فينكا أبيض</t>
        </is>
      </c>
      <c r="E10" s="17" t="n">
        <v>6000</v>
      </c>
      <c r="G10" s="17">
        <f>IF(F10="","",E10*F10)</f>
        <v/>
      </c>
      <c r="H10" s="17">
        <f>IFERROR(IF(VLOOKUP("فينكا ابيض",'قائمة الأسعار الموحدة'!$B$3:$E$71,4,FALSE)="",F10,VLOOKUP("فينكا ابيض",'قائمة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>
        <is>
          <t>شحن خارجي تحمّلته نسما 1,700 ريال – لا يُحمّل على أي طرف</t>
        </is>
      </c>
    </row>
    <row r="11">
      <c r="A11" s="17" t="n">
        <v>9</v>
      </c>
      <c r="B11" s="161" t="n">
        <v>45856</v>
      </c>
      <c r="C11" s="16" t="inlineStr">
        <is>
          <t>P00519</t>
        </is>
      </c>
      <c r="D11" s="16" t="inlineStr">
        <is>
          <t>زهور موسمية (SEASONAL FLOWERS)</t>
        </is>
      </c>
      <c r="E11" s="17" t="n">
        <v>42000</v>
      </c>
      <c r="G11" s="17">
        <f>IF(F11="","",E11*F11)</f>
        <v/>
      </c>
      <c r="H11" s="17">
        <f>IFERROR(IF(VLOOKUP("موسميه",'قائمة الأسعار الموحدة'!$B$3:$E$71,4,FALSE)="",F11,VLOOKUP("موسميه",'قائمة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>
        <is>
          <t>شحن خارجي تحمّلته نسما 3,800 ريال – لا يُحمّل على أي طرف</t>
        </is>
      </c>
    </row>
    <row r="12">
      <c r="A12" s="17" t="n">
        <v>10</v>
      </c>
      <c r="B12" s="161" t="n">
        <v>45856</v>
      </c>
      <c r="C12" s="16" t="inlineStr">
        <is>
          <t>P00522</t>
        </is>
      </c>
      <c r="D12" s="16" t="inlineStr">
        <is>
          <t>زهور موسمية – غير شامل التوصيل</t>
        </is>
      </c>
      <c r="E12" s="17" t="n">
        <v>15000</v>
      </c>
      <c r="G12" s="17">
        <f>IF(F12="","",E12*F12)</f>
        <v/>
      </c>
      <c r="H12" s="17">
        <f>IFERROR(IF(VLOOKUP("موسميه",'قائمة الأسعار الموحدة'!$B$3:$E$71,4,FALSE)="",F12,VLOOKUP("موسميه",'قائمة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>
        <is>
          <t>شحن خارجي تحمّلته نسما 3,000 ريال – لا يُحمّل على أي طرف</t>
        </is>
      </c>
    </row>
    <row r="13">
      <c r="A13" s="17" t="n">
        <v>11</v>
      </c>
      <c r="B13" s="161" t="n">
        <v>45856</v>
      </c>
      <c r="C13" s="16" t="inlineStr">
        <is>
          <t>P00523</t>
        </is>
      </c>
      <c r="D13" s="16" t="inlineStr">
        <is>
          <t>زهور موسمية (SEASONAL FLOWERS)</t>
        </is>
      </c>
      <c r="E13" s="17" t="n">
        <v>9000</v>
      </c>
      <c r="G13" s="17">
        <f>IF(F13="","",E13*F13)</f>
        <v/>
      </c>
      <c r="H13" s="17">
        <f>IFERROR(IF(VLOOKUP("موسميه",'قائمة الأسعار الموحدة'!$B$3:$E$71,4,FALSE)="",F13,VLOOKUP("موسميه",'قائمة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>
        <is>
          <t>البراد على جرين تاون – الحمولة 15,000 وقُبل 9,000</t>
        </is>
      </c>
    </row>
    <row r="14">
      <c r="A14" s="162" t="n"/>
      <c r="B14" s="162" t="n"/>
      <c r="C14" s="162" t="n"/>
      <c r="D14" s="9" t="inlineStr">
        <is>
          <t>الإجمالي</t>
        </is>
      </c>
      <c r="E14" s="10">
        <f>SUM(E3:E13)</f>
        <v/>
      </c>
      <c r="F14" s="162" t="n"/>
      <c r="G14" s="10">
        <f>SUM(G3:G13)</f>
        <v/>
      </c>
      <c r="H14" s="162" t="n"/>
      <c r="I14" s="10">
        <f>SUM(I3:I13)</f>
        <v/>
      </c>
      <c r="J14" s="10">
        <f>SUM(J3:J13)</f>
        <v/>
      </c>
      <c r="K14" s="16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160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2" t="inlineStr">
        <is>
          <t>م</t>
        </is>
      </c>
      <c r="B2" s="22" t="inlineStr">
        <is>
          <t>الاتجاه</t>
        </is>
      </c>
      <c r="C2" s="22" t="inlineStr">
        <is>
          <t>السند</t>
        </is>
      </c>
      <c r="D2" s="22" t="inlineStr">
        <is>
          <t>التاريخ</t>
        </is>
      </c>
      <c r="E2" s="22" t="inlineStr">
        <is>
          <t>الجهة</t>
        </is>
      </c>
      <c r="F2" s="22" t="inlineStr">
        <is>
          <t>القيمة بالنظام (شاملة الضريبة)</t>
        </is>
      </c>
      <c r="G2" s="22" t="inlineStr">
        <is>
          <t>القيمة بدون ضريبة</t>
        </is>
      </c>
      <c r="H2" s="22" t="inlineStr">
        <is>
          <t>ملاحظة</t>
        </is>
      </c>
    </row>
    <row r="3">
      <c r="B3" s="16" t="inlineStr">
        <is>
          <t>✓ تم تفصيل كل السندات وإدراجها بشيت مسحوبات نسما من الرياض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tabSelected="0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966,735.80 بعد استبعاد الدينة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مرجعي – المعتمد بميزان الخزنة التراكمي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 (قيم النظام – مرجعي)</t>
        </is>
      </c>
      <c r="B21" s="4">
        <f>'مواد - الملخص'!J5</f>
        <v/>
      </c>
      <c r="C21" s="4" t="n"/>
      <c r="D21" s="3" t="inlineStr">
        <is>
          <t>المعتمد بالسعر الموحد: صفحة ترحيل تبوك إلى الرياض</t>
        </is>
      </c>
    </row>
    <row r="22">
      <c r="A22" s="3" t="inlineStr">
        <is>
          <t>RNT ترحيل من الرياض إلى تبوك (قيم النظام – مرجعي)</t>
        </is>
      </c>
      <c r="B22" s="4">
        <f>'مواد - الملخص'!J6</f>
        <v/>
      </c>
      <c r="C22" s="4" t="n"/>
      <c r="D22" s="3" t="inlineStr">
        <is>
          <t>المعتمد بالسعر الموحد: صفحة مسحوبات نسما من الرياض</t>
        </is>
      </c>
    </row>
    <row r="23">
      <c r="A23" s="3" t="inlineStr">
        <is>
          <t>RNP ترحيل لقسم المشاريع تبوك (قيم النظام – مرجعي)</t>
        </is>
      </c>
      <c r="B23" s="4">
        <f>'مواد - الملخص'!J7</f>
        <v/>
      </c>
      <c r="C23" s="4" t="n"/>
      <c r="D23" s="3" t="inlineStr">
        <is>
          <t>المعتمد بالسعر الموحد: صفحة مسحوبات نسما من الرياض</t>
        </is>
      </c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'تقفيل المديونية'!C20</f>
        <v/>
      </c>
      <c r="C33" s="6">
        <f>'تقفيل المديونية'!C42</f>
        <v/>
      </c>
      <c r="D33" s="5" t="inlineStr"/>
    </row>
    <row r="34">
      <c r="A34" s="3" t="inlineStr">
        <is>
          <t>المدفوعات للخزنة (توريدات أبو خالد)</t>
        </is>
      </c>
      <c r="B34" s="4">
        <f>'تقفيل المديونية'!C8</f>
        <v/>
      </c>
      <c r="C34" s="4" t="n">
        <v>0</v>
      </c>
      <c r="D34" s="3" t="inlineStr"/>
    </row>
    <row r="35">
      <c r="A35" s="3" t="inlineStr">
        <is>
          <t>الدعم المقدم للمزرعة (تأسيس + تشغيل)</t>
        </is>
      </c>
      <c r="B35" s="4">
        <f>'تقفيل المديونية'!C13-'تقفيل المديونية'!C8</f>
        <v/>
      </c>
      <c r="C35" s="4">
        <f>'تقفيل المديونية'!C34</f>
        <v/>
      </c>
      <c r="D35" s="3" t="inlineStr"/>
    </row>
    <row r="36">
      <c r="A36" s="5" t="inlineStr">
        <is>
          <t>الصافي (موجب = مستحق للشريك على المزرعة)</t>
        </is>
      </c>
      <c r="B36" s="6">
        <f>'تقفيل المديونية'!C21</f>
        <v/>
      </c>
      <c r="C36" s="6">
        <f>'تقفيل المديونية'!C43</f>
        <v/>
      </c>
      <c r="D36" s="5" t="inlineStr">
        <is>
          <t>✓ نهائي بعد اعتماد كل القرارات</t>
        </is>
      </c>
    </row>
    <row r="38">
      <c r="A38" t="inlineStr">
        <is>
          <t>الأرقام النهائية في صفحتي الغلاف وتقفيل المديونية.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التي طُرحت أثناء المراجعة – كلها تمت الإجابة عليها (راجع سجل القرارات)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>
        <is>
          <t>✓ تمت الإجابة – راجع سجل القرارات</t>
        </is>
      </c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>
        <is>
          <t>✓ تمت الإجابة – راجع سجل القرارات</t>
        </is>
      </c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>
        <is>
          <t>✓ تمت الإجابة – راجع سجل القرارات</t>
        </is>
      </c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>
        <is>
          <t>✓ تمت الإجابة – راجع سجل القرارات</t>
        </is>
      </c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>
        <is>
          <t>✓ تمت الإجابة – راجع سجل القرارات</t>
        </is>
      </c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>
        <is>
          <t>✓ تمت الإجابة – راجع سجل القرارات</t>
        </is>
      </c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>
        <is>
          <t>✓ تمت الإجابة – راجع سجل القرارات</t>
        </is>
      </c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>
        <is>
          <t>✓ تمت الإجابة – راجع سجل القرارات</t>
        </is>
      </c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>
        <is>
          <t>✓ تمت الإجابة – راجع سجل القرارات</t>
        </is>
      </c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>
        <is>
          <t>✓ تمت الإجابة – راجع سجل القرارات</t>
        </is>
      </c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>
        <is>
          <t>✓ تمت الإجابة – راجع سجل القرارات</t>
        </is>
      </c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>
        <is>
          <t>✓ تمت الإجابة – راجع سجل القرارات</t>
        </is>
      </c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>
        <is>
          <t>✓ تمت الإجابة – راجع سجل القرارات</t>
        </is>
      </c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>
        <is>
          <t>✓ تمت الإجابة – راجع سجل القرارات</t>
        </is>
      </c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>
        <is>
          <t>✓ تمت الإجابة – راجع سجل القرارات</t>
        </is>
      </c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>
        <is>
          <t>✓ تمت الإجابة – راجع سجل القرارات</t>
        </is>
      </c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>
        <is>
          <t>✓ تمت الإجابة – راجع سجل القرارات</t>
        </is>
      </c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>
        <is>
          <t>✓ تمت الإجابة – راجع سجل القرارات</t>
        </is>
      </c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>
        <is>
          <t>✓ تمت الإجابة – راجع سجل القرارات</t>
        </is>
      </c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>
        <is>
          <t>✓ تمت الإجابة – راجع سجل القرارات</t>
        </is>
      </c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>
        <is>
          <t>✓ تمت الإجابة – راجع سجل القرارات</t>
        </is>
      </c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>
        <is>
          <t>✓ تمت الإجابة – راجع سجل القرارات</t>
        </is>
      </c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>
        <is>
          <t>✓ تمت الإجابة – راجع سجل القرارات</t>
        </is>
      </c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>
        <is>
          <t>✓ تمت الإجابة – راجع سجل القرارات</t>
        </is>
      </c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>
        <is>
          <t>✓ تمت الإجابة – راجع سجل القرارات</t>
        </is>
      </c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>
        <is>
          <t>✓ تمت الإجابة – راجع سجل القرارات</t>
        </is>
      </c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>
        <is>
          <t>✓ تمت الإجابة – راجع سجل القرارات</t>
        </is>
      </c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>
        <is>
          <t>✓ تمت الإجابة – راجع سجل القرارات</t>
        </is>
      </c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>
        <is>
          <t>✓ تمت الإجابة – راجع سجل القرارات</t>
        </is>
      </c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>
        <is>
          <t>✓ تمت الإجابة – راجع سجل القرارات</t>
        </is>
      </c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>
        <is>
          <t>✓ تمت الإجابة – راجع سجل القرارات</t>
        </is>
      </c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>
        <is>
          <t>✓ تمت الإجابة – راجع سجل القرارات</t>
        </is>
      </c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>
        <is>
          <t>✓ تمت الإجابة – راجع سجل القرارات</t>
        </is>
      </c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>
        <is>
          <t>✓ تمت الإجابة – راجع سجل القرارات</t>
        </is>
      </c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>
        <is>
          <t>✓ تمت الإجابة – راجع سجل القرارات</t>
        </is>
      </c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>
        <is>
          <t>✓ تمت الإجابة – راجع سجل القرارات</t>
        </is>
      </c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>
        <is>
          <t>✓ تمت الإجابة – راجع سجل القرارات</t>
        </is>
      </c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>
        <is>
          <t>✓ تمت الإجابة – راجع سجل القرارات</t>
        </is>
      </c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>
        <is>
          <t>✓ مؤكد: 197,452 و 13,000 لأبو مازن، و 100,000 لأبو خالد</t>
        </is>
      </c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>
        <is>
          <t>✓ تمت الإجابة – راجع سجل القرارات</t>
        </is>
      </c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>
        <is>
          <t>✓ تمت الإجابة – راجع سجل القرارات</t>
        </is>
      </c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>
        <is>
          <t>✓ تمت الإجابة – راجع سجل القرارات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 t="inlineStr">
        <is>
          <t>مديونية أبو خالد عن عقد عرعر</t>
        </is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ومسددة بالكامل – حُذفت من كل الحسابات. ربح مسحوبات الجزيرة (فرق 0.55 عن 0.50 = 19,622.50 ناقص فلين 3,128 = 16,494.50) أُضيف بالكامل لأبو خالد، فأصبح رصيده بكشف الخزنة 177,483.06 له بدل 160,988.56.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tabSelected="0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tabSelected="0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 | ربح مسحوبات الجزيرة (16,494.50) أُضيف بالكامل لأبو خالد.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0</v>
      </c>
      <c r="E36" s="51" t="inlineStr">
        <is>
          <t>WHT-2953</t>
        </is>
      </c>
      <c r="F36" s="51" t="inlineStr">
        <is>
          <t>عصمت الله خان</t>
        </is>
      </c>
      <c r="G36" s="54" t="inlineStr">
        <is>
          <t>ملغاة (قرار): مكررة مع الفاتورة 57 – القيمة الأصلية 12,742.50</t>
        </is>
      </c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✓ معتمد 5,448.75 (فرق ريال واحد بالكشف)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tabSelected="0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tabSelected="0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0</v>
      </c>
      <c r="F25" s="11" t="inlineStr">
        <is>
          <t>مستبعد من التأسيس (قرار): الدينة 123,000 سُحبت لنسما 10-9-2026 – إهلاكها 26,453.42 لصالح نسما مدرج بدعم أبو مازن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إجمالي كشف التأسيس الأصلي 1,089,735.80 – بعد استبعاد الدينة = 966,735.80 (أبو مازن) + مساهمة أبو خالد 189,235 = 1,155,970.80.</t>
        </is>
      </c>
    </row>
    <row r="41" ht="32" customHeight="1">
      <c r="A41" s="124" t="inlineStr">
        <is>
          <t>2) البند 23 "دينة مندوب الرياض – عماد" 123,000 مستبعد (القيمة = صفر) – سُحبت لنسما في 10-9-2026 مع إهلاك 25% من 1-11-2025 = 26,453.42 لصالح نسما.</t>
        </is>
      </c>
    </row>
    <row r="42" ht="32" customHeight="1">
      <c r="A42" s="124" t="inlineStr">
        <is>
          <t>3) البنود 1 و 2 و 14 مدفوعة عن طريق أبو مازن، وكل مصروفات التأسيس (عدا مساهمة أبو خالد 189,235) مدفوعة من أبو مازن / نسما.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1,155,970.80 = مدفوع أبو مازن 966,735.80 (83.63%) + مساهمة أبو خالد 189,235 (16.37%). الإيجار 300,000 (2024–2025) ضمن التأسيس ومدفوع من أبو مازن.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tabSelected="0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tabSelected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inlineStr">
        <is>
          <t>✓ قرار: 70,000 استلمها أبو خالد + 30,000 استلمها أبو مازن</t>
        </is>
      </c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tabSelected="0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inlineStr">
        <is>
          <t>المعتمد بقرار صاحب الحساب: 231,992.26</t>
        </is>
      </c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4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tabSelected="0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5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5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5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5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tabSelected="0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5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5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5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5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5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tabSelected="0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2026-10-09T16:44:23Z</dcterms:modified>
</cp:coreProperties>
</file>