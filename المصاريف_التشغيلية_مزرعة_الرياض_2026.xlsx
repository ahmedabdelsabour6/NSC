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أوامر الشراء" sheetId="2" state="visible" r:id="rId2"/>
    <sheet name="العهد - تفصيل المصروفات" sheetId="3" state="visible" r:id="rId3"/>
    <sheet name="العهد - ملخص" sheetId="4" state="visible" r:id="rId4"/>
  </sheets>
  <definedNames>
    <definedName name="_xlnm._FilterDatabase" localSheetId="1" hidden="1">'أوامر الشراء'!$A$1:$L$32</definedName>
    <definedName name="_xlnm._FilterDatabase" localSheetId="2" hidden="1">'العهد - تفصيل المصروفات'!$A$1:$I$179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/mm/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D9E1F2"/>
      </patternFill>
    </fill>
    <fill>
      <patternFill patternType="solid">
        <fgColor rgb="00D9D9D9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vertical="top" wrapText="1"/>
    </xf>
    <xf numFmtId="4" fontId="2" fillId="7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4" fontId="2" fillId="5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165" fontId="0" fillId="3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165" fontId="0" fillId="4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0" fontId="2" fillId="5" borderId="1" pivotButton="0" quotePrefix="0" xfId="0"/>
    <xf numFmtId="4" fontId="2" fillId="5" borderId="1" pivotButton="0" quotePrefix="0" xfId="0"/>
    <xf numFmtId="0" fontId="0" fillId="0" borderId="1" pivotButton="0" quotePrefix="0" xfId="0"/>
    <xf numFmtId="165" fontId="0" fillId="0" borderId="1" pivotButton="0" quotePrefix="0" xfId="0"/>
    <xf numFmtId="4" fontId="0" fillId="0" borderId="1" pivotButton="0" quotePrefix="0" xfId="0"/>
    <xf numFmtId="0" fontId="0" fillId="6" borderId="1" pivotButton="0" quotePrefix="0" xfId="0"/>
    <xf numFmtId="165" fontId="0" fillId="6" borderId="1" pivotButton="0" quotePrefix="0" xfId="0"/>
    <xf numFmtId="4" fontId="0" fillId="6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rightToLeft="1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8" customWidth="1" min="3" max="3"/>
    <col width="80" customWidth="1" min="4" max="4"/>
  </cols>
  <sheetData>
    <row r="1">
      <c r="A1" s="1" t="inlineStr">
        <is>
          <t>المصاريف التشغيلية – مزرعة الرياض (1-1-2026 إلى 31-7-2026)</t>
        </is>
      </c>
    </row>
    <row r="3">
      <c r="A3" s="2" t="inlineStr">
        <is>
          <t>البند</t>
        </is>
      </c>
      <c r="B3" s="2" t="inlineStr">
        <is>
          <t>العدد</t>
        </is>
      </c>
      <c r="C3" s="2" t="inlineStr">
        <is>
          <t>المبلغ</t>
        </is>
      </c>
      <c r="D3" s="2" t="inlineStr">
        <is>
          <t>ملاحظة</t>
        </is>
      </c>
    </row>
    <row r="4">
      <c r="A4" s="3" t="inlineStr">
        <is>
          <t>أولاً: أوامر الشراء (مشتريات المزرعة)</t>
        </is>
      </c>
      <c r="B4" s="3" t="n"/>
      <c r="C4" s="4" t="n"/>
      <c r="D4" s="3" t="inlineStr"/>
    </row>
    <row r="5">
      <c r="A5" s="5" t="inlineStr">
        <is>
          <t xml:space="preserve">  أوامر مدفوعة بالكامل</t>
        </is>
      </c>
      <c r="B5" s="5" t="n">
        <v>29</v>
      </c>
      <c r="C5" s="6" t="n">
        <v>497518.61</v>
      </c>
      <c r="D5" s="5" t="inlineStr"/>
    </row>
    <row r="6">
      <c r="A6" s="5" t="inlineStr">
        <is>
          <t xml:space="preserve">  أوامر مدفوعة جزئياً</t>
        </is>
      </c>
      <c r="B6" s="5" t="n">
        <v>1</v>
      </c>
      <c r="C6" s="6" t="n">
        <v>66420</v>
      </c>
      <c r="D6" s="5" t="inlineStr">
        <is>
          <t>PO-0777 (بساتين الرياض) – المبلغ المدفوع غير موضح</t>
        </is>
      </c>
    </row>
    <row r="7">
      <c r="A7" s="5" t="inlineStr">
        <is>
          <t xml:space="preserve">  أوامر غير مدفوعة</t>
        </is>
      </c>
      <c r="B7" s="5" t="n">
        <v>1</v>
      </c>
      <c r="C7" s="6" t="n">
        <v>33950</v>
      </c>
      <c r="D7" s="5" t="inlineStr">
        <is>
          <t>PO-1023 (بساتين الرياض)</t>
        </is>
      </c>
    </row>
    <row r="8">
      <c r="A8" s="5" t="inlineStr">
        <is>
          <t xml:space="preserve">  إجمالي أوامر الشراء</t>
        </is>
      </c>
      <c r="B8" s="5" t="n">
        <v>31</v>
      </c>
      <c r="C8" s="6" t="n">
        <v>597888.61</v>
      </c>
      <c r="D8" s="5" t="inlineStr"/>
    </row>
    <row r="9">
      <c r="A9" s="5" t="inlineStr">
        <is>
          <t xml:space="preserve">  المديونية القائمة للموردين (حد أقصى)</t>
        </is>
      </c>
      <c r="B9" s="5" t="n">
        <v>2</v>
      </c>
      <c r="C9" s="6" t="n">
        <v>100370</v>
      </c>
      <c r="D9" s="5">
        <f> غير المدفوع + المدفوع جزئياً بالكامل لحين معرفة المسدد من PO-0777</f>
        <v/>
      </c>
    </row>
    <row r="10">
      <c r="A10" s="3" t="inlineStr">
        <is>
          <t>ثانياً: مصروفات العهد النقدية (تسويات معتمدة)</t>
        </is>
      </c>
      <c r="B10" s="3" t="n"/>
      <c r="C10" s="4" t="n"/>
      <c r="D10" s="3" t="inlineStr"/>
    </row>
    <row r="11">
      <c r="A11" s="5" t="inlineStr">
        <is>
          <t xml:space="preserve">  داخل الفترة حتى 31-7-2026</t>
        </is>
      </c>
      <c r="B11" s="5" t="n">
        <v>147</v>
      </c>
      <c r="C11" s="6" t="n">
        <v>44851.46</v>
      </c>
      <c r="D11" s="5" t="inlineStr">
        <is>
          <t>تفصيلها حسب البند والسيارة في شيت "العهد - ملخص"</t>
        </is>
      </c>
    </row>
    <row r="12">
      <c r="A12" s="5" t="inlineStr">
        <is>
          <t xml:space="preserve">  بعد 31-7-2026 (خارج الفترة)</t>
        </is>
      </c>
      <c r="B12" s="5" t="n">
        <v>31</v>
      </c>
      <c r="C12" s="6" t="n">
        <v>4966.02</v>
      </c>
      <c r="D12" s="5" t="inlineStr"/>
    </row>
    <row r="13">
      <c r="A13" s="5" t="inlineStr">
        <is>
          <t xml:space="preserve">  أرصدة عهد لم تُسوَّ بعد</t>
        </is>
      </c>
      <c r="B13" s="5" t="n"/>
      <c r="C13" s="6" t="n">
        <v>1543.91</v>
      </c>
      <c r="D13" s="5" t="inlineStr">
        <is>
          <t>مبالغ صُرفت لأصحاب العهد ولم تُقدم بها مستندات حتى تاريخ التقارير 9-8-2026</t>
        </is>
      </c>
    </row>
    <row r="14">
      <c r="A14" s="7" t="inlineStr">
        <is>
          <t>إجمالي المصاريف التشغيلية داخل الفترة (أوامر الشراء + العهد)</t>
        </is>
      </c>
      <c r="B14" s="7" t="n"/>
      <c r="C14" s="8" t="n">
        <v>642740.0699999999</v>
      </c>
      <c r="D14" s="7" t="inlineStr"/>
    </row>
    <row r="15" ht="32" customHeight="1">
      <c r="A15" s="9" t="inlineStr"/>
    </row>
    <row r="16" ht="32" customHeight="1">
      <c r="A16" s="10" t="inlineStr">
        <is>
          <t>ملاحظات المراجعة:</t>
        </is>
      </c>
    </row>
    <row r="17" ht="32" customHeight="1">
      <c r="A17" s="9" t="inlineStr">
        <is>
          <t>1) كل تقارير العهد الأربعة مطابقة: مجموع التسويات = "TOTAL SETTLED" بكل تقرير، ومجموع الإضافات = "TOTAL GRANTED".</t>
        </is>
      </c>
    </row>
    <row r="18" ht="32" customHeight="1">
      <c r="A18" s="9" t="inlineStr">
        <is>
          <t>2) ⚠ مديونية قائمة: PO-1023 (33,950 غير مدفوع) و PO-0777 (66,420 مدفوع جزئياً) – كلاهما لمؤسسة بساتين الرياض وتم استلامهما بالكامل.</t>
        </is>
      </c>
    </row>
    <row r="19" ht="32" customHeight="1">
      <c r="A19" s="9" t="inlineStr">
        <is>
          <t>3) ⚠ 27 أمر شراء حالة الاستلام فيها "Not Issued" رغم أنها مدفوعة بالكامل – يعني الاستلام لم يُسجل بالنظام.</t>
        </is>
      </c>
    </row>
    <row r="20" ht="32" customHeight="1">
      <c r="A20" s="9" t="inlineStr">
        <is>
          <t>4) ⚠ المدارات: أمران بنفس القيمة 53,475 (PO-267 و PO-309) – يلزم التأكد أنهما توريدان مختلفان.</t>
        </is>
      </c>
    </row>
    <row r="21" ht="32" customHeight="1">
      <c r="A21" s="9" t="inlineStr">
        <is>
          <t>5) ⚠ أوامر PO-288 و PO-287-REV1 و PO-295 و PO-296 مؤرخة يناير 2026 لكن أرقامها ضمن تسلسل فبراير–مارس.</t>
        </is>
      </c>
    </row>
    <row r="22" ht="32" customHeight="1">
      <c r="A22" s="9" t="inlineStr">
        <is>
          <t>6) ⚠ تداخل محتمل: مصروفات الديزل بالعهد (سيارات 1219 و 3010) قد تكون جزءاً من إجمالي الديزل 2026 (24,888) في شيت "الديزل المدفوع من نسما الشرق" – يلزم التأكد لتجنب الاحتساب مرتين.</t>
        </is>
      </c>
    </row>
    <row r="23" ht="32" customHeight="1">
      <c r="A23" s="9" t="inlineStr">
        <is>
          <t>7) عهدة حسين مصطفى تشمل إضافات "نقداً" بقيمة 39,518.39 (عمود المنصرف = 0) – أي أنها صُرفت نقداً من خارج النظام.</t>
        </is>
      </c>
    </row>
    <row r="24" ht="32" customHeight="1">
      <c r="A24" s="9" t="inlineStr">
        <is>
          <t>8) شيت المصروفات لعام 2025 لم يُرفق – سيُضاف عند إرساله.</t>
        </is>
      </c>
    </row>
  </sheetData>
  <mergeCells count="11">
    <mergeCell ref="A1:D1"/>
    <mergeCell ref="A17:D17"/>
    <mergeCell ref="A18:D18"/>
    <mergeCell ref="A23:D23"/>
    <mergeCell ref="A22:D22"/>
    <mergeCell ref="A20:D20"/>
    <mergeCell ref="A21:D21"/>
    <mergeCell ref="A15:D15"/>
    <mergeCell ref="A24:D24"/>
    <mergeCell ref="A16:D16"/>
    <mergeCell ref="A19:D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30" customWidth="1" min="4" max="4"/>
    <col width="11" customWidth="1" min="5" max="5"/>
    <col width="15" customWidth="1" min="6" max="6"/>
    <col width="12" customWidth="1" min="7" max="7"/>
    <col width="16" customWidth="1" min="8" max="8"/>
    <col width="16" customWidth="1" min="9" max="9"/>
    <col width="13" customWidth="1" min="10" max="10"/>
    <col width="15" customWidth="1" min="11" max="11"/>
    <col width="70" customWidth="1" min="12" max="12"/>
  </cols>
  <sheetData>
    <row r="1">
      <c r="A1" s="2" t="inlineStr">
        <is>
          <t>م</t>
        </is>
      </c>
      <c r="B1" s="2" t="inlineStr">
        <is>
          <t>رقم أمر الشراء</t>
        </is>
      </c>
      <c r="C1" s="2" t="inlineStr">
        <is>
          <t>التاريخ</t>
        </is>
      </c>
      <c r="D1" s="2" t="inlineStr">
        <is>
          <t>المورد</t>
        </is>
      </c>
      <c r="E1" s="2" t="inlineStr">
        <is>
          <t>المرجع</t>
        </is>
      </c>
      <c r="F1" s="2" t="inlineStr">
        <is>
          <t>القيمة قبل الضريبة</t>
        </is>
      </c>
      <c r="G1" s="2" t="inlineStr">
        <is>
          <t>الضريبة</t>
        </is>
      </c>
      <c r="H1" s="2" t="inlineStr">
        <is>
          <t>الإجمالي بعد الضريبة</t>
        </is>
      </c>
      <c r="I1" s="2" t="inlineStr">
        <is>
          <t>حالة الاستلام</t>
        </is>
      </c>
      <c r="J1" s="2" t="inlineStr">
        <is>
          <t>حالة الدفع</t>
        </is>
      </c>
      <c r="K1" s="2" t="inlineStr">
        <is>
          <t>المديونية القائمة</t>
        </is>
      </c>
      <c r="L1" s="2" t="inlineStr">
        <is>
          <t>ملاحظة</t>
        </is>
      </c>
    </row>
    <row r="2">
      <c r="A2" s="5" t="n">
        <v>1</v>
      </c>
      <c r="B2" s="11" t="inlineStr">
        <is>
          <t>PO-288</t>
        </is>
      </c>
      <c r="C2" s="12" t="n">
        <v>46024</v>
      </c>
      <c r="D2" s="5" t="inlineStr">
        <is>
          <t>بساتين الرياض</t>
        </is>
      </c>
      <c r="E2" s="5" t="inlineStr">
        <is>
          <t>RN-711</t>
        </is>
      </c>
      <c r="F2" s="6" t="n">
        <v>75005</v>
      </c>
      <c r="G2" s="6" t="n">
        <v>11250.75</v>
      </c>
      <c r="H2" s="6" t="n">
        <v>86255.75</v>
      </c>
      <c r="I2" s="5" t="inlineStr">
        <is>
          <t>لم يُسجل الاستلام</t>
        </is>
      </c>
      <c r="J2" s="5" t="inlineStr">
        <is>
          <t>مدفوع بالكامل</t>
        </is>
      </c>
      <c r="K2" s="6" t="n">
        <v>0</v>
      </c>
      <c r="L2" s="5" t="inlineStr">
        <is>
          <t>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3">
      <c r="A3" s="5" t="n">
        <v>2</v>
      </c>
      <c r="B3" s="11" t="inlineStr">
        <is>
          <t>PO-287-REV1</t>
        </is>
      </c>
      <c r="C3" s="12" t="n">
        <v>46025</v>
      </c>
      <c r="D3" s="5" t="inlineStr">
        <is>
          <t>بساتين الرياض</t>
        </is>
      </c>
      <c r="E3" s="5" t="inlineStr">
        <is>
          <t>RN-838</t>
        </is>
      </c>
      <c r="F3" s="6" t="n">
        <v>53470</v>
      </c>
      <c r="G3" s="6" t="n">
        <v>8020.5</v>
      </c>
      <c r="H3" s="6" t="n">
        <v>61490.5</v>
      </c>
      <c r="I3" s="5" t="inlineStr">
        <is>
          <t>لم يُسجل الاستلام</t>
        </is>
      </c>
      <c r="J3" s="5" t="inlineStr">
        <is>
          <t>مدفوع بالكامل</t>
        </is>
      </c>
      <c r="K3" s="6" t="n">
        <v>0</v>
      </c>
      <c r="L3" s="5" t="inlineStr">
        <is>
          <t>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 | أمر معدّل (REV1)</t>
        </is>
      </c>
    </row>
    <row r="4">
      <c r="A4" s="5" t="n">
        <v>3</v>
      </c>
      <c r="B4" s="11" t="inlineStr">
        <is>
          <t>PO-9</t>
        </is>
      </c>
      <c r="C4" s="12" t="n">
        <v>46025</v>
      </c>
      <c r="D4" s="5" t="inlineStr">
        <is>
          <t>شركة مصنع الديكور والبولستيرين</t>
        </is>
      </c>
      <c r="E4" s="5" t="inlineStr">
        <is>
          <t>RN-2</t>
        </is>
      </c>
      <c r="F4" s="6" t="n">
        <v>4200</v>
      </c>
      <c r="G4" s="6" t="n">
        <v>630</v>
      </c>
      <c r="H4" s="6" t="n">
        <v>4830</v>
      </c>
      <c r="I4" s="5" t="inlineStr">
        <is>
          <t>لم يُسجل الاستلام</t>
        </is>
      </c>
      <c r="J4" s="5" t="inlineStr">
        <is>
          <t>مدفوع بالكامل</t>
        </is>
      </c>
      <c r="K4" s="6" t="n">
        <v>0</v>
      </c>
      <c r="L4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5">
      <c r="A5" s="5" t="n">
        <v>4</v>
      </c>
      <c r="B5" s="11" t="inlineStr">
        <is>
          <t>PO-296</t>
        </is>
      </c>
      <c r="C5" s="12" t="n">
        <v>46027</v>
      </c>
      <c r="D5" s="5" t="inlineStr">
        <is>
          <t>مشتل الجودة المطلقة</t>
        </is>
      </c>
      <c r="E5" s="5" t="inlineStr">
        <is>
          <t>RN-877</t>
        </is>
      </c>
      <c r="F5" s="6" t="n">
        <v>49550</v>
      </c>
      <c r="G5" s="6" t="n">
        <v>0</v>
      </c>
      <c r="H5" s="6" t="n">
        <v>49550</v>
      </c>
      <c r="I5" s="5" t="inlineStr">
        <is>
          <t>لم يُسجل الاستلام</t>
        </is>
      </c>
      <c r="J5" s="5" t="inlineStr">
        <is>
          <t>مدفوع بالكامل</t>
        </is>
      </c>
      <c r="K5" s="6" t="n">
        <v>0</v>
      </c>
      <c r="L5" s="5" t="inlineStr">
        <is>
          <t>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6">
      <c r="A6" s="5" t="n">
        <v>5</v>
      </c>
      <c r="B6" s="11" t="inlineStr">
        <is>
          <t>PO-295</t>
        </is>
      </c>
      <c r="C6" s="12" t="n">
        <v>46027</v>
      </c>
      <c r="D6" s="5" t="inlineStr">
        <is>
          <t>شركة غرس نجد</t>
        </is>
      </c>
      <c r="E6" s="5" t="inlineStr">
        <is>
          <t>RN-1606</t>
        </is>
      </c>
      <c r="F6" s="6" t="n">
        <v>14515</v>
      </c>
      <c r="G6" s="6" t="n">
        <v>0</v>
      </c>
      <c r="H6" s="6" t="n">
        <v>14515</v>
      </c>
      <c r="I6" s="5" t="inlineStr">
        <is>
          <t>لم يُسجل الاستلام</t>
        </is>
      </c>
      <c r="J6" s="5" t="inlineStr">
        <is>
          <t>مدفوع بالكامل</t>
        </is>
      </c>
      <c r="K6" s="6" t="n">
        <v>0</v>
      </c>
      <c r="L6" s="5" t="inlineStr">
        <is>
          <t>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7">
      <c r="A7" s="5" t="n">
        <v>6</v>
      </c>
      <c r="B7" s="11" t="inlineStr">
        <is>
          <t>PO-67</t>
        </is>
      </c>
      <c r="C7" s="12" t="n">
        <v>46032</v>
      </c>
      <c r="D7" s="5" t="inlineStr">
        <is>
          <t>شركة مصنع الديكور والبولستيرين</t>
        </is>
      </c>
      <c r="E7" s="5" t="inlineStr">
        <is>
          <t>RN-3</t>
        </is>
      </c>
      <c r="F7" s="6" t="n">
        <v>2100</v>
      </c>
      <c r="G7" s="6" t="n">
        <v>315</v>
      </c>
      <c r="H7" s="6" t="n">
        <v>2415</v>
      </c>
      <c r="I7" s="5" t="inlineStr">
        <is>
          <t>لم يُسجل الاستلام</t>
        </is>
      </c>
      <c r="J7" s="5" t="inlineStr">
        <is>
          <t>مدفوع بالكامل</t>
        </is>
      </c>
      <c r="K7" s="6" t="n">
        <v>0</v>
      </c>
      <c r="L7" s="5" t="inlineStr">
        <is>
          <t>حالة الاستلام "Not Issued" رغم أنه مدفوع بالكامل – لم يُسجل استلام بالنظام</t>
        </is>
      </c>
    </row>
    <row r="8">
      <c r="A8" s="5" t="n">
        <v>7</v>
      </c>
      <c r="B8" s="11" t="inlineStr">
        <is>
          <t>PO-121</t>
        </is>
      </c>
      <c r="C8" s="12" t="n">
        <v>46043</v>
      </c>
      <c r="D8" s="5" t="inlineStr">
        <is>
          <t>شركة مصنع الديكور والبولستيرين</t>
        </is>
      </c>
      <c r="E8" s="5" t="inlineStr">
        <is>
          <t>RN-5</t>
        </is>
      </c>
      <c r="F8" s="6" t="n">
        <v>4200</v>
      </c>
      <c r="G8" s="6" t="n">
        <v>630</v>
      </c>
      <c r="H8" s="6" t="n">
        <v>4830</v>
      </c>
      <c r="I8" s="5" t="inlineStr">
        <is>
          <t>لم يُسجل الاستلام</t>
        </is>
      </c>
      <c r="J8" s="5" t="inlineStr">
        <is>
          <t>مدفوع بالكامل</t>
        </is>
      </c>
      <c r="K8" s="6" t="n">
        <v>0</v>
      </c>
      <c r="L8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9">
      <c r="A9" s="5" t="n">
        <v>8</v>
      </c>
      <c r="B9" s="11" t="inlineStr">
        <is>
          <t>PO-146</t>
        </is>
      </c>
      <c r="C9" s="12" t="n">
        <v>46049</v>
      </c>
      <c r="D9" s="5" t="inlineStr">
        <is>
          <t>بساتين الرياض</t>
        </is>
      </c>
      <c r="E9" s="5" t="inlineStr">
        <is>
          <t>RN-8</t>
        </is>
      </c>
      <c r="F9" s="6" t="n">
        <v>32750</v>
      </c>
      <c r="G9" s="6" t="n">
        <v>0</v>
      </c>
      <c r="H9" s="6" t="n">
        <v>32750</v>
      </c>
      <c r="I9" s="5" t="inlineStr">
        <is>
          <t>لم يُسجل الاستلام</t>
        </is>
      </c>
      <c r="J9" s="5" t="inlineStr">
        <is>
          <t>مدفوع بالكامل</t>
        </is>
      </c>
      <c r="K9" s="6" t="n">
        <v>0</v>
      </c>
      <c r="L9" s="5" t="inlineStr">
        <is>
          <t>حالة الاستلام "Not Issued" رغم أنه مدفوع بالكامل – لم يُسجل استلام بالنظام</t>
        </is>
      </c>
    </row>
    <row r="10">
      <c r="A10" s="5" t="n">
        <v>9</v>
      </c>
      <c r="B10" s="11" t="inlineStr">
        <is>
          <t>PO-181</t>
        </is>
      </c>
      <c r="C10" s="12" t="n">
        <v>46054</v>
      </c>
      <c r="D10" s="5" t="inlineStr">
        <is>
          <t>شركة مصنع الديكور والبولستيرين</t>
        </is>
      </c>
      <c r="E10" s="5" t="inlineStr">
        <is>
          <t>RN-158</t>
        </is>
      </c>
      <c r="F10" s="6" t="n">
        <v>8148</v>
      </c>
      <c r="G10" s="6" t="n">
        <v>1222.2</v>
      </c>
      <c r="H10" s="6" t="n">
        <v>9370.200000000001</v>
      </c>
      <c r="I10" s="5" t="inlineStr">
        <is>
          <t>لم يُسجل الاستلام</t>
        </is>
      </c>
      <c r="J10" s="5" t="inlineStr">
        <is>
          <t>مدفوع بالكامل</t>
        </is>
      </c>
      <c r="K10" s="6" t="n">
        <v>0</v>
      </c>
      <c r="L10" s="5" t="inlineStr">
        <is>
          <t>حالة الاستلام "Not Issued" رغم أنه مدفوع بالكامل – لم يُسجل استلام بالنظام</t>
        </is>
      </c>
    </row>
    <row r="11">
      <c r="A11" s="5" t="n">
        <v>10</v>
      </c>
      <c r="B11" s="11" t="inlineStr">
        <is>
          <t>PO-210</t>
        </is>
      </c>
      <c r="C11" s="12" t="n">
        <v>46060</v>
      </c>
      <c r="D11" s="5" t="inlineStr">
        <is>
          <t>مصتع قطاف للاسمدة (البقرة السودة )</t>
        </is>
      </c>
      <c r="E11" s="5" t="inlineStr">
        <is>
          <t>RN-PR-191</t>
        </is>
      </c>
      <c r="F11" s="6" t="n">
        <v>1739.13</v>
      </c>
      <c r="G11" s="6" t="n">
        <v>260.87</v>
      </c>
      <c r="H11" s="6" t="n">
        <v>2000</v>
      </c>
      <c r="I11" s="5" t="inlineStr">
        <is>
          <t>لم يُسجل الاستلام</t>
        </is>
      </c>
      <c r="J11" s="5" t="inlineStr">
        <is>
          <t>مدفوع بالكامل</t>
        </is>
      </c>
      <c r="K11" s="6" t="n">
        <v>0</v>
      </c>
      <c r="L11" s="5" t="inlineStr">
        <is>
          <t>حالة الاستلام "Not Issued" رغم أنه مدفوع بالكامل – لم يُسجل استلام بالنظام</t>
        </is>
      </c>
    </row>
    <row r="12">
      <c r="A12" s="5" t="n">
        <v>11</v>
      </c>
      <c r="B12" s="11" t="inlineStr">
        <is>
          <t>PO-228-REV1</t>
        </is>
      </c>
      <c r="C12" s="12" t="n">
        <v>46063</v>
      </c>
      <c r="D12" s="5" t="inlineStr">
        <is>
          <t>شركة مصنع الديكور والبولستيرين</t>
        </is>
      </c>
      <c r="E12" s="5" t="inlineStr">
        <is>
          <t>RN-PR#203</t>
        </is>
      </c>
      <c r="F12" s="6" t="n">
        <v>8400</v>
      </c>
      <c r="G12" s="6" t="n">
        <v>1260</v>
      </c>
      <c r="H12" s="6" t="n">
        <v>9660</v>
      </c>
      <c r="I12" s="5" t="inlineStr">
        <is>
          <t>لم يُسجل الاستلام</t>
        </is>
      </c>
      <c r="J12" s="5" t="inlineStr">
        <is>
          <t>مدفوع بالكامل</t>
        </is>
      </c>
      <c r="K12" s="6" t="n">
        <v>0</v>
      </c>
      <c r="L12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3">
      <c r="A13" s="5" t="n">
        <v>12</v>
      </c>
      <c r="B13" s="11" t="inlineStr">
        <is>
          <t>PO-267</t>
        </is>
      </c>
      <c r="C13" s="12" t="n">
        <v>46072</v>
      </c>
      <c r="D13" s="5" t="inlineStr">
        <is>
          <t>المدارات</t>
        </is>
      </c>
      <c r="E13" s="5" t="inlineStr">
        <is>
          <t>RN-249</t>
        </is>
      </c>
      <c r="F13" s="6" t="n">
        <v>46500</v>
      </c>
      <c r="G13" s="6" t="n">
        <v>6975</v>
      </c>
      <c r="H13" s="6" t="n">
        <v>53475</v>
      </c>
      <c r="I13" s="5" t="inlineStr">
        <is>
          <t>لم يُسجل الاستلام</t>
        </is>
      </c>
      <c r="J13" s="5" t="inlineStr">
        <is>
          <t>مدفوع بالكامل</t>
        </is>
      </c>
      <c r="K13" s="6" t="n">
        <v>0</v>
      </c>
      <c r="L13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4">
      <c r="A14" s="5" t="n">
        <v>13</v>
      </c>
      <c r="B14" s="11" t="inlineStr">
        <is>
          <t>PO-6-REV1</t>
        </is>
      </c>
      <c r="C14" s="12" t="n">
        <v>46074</v>
      </c>
      <c r="D14" s="5" t="inlineStr">
        <is>
          <t>شركة مصنع الديكور والبولستيرين</t>
        </is>
      </c>
      <c r="E14" s="5" t="inlineStr">
        <is>
          <t>RN-34</t>
        </is>
      </c>
      <c r="F14" s="6" t="n">
        <v>4200</v>
      </c>
      <c r="G14" s="6" t="n">
        <v>630</v>
      </c>
      <c r="H14" s="6" t="n">
        <v>4830</v>
      </c>
      <c r="I14" s="5" t="inlineStr">
        <is>
          <t>لم يُسجل الاستلام</t>
        </is>
      </c>
      <c r="J14" s="5" t="inlineStr">
        <is>
          <t>مدفوع بالكامل</t>
        </is>
      </c>
      <c r="K14" s="6" t="n">
        <v>0</v>
      </c>
      <c r="L14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5">
      <c r="A15" s="5" t="n">
        <v>14</v>
      </c>
      <c r="B15" s="11" t="inlineStr">
        <is>
          <t>PO-265-REV1</t>
        </is>
      </c>
      <c r="C15" s="12" t="n">
        <v>46074</v>
      </c>
      <c r="D15" s="5" t="inlineStr">
        <is>
          <t>مصنع امداد للبلاسنيك</t>
        </is>
      </c>
      <c r="E15" s="5" t="inlineStr">
        <is>
          <t>RN-245</t>
        </is>
      </c>
      <c r="F15" s="6" t="n">
        <v>18000</v>
      </c>
      <c r="G15" s="6" t="n">
        <v>0</v>
      </c>
      <c r="H15" s="6" t="n">
        <v>18000</v>
      </c>
      <c r="I15" s="5" t="inlineStr">
        <is>
          <t>لم يُسجل الاستلام</t>
        </is>
      </c>
      <c r="J15" s="5" t="inlineStr">
        <is>
          <t>مدفوع بالكامل</t>
        </is>
      </c>
      <c r="K15" s="6" t="n">
        <v>0</v>
      </c>
      <c r="L15" s="5" t="inlineStr">
        <is>
          <t>حالة الاستلام "Not Issued" رغم أنه مدفوع بالكامل – لم يُسجل استلام بالنظام | أمر معدّل (REV1)</t>
        </is>
      </c>
    </row>
    <row r="16">
      <c r="A16" s="5" t="n">
        <v>15</v>
      </c>
      <c r="B16" s="11" t="inlineStr">
        <is>
          <t>PO-255-REV1</t>
        </is>
      </c>
      <c r="C16" s="12" t="n">
        <v>46074</v>
      </c>
      <c r="D16" s="5" t="inlineStr">
        <is>
          <t>بساتين الرياض</t>
        </is>
      </c>
      <c r="E16" s="5" t="inlineStr">
        <is>
          <t>RN-225</t>
        </is>
      </c>
      <c r="F16" s="6" t="n">
        <v>2750</v>
      </c>
      <c r="G16" s="6" t="n">
        <v>0</v>
      </c>
      <c r="H16" s="6" t="n">
        <v>2750</v>
      </c>
      <c r="I16" s="5" t="inlineStr">
        <is>
          <t>لم يُسجل الاستلام</t>
        </is>
      </c>
      <c r="J16" s="5" t="inlineStr">
        <is>
          <t>مدفوع بالكامل</t>
        </is>
      </c>
      <c r="K16" s="6" t="n">
        <v>0</v>
      </c>
      <c r="L16" s="5" t="inlineStr">
        <is>
          <t>حالة الاستلام "Not Issued" رغم أنه مدفوع بالكامل – لم يُسجل استلام بالنظام | أمر معدّل (REV1)</t>
        </is>
      </c>
    </row>
    <row r="17">
      <c r="A17" s="5" t="n">
        <v>16</v>
      </c>
      <c r="B17" s="11" t="inlineStr">
        <is>
          <t>PO-294</t>
        </is>
      </c>
      <c r="C17" s="12" t="n">
        <v>46082</v>
      </c>
      <c r="D17" s="5" t="inlineStr">
        <is>
          <t>شركة مصنع الديكور والبولستيرين</t>
        </is>
      </c>
      <c r="E17" s="5" t="inlineStr">
        <is>
          <t>RN-266</t>
        </is>
      </c>
      <c r="F17" s="6" t="n">
        <v>8400</v>
      </c>
      <c r="G17" s="6" t="n">
        <v>1260</v>
      </c>
      <c r="H17" s="6" t="n">
        <v>9660</v>
      </c>
      <c r="I17" s="5" t="inlineStr">
        <is>
          <t>لم يُسجل الاستلام</t>
        </is>
      </c>
      <c r="J17" s="5" t="inlineStr">
        <is>
          <t>مدفوع بالكامل</t>
        </is>
      </c>
      <c r="K17" s="6" t="n">
        <v>0</v>
      </c>
      <c r="L17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8">
      <c r="A18" s="5" t="n">
        <v>17</v>
      </c>
      <c r="B18" s="11" t="inlineStr">
        <is>
          <t>PO-309</t>
        </is>
      </c>
      <c r="C18" s="12" t="n">
        <v>46084</v>
      </c>
      <c r="D18" s="5" t="inlineStr">
        <is>
          <t>المدارات</t>
        </is>
      </c>
      <c r="E18" s="5" t="inlineStr">
        <is>
          <t>RN-285</t>
        </is>
      </c>
      <c r="F18" s="6" t="n">
        <v>46500</v>
      </c>
      <c r="G18" s="6" t="n">
        <v>6975</v>
      </c>
      <c r="H18" s="6" t="n">
        <v>53475</v>
      </c>
      <c r="I18" s="5" t="inlineStr">
        <is>
          <t>لم يُسجل الاستلام</t>
        </is>
      </c>
      <c r="J18" s="5" t="inlineStr">
        <is>
          <t>مدفوع بالكامل</t>
        </is>
      </c>
      <c r="K18" s="6" t="n">
        <v>0</v>
      </c>
      <c r="L18" s="5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9">
      <c r="A19" s="5" t="n">
        <v>18</v>
      </c>
      <c r="B19" s="11" t="inlineStr">
        <is>
          <t>PO-314</t>
        </is>
      </c>
      <c r="C19" s="12" t="n">
        <v>46089</v>
      </c>
      <c r="D19" s="5" t="inlineStr">
        <is>
          <t>شركة محمد راشد</t>
        </is>
      </c>
      <c r="E19" s="5" t="inlineStr">
        <is>
          <t>RN-287</t>
        </is>
      </c>
      <c r="F19" s="6" t="n">
        <v>434.8</v>
      </c>
      <c r="G19" s="6" t="n">
        <v>65.22</v>
      </c>
      <c r="H19" s="6" t="n">
        <v>500.02</v>
      </c>
      <c r="I19" s="5" t="inlineStr">
        <is>
          <t>لم يُسجل الاستلام</t>
        </is>
      </c>
      <c r="J19" s="5" t="inlineStr">
        <is>
          <t>مدفوع بالكامل</t>
        </is>
      </c>
      <c r="K19" s="6" t="n">
        <v>0</v>
      </c>
      <c r="L19" s="5" t="inlineStr">
        <is>
          <t>حالة الاستلام "Not Issued" رغم أنه مدفوع بالكامل – لم يُسجل استلام بالنظام</t>
        </is>
      </c>
    </row>
    <row r="20">
      <c r="A20" s="5" t="n">
        <v>19</v>
      </c>
      <c r="B20" s="11" t="inlineStr">
        <is>
          <t>PO-313</t>
        </is>
      </c>
      <c r="C20" s="12" t="n">
        <v>46089</v>
      </c>
      <c r="D20" s="5" t="inlineStr">
        <is>
          <t>شركة التاج المميزة</t>
        </is>
      </c>
      <c r="E20" s="5" t="inlineStr">
        <is>
          <t>RN-289</t>
        </is>
      </c>
      <c r="F20" s="6" t="n">
        <v>10000</v>
      </c>
      <c r="G20" s="6" t="n">
        <v>0</v>
      </c>
      <c r="H20" s="6" t="n">
        <v>10000</v>
      </c>
      <c r="I20" s="5" t="inlineStr">
        <is>
          <t>لم يُسجل الاستلام</t>
        </is>
      </c>
      <c r="J20" s="5" t="inlineStr">
        <is>
          <t>مدفوع بالكامل</t>
        </is>
      </c>
      <c r="K20" s="6" t="n">
        <v>0</v>
      </c>
      <c r="L20" s="5" t="inlineStr">
        <is>
          <t>حالة الاستلام "Not Issued" رغم أنه مدفوع بالكامل – لم يُسجل استلام بالنظام</t>
        </is>
      </c>
    </row>
    <row r="21">
      <c r="A21" s="5" t="n">
        <v>20</v>
      </c>
      <c r="B21" s="11" t="inlineStr">
        <is>
          <t>PO-366</t>
        </is>
      </c>
      <c r="C21" s="12" t="n">
        <v>46099</v>
      </c>
      <c r="D21" s="5" t="inlineStr">
        <is>
          <t>شركة مصنع الديكور والبولستيرين</t>
        </is>
      </c>
      <c r="E21" s="5" t="inlineStr">
        <is>
          <t>RN-329</t>
        </is>
      </c>
      <c r="F21" s="6" t="n">
        <v>4200</v>
      </c>
      <c r="G21" s="6" t="n">
        <v>0</v>
      </c>
      <c r="H21" s="6" t="n">
        <v>4200</v>
      </c>
      <c r="I21" s="5" t="inlineStr">
        <is>
          <t>لم يُسجل الاستلام</t>
        </is>
      </c>
      <c r="J21" s="5" t="inlineStr">
        <is>
          <t>مدفوع بالكامل</t>
        </is>
      </c>
      <c r="K21" s="6" t="n">
        <v>0</v>
      </c>
      <c r="L21" s="5" t="inlineStr">
        <is>
          <t>حالة الاستلام "Not Issued" رغم أنه مدفوع بالكامل – لم يُسجل استلام بالنظام</t>
        </is>
      </c>
    </row>
    <row r="22">
      <c r="A22" s="5" t="n">
        <v>21</v>
      </c>
      <c r="B22" s="11" t="inlineStr">
        <is>
          <t>PO-365</t>
        </is>
      </c>
      <c r="C22" s="12" t="n">
        <v>46099</v>
      </c>
      <c r="D22" s="5" t="inlineStr">
        <is>
          <t>موسسة أفكار المصدر</t>
        </is>
      </c>
      <c r="E22" s="5" t="inlineStr">
        <is>
          <t>RN-325</t>
        </is>
      </c>
      <c r="F22" s="6" t="n">
        <v>6000</v>
      </c>
      <c r="G22" s="6" t="n">
        <v>0</v>
      </c>
      <c r="H22" s="6" t="n">
        <v>6000</v>
      </c>
      <c r="I22" s="5" t="inlineStr">
        <is>
          <t>لم يُسجل الاستلام</t>
        </is>
      </c>
      <c r="J22" s="5" t="inlineStr">
        <is>
          <t>مدفوع بالكامل</t>
        </is>
      </c>
      <c r="K22" s="6" t="n">
        <v>0</v>
      </c>
      <c r="L22" s="5" t="inlineStr">
        <is>
          <t>حالة الاستلام "Not Issued" رغم أنه مدفوع بالكامل – لم يُسجل استلام بالنظام</t>
        </is>
      </c>
    </row>
    <row r="23">
      <c r="A23" s="5" t="n">
        <v>22</v>
      </c>
      <c r="B23" s="11" t="inlineStr">
        <is>
          <t>PO-404-REV1</t>
        </is>
      </c>
      <c r="C23" s="12" t="n">
        <v>46112</v>
      </c>
      <c r="D23" s="5" t="inlineStr">
        <is>
          <t>موسسة امجاد الخليج</t>
        </is>
      </c>
      <c r="E23" s="5" t="inlineStr">
        <is>
          <t>RN-362</t>
        </is>
      </c>
      <c r="F23" s="6" t="n">
        <v>4000</v>
      </c>
      <c r="G23" s="6" t="n">
        <v>0</v>
      </c>
      <c r="H23" s="6" t="n">
        <v>4000</v>
      </c>
      <c r="I23" s="5" t="inlineStr">
        <is>
          <t>لم يُسجل الاستلام</t>
        </is>
      </c>
      <c r="J23" s="5" t="inlineStr">
        <is>
          <t>مدفوع بالكامل</t>
        </is>
      </c>
      <c r="K23" s="6" t="n">
        <v>0</v>
      </c>
      <c r="L23" s="5" t="inlineStr">
        <is>
          <t>حالة الاستلام "Not Issued" رغم أنه مدفوع بالكامل – لم يُسجل استلام بالنظام | أمر معدّل (REV1)</t>
        </is>
      </c>
    </row>
    <row r="24">
      <c r="A24" s="5" t="n">
        <v>23</v>
      </c>
      <c r="B24" s="11" t="inlineStr">
        <is>
          <t>PO-419</t>
        </is>
      </c>
      <c r="C24" s="12" t="n">
        <v>46113</v>
      </c>
      <c r="D24" s="5" t="inlineStr">
        <is>
          <t>شركة التاج المميزة</t>
        </is>
      </c>
      <c r="E24" s="5" t="inlineStr">
        <is>
          <t>RN-376</t>
        </is>
      </c>
      <c r="F24" s="6" t="n">
        <v>20000</v>
      </c>
      <c r="G24" s="6" t="n">
        <v>0</v>
      </c>
      <c r="H24" s="6" t="n">
        <v>20000</v>
      </c>
      <c r="I24" s="5" t="inlineStr">
        <is>
          <t>لم يُسجل الاستلام</t>
        </is>
      </c>
      <c r="J24" s="5" t="inlineStr">
        <is>
          <t>مدفوع بالكامل</t>
        </is>
      </c>
      <c r="K24" s="6" t="n">
        <v>0</v>
      </c>
      <c r="L24" s="5" t="inlineStr">
        <is>
          <t>حالة الاستلام "Not Issued" رغم أنه مدفوع بالكامل – لم يُسجل استلام بالنظام</t>
        </is>
      </c>
    </row>
    <row r="25">
      <c r="A25" s="5" t="n">
        <v>24</v>
      </c>
      <c r="B25" s="11" t="inlineStr">
        <is>
          <t>PO-478</t>
        </is>
      </c>
      <c r="C25" s="12" t="n">
        <v>46125</v>
      </c>
      <c r="D25" s="5" t="inlineStr">
        <is>
          <t>شركة مسار الجزيرة للحاصلات</t>
        </is>
      </c>
      <c r="E25" s="5" t="inlineStr">
        <is>
          <t>RN-388</t>
        </is>
      </c>
      <c r="F25" s="6" t="n">
        <v>952.21</v>
      </c>
      <c r="G25" s="6" t="n">
        <v>142.83</v>
      </c>
      <c r="H25" s="6" t="n">
        <v>1095.04</v>
      </c>
      <c r="I25" s="5" t="inlineStr">
        <is>
          <t>لم يُسجل الاستلام</t>
        </is>
      </c>
      <c r="J25" s="5" t="inlineStr">
        <is>
          <t>مدفوع بالكامل</t>
        </is>
      </c>
      <c r="K25" s="6" t="n">
        <v>0</v>
      </c>
      <c r="L25" s="5" t="inlineStr">
        <is>
          <t>حالة الاستلام "Not Issued" رغم أنه مدفوع بالكامل – لم يُسجل استلام بالنظام</t>
        </is>
      </c>
    </row>
    <row r="26">
      <c r="A26" s="5" t="n">
        <v>25</v>
      </c>
      <c r="B26" s="11" t="inlineStr">
        <is>
          <t>PO-506</t>
        </is>
      </c>
      <c r="C26" s="12" t="n">
        <v>46130</v>
      </c>
      <c r="D26" s="5" t="inlineStr">
        <is>
          <t>شركة مصنع الديكور والبولستيرين</t>
        </is>
      </c>
      <c r="E26" s="5" t="inlineStr">
        <is>
          <t>RN-458</t>
        </is>
      </c>
      <c r="F26" s="6" t="n">
        <v>13250</v>
      </c>
      <c r="G26" s="6" t="n">
        <v>0</v>
      </c>
      <c r="H26" s="6" t="n">
        <v>13250</v>
      </c>
      <c r="I26" s="5" t="inlineStr">
        <is>
          <t>لم يُسجل الاستلام</t>
        </is>
      </c>
      <c r="J26" s="5" t="inlineStr">
        <is>
          <t>مدفوع بالكامل</t>
        </is>
      </c>
      <c r="K26" s="6" t="n">
        <v>0</v>
      </c>
      <c r="L26" s="5" t="inlineStr">
        <is>
          <t>حالة الاستلام "Not Issued" رغم أنه مدفوع بالكامل – لم يُسجل استلام بالنظام</t>
        </is>
      </c>
    </row>
    <row r="27">
      <c r="A27" s="5" t="n">
        <v>26</v>
      </c>
      <c r="B27" s="11" t="inlineStr">
        <is>
          <t>PO-557</t>
        </is>
      </c>
      <c r="C27" s="12" t="n">
        <v>46141</v>
      </c>
      <c r="D27" s="5" t="inlineStr">
        <is>
          <t>مصنع شركة سانج لي للبلاستيك</t>
        </is>
      </c>
      <c r="E27" s="5" t="inlineStr">
        <is>
          <t>RN-493</t>
        </is>
      </c>
      <c r="F27" s="6" t="n">
        <v>13250</v>
      </c>
      <c r="G27" s="6" t="n">
        <v>0</v>
      </c>
      <c r="H27" s="6" t="n">
        <v>13250</v>
      </c>
      <c r="I27" s="5" t="inlineStr">
        <is>
          <t>لم يُسجل الاستلام</t>
        </is>
      </c>
      <c r="J27" s="5" t="inlineStr">
        <is>
          <t>مدفوع بالكامل</t>
        </is>
      </c>
      <c r="K27" s="6" t="n">
        <v>0</v>
      </c>
      <c r="L27" s="5" t="inlineStr">
        <is>
          <t>حالة الاستلام "Not Issued" رغم أنه مدفوع بالكامل – لم يُسجل استلام بالنظام</t>
        </is>
      </c>
    </row>
    <row r="28">
      <c r="A28" s="5" t="n">
        <v>27</v>
      </c>
      <c r="B28" s="11" t="inlineStr">
        <is>
          <t>PO-585</t>
        </is>
      </c>
      <c r="C28" s="12" t="n">
        <v>46147</v>
      </c>
      <c r="D28" s="5" t="inlineStr">
        <is>
          <t>موسسة دنيا الري للتجارة</t>
        </is>
      </c>
      <c r="E28" s="5" t="inlineStr">
        <is>
          <t>RN-520</t>
        </is>
      </c>
      <c r="F28" s="6" t="n">
        <v>700</v>
      </c>
      <c r="G28" s="6" t="n">
        <v>0</v>
      </c>
      <c r="H28" s="6" t="n">
        <v>700</v>
      </c>
      <c r="I28" s="5" t="inlineStr">
        <is>
          <t>لم يُسجل الاستلام</t>
        </is>
      </c>
      <c r="J28" s="5" t="inlineStr">
        <is>
          <t>مدفوع بالكامل</t>
        </is>
      </c>
      <c r="K28" s="6" t="n">
        <v>0</v>
      </c>
      <c r="L28" s="5" t="inlineStr">
        <is>
          <t>حالة الاستلام "Not Issued" رغم أنه مدفوع بالكامل – لم يُسجل استلام بالنظام</t>
        </is>
      </c>
    </row>
    <row r="29">
      <c r="A29" s="5" t="n">
        <v>28</v>
      </c>
      <c r="B29" s="11" t="inlineStr">
        <is>
          <t>PO-0707</t>
        </is>
      </c>
      <c r="C29" s="12" t="n">
        <v>46181</v>
      </c>
      <c r="D29" s="5" t="inlineStr">
        <is>
          <t>بساتين الرياض</t>
        </is>
      </c>
      <c r="E29" s="5" t="n"/>
      <c r="F29" s="6" t="n">
        <v>1500</v>
      </c>
      <c r="G29" s="6" t="n">
        <v>0</v>
      </c>
      <c r="H29" s="6" t="n">
        <v>1500</v>
      </c>
      <c r="I29" s="5" t="inlineStr">
        <is>
          <t>تم الاستلام بالكامل</t>
        </is>
      </c>
      <c r="J29" s="5" t="inlineStr">
        <is>
          <t>مدفوع بالكامل</t>
        </is>
      </c>
      <c r="K29" s="6" t="n">
        <v>0</v>
      </c>
      <c r="L29" s="5" t="inlineStr"/>
    </row>
    <row r="30">
      <c r="A30" s="5" t="n">
        <v>29</v>
      </c>
      <c r="B30" s="11" t="inlineStr">
        <is>
          <t>PO-0706</t>
        </is>
      </c>
      <c r="C30" s="12" t="n">
        <v>46181</v>
      </c>
      <c r="D30" s="5" t="inlineStr">
        <is>
          <t>شركة ايراد المتحدة</t>
        </is>
      </c>
      <c r="E30" s="5" t="n"/>
      <c r="F30" s="6" t="n">
        <v>2754</v>
      </c>
      <c r="G30" s="6" t="n">
        <v>413.1</v>
      </c>
      <c r="H30" s="6" t="n">
        <v>3167.1</v>
      </c>
      <c r="I30" s="5" t="inlineStr">
        <is>
          <t>تم الاستلام بالكامل</t>
        </is>
      </c>
      <c r="J30" s="5" t="inlineStr">
        <is>
          <t>مدفوع بالكامل</t>
        </is>
      </c>
      <c r="K30" s="6" t="n">
        <v>0</v>
      </c>
      <c r="L30" s="5" t="inlineStr">
        <is>
          <t>تمت مراجعة سعر من الإدارة: 6/13/2026  1:42:33 PM by ahmed.strc@gmail.com] Cost updated for: FR1023 (Base: 270  Add: 0)</t>
        </is>
      </c>
    </row>
    <row r="31">
      <c r="A31" s="13" t="n">
        <v>30</v>
      </c>
      <c r="B31" s="14" t="inlineStr">
        <is>
          <t>PO-0777</t>
        </is>
      </c>
      <c r="C31" s="15" t="n">
        <v>46197</v>
      </c>
      <c r="D31" s="13" t="inlineStr">
        <is>
          <t>بساتين الرياض</t>
        </is>
      </c>
      <c r="E31" s="13" t="n"/>
      <c r="F31" s="16" t="n">
        <v>66420</v>
      </c>
      <c r="G31" s="16" t="n">
        <v>0</v>
      </c>
      <c r="H31" s="16" t="n">
        <v>66420</v>
      </c>
      <c r="I31" s="13" t="inlineStr">
        <is>
          <t>تم الاستلام بالكامل</t>
        </is>
      </c>
      <c r="J31" s="13" t="inlineStr">
        <is>
          <t>مدفوع جزئياً</t>
        </is>
      </c>
      <c r="K31" s="16">
        <f>H31</f>
        <v/>
      </c>
      <c r="L31" s="13" t="inlineStr">
        <is>
          <t>⚠ مدفوع جزئياً – المبلغ المدفوع غير موضح بالملف، المديونية المعروضة = كامل القيمة لحين تحديد المدفوع | تمت مراجعة سعر من الإدارة: 6/27/2026  6:29:59 PM by ahmed.strc@gmail.com] Cost updated for: FR1028 (Base: 123  Add: 0)</t>
        </is>
      </c>
    </row>
    <row r="32">
      <c r="A32" s="17" t="n">
        <v>31</v>
      </c>
      <c r="B32" s="18" t="inlineStr">
        <is>
          <t>PO-1023</t>
        </is>
      </c>
      <c r="C32" s="19" t="n">
        <v>46231</v>
      </c>
      <c r="D32" s="17" t="inlineStr">
        <is>
          <t>بساتين الرياض</t>
        </is>
      </c>
      <c r="E32" s="17" t="n"/>
      <c r="F32" s="20" t="n">
        <v>33950</v>
      </c>
      <c r="G32" s="20" t="n">
        <v>0</v>
      </c>
      <c r="H32" s="20" t="n">
        <v>33950</v>
      </c>
      <c r="I32" s="17" t="inlineStr">
        <is>
          <t>تم الاستلام بالكامل</t>
        </is>
      </c>
      <c r="J32" s="17" t="inlineStr">
        <is>
          <t>غير مدفوع</t>
        </is>
      </c>
      <c r="K32" s="20">
        <f>H32</f>
        <v/>
      </c>
      <c r="L32" s="17" t="inlineStr">
        <is>
          <t>⚠ غير مدفوع – مديونية قائمة للمورد</t>
        </is>
      </c>
    </row>
    <row r="33">
      <c r="A33" s="21" t="inlineStr"/>
      <c r="B33" s="21" t="inlineStr"/>
      <c r="C33" s="21" t="inlineStr"/>
      <c r="D33" s="21" t="inlineStr">
        <is>
          <t>الإجمالي</t>
        </is>
      </c>
      <c r="E33" s="21" t="inlineStr"/>
      <c r="F33" s="22">
        <f>SUM(F2:F32)</f>
        <v/>
      </c>
      <c r="G33" s="22">
        <f>SUM(G2:G32)</f>
        <v/>
      </c>
      <c r="H33" s="22">
        <f>SUM(H2:H32)</f>
        <v/>
      </c>
      <c r="I33" s="21" t="inlineStr"/>
      <c r="J33" s="21" t="inlineStr"/>
      <c r="K33" s="22">
        <f>SUM(K2:K32)</f>
        <v/>
      </c>
      <c r="L33" s="21" t="n"/>
    </row>
  </sheetData>
  <autoFilter ref="A1:L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2" customWidth="1" min="3" max="3"/>
    <col width="60" customWidth="1" min="4" max="4"/>
    <col width="22" customWidth="1" min="5" max="5"/>
    <col width="34" customWidth="1" min="6" max="6"/>
    <col width="12" customWidth="1" min="7" max="7"/>
    <col width="10" customWidth="1" min="8" max="8"/>
    <col width="40" customWidth="1" min="9" max="9"/>
  </cols>
  <sheetData>
    <row r="1">
      <c r="A1" s="2" t="inlineStr">
        <is>
          <t>م</t>
        </is>
      </c>
      <c r="B1" s="2" t="inlineStr">
        <is>
          <t>صاحب العهدة</t>
        </is>
      </c>
      <c r="C1" s="2" t="inlineStr">
        <is>
          <t>التاريخ</t>
        </is>
      </c>
      <c r="D1" s="2" t="inlineStr">
        <is>
          <t>البيان</t>
        </is>
      </c>
      <c r="E1" s="2" t="inlineStr">
        <is>
          <t>المستفيد / السيارة</t>
        </is>
      </c>
      <c r="F1" s="2" t="inlineStr">
        <is>
          <t>البند</t>
        </is>
      </c>
      <c r="G1" s="2" t="inlineStr">
        <is>
          <t>المبلغ</t>
        </is>
      </c>
      <c r="H1" s="2" t="inlineStr">
        <is>
          <t>داخل الفترة</t>
        </is>
      </c>
      <c r="I1" s="2" t="inlineStr">
        <is>
          <t>ملاحظة</t>
        </is>
      </c>
    </row>
    <row r="2">
      <c r="A2" s="23" t="n">
        <v>1</v>
      </c>
      <c r="B2" s="23" t="inlineStr">
        <is>
          <t>حسين مصطفى – مستودع الرياض</t>
        </is>
      </c>
      <c r="C2" s="24" t="n">
        <v>46064</v>
      </c>
      <c r="D2" s="23" t="inlineStr">
        <is>
          <t>بنزين س الوانيت رقم 5564 + غيار زيت</t>
        </is>
      </c>
      <c r="E2" s="23" t="inlineStr">
        <is>
          <t>VHC-5564</t>
        </is>
      </c>
      <c r="F2" s="23" t="inlineStr">
        <is>
          <t>وقود (ديزل/بنزين)</t>
        </is>
      </c>
      <c r="G2" s="25" t="n">
        <v>345</v>
      </c>
      <c r="H2" s="23" t="inlineStr">
        <is>
          <t>نعم</t>
        </is>
      </c>
      <c r="I2" s="23" t="inlineStr"/>
    </row>
    <row r="3">
      <c r="A3" s="23" t="n">
        <v>2</v>
      </c>
      <c r="B3" s="23" t="inlineStr">
        <is>
          <t>حسين مصطفى – مستودع الرياض</t>
        </is>
      </c>
      <c r="C3" s="24" t="n">
        <v>46064</v>
      </c>
      <c r="D3" s="23" t="inlineStr">
        <is>
          <t>غيار زيت وفالتر وغسيل وتشحيم س عماد رقم 3010</t>
        </is>
      </c>
      <c r="E3" s="23" t="inlineStr">
        <is>
          <t>VHC-3010</t>
        </is>
      </c>
      <c r="F3" s="23" t="inlineStr">
        <is>
          <t>صيانة سيارات</t>
        </is>
      </c>
      <c r="G3" s="25" t="n">
        <v>990</v>
      </c>
      <c r="H3" s="23" t="inlineStr">
        <is>
          <t>نعم</t>
        </is>
      </c>
      <c r="I3" s="23" t="inlineStr"/>
    </row>
    <row r="4">
      <c r="A4" s="23" t="n">
        <v>3</v>
      </c>
      <c r="B4" s="23" t="inlineStr">
        <is>
          <t>حسين مصطفى – مستودع الرياض</t>
        </is>
      </c>
      <c r="C4" s="24" t="n">
        <v>46064</v>
      </c>
      <c r="D4" s="23" t="inlineStr">
        <is>
          <t>سوالر س عصمت رقم 1219 + غيار +زيت صيانة السيارة</t>
        </is>
      </c>
      <c r="E4" s="23" t="inlineStr">
        <is>
          <t>VHC-1219</t>
        </is>
      </c>
      <c r="F4" s="23" t="inlineStr">
        <is>
          <t>صيانة سيارات</t>
        </is>
      </c>
      <c r="G4" s="25" t="n">
        <v>1599.24</v>
      </c>
      <c r="H4" s="23" t="inlineStr">
        <is>
          <t>نعم</t>
        </is>
      </c>
      <c r="I4" s="23" t="inlineStr"/>
    </row>
    <row r="5">
      <c r="A5" s="23" t="n">
        <v>4</v>
      </c>
      <c r="B5" s="23" t="inlineStr">
        <is>
          <t>حسين مصطفى – مستودع الرياض</t>
        </is>
      </c>
      <c r="C5" s="24" t="n">
        <v>46064</v>
      </c>
      <c r="D5" s="23" t="inlineStr">
        <is>
          <t>كهرباء مزرعة الرياض عن شهر 2026-1</t>
        </is>
      </c>
      <c r="E5" s="23" t="inlineStr">
        <is>
          <t>EXP.RN.NURSERY</t>
        </is>
      </c>
      <c r="F5" s="23" t="inlineStr">
        <is>
          <t>خدمات ومرافق (كهرباء/مياه/إنترنت/إنشاءات)</t>
        </is>
      </c>
      <c r="G5" s="25" t="n">
        <v>2633</v>
      </c>
      <c r="H5" s="23" t="inlineStr">
        <is>
          <t>نعم</t>
        </is>
      </c>
      <c r="I5" s="23" t="inlineStr"/>
    </row>
    <row r="6">
      <c r="A6" s="23" t="n">
        <v>5</v>
      </c>
      <c r="B6" s="23" t="inlineStr">
        <is>
          <t>حسين مصطفى – مستودع الرياض</t>
        </is>
      </c>
      <c r="C6" s="24" t="n">
        <v>46064</v>
      </c>
      <c r="D6" s="23" t="inlineStr">
        <is>
          <t>انتقال عماد من الرياض الي تبوك</t>
        </is>
      </c>
      <c r="E6" s="23" t="inlineStr">
        <is>
          <t>VHC-3010</t>
        </is>
      </c>
      <c r="F6" s="23" t="inlineStr">
        <is>
          <t>رواتب وعمولات وانتقالات</t>
        </is>
      </c>
      <c r="G6" s="25" t="n">
        <v>460</v>
      </c>
      <c r="H6" s="23" t="inlineStr">
        <is>
          <t>نعم</t>
        </is>
      </c>
      <c r="I6" s="23" t="inlineStr"/>
    </row>
    <row r="7">
      <c r="A7" s="23" t="n">
        <v>6</v>
      </c>
      <c r="B7" s="23" t="inlineStr">
        <is>
          <t>حسين مصطفى – مستودع الرياض</t>
        </is>
      </c>
      <c r="C7" s="24" t="n">
        <v>46064</v>
      </c>
      <c r="D7" s="23" t="inlineStr">
        <is>
          <t>عصمت الله عمولة)72( عصمت عن شهر 2025-12 + صيانة +السيارة غسيل</t>
        </is>
      </c>
      <c r="E7" s="23" t="inlineStr">
        <is>
          <t>عصمتRN الله #72</t>
        </is>
      </c>
      <c r="F7" s="23" t="inlineStr">
        <is>
          <t>رواتب وعمولات وانتقالات</t>
        </is>
      </c>
      <c r="G7" s="25" t="n">
        <v>925</v>
      </c>
      <c r="H7" s="23" t="inlineStr">
        <is>
          <t>نعم</t>
        </is>
      </c>
      <c r="I7" s="23" t="inlineStr"/>
    </row>
    <row r="8">
      <c r="A8" s="23" t="n">
        <v>7</v>
      </c>
      <c r="B8" s="23" t="inlineStr">
        <is>
          <t>حسين مصطفى – مستودع الرياض</t>
        </is>
      </c>
      <c r="C8" s="24" t="n">
        <v>46064</v>
      </c>
      <c r="D8" s="23" t="inlineStr">
        <is>
          <t>عماد حمدى عمولة)24( عماد حمدي عن شهر 2025-12 + الردود</t>
        </is>
      </c>
      <c r="E8" s="23" t="inlineStr">
        <is>
          <t>عمادRN حمدى #24</t>
        </is>
      </c>
      <c r="F8" s="23" t="inlineStr">
        <is>
          <t>رواتب وعمولات وانتقالات</t>
        </is>
      </c>
      <c r="G8" s="25" t="n">
        <v>711</v>
      </c>
      <c r="H8" s="23" t="inlineStr">
        <is>
          <t>نعم</t>
        </is>
      </c>
      <c r="I8" s="23" t="inlineStr"/>
    </row>
    <row r="9">
      <c r="A9" s="23" t="n">
        <v>8</v>
      </c>
      <c r="B9" s="23" t="inlineStr">
        <is>
          <t>حسين مصطفى – مستودع الرياض</t>
        </is>
      </c>
      <c r="C9" s="24" t="n">
        <v>46064</v>
      </c>
      <c r="D9" s="23" t="inlineStr">
        <is>
          <t>عماد حمدى شحن)24( الت جو - حسين ومحمد عبدالمجيد وعصمت وعماد</t>
        </is>
      </c>
      <c r="E9" s="23" t="inlineStr">
        <is>
          <t>عمادRN حمدى #24</t>
        </is>
      </c>
      <c r="F9" s="23" t="inlineStr">
        <is>
          <t>رواتب وعمولات وانتقالات</t>
        </is>
      </c>
      <c r="G9" s="25" t="n">
        <v>408.25</v>
      </c>
      <c r="H9" s="23" t="inlineStr">
        <is>
          <t>نعم</t>
        </is>
      </c>
      <c r="I9" s="23" t="inlineStr"/>
    </row>
    <row r="10">
      <c r="A10" s="23" t="n">
        <v>9</v>
      </c>
      <c r="B10" s="23" t="inlineStr">
        <is>
          <t>حسين مصطفى – مستودع الرياض</t>
        </is>
      </c>
      <c r="C10" s="24" t="n">
        <v>46064</v>
      </c>
      <c r="D10" s="23" t="inlineStr">
        <is>
          <t>نولون نقلة سماد معالج</t>
        </is>
      </c>
      <c r="E10" s="23" t="inlineStr">
        <is>
          <t>EXP.RN.NURSERY</t>
        </is>
      </c>
      <c r="F10" s="23" t="inlineStr">
        <is>
          <t>مصروفات تشغيل المزرعة</t>
        </is>
      </c>
      <c r="G10" s="25" t="n">
        <v>400</v>
      </c>
      <c r="H10" s="23" t="inlineStr">
        <is>
          <t>نعم</t>
        </is>
      </c>
      <c r="I10" s="23" t="inlineStr"/>
    </row>
    <row r="11">
      <c r="A11" s="23" t="n">
        <v>10</v>
      </c>
      <c r="B11" s="23" t="inlineStr">
        <is>
          <t>حسين مصطفى – مستودع الرياض</t>
        </is>
      </c>
      <c r="C11" s="24" t="n">
        <v>46064</v>
      </c>
      <c r="D11" s="23" t="inlineStr">
        <is>
          <t>مياه للشرب - 3 نقلة</t>
        </is>
      </c>
      <c r="E11" s="23" t="inlineStr">
        <is>
          <t>RN-DEPARTMENT</t>
        </is>
      </c>
      <c r="F11" s="23" t="inlineStr">
        <is>
          <t>خدمات ومرافق (كهرباء/مياه/إنترنت/إنشاءات)</t>
        </is>
      </c>
      <c r="G11" s="25" t="n">
        <v>210</v>
      </c>
      <c r="H11" s="23" t="inlineStr">
        <is>
          <t>نعم</t>
        </is>
      </c>
      <c r="I11" s="23" t="inlineStr"/>
    </row>
    <row r="12">
      <c r="A12" s="23" t="n">
        <v>11</v>
      </c>
      <c r="B12" s="23" t="inlineStr">
        <is>
          <t>حسين مصطفى – مستودع الرياض</t>
        </is>
      </c>
      <c r="C12" s="24" t="n">
        <v>46064</v>
      </c>
      <c r="D12" s="23" t="inlineStr">
        <is>
          <t>مصنعية تركيب سباكة وكهرباء للمطبخ والحمام</t>
        </is>
      </c>
      <c r="E12" s="23" t="inlineStr">
        <is>
          <t>EXP.RN.NURSERY</t>
        </is>
      </c>
      <c r="F12" s="23" t="inlineStr">
        <is>
          <t>خدمات ومرافق (كهرباء/مياه/إنترنت/إنشاءات)</t>
        </is>
      </c>
      <c r="G12" s="25" t="n">
        <v>600</v>
      </c>
      <c r="H12" s="23" t="inlineStr">
        <is>
          <t>نعم</t>
        </is>
      </c>
      <c r="I12" s="23" t="inlineStr"/>
    </row>
    <row r="13">
      <c r="A13" s="23" t="n">
        <v>12</v>
      </c>
      <c r="B13" s="23" t="inlineStr">
        <is>
          <t>حسين مصطفى – مستودع الرياض</t>
        </is>
      </c>
      <c r="C13" s="24" t="n">
        <v>46064</v>
      </c>
      <c r="D13" s="23" t="inlineStr">
        <is>
          <t>مصنعية بناء مطبخ وحمام وصرف ومحارة</t>
        </is>
      </c>
      <c r="E13" s="23" t="inlineStr">
        <is>
          <t>EXP.RN.NURSERY</t>
        </is>
      </c>
      <c r="F13" s="23" t="inlineStr">
        <is>
          <t>خدمات ومرافق (كهرباء/مياه/إنترنت/إنشاءات)</t>
        </is>
      </c>
      <c r="G13" s="25" t="n">
        <v>1190</v>
      </c>
      <c r="H13" s="23" t="inlineStr">
        <is>
          <t>نعم</t>
        </is>
      </c>
      <c r="I13" s="23" t="inlineStr"/>
    </row>
    <row r="14">
      <c r="A14" s="23" t="n">
        <v>13</v>
      </c>
      <c r="B14" s="23" t="inlineStr">
        <is>
          <t>حسين مصطفى – مستودع الرياض</t>
        </is>
      </c>
      <c r="C14" s="24" t="n">
        <v>46064</v>
      </c>
      <c r="D14" s="23" t="inlineStr">
        <is>
          <t>شراء اسمنت وزلط ورمل وبلوك</t>
        </is>
      </c>
      <c r="E14" s="23" t="inlineStr">
        <is>
          <t>EXP.RN.NURSERY</t>
        </is>
      </c>
      <c r="F14" s="23" t="inlineStr">
        <is>
          <t>خدمات ومرافق (كهرباء/مياه/إنترنت/إنشاءات)</t>
        </is>
      </c>
      <c r="G14" s="25" t="n">
        <v>1555</v>
      </c>
      <c r="H14" s="23" t="inlineStr">
        <is>
          <t>نعم</t>
        </is>
      </c>
      <c r="I14" s="23" t="inlineStr"/>
    </row>
    <row r="15">
      <c r="A15" s="23" t="n">
        <v>14</v>
      </c>
      <c r="B15" s="23" t="inlineStr">
        <is>
          <t>حسين مصطفى – مستودع الرياض</t>
        </is>
      </c>
      <c r="C15" s="24" t="n">
        <v>46064</v>
      </c>
      <c r="D15" s="23" t="inlineStr">
        <is>
          <t>شراء رشاش صغير ومسحاة ومحشات وماتور مياه صغير</t>
        </is>
      </c>
      <c r="E15" s="23" t="inlineStr">
        <is>
          <t>EXP.RN.NURSERY</t>
        </is>
      </c>
      <c r="F15" s="23" t="inlineStr">
        <is>
          <t>خدمات ومرافق (كهرباء/مياه/إنترنت/إنشاءات)</t>
        </is>
      </c>
      <c r="G15" s="25" t="n">
        <v>582</v>
      </c>
      <c r="H15" s="23" t="inlineStr">
        <is>
          <t>نعم</t>
        </is>
      </c>
      <c r="I15" s="23" t="inlineStr"/>
    </row>
    <row r="16">
      <c r="A16" s="23" t="n">
        <v>15</v>
      </c>
      <c r="B16" s="23" t="inlineStr">
        <is>
          <t>حسين مصطفى – مستودع الرياض</t>
        </is>
      </c>
      <c r="C16" s="24" t="n">
        <v>46064</v>
      </c>
      <c r="D16" s="23" t="inlineStr">
        <is>
          <t>شراء فايالت واقالم الوان ومشترك كهرباء</t>
        </is>
      </c>
      <c r="E16" s="23" t="inlineStr">
        <is>
          <t>RN-DEPARTMENT</t>
        </is>
      </c>
      <c r="F16" s="23" t="inlineStr">
        <is>
          <t>خدمات ومرافق (كهرباء/مياه/إنترنت/إنشاءات)</t>
        </is>
      </c>
      <c r="G16" s="25" t="n">
        <v>184.25</v>
      </c>
      <c r="H16" s="23" t="inlineStr">
        <is>
          <t>نعم</t>
        </is>
      </c>
      <c r="I16" s="23" t="inlineStr"/>
    </row>
    <row r="17">
      <c r="A17" s="23" t="n">
        <v>16</v>
      </c>
      <c r="B17" s="23" t="inlineStr">
        <is>
          <t>حسين مصطفى – مستودع الرياض</t>
        </is>
      </c>
      <c r="C17" s="24" t="n">
        <v>46064</v>
      </c>
      <c r="D17" s="23" t="inlineStr">
        <is>
          <t>بنزين س الوانيت رقم 5564 + عمل كاوتش</t>
        </is>
      </c>
      <c r="E17" s="23" t="inlineStr">
        <is>
          <t>VHC-5564</t>
        </is>
      </c>
      <c r="F17" s="23" t="inlineStr">
        <is>
          <t>وقود (ديزل/بنزين)</t>
        </is>
      </c>
      <c r="G17" s="25" t="n">
        <v>190</v>
      </c>
      <c r="H17" s="23" t="inlineStr">
        <is>
          <t>نعم</t>
        </is>
      </c>
      <c r="I17" s="23" t="inlineStr"/>
    </row>
    <row r="18">
      <c r="A18" s="23" t="n">
        <v>17</v>
      </c>
      <c r="B18" s="23" t="inlineStr">
        <is>
          <t>حسين مصطفى – مستودع الرياض</t>
        </is>
      </c>
      <c r="C18" s="24" t="n">
        <v>46064</v>
      </c>
      <c r="D18" s="23" t="inlineStr">
        <is>
          <t>غيار زيت وفالتر س عماد رقم 3010</t>
        </is>
      </c>
      <c r="E18" s="23" t="inlineStr">
        <is>
          <t>VHC-3010</t>
        </is>
      </c>
      <c r="F18" s="23" t="inlineStr">
        <is>
          <t>صيانة سيارات</t>
        </is>
      </c>
      <c r="G18" s="25" t="n">
        <v>282</v>
      </c>
      <c r="H18" s="23" t="inlineStr">
        <is>
          <t>نعم</t>
        </is>
      </c>
      <c r="I18" s="23" t="inlineStr"/>
    </row>
    <row r="19">
      <c r="A19" s="23" t="n">
        <v>18</v>
      </c>
      <c r="B19" s="23" t="inlineStr">
        <is>
          <t>حسين مصطفى – مستودع الرياض</t>
        </is>
      </c>
      <c r="C19" s="24" t="n">
        <v>46066</v>
      </c>
      <c r="D19" s="23" t="inlineStr">
        <is>
          <t>غيار زيت وفالتر س الوانيت</t>
        </is>
      </c>
      <c r="E19" s="23" t="inlineStr">
        <is>
          <t>VHC-5564</t>
        </is>
      </c>
      <c r="F19" s="23" t="inlineStr">
        <is>
          <t>صيانة سيارات</t>
        </is>
      </c>
      <c r="G19" s="25" t="n">
        <v>260</v>
      </c>
      <c r="H19" s="23" t="inlineStr">
        <is>
          <t>نعم</t>
        </is>
      </c>
      <c r="I19" s="23" t="inlineStr"/>
    </row>
    <row r="20">
      <c r="A20" s="23" t="n">
        <v>19</v>
      </c>
      <c r="B20" s="23" t="inlineStr">
        <is>
          <t>حسين مصطفى – مستودع الرياض</t>
        </is>
      </c>
      <c r="C20" s="24" t="n">
        <v>46067</v>
      </c>
      <c r="D20" s="23" t="inlineStr">
        <is>
          <t>شراء شكرتون</t>
        </is>
      </c>
      <c r="E20" s="23" t="inlineStr">
        <is>
          <t>RN-DEPARTMENT</t>
        </is>
      </c>
      <c r="F20" s="23" t="inlineStr">
        <is>
          <t>خدمات ومرافق (كهرباء/مياه/إنترنت/إنشاءات)</t>
        </is>
      </c>
      <c r="G20" s="25" t="n">
        <v>30</v>
      </c>
      <c r="H20" s="23" t="inlineStr">
        <is>
          <t>نعم</t>
        </is>
      </c>
      <c r="I20" s="23" t="inlineStr"/>
    </row>
    <row r="21">
      <c r="A21" s="23" t="n">
        <v>20</v>
      </c>
      <c r="B21" s="23" t="inlineStr">
        <is>
          <t>حسين مصطفى – مستودع الرياض</t>
        </is>
      </c>
      <c r="C21" s="24" t="n">
        <v>46067</v>
      </c>
      <c r="D21" s="23" t="inlineStr">
        <is>
          <t>بنزين للوانيت</t>
        </is>
      </c>
      <c r="E21" s="23" t="inlineStr">
        <is>
          <t>VHC-5564</t>
        </is>
      </c>
      <c r="F21" s="23" t="inlineStr">
        <is>
          <t>وقود (ديزل/بنزين)</t>
        </is>
      </c>
      <c r="G21" s="25" t="n">
        <v>140.07</v>
      </c>
      <c r="H21" s="23" t="inlineStr">
        <is>
          <t>نعم</t>
        </is>
      </c>
      <c r="I21" s="23" t="inlineStr"/>
    </row>
    <row r="22">
      <c r="A22" s="23" t="n">
        <v>21</v>
      </c>
      <c r="B22" s="23" t="inlineStr">
        <is>
          <t>حسين مصطفى – مستودع الرياض</t>
        </is>
      </c>
      <c r="C22" s="24" t="n">
        <v>46068</v>
      </c>
      <c r="D22" s="23" t="inlineStr">
        <is>
          <t>شراء لفة سلك حديد وحديد خردة الستخدام الشجر</t>
        </is>
      </c>
      <c r="E22" s="23" t="inlineStr">
        <is>
          <t>EXP.RN.NURSERY</t>
        </is>
      </c>
      <c r="F22" s="23" t="inlineStr">
        <is>
          <t>مصروفات تشغيل المزرعة</t>
        </is>
      </c>
      <c r="G22" s="25" t="n">
        <v>535</v>
      </c>
      <c r="H22" s="23" t="inlineStr">
        <is>
          <t>نعم</t>
        </is>
      </c>
      <c r="I22" s="23" t="inlineStr"/>
    </row>
    <row r="23">
      <c r="A23" s="23" t="n">
        <v>22</v>
      </c>
      <c r="B23" s="23" t="inlineStr">
        <is>
          <t>حسين مصطفى – مستودع الرياض</t>
        </is>
      </c>
      <c r="C23" s="24" t="n">
        <v>46068</v>
      </c>
      <c r="D23" s="23" t="inlineStr">
        <is>
          <t>كهرباء مزرعة الرياض عن شهر 2026-2</t>
        </is>
      </c>
      <c r="E23" s="23" t="inlineStr">
        <is>
          <t>EXP.RN.NURSERY</t>
        </is>
      </c>
      <c r="F23" s="23" t="inlineStr">
        <is>
          <t>خدمات ومرافق (كهرباء/مياه/إنترنت/إنشاءات)</t>
        </is>
      </c>
      <c r="G23" s="25" t="n">
        <v>2168.23</v>
      </c>
      <c r="H23" s="23" t="inlineStr">
        <is>
          <t>نعم</t>
        </is>
      </c>
      <c r="I23" s="23" t="inlineStr"/>
    </row>
    <row r="24">
      <c r="A24" s="23" t="n">
        <v>23</v>
      </c>
      <c r="B24" s="23" t="inlineStr">
        <is>
          <t>حسين مصطفى – مستودع الرياض</t>
        </is>
      </c>
      <c r="C24" s="24" t="n">
        <v>46070</v>
      </c>
      <c r="D24" s="23" t="inlineStr">
        <is>
          <t>غيار زيت س - عماد رقم 3010</t>
        </is>
      </c>
      <c r="E24" s="23" t="inlineStr">
        <is>
          <t>VHC-3010</t>
        </is>
      </c>
      <c r="F24" s="23" t="inlineStr">
        <is>
          <t>صيانة سيارات</t>
        </is>
      </c>
      <c r="G24" s="25" t="n">
        <v>270</v>
      </c>
      <c r="H24" s="23" t="inlineStr">
        <is>
          <t>نعم</t>
        </is>
      </c>
      <c r="I24" s="23" t="inlineStr"/>
    </row>
    <row r="25">
      <c r="A25" s="23" t="n">
        <v>24</v>
      </c>
      <c r="B25" s="23" t="inlineStr">
        <is>
          <t>حسين مصطفى – مستودع الرياض</t>
        </is>
      </c>
      <c r="C25" s="24" t="n">
        <v>46073</v>
      </c>
      <c r="D25" s="23" t="inlineStr">
        <is>
          <t>غيار زيت وفالتر س - عصمت رقم 1219</t>
        </is>
      </c>
      <c r="E25" s="23" t="inlineStr">
        <is>
          <t>VHC-1219</t>
        </is>
      </c>
      <c r="F25" s="23" t="inlineStr">
        <is>
          <t>صيانة سيارات</t>
        </is>
      </c>
      <c r="G25" s="25" t="n">
        <v>225.01</v>
      </c>
      <c r="H25" s="23" t="inlineStr">
        <is>
          <t>نعم</t>
        </is>
      </c>
      <c r="I25" s="23" t="inlineStr"/>
    </row>
    <row r="26">
      <c r="A26" s="23" t="n">
        <v>25</v>
      </c>
      <c r="B26" s="23" t="inlineStr">
        <is>
          <t>حسين مصطفى – مستودع الرياض</t>
        </is>
      </c>
      <c r="C26" s="24" t="n">
        <v>46084</v>
      </c>
      <c r="D26" s="23" t="inlineStr">
        <is>
          <t>شراء رول بالستيك الستخدام المزرعة</t>
        </is>
      </c>
      <c r="E26" s="23" t="inlineStr">
        <is>
          <t>EXP.RN.NURSERY</t>
        </is>
      </c>
      <c r="F26" s="23" t="inlineStr">
        <is>
          <t>خدمات ومرافق (كهرباء/مياه/إنترنت/إنشاءات)</t>
        </is>
      </c>
      <c r="G26" s="25" t="n">
        <v>190</v>
      </c>
      <c r="H26" s="23" t="inlineStr">
        <is>
          <t>نعم</t>
        </is>
      </c>
      <c r="I26" s="23" t="inlineStr"/>
    </row>
    <row r="27">
      <c r="A27" s="23" t="n">
        <v>26</v>
      </c>
      <c r="B27" s="23" t="inlineStr">
        <is>
          <t>حسين مصطفى – مستودع الرياض</t>
        </is>
      </c>
      <c r="C27" s="24" t="n">
        <v>46084</v>
      </c>
      <c r="D27" s="23" t="inlineStr">
        <is>
          <t>غيار زيت وفالتر سيارة عماد - رقم 3010</t>
        </is>
      </c>
      <c r="E27" s="23" t="inlineStr">
        <is>
          <t>VHC-3010</t>
        </is>
      </c>
      <c r="F27" s="23" t="inlineStr">
        <is>
          <t>صيانة سيارات</t>
        </is>
      </c>
      <c r="G27" s="25" t="n">
        <v>275</v>
      </c>
      <c r="H27" s="23" t="inlineStr">
        <is>
          <t>نعم</t>
        </is>
      </c>
      <c r="I27" s="23" t="inlineStr"/>
    </row>
    <row r="28">
      <c r="A28" s="23" t="n">
        <v>27</v>
      </c>
      <c r="B28" s="23" t="inlineStr">
        <is>
          <t>حسين مصطفى – مستودع الرياض</t>
        </is>
      </c>
      <c r="C28" s="24" t="n">
        <v>46090</v>
      </c>
      <c r="D28" s="23" t="inlineStr">
        <is>
          <t>مياه للشرب</t>
        </is>
      </c>
      <c r="E28" s="23" t="inlineStr">
        <is>
          <t>RN-DEPARTMENT</t>
        </is>
      </c>
      <c r="F28" s="23" t="inlineStr">
        <is>
          <t>خدمات ومرافق (كهرباء/مياه/إنترنت/إنشاءات)</t>
        </is>
      </c>
      <c r="G28" s="25" t="n">
        <v>70</v>
      </c>
      <c r="H28" s="23" t="inlineStr">
        <is>
          <t>نعم</t>
        </is>
      </c>
      <c r="I28" s="23" t="inlineStr"/>
    </row>
    <row r="29">
      <c r="A29" s="23" t="n">
        <v>28</v>
      </c>
      <c r="B29" s="23" t="inlineStr">
        <is>
          <t>حسين مصطفى – مستودع الرياض</t>
        </is>
      </c>
      <c r="C29" s="24" t="n">
        <v>46094</v>
      </c>
      <c r="D29" s="23" t="inlineStr">
        <is>
          <t>شراء أغراض صيانة للسيارة الوانيت</t>
        </is>
      </c>
      <c r="E29" s="23" t="inlineStr">
        <is>
          <t>VHC-5564</t>
        </is>
      </c>
      <c r="F29" s="23" t="inlineStr">
        <is>
          <t>صيانة سيارات</t>
        </is>
      </c>
      <c r="G29" s="25" t="n">
        <v>570.01</v>
      </c>
      <c r="H29" s="23" t="inlineStr">
        <is>
          <t>نعم</t>
        </is>
      </c>
      <c r="I29" s="23" t="inlineStr"/>
    </row>
    <row r="30">
      <c r="A30" s="23" t="n">
        <v>29</v>
      </c>
      <c r="B30" s="23" t="inlineStr">
        <is>
          <t>حسين مصطفى – مستودع الرياض</t>
        </is>
      </c>
      <c r="C30" s="24" t="n">
        <v>46094</v>
      </c>
      <c r="D30" s="23" t="inlineStr">
        <is>
          <t>لاير مصنعية مكانيكي 200 لاير + سطحة لنقل الوانيت ذهاب وعودة 300</t>
        </is>
      </c>
      <c r="E30" s="23" t="inlineStr">
        <is>
          <t>VHC-5564</t>
        </is>
      </c>
      <c r="F30" s="23" t="inlineStr">
        <is>
          <t>صيانة سيارات</t>
        </is>
      </c>
      <c r="G30" s="25" t="n">
        <v>500</v>
      </c>
      <c r="H30" s="23" t="inlineStr">
        <is>
          <t>نعم</t>
        </is>
      </c>
      <c r="I30" s="23" t="inlineStr"/>
    </row>
    <row r="31">
      <c r="A31" s="23" t="n">
        <v>30</v>
      </c>
      <c r="B31" s="23" t="inlineStr">
        <is>
          <t>حسين مصطفى – مستودع الرياض</t>
        </is>
      </c>
      <c r="C31" s="24" t="n">
        <v>46094</v>
      </c>
      <c r="D31" s="23" t="inlineStr">
        <is>
          <t>غيار زيت وفالتر وتشحيم سيارة عصمت</t>
        </is>
      </c>
      <c r="E31" s="23" t="inlineStr">
        <is>
          <t>VHC-1219</t>
        </is>
      </c>
      <c r="F31" s="23" t="inlineStr">
        <is>
          <t>صيانة سيارات</t>
        </is>
      </c>
      <c r="G31" s="25" t="n">
        <v>435</v>
      </c>
      <c r="H31" s="23" t="inlineStr">
        <is>
          <t>نعم</t>
        </is>
      </c>
      <c r="I31" s="23" t="inlineStr"/>
    </row>
    <row r="32">
      <c r="A32" s="23" t="n">
        <v>31</v>
      </c>
      <c r="B32" s="23" t="inlineStr">
        <is>
          <t>حسين مصطفى – مستودع الرياض</t>
        </is>
      </c>
      <c r="C32" s="24" t="n">
        <v>46094</v>
      </c>
      <c r="D32" s="23" t="inlineStr">
        <is>
          <t>غسيل سيارة عصمت</t>
        </is>
      </c>
      <c r="E32" s="23" t="inlineStr">
        <is>
          <t>VHC-1219</t>
        </is>
      </c>
      <c r="F32" s="23" t="inlineStr">
        <is>
          <t>صيانة سيارات</t>
        </is>
      </c>
      <c r="G32" s="25" t="n">
        <v>70</v>
      </c>
      <c r="H32" s="23" t="inlineStr">
        <is>
          <t>نعم</t>
        </is>
      </c>
      <c r="I32" s="23" t="inlineStr"/>
    </row>
    <row r="33">
      <c r="A33" s="23" t="n">
        <v>32</v>
      </c>
      <c r="B33" s="23" t="inlineStr">
        <is>
          <t>حسين مصطفى – مستودع الرياض</t>
        </is>
      </c>
      <c r="C33" s="24" t="n">
        <v>46098</v>
      </c>
      <c r="D33" s="23" t="inlineStr">
        <is>
          <t>شراء سيور للمراوح</t>
        </is>
      </c>
      <c r="E33" s="23" t="inlineStr">
        <is>
          <t>EXP.RN.NURSERY</t>
        </is>
      </c>
      <c r="F33" s="23" t="inlineStr">
        <is>
          <t>خدمات ومرافق (كهرباء/مياه/إنترنت/إنشاءات)</t>
        </is>
      </c>
      <c r="G33" s="25" t="n">
        <v>149.5</v>
      </c>
      <c r="H33" s="23" t="inlineStr">
        <is>
          <t>نعم</t>
        </is>
      </c>
      <c r="I33" s="23" t="inlineStr"/>
    </row>
    <row r="34">
      <c r="A34" s="23" t="n">
        <v>33</v>
      </c>
      <c r="B34" s="23" t="inlineStr">
        <is>
          <t>حسين مصطفى – مستودع الرياض</t>
        </is>
      </c>
      <c r="C34" s="24" t="n">
        <v>46098</v>
      </c>
      <c r="D34" s="23" t="inlineStr">
        <is>
          <t>غيار زيت وفلتر + غسيل وتشحيم + 2 كساحة خلفي</t>
        </is>
      </c>
      <c r="E34" s="23" t="inlineStr">
        <is>
          <t>VHC-3010</t>
        </is>
      </c>
      <c r="F34" s="23" t="inlineStr">
        <is>
          <t>صيانة سيارات</t>
        </is>
      </c>
      <c r="G34" s="25" t="n">
        <v>480</v>
      </c>
      <c r="H34" s="23" t="inlineStr">
        <is>
          <t>نعم</t>
        </is>
      </c>
      <c r="I34" s="23" t="inlineStr"/>
    </row>
    <row r="35">
      <c r="A35" s="23" t="n">
        <v>34</v>
      </c>
      <c r="B35" s="23" t="inlineStr">
        <is>
          <t>حسين مصطفى – مستودع الرياض</t>
        </is>
      </c>
      <c r="C35" s="24" t="n">
        <v>46113</v>
      </c>
      <c r="D35" s="23" t="inlineStr">
        <is>
          <t>شراء كفر سيارة عصمت</t>
        </is>
      </c>
      <c r="E35" s="23" t="inlineStr">
        <is>
          <t>VHC-1219</t>
        </is>
      </c>
      <c r="F35" s="23" t="inlineStr">
        <is>
          <t>صيانة سيارات</t>
        </is>
      </c>
      <c r="G35" s="25" t="n">
        <v>2060.01</v>
      </c>
      <c r="H35" s="23" t="inlineStr">
        <is>
          <t>نعم</t>
        </is>
      </c>
      <c r="I35" s="23" t="inlineStr"/>
    </row>
    <row r="36">
      <c r="A36" s="23" t="n">
        <v>35</v>
      </c>
      <c r="B36" s="23" t="inlineStr">
        <is>
          <t>حسين مصطفى – مستودع الرياض</t>
        </is>
      </c>
      <c r="C36" s="24" t="n">
        <v>46113</v>
      </c>
      <c r="D36" s="23" t="inlineStr">
        <is>
          <t>تركيب كفر س عصمت</t>
        </is>
      </c>
      <c r="E36" s="23" t="inlineStr">
        <is>
          <t>VHC-1219</t>
        </is>
      </c>
      <c r="F36" s="23" t="inlineStr">
        <is>
          <t>صيانة سيارات</t>
        </is>
      </c>
      <c r="G36" s="25" t="n">
        <v>40</v>
      </c>
      <c r="H36" s="23" t="inlineStr">
        <is>
          <t>نعم</t>
        </is>
      </c>
      <c r="I36" s="23" t="inlineStr"/>
    </row>
    <row r="37">
      <c r="A37" s="23" t="n">
        <v>36</v>
      </c>
      <c r="B37" s="23" t="inlineStr">
        <is>
          <t>حسين مصطفى – مستودع الرياض</t>
        </is>
      </c>
      <c r="C37" s="24" t="n">
        <v>46113</v>
      </c>
      <c r="D37" s="23" t="inlineStr">
        <is>
          <t>مسدس رش مبيدات تركي</t>
        </is>
      </c>
      <c r="E37" s="23" t="inlineStr">
        <is>
          <t>EXP.RN.NURSERY</t>
        </is>
      </c>
      <c r="F37" s="23" t="inlineStr">
        <is>
          <t>خدمات ومرافق (كهرباء/مياه/إنترنت/إنشاءات)</t>
        </is>
      </c>
      <c r="G37" s="25" t="n">
        <v>207</v>
      </c>
      <c r="H37" s="23" t="inlineStr">
        <is>
          <t>نعم</t>
        </is>
      </c>
      <c r="I37" s="23" t="inlineStr"/>
    </row>
    <row r="38">
      <c r="A38" s="23" t="n">
        <v>37</v>
      </c>
      <c r="B38" s="23" t="inlineStr">
        <is>
          <t>حسين مصطفى – مستودع الرياض</t>
        </is>
      </c>
      <c r="C38" s="24" t="n">
        <v>46113</v>
      </c>
      <c r="D38" s="23" t="inlineStr">
        <is>
          <t>سوالر س - عماد</t>
        </is>
      </c>
      <c r="E38" s="23" t="inlineStr">
        <is>
          <t>VHC-3010</t>
        </is>
      </c>
      <c r="F38" s="23" t="inlineStr">
        <is>
          <t>وقود (ديزل/بنزين)</t>
        </is>
      </c>
      <c r="G38" s="25" t="n">
        <v>130.01</v>
      </c>
      <c r="H38" s="23" t="inlineStr">
        <is>
          <t>نعم</t>
        </is>
      </c>
      <c r="I38" s="23" t="inlineStr"/>
    </row>
    <row r="39">
      <c r="A39" s="23" t="n">
        <v>38</v>
      </c>
      <c r="B39" s="23" t="inlineStr">
        <is>
          <t>حسين مصطفى – مستودع الرياض</t>
        </is>
      </c>
      <c r="C39" s="24" t="n">
        <v>46113</v>
      </c>
      <c r="D39" s="23" t="inlineStr">
        <is>
          <t>مياه للشرب</t>
        </is>
      </c>
      <c r="E39" s="23" t="inlineStr">
        <is>
          <t>RN-DEPARTMENT</t>
        </is>
      </c>
      <c r="F39" s="23" t="inlineStr">
        <is>
          <t>خدمات ومرافق (كهرباء/مياه/إنترنت/إنشاءات)</t>
        </is>
      </c>
      <c r="G39" s="25" t="n">
        <v>70</v>
      </c>
      <c r="H39" s="23" t="inlineStr">
        <is>
          <t>نعم</t>
        </is>
      </c>
      <c r="I39" s="23" t="inlineStr"/>
    </row>
    <row r="40">
      <c r="A40" s="23" t="n">
        <v>39</v>
      </c>
      <c r="B40" s="23" t="inlineStr">
        <is>
          <t>حسين مصطفى – مستودع الرياض</t>
        </is>
      </c>
      <c r="C40" s="24" t="n">
        <v>46115</v>
      </c>
      <c r="D40" s="23" t="inlineStr">
        <is>
          <t>بنزين للوانيت</t>
        </is>
      </c>
      <c r="E40" s="23" t="inlineStr">
        <is>
          <t>VHC-5564</t>
        </is>
      </c>
      <c r="F40" s="23" t="inlineStr">
        <is>
          <t>وقود (ديزل/بنزين)</t>
        </is>
      </c>
      <c r="G40" s="25" t="n">
        <v>130</v>
      </c>
      <c r="H40" s="23" t="inlineStr">
        <is>
          <t>نعم</t>
        </is>
      </c>
      <c r="I40" s="23" t="inlineStr"/>
    </row>
    <row r="41">
      <c r="A41" s="23" t="n">
        <v>40</v>
      </c>
      <c r="B41" s="23" t="inlineStr">
        <is>
          <t>حسين مصطفى – مستودع الرياض</t>
        </is>
      </c>
      <c r="C41" s="24" t="n">
        <v>46115</v>
      </c>
      <c r="D41" s="23" t="inlineStr">
        <is>
          <t>غيار زيت وفلتر س عصمت</t>
        </is>
      </c>
      <c r="E41" s="23" t="inlineStr">
        <is>
          <t>VHC-1219</t>
        </is>
      </c>
      <c r="F41" s="23" t="inlineStr">
        <is>
          <t>صيانة سيارات</t>
        </is>
      </c>
      <c r="G41" s="25" t="n">
        <v>225.01</v>
      </c>
      <c r="H41" s="23" t="inlineStr">
        <is>
          <t>نعم</t>
        </is>
      </c>
      <c r="I41" s="23" t="inlineStr"/>
    </row>
    <row r="42">
      <c r="A42" s="23" t="n">
        <v>41</v>
      </c>
      <c r="B42" s="23" t="inlineStr">
        <is>
          <t>حسين مصطفى – مستودع الرياض</t>
        </is>
      </c>
      <c r="C42" s="24" t="n">
        <v>46118</v>
      </c>
      <c r="D42" s="23" t="inlineStr">
        <is>
          <t>شراء 2 لفة شكرتون</t>
        </is>
      </c>
      <c r="E42" s="23" t="inlineStr">
        <is>
          <t>RN-DEPARTMENT</t>
        </is>
      </c>
      <c r="F42" s="23" t="inlineStr">
        <is>
          <t>خدمات ومرافق (كهرباء/مياه/إنترنت/إنشاءات)</t>
        </is>
      </c>
      <c r="G42" s="25" t="n">
        <v>50</v>
      </c>
      <c r="H42" s="23" t="inlineStr">
        <is>
          <t>نعم</t>
        </is>
      </c>
      <c r="I42" s="23" t="inlineStr"/>
    </row>
    <row r="43">
      <c r="A43" s="23" t="n">
        <v>42</v>
      </c>
      <c r="B43" s="23" t="inlineStr">
        <is>
          <t>حسين مصطفى – مستودع الرياض</t>
        </is>
      </c>
      <c r="C43" s="24" t="n">
        <v>46121</v>
      </c>
      <c r="D43" s="23" t="inlineStr">
        <is>
          <t>شحن الت جو ونت شحن واي فاي - النت 6 شهور</t>
        </is>
      </c>
      <c r="E43" s="23" t="inlineStr"/>
      <c r="F43" s="23" t="inlineStr">
        <is>
          <t>خدمات ومرافق (كهرباء/مياه/إنترنت/إنشاءات)</t>
        </is>
      </c>
      <c r="G43" s="25" t="n">
        <v>750</v>
      </c>
      <c r="H43" s="23" t="inlineStr">
        <is>
          <t>نعم</t>
        </is>
      </c>
      <c r="I43" s="23" t="inlineStr"/>
    </row>
    <row r="44">
      <c r="A44" s="23" t="n">
        <v>43</v>
      </c>
      <c r="B44" s="23" t="inlineStr">
        <is>
          <t>حسين مصطفى – مستودع الرياض</t>
        </is>
      </c>
      <c r="C44" s="24" t="n">
        <v>46121</v>
      </c>
      <c r="D44" s="23" t="inlineStr">
        <is>
          <t>شراء ورق طباعة وفايل</t>
        </is>
      </c>
      <c r="E44" s="23" t="inlineStr">
        <is>
          <t>RN-DEPARTMENT</t>
        </is>
      </c>
      <c r="F44" s="23" t="inlineStr">
        <is>
          <t>خدمات ومرافق (كهرباء/مياه/إنترنت/إنشاءات)</t>
        </is>
      </c>
      <c r="G44" s="25" t="n">
        <v>46.17</v>
      </c>
      <c r="H44" s="23" t="inlineStr">
        <is>
          <t>نعم</t>
        </is>
      </c>
      <c r="I44" s="23" t="inlineStr"/>
    </row>
    <row r="45">
      <c r="A45" s="23" t="n">
        <v>44</v>
      </c>
      <c r="B45" s="23" t="inlineStr">
        <is>
          <t>حسين مصطفى – مستودع الرياض</t>
        </is>
      </c>
      <c r="C45" s="24" t="n">
        <v>46121</v>
      </c>
      <c r="D45" s="23" t="inlineStr">
        <is>
          <t>غيار زيت وفلتر س عماد</t>
        </is>
      </c>
      <c r="E45" s="23" t="inlineStr">
        <is>
          <t>VHC-3010</t>
        </is>
      </c>
      <c r="F45" s="23" t="inlineStr">
        <is>
          <t>صيانة سيارات</t>
        </is>
      </c>
      <c r="G45" s="25" t="n">
        <v>280</v>
      </c>
      <c r="H45" s="23" t="inlineStr">
        <is>
          <t>نعم</t>
        </is>
      </c>
      <c r="I45" s="23" t="inlineStr"/>
    </row>
    <row r="46">
      <c r="A46" s="23" t="n">
        <v>45</v>
      </c>
      <c r="B46" s="23" t="inlineStr">
        <is>
          <t>حسين مصطفى – مستودع الرياض</t>
        </is>
      </c>
      <c r="C46" s="24" t="n">
        <v>46123</v>
      </c>
      <c r="D46" s="23" t="inlineStr">
        <is>
          <t>سوالر س - عماد</t>
        </is>
      </c>
      <c r="E46" s="23" t="inlineStr">
        <is>
          <t>VHC-3010</t>
        </is>
      </c>
      <c r="F46" s="23" t="inlineStr">
        <is>
          <t>وقود (ديزل/بنزين)</t>
        </is>
      </c>
      <c r="G46" s="25" t="n">
        <v>150.02</v>
      </c>
      <c r="H46" s="23" t="inlineStr">
        <is>
          <t>نعم</t>
        </is>
      </c>
      <c r="I46" s="23" t="inlineStr"/>
    </row>
    <row r="47">
      <c r="A47" s="23" t="n">
        <v>46</v>
      </c>
      <c r="B47" s="23" t="inlineStr">
        <is>
          <t>حسين مصطفى – مستودع الرياض</t>
        </is>
      </c>
      <c r="C47" s="24" t="n">
        <v>46125</v>
      </c>
      <c r="D47" s="23" t="inlineStr">
        <is>
          <t>سوالر س - عماد</t>
        </is>
      </c>
      <c r="E47" s="23" t="inlineStr">
        <is>
          <t>VHC-3010</t>
        </is>
      </c>
      <c r="F47" s="23" t="inlineStr">
        <is>
          <t>وقود (ديزل/بنزين)</t>
        </is>
      </c>
      <c r="G47" s="25" t="n">
        <v>150.01</v>
      </c>
      <c r="H47" s="23" t="inlineStr">
        <is>
          <t>نعم</t>
        </is>
      </c>
      <c r="I47" s="23" t="inlineStr"/>
    </row>
    <row r="48">
      <c r="A48" s="23" t="n">
        <v>47</v>
      </c>
      <c r="B48" s="23" t="inlineStr">
        <is>
          <t>حسين مصطفى – مستودع الرياض</t>
        </is>
      </c>
      <c r="C48" s="24" t="n">
        <v>46126</v>
      </c>
      <c r="D48" s="23" t="inlineStr">
        <is>
          <t>سوالر س - عصمت</t>
        </is>
      </c>
      <c r="E48" s="23" t="inlineStr">
        <is>
          <t>VHC-1219</t>
        </is>
      </c>
      <c r="F48" s="23" t="inlineStr">
        <is>
          <t>وقود (ديزل/بنزين)</t>
        </is>
      </c>
      <c r="G48" s="25" t="n">
        <v>150.01</v>
      </c>
      <c r="H48" s="23" t="inlineStr">
        <is>
          <t>نعم</t>
        </is>
      </c>
      <c r="I48" s="23" t="inlineStr"/>
    </row>
    <row r="49">
      <c r="A49" s="23" t="n">
        <v>48</v>
      </c>
      <c r="B49" s="23" t="inlineStr">
        <is>
          <t>حسين مصطفى – مستودع الرياض</t>
        </is>
      </c>
      <c r="C49" s="24" t="n">
        <v>46126</v>
      </c>
      <c r="D49" s="23" t="inlineStr">
        <is>
          <t>ترصيص س عصمت</t>
        </is>
      </c>
      <c r="E49" s="23" t="inlineStr">
        <is>
          <t>VHC-1219</t>
        </is>
      </c>
      <c r="F49" s="23" t="inlineStr">
        <is>
          <t>صيانة سيارات</t>
        </is>
      </c>
      <c r="G49" s="25" t="n">
        <v>150.01</v>
      </c>
      <c r="H49" s="23" t="inlineStr">
        <is>
          <t>نعم</t>
        </is>
      </c>
      <c r="I49" s="23" t="inlineStr"/>
    </row>
    <row r="50">
      <c r="A50" s="23" t="n">
        <v>49</v>
      </c>
      <c r="B50" s="23" t="inlineStr">
        <is>
          <t>حسين مصطفى – مستودع الرياض</t>
        </is>
      </c>
      <c r="C50" s="24" t="n">
        <v>46127</v>
      </c>
      <c r="D50" s="23" t="inlineStr">
        <is>
          <t>سوالر س - عماد</t>
        </is>
      </c>
      <c r="E50" s="23" t="inlineStr">
        <is>
          <t>VHC-3010</t>
        </is>
      </c>
      <c r="F50" s="23" t="inlineStr">
        <is>
          <t>وقود (ديزل/بنزين)</t>
        </is>
      </c>
      <c r="G50" s="25" t="n">
        <v>150.01</v>
      </c>
      <c r="H50" s="23" t="inlineStr">
        <is>
          <t>نعم</t>
        </is>
      </c>
      <c r="I50" s="23" t="inlineStr"/>
    </row>
    <row r="51">
      <c r="A51" s="23" t="n">
        <v>50</v>
      </c>
      <c r="B51" s="23" t="inlineStr">
        <is>
          <t>حسين مصطفى – مستودع الرياض</t>
        </is>
      </c>
      <c r="C51" s="24" t="n">
        <v>46129</v>
      </c>
      <c r="D51" s="23" t="inlineStr">
        <is>
          <t>شراء غراء سباكة</t>
        </is>
      </c>
      <c r="E51" s="23" t="inlineStr">
        <is>
          <t>EXP.RN.NURSERY</t>
        </is>
      </c>
      <c r="F51" s="23" t="inlineStr">
        <is>
          <t>خدمات ومرافق (كهرباء/مياه/إنترنت/إنشاءات)</t>
        </is>
      </c>
      <c r="G51" s="25" t="n">
        <v>45</v>
      </c>
      <c r="H51" s="23" t="inlineStr">
        <is>
          <t>نعم</t>
        </is>
      </c>
      <c r="I51" s="23" t="inlineStr"/>
    </row>
    <row r="52">
      <c r="A52" s="23" t="n">
        <v>51</v>
      </c>
      <c r="B52" s="23" t="inlineStr">
        <is>
          <t>حسين مصطفى – مستودع الرياض</t>
        </is>
      </c>
      <c r="C52" s="24" t="n">
        <v>46129</v>
      </c>
      <c r="D52" s="23" t="inlineStr">
        <is>
          <t>غسيل س عصمت</t>
        </is>
      </c>
      <c r="E52" s="23" t="inlineStr">
        <is>
          <t>VHC-1219</t>
        </is>
      </c>
      <c r="F52" s="23" t="inlineStr">
        <is>
          <t>صيانة سيارات</t>
        </is>
      </c>
      <c r="G52" s="25" t="n">
        <v>60</v>
      </c>
      <c r="H52" s="23" t="inlineStr">
        <is>
          <t>نعم</t>
        </is>
      </c>
      <c r="I52" s="23" t="inlineStr"/>
    </row>
    <row r="53">
      <c r="A53" s="23" t="n">
        <v>52</v>
      </c>
      <c r="B53" s="23" t="inlineStr">
        <is>
          <t>حسين مصطفى – مستودع الرياض</t>
        </is>
      </c>
      <c r="C53" s="24" t="n">
        <v>46129</v>
      </c>
      <c r="D53" s="23" t="inlineStr">
        <is>
          <t>غيار زيت وفلتر س عماد</t>
        </is>
      </c>
      <c r="E53" s="23" t="inlineStr">
        <is>
          <t>VHC-3010</t>
        </is>
      </c>
      <c r="F53" s="23" t="inlineStr">
        <is>
          <t>صيانة سيارات</t>
        </is>
      </c>
      <c r="G53" s="25" t="n">
        <v>280</v>
      </c>
      <c r="H53" s="23" t="inlineStr">
        <is>
          <t>نعم</t>
        </is>
      </c>
      <c r="I53" s="23" t="inlineStr"/>
    </row>
    <row r="54">
      <c r="A54" s="23" t="n">
        <v>53</v>
      </c>
      <c r="B54" s="23" t="inlineStr">
        <is>
          <t>حسين مصطفى – مستودع الرياض</t>
        </is>
      </c>
      <c r="C54" s="24" t="n">
        <v>46129</v>
      </c>
      <c r="D54" s="23" t="inlineStr">
        <is>
          <t>غسيل وتشحيم س عماد + اصالح ماكينة رش المزرعة MOSTAFA HUSSEIN</t>
        </is>
      </c>
      <c r="E54" s="23" t="inlineStr">
        <is>
          <t>VHC-3010</t>
        </is>
      </c>
      <c r="F54" s="23" t="inlineStr">
        <is>
          <t>صيانة سيارات</t>
        </is>
      </c>
      <c r="G54" s="25" t="n">
        <v>250</v>
      </c>
      <c r="H54" s="23" t="inlineStr">
        <is>
          <t>نعم</t>
        </is>
      </c>
      <c r="I54" s="23" t="inlineStr"/>
    </row>
    <row r="55">
      <c r="A55" s="23" t="n">
        <v>54</v>
      </c>
      <c r="B55" s="23" t="inlineStr">
        <is>
          <t>حسين مصطفى – مستودع الرياض</t>
        </is>
      </c>
      <c r="C55" s="24" t="n">
        <v>46129</v>
      </c>
      <c r="D55" s="23" t="inlineStr">
        <is>
          <t>سوالر س عصمت</t>
        </is>
      </c>
      <c r="E55" s="23" t="inlineStr">
        <is>
          <t>VHC-1219</t>
        </is>
      </c>
      <c r="F55" s="23" t="inlineStr">
        <is>
          <t>وقود (ديزل/بنزين)</t>
        </is>
      </c>
      <c r="G55" s="25" t="n">
        <v>200</v>
      </c>
      <c r="H55" s="23" t="inlineStr">
        <is>
          <t>نعم</t>
        </is>
      </c>
      <c r="I55" s="23" t="inlineStr"/>
    </row>
    <row r="56">
      <c r="A56" s="23" t="n">
        <v>55</v>
      </c>
      <c r="B56" s="23" t="inlineStr">
        <is>
          <t>حسين مصطفى – مستودع الرياض</t>
        </is>
      </c>
      <c r="C56" s="24" t="n">
        <v>46130</v>
      </c>
      <c r="D56" s="23" t="inlineStr">
        <is>
          <t>سوالر س - عماد</t>
        </is>
      </c>
      <c r="E56" s="23" t="inlineStr">
        <is>
          <t>VHC-3010</t>
        </is>
      </c>
      <c r="F56" s="23" t="inlineStr">
        <is>
          <t>وقود (ديزل/بنزين)</t>
        </is>
      </c>
      <c r="G56" s="25" t="n">
        <v>300</v>
      </c>
      <c r="H56" s="23" t="inlineStr">
        <is>
          <t>نعم</t>
        </is>
      </c>
      <c r="I56" s="23" t="inlineStr"/>
    </row>
    <row r="57">
      <c r="A57" s="23" t="n">
        <v>56</v>
      </c>
      <c r="B57" s="23" t="inlineStr">
        <is>
          <t>حسين مصطفى – مستودع الرياض</t>
        </is>
      </c>
      <c r="C57" s="24" t="n">
        <v>46130</v>
      </c>
      <c r="D57" s="23" t="inlineStr">
        <is>
          <t>مياه للشرب</t>
        </is>
      </c>
      <c r="E57" s="23" t="inlineStr">
        <is>
          <t>EXP.RN.NURSERY</t>
        </is>
      </c>
      <c r="F57" s="23" t="inlineStr">
        <is>
          <t>خدمات ومرافق (كهرباء/مياه/إنترنت/إنشاءات)</t>
        </is>
      </c>
      <c r="G57" s="25" t="n">
        <v>70</v>
      </c>
      <c r="H57" s="23" t="inlineStr">
        <is>
          <t>نعم</t>
        </is>
      </c>
      <c r="I57" s="23" t="inlineStr"/>
    </row>
    <row r="58">
      <c r="A58" s="23" t="n">
        <v>57</v>
      </c>
      <c r="B58" s="23" t="inlineStr">
        <is>
          <t>حسين مصطفى – مستودع الرياض</t>
        </is>
      </c>
      <c r="C58" s="24" t="n">
        <v>46133</v>
      </c>
      <c r="D58" s="23" t="inlineStr">
        <is>
          <t>سوالر س - عماد</t>
        </is>
      </c>
      <c r="E58" s="23" t="inlineStr">
        <is>
          <t>VHC-3010</t>
        </is>
      </c>
      <c r="F58" s="23" t="inlineStr">
        <is>
          <t>وقود (ديزل/بنزين)</t>
        </is>
      </c>
      <c r="G58" s="25" t="n">
        <v>300</v>
      </c>
      <c r="H58" s="23" t="inlineStr">
        <is>
          <t>نعم</t>
        </is>
      </c>
      <c r="I58" s="23" t="inlineStr"/>
    </row>
    <row r="59">
      <c r="A59" s="23" t="n">
        <v>58</v>
      </c>
      <c r="B59" s="23" t="inlineStr">
        <is>
          <t>حسين مصطفى – مستودع الرياض</t>
        </is>
      </c>
      <c r="C59" s="24" t="n">
        <v>46133</v>
      </c>
      <c r="D59" s="23" t="inlineStr">
        <is>
          <t>غيار زيت س عصمت</t>
        </is>
      </c>
      <c r="E59" s="23" t="inlineStr">
        <is>
          <t>VHC-1219</t>
        </is>
      </c>
      <c r="F59" s="23" t="inlineStr">
        <is>
          <t>صيانة سيارات</t>
        </is>
      </c>
      <c r="G59" s="25" t="n">
        <v>225.01</v>
      </c>
      <c r="H59" s="23" t="inlineStr">
        <is>
          <t>نعم</t>
        </is>
      </c>
      <c r="I59" s="23" t="inlineStr"/>
    </row>
    <row r="60">
      <c r="A60" s="23" t="n">
        <v>59</v>
      </c>
      <c r="B60" s="23" t="inlineStr">
        <is>
          <t>حسين مصطفى – مستودع الرياض</t>
        </is>
      </c>
      <c r="C60" s="24" t="n">
        <v>46133</v>
      </c>
      <c r="D60" s="23" t="inlineStr">
        <is>
          <t>سوالر س - عصمت</t>
        </is>
      </c>
      <c r="E60" s="23" t="inlineStr">
        <is>
          <t>VHC-1219</t>
        </is>
      </c>
      <c r="F60" s="23" t="inlineStr">
        <is>
          <t>وقود (ديزل/بنزين)</t>
        </is>
      </c>
      <c r="G60" s="25" t="n">
        <v>200.1</v>
      </c>
      <c r="H60" s="23" t="inlineStr">
        <is>
          <t>نعم</t>
        </is>
      </c>
      <c r="I60" s="23" t="inlineStr"/>
    </row>
    <row r="61">
      <c r="A61" s="23" t="n">
        <v>60</v>
      </c>
      <c r="B61" s="23" t="inlineStr">
        <is>
          <t>حسين مصطفى – مستودع الرياض</t>
        </is>
      </c>
      <c r="C61" s="24" t="n">
        <v>46133</v>
      </c>
      <c r="D61" s="23" t="inlineStr">
        <is>
          <t>سوالر س - عصمت</t>
        </is>
      </c>
      <c r="E61" s="23" t="inlineStr">
        <is>
          <t>VHC-1219</t>
        </is>
      </c>
      <c r="F61" s="23" t="inlineStr">
        <is>
          <t>وقود (ديزل/بنزين)</t>
        </is>
      </c>
      <c r="G61" s="25" t="n">
        <v>200.1</v>
      </c>
      <c r="H61" s="23" t="inlineStr">
        <is>
          <t>نعم</t>
        </is>
      </c>
      <c r="I61" s="23" t="inlineStr"/>
    </row>
    <row r="62">
      <c r="A62" s="23" t="n">
        <v>61</v>
      </c>
      <c r="B62" s="23" t="inlineStr">
        <is>
          <t>حسين مصطفى – مستودع الرياض</t>
        </is>
      </c>
      <c r="C62" s="24" t="n">
        <v>46134</v>
      </c>
      <c r="D62" s="23" t="inlineStr">
        <is>
          <t>سوالر س - عماد</t>
        </is>
      </c>
      <c r="E62" s="23" t="inlineStr">
        <is>
          <t>VHC-3010</t>
        </is>
      </c>
      <c r="F62" s="23" t="inlineStr">
        <is>
          <t>وقود (ديزل/بنزين)</t>
        </is>
      </c>
      <c r="G62" s="25" t="n">
        <v>350</v>
      </c>
      <c r="H62" s="23" t="inlineStr">
        <is>
          <t>نعم</t>
        </is>
      </c>
      <c r="I62" s="23" t="inlineStr"/>
    </row>
    <row r="63">
      <c r="A63" s="23" t="n">
        <v>62</v>
      </c>
      <c r="B63" s="23" t="inlineStr">
        <is>
          <t>حسين مصطفى – مستودع الرياض</t>
        </is>
      </c>
      <c r="C63" s="24" t="n">
        <v>46136</v>
      </c>
      <c r="D63" s="23" t="inlineStr">
        <is>
          <t>بنزين للوانيت</t>
        </is>
      </c>
      <c r="E63" s="23" t="inlineStr">
        <is>
          <t>VHC-5564</t>
        </is>
      </c>
      <c r="F63" s="23" t="inlineStr">
        <is>
          <t>وقود (ديزل/بنزين)</t>
        </is>
      </c>
      <c r="G63" s="25" t="n">
        <v>100.02</v>
      </c>
      <c r="H63" s="23" t="inlineStr">
        <is>
          <t>نعم</t>
        </is>
      </c>
      <c r="I63" s="23" t="inlineStr"/>
    </row>
    <row r="64">
      <c r="A64" s="23" t="n">
        <v>63</v>
      </c>
      <c r="B64" s="23" t="inlineStr">
        <is>
          <t>حسين مصطفى – مستودع الرياض</t>
        </is>
      </c>
      <c r="C64" s="24" t="n">
        <v>46136</v>
      </c>
      <c r="D64" s="23" t="inlineStr">
        <is>
          <t>سوالر س - عماد</t>
        </is>
      </c>
      <c r="E64" s="23" t="inlineStr">
        <is>
          <t>VHC-3010</t>
        </is>
      </c>
      <c r="F64" s="23" t="inlineStr">
        <is>
          <t>وقود (ديزل/بنزين)</t>
        </is>
      </c>
      <c r="G64" s="25" t="n">
        <v>315.01</v>
      </c>
      <c r="H64" s="23" t="inlineStr">
        <is>
          <t>نعم</t>
        </is>
      </c>
      <c r="I64" s="23" t="inlineStr"/>
    </row>
    <row r="65">
      <c r="A65" s="23" t="n">
        <v>64</v>
      </c>
      <c r="B65" s="23" t="inlineStr">
        <is>
          <t>حسين مصطفى – مستودع الرياض</t>
        </is>
      </c>
      <c r="C65" s="24" t="n">
        <v>46137</v>
      </c>
      <c r="D65" s="23" t="inlineStr">
        <is>
          <t>سوالر س - عصمت</t>
        </is>
      </c>
      <c r="E65" s="23" t="inlineStr">
        <is>
          <t>VHC-1219</t>
        </is>
      </c>
      <c r="F65" s="23" t="inlineStr">
        <is>
          <t>وقود (ديزل/بنزين)</t>
        </is>
      </c>
      <c r="G65" s="25" t="n">
        <v>200</v>
      </c>
      <c r="H65" s="23" t="inlineStr">
        <is>
          <t>نعم</t>
        </is>
      </c>
      <c r="I65" s="23" t="inlineStr"/>
    </row>
    <row r="66">
      <c r="A66" s="23" t="n">
        <v>65</v>
      </c>
      <c r="B66" s="23" t="inlineStr">
        <is>
          <t>حسين مصطفى – مستودع الرياض</t>
        </is>
      </c>
      <c r="C66" s="24" t="n">
        <v>46137</v>
      </c>
      <c r="D66" s="23" t="inlineStr">
        <is>
          <t>سوالر س - عماد</t>
        </is>
      </c>
      <c r="E66" s="23" t="inlineStr">
        <is>
          <t>VHC-3010</t>
        </is>
      </c>
      <c r="F66" s="23" t="inlineStr">
        <is>
          <t>وقود (ديزل/بنزين)</t>
        </is>
      </c>
      <c r="G66" s="25" t="n">
        <v>200</v>
      </c>
      <c r="H66" s="23" t="inlineStr">
        <is>
          <t>نعم</t>
        </is>
      </c>
      <c r="I66" s="23" t="inlineStr"/>
    </row>
    <row r="67">
      <c r="A67" s="23" t="n">
        <v>66</v>
      </c>
      <c r="B67" s="23" t="inlineStr">
        <is>
          <t>حسين مصطفى – مستودع الرياض</t>
        </is>
      </c>
      <c r="C67" s="24" t="n">
        <v>46138</v>
      </c>
      <c r="D67" s="23" t="inlineStr">
        <is>
          <t>صيانة ماتور الرش + زيت</t>
        </is>
      </c>
      <c r="E67" s="23" t="inlineStr">
        <is>
          <t>EXP.RN.NURSERY</t>
        </is>
      </c>
      <c r="F67" s="23" t="inlineStr">
        <is>
          <t>خدمات ومرافق (كهرباء/مياه/إنترنت/إنشاءات)</t>
        </is>
      </c>
      <c r="G67" s="25" t="n">
        <v>210</v>
      </c>
      <c r="H67" s="23" t="inlineStr">
        <is>
          <t>نعم</t>
        </is>
      </c>
      <c r="I67" s="23" t="inlineStr"/>
    </row>
    <row r="68">
      <c r="A68" s="23" t="n">
        <v>67</v>
      </c>
      <c r="B68" s="23" t="inlineStr">
        <is>
          <t>حسين مصطفى – مستودع الرياض</t>
        </is>
      </c>
      <c r="C68" s="24" t="n">
        <v>46139</v>
      </c>
      <c r="D68" s="23" t="inlineStr">
        <is>
          <t>سوالر س - عماد</t>
        </is>
      </c>
      <c r="E68" s="23" t="inlineStr">
        <is>
          <t>VHC-3010</t>
        </is>
      </c>
      <c r="F68" s="23" t="inlineStr">
        <is>
          <t>وقود (ديزل/بنزين)</t>
        </is>
      </c>
      <c r="G68" s="25" t="n">
        <v>200</v>
      </c>
      <c r="H68" s="23" t="inlineStr">
        <is>
          <t>نعم</t>
        </is>
      </c>
      <c r="I68" s="23" t="inlineStr"/>
    </row>
    <row r="69">
      <c r="A69" s="23" t="n">
        <v>68</v>
      </c>
      <c r="B69" s="23" t="inlineStr">
        <is>
          <t>حسين مصطفى – مستودع الرياض</t>
        </is>
      </c>
      <c r="C69" s="24" t="n">
        <v>46139</v>
      </c>
      <c r="D69" s="23" t="inlineStr">
        <is>
          <t>شراء مبيدات للزهور</t>
        </is>
      </c>
      <c r="E69" s="23" t="inlineStr">
        <is>
          <t>EXP.RN.NURSERY</t>
        </is>
      </c>
      <c r="F69" s="23" t="inlineStr">
        <is>
          <t>مصروفات تشغيل المزرعة</t>
        </is>
      </c>
      <c r="G69" s="25" t="n">
        <v>325</v>
      </c>
      <c r="H69" s="23" t="inlineStr">
        <is>
          <t>نعم</t>
        </is>
      </c>
      <c r="I69" s="23" t="inlineStr"/>
    </row>
    <row r="70">
      <c r="A70" s="23" t="n">
        <v>69</v>
      </c>
      <c r="B70" s="23" t="inlineStr">
        <is>
          <t>حسين مصطفى – مستودع الرياض</t>
        </is>
      </c>
      <c r="C70" s="24" t="n">
        <v>46139</v>
      </c>
      <c r="D70" s="23" t="inlineStr">
        <is>
          <t>شراء مبيدات للزهور</t>
        </is>
      </c>
      <c r="E70" s="23" t="inlineStr">
        <is>
          <t>EXP.RN.NURSERY</t>
        </is>
      </c>
      <c r="F70" s="23" t="inlineStr">
        <is>
          <t>مصروفات تشغيل المزرعة</t>
        </is>
      </c>
      <c r="G70" s="25" t="n">
        <v>275</v>
      </c>
      <c r="H70" s="23" t="inlineStr">
        <is>
          <t>نعم</t>
        </is>
      </c>
      <c r="I70" s="23" t="inlineStr"/>
    </row>
    <row r="71">
      <c r="A71" s="23" t="n">
        <v>70</v>
      </c>
      <c r="B71" s="23" t="inlineStr">
        <is>
          <t>حسين مصطفى – مستودع الرياض</t>
        </is>
      </c>
      <c r="C71" s="24" t="n">
        <v>46141</v>
      </c>
      <c r="D71" s="23" t="inlineStr">
        <is>
          <t>سوالر س - عصمت</t>
        </is>
      </c>
      <c r="E71" s="23" t="inlineStr">
        <is>
          <t>VHC-1219</t>
        </is>
      </c>
      <c r="F71" s="23" t="inlineStr">
        <is>
          <t>وقود (ديزل/بنزين)</t>
        </is>
      </c>
      <c r="G71" s="25" t="n">
        <v>230</v>
      </c>
      <c r="H71" s="23" t="inlineStr">
        <is>
          <t>نعم</t>
        </is>
      </c>
      <c r="I71" s="23" t="inlineStr"/>
    </row>
    <row r="72">
      <c r="A72" s="23" t="n">
        <v>71</v>
      </c>
      <c r="B72" s="23" t="inlineStr">
        <is>
          <t>حسين مصطفى – مستودع الرياض</t>
        </is>
      </c>
      <c r="C72" s="24" t="n">
        <v>46143</v>
      </c>
      <c r="D72" s="23" t="inlineStr">
        <is>
          <t>سوالر س - عماد</t>
        </is>
      </c>
      <c r="E72" s="23" t="inlineStr">
        <is>
          <t>VHC-3010</t>
        </is>
      </c>
      <c r="F72" s="23" t="inlineStr">
        <is>
          <t>وقود (ديزل/بنزين)</t>
        </is>
      </c>
      <c r="G72" s="25" t="n">
        <v>300</v>
      </c>
      <c r="H72" s="23" t="inlineStr">
        <is>
          <t>نعم</t>
        </is>
      </c>
      <c r="I72" s="23" t="inlineStr"/>
    </row>
    <row r="73">
      <c r="A73" s="23" t="n">
        <v>72</v>
      </c>
      <c r="B73" s="23" t="inlineStr">
        <is>
          <t>حسين مصطفى – مستودع الرياض</t>
        </is>
      </c>
      <c r="C73" s="24" t="n">
        <v>46143</v>
      </c>
      <c r="D73" s="23" t="inlineStr">
        <is>
          <t>غسيل وتشحيم س - عماد</t>
        </is>
      </c>
      <c r="E73" s="23" t="inlineStr">
        <is>
          <t>VHC-3010</t>
        </is>
      </c>
      <c r="F73" s="23" t="inlineStr">
        <is>
          <t>وقود (ديزل/بنزين)</t>
        </is>
      </c>
      <c r="G73" s="25" t="n">
        <v>100</v>
      </c>
      <c r="H73" s="23" t="inlineStr">
        <is>
          <t>نعم</t>
        </is>
      </c>
      <c r="I73" s="23" t="inlineStr"/>
    </row>
    <row r="74">
      <c r="A74" s="23" t="n">
        <v>73</v>
      </c>
      <c r="B74" s="23" t="inlineStr">
        <is>
          <t>حسين مصطفى – مستودع الرياض</t>
        </is>
      </c>
      <c r="C74" s="24" t="n">
        <v>46144</v>
      </c>
      <c r="D74" s="23" t="inlineStr">
        <is>
          <t>سوالر س - عصمت</t>
        </is>
      </c>
      <c r="E74" s="23" t="inlineStr">
        <is>
          <t>VHC-1219</t>
        </is>
      </c>
      <c r="F74" s="23" t="inlineStr">
        <is>
          <t>وقود (ديزل/بنزين)</t>
        </is>
      </c>
      <c r="G74" s="25" t="n">
        <v>250.01</v>
      </c>
      <c r="H74" s="23" t="inlineStr">
        <is>
          <t>نعم</t>
        </is>
      </c>
      <c r="I74" s="23" t="inlineStr"/>
    </row>
    <row r="75">
      <c r="A75" s="23" t="n">
        <v>74</v>
      </c>
      <c r="B75" s="23" t="inlineStr">
        <is>
          <t>حسين مصطفى – مستودع الرياض</t>
        </is>
      </c>
      <c r="C75" s="24" t="n">
        <v>46144</v>
      </c>
      <c r="D75" s="23" t="inlineStr">
        <is>
          <t>سوالر س - عماد</t>
        </is>
      </c>
      <c r="E75" s="23" t="inlineStr">
        <is>
          <t>VHC-3010</t>
        </is>
      </c>
      <c r="F75" s="23" t="inlineStr">
        <is>
          <t>وقود (ديزل/بنزين)</t>
        </is>
      </c>
      <c r="G75" s="25" t="n">
        <v>300</v>
      </c>
      <c r="H75" s="23" t="inlineStr">
        <is>
          <t>نعم</t>
        </is>
      </c>
      <c r="I75" s="23" t="inlineStr"/>
    </row>
    <row r="76">
      <c r="A76" s="23" t="n">
        <v>75</v>
      </c>
      <c r="B76" s="23" t="inlineStr">
        <is>
          <t>حسين مصطفى – مستودع الرياض</t>
        </is>
      </c>
      <c r="C76" s="24" t="n">
        <v>46144</v>
      </c>
      <c r="D76" s="23" t="inlineStr">
        <is>
          <t>غيار زيت س عماد</t>
        </is>
      </c>
      <c r="E76" s="23" t="inlineStr">
        <is>
          <t>VHC-3010</t>
        </is>
      </c>
      <c r="F76" s="23" t="inlineStr">
        <is>
          <t>صيانة سيارات</t>
        </is>
      </c>
      <c r="G76" s="25" t="n">
        <v>300</v>
      </c>
      <c r="H76" s="23" t="inlineStr">
        <is>
          <t>نعم</t>
        </is>
      </c>
      <c r="I76" s="23" t="inlineStr"/>
    </row>
    <row r="77">
      <c r="A77" s="23" t="n">
        <v>76</v>
      </c>
      <c r="B77" s="23" t="inlineStr">
        <is>
          <t>حسين مصطفى – مستودع الرياض</t>
        </is>
      </c>
      <c r="C77" s="24" t="n">
        <v>46145</v>
      </c>
      <c r="D77" s="23" t="inlineStr">
        <is>
          <t>مياه للشرب</t>
        </is>
      </c>
      <c r="E77" s="23" t="inlineStr">
        <is>
          <t>RN-DEPARTMENT</t>
        </is>
      </c>
      <c r="F77" s="23" t="inlineStr">
        <is>
          <t>خدمات ومرافق (كهرباء/مياه/إنترنت/إنشاءات)</t>
        </is>
      </c>
      <c r="G77" s="25" t="n">
        <v>70</v>
      </c>
      <c r="H77" s="23" t="inlineStr">
        <is>
          <t>نعم</t>
        </is>
      </c>
      <c r="I77" s="23" t="inlineStr"/>
    </row>
    <row r="78">
      <c r="A78" s="23" t="n">
        <v>77</v>
      </c>
      <c r="B78" s="23" t="inlineStr">
        <is>
          <t>حسين مصطفى – مستودع الرياض</t>
        </is>
      </c>
      <c r="C78" s="24" t="n">
        <v>46145</v>
      </c>
      <c r="D78" s="23" t="inlineStr">
        <is>
          <t>سوالر س - عماد</t>
        </is>
      </c>
      <c r="E78" s="23" t="inlineStr">
        <is>
          <t>VHC-3010</t>
        </is>
      </c>
      <c r="F78" s="23" t="inlineStr">
        <is>
          <t>وقود (ديزل/بنزين)</t>
        </is>
      </c>
      <c r="G78" s="25" t="n">
        <v>300</v>
      </c>
      <c r="H78" s="23" t="inlineStr">
        <is>
          <t>نعم</t>
        </is>
      </c>
      <c r="I78" s="23" t="inlineStr"/>
    </row>
    <row r="79">
      <c r="A79" s="23" t="n">
        <v>78</v>
      </c>
      <c r="B79" s="23" t="inlineStr">
        <is>
          <t>حسين مصطفى – مستودع الرياض</t>
        </is>
      </c>
      <c r="C79" s="24" t="n">
        <v>46146</v>
      </c>
      <c r="D79" s="23" t="inlineStr">
        <is>
          <t>شراء مقصات شجر</t>
        </is>
      </c>
      <c r="E79" s="23" t="inlineStr">
        <is>
          <t>EXP.RN.NURSERY</t>
        </is>
      </c>
      <c r="F79" s="23" t="inlineStr">
        <is>
          <t>مصروفات تشغيل المزرعة</t>
        </is>
      </c>
      <c r="G79" s="25" t="n">
        <v>118.45</v>
      </c>
      <c r="H79" s="23" t="inlineStr">
        <is>
          <t>نعم</t>
        </is>
      </c>
      <c r="I79" s="23" t="inlineStr"/>
    </row>
    <row r="80">
      <c r="A80" s="23" t="n">
        <v>79</v>
      </c>
      <c r="B80" s="23" t="inlineStr">
        <is>
          <t>حسين مصطفى – مستودع الرياض</t>
        </is>
      </c>
      <c r="C80" s="24" t="n">
        <v>46146</v>
      </c>
      <c r="D80" s="23" t="inlineStr">
        <is>
          <t>سوالر س - عماد</t>
        </is>
      </c>
      <c r="E80" s="23" t="inlineStr">
        <is>
          <t>VHC-3010</t>
        </is>
      </c>
      <c r="F80" s="23" t="inlineStr">
        <is>
          <t>وقود (ديزل/بنزين)</t>
        </is>
      </c>
      <c r="G80" s="25" t="n">
        <v>250.01</v>
      </c>
      <c r="H80" s="23" t="inlineStr">
        <is>
          <t>نعم</t>
        </is>
      </c>
      <c r="I80" s="23" t="inlineStr"/>
    </row>
    <row r="81">
      <c r="A81" s="23" t="n">
        <v>80</v>
      </c>
      <c r="B81" s="23" t="inlineStr">
        <is>
          <t>حسين مصطفى – مستودع الرياض</t>
        </is>
      </c>
      <c r="C81" s="24" t="n">
        <v>46147</v>
      </c>
      <c r="D81" s="23" t="inlineStr">
        <is>
          <t>سوالر س - عصمت</t>
        </is>
      </c>
      <c r="E81" s="23" t="inlineStr">
        <is>
          <t>VHC-1219</t>
        </is>
      </c>
      <c r="F81" s="23" t="inlineStr">
        <is>
          <t>وقود (ديزل/بنزين)</t>
        </is>
      </c>
      <c r="G81" s="25" t="n">
        <v>250</v>
      </c>
      <c r="H81" s="23" t="inlineStr">
        <is>
          <t>نعم</t>
        </is>
      </c>
      <c r="I81" s="23" t="inlineStr"/>
    </row>
    <row r="82">
      <c r="A82" s="23" t="n">
        <v>81</v>
      </c>
      <c r="B82" s="23" t="inlineStr">
        <is>
          <t>حسين مصطفى – مستودع الرياض</t>
        </is>
      </c>
      <c r="C82" s="24" t="n">
        <v>46147</v>
      </c>
      <c r="D82" s="23" t="inlineStr">
        <is>
          <t>شراء خيط الشجار وزراديه</t>
        </is>
      </c>
      <c r="E82" s="23" t="inlineStr">
        <is>
          <t>EXP.RN.NURSERY</t>
        </is>
      </c>
      <c r="F82" s="23" t="inlineStr">
        <is>
          <t>مصروفات تشغيل المزرعة</t>
        </is>
      </c>
      <c r="G82" s="25" t="n">
        <v>85</v>
      </c>
      <c r="H82" s="23" t="inlineStr">
        <is>
          <t>نعم</t>
        </is>
      </c>
      <c r="I82" s="23" t="inlineStr"/>
    </row>
    <row r="83">
      <c r="A83" s="23" t="n">
        <v>82</v>
      </c>
      <c r="B83" s="23" t="inlineStr">
        <is>
          <t>حسين مصطفى – مستودع الرياض</t>
        </is>
      </c>
      <c r="C83" s="24" t="n">
        <v>46148</v>
      </c>
      <c r="D83" s="23" t="inlineStr">
        <is>
          <t>سوالر س عماد</t>
        </is>
      </c>
      <c r="E83" s="23" t="inlineStr">
        <is>
          <t>VHC-3010</t>
        </is>
      </c>
      <c r="F83" s="23" t="inlineStr">
        <is>
          <t>وقود (ديزل/بنزين)</t>
        </is>
      </c>
      <c r="G83" s="25" t="n">
        <v>200</v>
      </c>
      <c r="H83" s="23" t="inlineStr">
        <is>
          <t>نعم</t>
        </is>
      </c>
      <c r="I83" s="23" t="inlineStr"/>
    </row>
    <row r="84">
      <c r="A84" s="23" t="n">
        <v>83</v>
      </c>
      <c r="B84" s="23" t="inlineStr">
        <is>
          <t>حسين مصطفى – مستودع الرياض</t>
        </is>
      </c>
      <c r="C84" s="24" t="n">
        <v>46148</v>
      </c>
      <c r="D84" s="23" t="inlineStr">
        <is>
          <t>غسيل س - عصمت</t>
        </is>
      </c>
      <c r="E84" s="23" t="inlineStr">
        <is>
          <t>VHC-1219</t>
        </is>
      </c>
      <c r="F84" s="23" t="inlineStr">
        <is>
          <t>صيانة سيارات</t>
        </is>
      </c>
      <c r="G84" s="25" t="n">
        <v>60</v>
      </c>
      <c r="H84" s="23" t="inlineStr">
        <is>
          <t>نعم</t>
        </is>
      </c>
      <c r="I84" s="23" t="inlineStr"/>
    </row>
    <row r="85">
      <c r="A85" s="23" t="n">
        <v>84</v>
      </c>
      <c r="B85" s="23" t="inlineStr">
        <is>
          <t>حسين مصطفى – مستودع الرياض</t>
        </is>
      </c>
      <c r="C85" s="24" t="n">
        <v>46148</v>
      </c>
      <c r="D85" s="23" t="inlineStr">
        <is>
          <t>غيار زيت س عصمت</t>
        </is>
      </c>
      <c r="E85" s="23" t="inlineStr">
        <is>
          <t>VHC-1219</t>
        </is>
      </c>
      <c r="F85" s="23" t="inlineStr">
        <is>
          <t>صيانة سيارات</t>
        </is>
      </c>
      <c r="G85" s="25" t="n">
        <v>245.01</v>
      </c>
      <c r="H85" s="23" t="inlineStr">
        <is>
          <t>نعم</t>
        </is>
      </c>
      <c r="I85" s="23" t="inlineStr"/>
    </row>
    <row r="86">
      <c r="A86" s="23" t="n">
        <v>85</v>
      </c>
      <c r="B86" s="23" t="inlineStr">
        <is>
          <t>حسين مصطفى – مستودع الرياض</t>
        </is>
      </c>
      <c r="C86" s="24" t="n">
        <v>46150</v>
      </c>
      <c r="D86" s="23" t="inlineStr">
        <is>
          <t>سوالر س عماد</t>
        </is>
      </c>
      <c r="E86" s="23" t="inlineStr">
        <is>
          <t>VHC-3010</t>
        </is>
      </c>
      <c r="F86" s="23" t="inlineStr">
        <is>
          <t>وقود (ديزل/بنزين)</t>
        </is>
      </c>
      <c r="G86" s="25" t="n">
        <v>220.01</v>
      </c>
      <c r="H86" s="23" t="inlineStr">
        <is>
          <t>نعم</t>
        </is>
      </c>
      <c r="I86" s="23" t="inlineStr"/>
    </row>
    <row r="87">
      <c r="A87" s="23" t="n">
        <v>86</v>
      </c>
      <c r="B87" s="23" t="inlineStr">
        <is>
          <t>حسين مصطفى – مستودع الرياض</t>
        </is>
      </c>
      <c r="C87" s="24" t="n">
        <v>46151</v>
      </c>
      <c r="D87" s="23" t="inlineStr">
        <is>
          <t>سوالر س عماد</t>
        </is>
      </c>
      <c r="E87" s="23" t="inlineStr">
        <is>
          <t>VHC-3010</t>
        </is>
      </c>
      <c r="F87" s="23" t="inlineStr">
        <is>
          <t>وقود (ديزل/بنزين)</t>
        </is>
      </c>
      <c r="G87" s="25" t="n">
        <v>300</v>
      </c>
      <c r="H87" s="23" t="inlineStr">
        <is>
          <t>نعم</t>
        </is>
      </c>
      <c r="I87" s="23" t="inlineStr"/>
    </row>
    <row r="88">
      <c r="A88" s="23" t="n">
        <v>87</v>
      </c>
      <c r="B88" s="23" t="inlineStr">
        <is>
          <t>حسين مصطفى – مستودع الرياض</t>
        </is>
      </c>
      <c r="C88" s="24" t="n">
        <v>46151</v>
      </c>
      <c r="D88" s="23" t="inlineStr">
        <is>
          <t>سوالر س - عصمت</t>
        </is>
      </c>
      <c r="E88" s="23" t="inlineStr">
        <is>
          <t>VHC-1219</t>
        </is>
      </c>
      <c r="F88" s="23" t="inlineStr">
        <is>
          <t>وقود (ديزل/بنزين)</t>
        </is>
      </c>
      <c r="G88" s="25" t="n">
        <v>276</v>
      </c>
      <c r="H88" s="23" t="inlineStr">
        <is>
          <t>نعم</t>
        </is>
      </c>
      <c r="I88" s="23" t="inlineStr"/>
    </row>
    <row r="89">
      <c r="A89" s="23" t="n">
        <v>88</v>
      </c>
      <c r="B89" s="23" t="inlineStr">
        <is>
          <t>حسين مصطفى – مستودع الرياض</t>
        </is>
      </c>
      <c r="C89" s="24" t="n">
        <v>46152</v>
      </c>
      <c r="D89" s="23" t="inlineStr">
        <is>
          <t>سوالر س عماد</t>
        </is>
      </c>
      <c r="E89" s="23" t="inlineStr">
        <is>
          <t>VHC-3010</t>
        </is>
      </c>
      <c r="F89" s="23" t="inlineStr">
        <is>
          <t>وقود (ديزل/بنزين)</t>
        </is>
      </c>
      <c r="G89" s="25" t="n">
        <v>200</v>
      </c>
      <c r="H89" s="23" t="inlineStr">
        <is>
          <t>نعم</t>
        </is>
      </c>
      <c r="I89" s="23" t="inlineStr"/>
    </row>
    <row r="90">
      <c r="A90" s="23" t="n">
        <v>89</v>
      </c>
      <c r="B90" s="23" t="inlineStr">
        <is>
          <t>حسين مصطفى – مستودع الرياض</t>
        </is>
      </c>
      <c r="C90" s="24" t="n">
        <v>46154</v>
      </c>
      <c r="D90" s="23" t="inlineStr">
        <is>
          <t>شراء حبر للطابعة</t>
        </is>
      </c>
      <c r="E90" s="23" t="inlineStr">
        <is>
          <t>RN-DEPARTMENT</t>
        </is>
      </c>
      <c r="F90" s="23" t="inlineStr">
        <is>
          <t>مصروفات تشغيل المزرعة</t>
        </is>
      </c>
      <c r="G90" s="25" t="n">
        <v>420</v>
      </c>
      <c r="H90" s="23" t="inlineStr">
        <is>
          <t>نعم</t>
        </is>
      </c>
      <c r="I90" s="23" t="inlineStr"/>
    </row>
    <row r="91">
      <c r="A91" s="23" t="n">
        <v>90</v>
      </c>
      <c r="B91" s="23" t="inlineStr">
        <is>
          <t>حسين مصطفى – مستودع الرياض</t>
        </is>
      </c>
      <c r="C91" s="24" t="n">
        <v>46155</v>
      </c>
      <c r="D91" s="23" t="inlineStr">
        <is>
          <t>سوالر س - عصمت</t>
        </is>
      </c>
      <c r="E91" s="23" t="inlineStr">
        <is>
          <t>VHC-1219</t>
        </is>
      </c>
      <c r="F91" s="23" t="inlineStr">
        <is>
          <t>وقود (ديزل/بنزين)</t>
        </is>
      </c>
      <c r="G91" s="25" t="n">
        <v>270</v>
      </c>
      <c r="H91" s="23" t="inlineStr">
        <is>
          <t>نعم</t>
        </is>
      </c>
      <c r="I91" s="23" t="inlineStr"/>
    </row>
    <row r="92">
      <c r="A92" s="23" t="n">
        <v>91</v>
      </c>
      <c r="B92" s="23" t="inlineStr">
        <is>
          <t>حسين مصطفى – مستودع الرياض</t>
        </is>
      </c>
      <c r="C92" s="24" t="n">
        <v>46155</v>
      </c>
      <c r="D92" s="23" t="inlineStr">
        <is>
          <t>شراء 2 لمبة جنب س - عصمت</t>
        </is>
      </c>
      <c r="E92" s="23" t="inlineStr">
        <is>
          <t>VHC-1219</t>
        </is>
      </c>
      <c r="F92" s="23" t="inlineStr">
        <is>
          <t>صيانة سيارات</t>
        </is>
      </c>
      <c r="G92" s="25" t="n">
        <v>20.01</v>
      </c>
      <c r="H92" s="23" t="inlineStr">
        <is>
          <t>نعم</t>
        </is>
      </c>
      <c r="I92" s="23" t="inlineStr"/>
    </row>
    <row r="93">
      <c r="A93" s="23" t="n">
        <v>92</v>
      </c>
      <c r="B93" s="23" t="inlineStr">
        <is>
          <t>حسين مصطفى – مستودع الرياض</t>
        </is>
      </c>
      <c r="C93" s="24" t="n">
        <v>46157</v>
      </c>
      <c r="D93" s="23" t="inlineStr">
        <is>
          <t>شراء لمبات ومفاتيح للغرف</t>
        </is>
      </c>
      <c r="E93" s="23" t="inlineStr">
        <is>
          <t>RN-DEPARTMENT</t>
        </is>
      </c>
      <c r="F93" s="23" t="inlineStr">
        <is>
          <t>خدمات ومرافق (كهرباء/مياه/إنترنت/إنشاءات)</t>
        </is>
      </c>
      <c r="G93" s="25" t="n">
        <v>103.5</v>
      </c>
      <c r="H93" s="23" t="inlineStr">
        <is>
          <t>نعم</t>
        </is>
      </c>
      <c r="I93" s="23" t="inlineStr"/>
    </row>
    <row r="94">
      <c r="A94" s="23" t="n">
        <v>93</v>
      </c>
      <c r="B94" s="23" t="inlineStr">
        <is>
          <t>حسين مصطفى – مستودع الرياض</t>
        </is>
      </c>
      <c r="C94" s="24" t="n">
        <v>46157</v>
      </c>
      <c r="D94" s="23" t="inlineStr">
        <is>
          <t>سوالر س عماد</t>
        </is>
      </c>
      <c r="E94" s="23" t="inlineStr">
        <is>
          <t>VHC-3010</t>
        </is>
      </c>
      <c r="F94" s="23" t="inlineStr">
        <is>
          <t>وقود (ديزل/بنزين)</t>
        </is>
      </c>
      <c r="G94" s="25" t="n">
        <v>300</v>
      </c>
      <c r="H94" s="23" t="inlineStr">
        <is>
          <t>نعم</t>
        </is>
      </c>
      <c r="I94" s="23" t="inlineStr"/>
    </row>
    <row r="95">
      <c r="A95" s="23" t="n">
        <v>94</v>
      </c>
      <c r="B95" s="23" t="inlineStr">
        <is>
          <t>حسين مصطفى – مستودع الرياض</t>
        </is>
      </c>
      <c r="C95" s="24" t="n">
        <v>46159</v>
      </c>
      <c r="D95" s="23" t="inlineStr">
        <is>
          <t>مياه للشرب</t>
        </is>
      </c>
      <c r="E95" s="23" t="inlineStr">
        <is>
          <t>RN-DEPARTMENT</t>
        </is>
      </c>
      <c r="F95" s="23" t="inlineStr">
        <is>
          <t>خدمات ومرافق (كهرباء/مياه/إنترنت/إنشاءات)</t>
        </is>
      </c>
      <c r="G95" s="25" t="n">
        <v>70</v>
      </c>
      <c r="H95" s="23" t="inlineStr">
        <is>
          <t>نعم</t>
        </is>
      </c>
      <c r="I95" s="23" t="inlineStr"/>
    </row>
    <row r="96">
      <c r="A96" s="23" t="n">
        <v>95</v>
      </c>
      <c r="B96" s="23" t="inlineStr">
        <is>
          <t>حسين مصطفى – مستودع الرياض</t>
        </is>
      </c>
      <c r="C96" s="24" t="n">
        <v>46159</v>
      </c>
      <c r="D96" s="23" t="inlineStr">
        <is>
          <t>سوالر س عماد</t>
        </is>
      </c>
      <c r="E96" s="23" t="inlineStr">
        <is>
          <t>VHC-3010</t>
        </is>
      </c>
      <c r="F96" s="23" t="inlineStr">
        <is>
          <t>وقود (ديزل/بنزين)</t>
        </is>
      </c>
      <c r="G96" s="25" t="n">
        <v>280.01</v>
      </c>
      <c r="H96" s="23" t="inlineStr">
        <is>
          <t>نعم</t>
        </is>
      </c>
      <c r="I96" s="23" t="inlineStr"/>
    </row>
    <row r="97">
      <c r="A97" s="23" t="n">
        <v>96</v>
      </c>
      <c r="B97" s="23" t="inlineStr">
        <is>
          <t>حسين مصطفى – مستودع الرياض</t>
        </is>
      </c>
      <c r="C97" s="24" t="n">
        <v>46160</v>
      </c>
      <c r="D97" s="23" t="inlineStr">
        <is>
          <t>سوالر س عماد - تبوك</t>
        </is>
      </c>
      <c r="E97" s="23" t="inlineStr">
        <is>
          <t>VHC-3010</t>
        </is>
      </c>
      <c r="F97" s="23" t="inlineStr">
        <is>
          <t>وقود (ديزل/بنزين)</t>
        </is>
      </c>
      <c r="G97" s="25" t="n">
        <v>300</v>
      </c>
      <c r="H97" s="23" t="inlineStr">
        <is>
          <t>نعم</t>
        </is>
      </c>
      <c r="I97" s="23" t="inlineStr"/>
    </row>
    <row r="98">
      <c r="A98" s="23" t="n">
        <v>97</v>
      </c>
      <c r="B98" s="23" t="inlineStr">
        <is>
          <t>حسين مصطفى – مستودع الرياض</t>
        </is>
      </c>
      <c r="C98" s="24" t="n">
        <v>46160</v>
      </c>
      <c r="D98" s="23" t="inlineStr">
        <is>
          <t>سوالر س عماد - تبوك</t>
        </is>
      </c>
      <c r="E98" s="23" t="inlineStr">
        <is>
          <t>VHC-3010</t>
        </is>
      </c>
      <c r="F98" s="23" t="inlineStr">
        <is>
          <t>وقود (ديزل/بنزين)</t>
        </is>
      </c>
      <c r="G98" s="25" t="n">
        <v>300</v>
      </c>
      <c r="H98" s="23" t="inlineStr">
        <is>
          <t>نعم</t>
        </is>
      </c>
      <c r="I98" s="23" t="inlineStr"/>
    </row>
    <row r="99">
      <c r="A99" s="23" t="n">
        <v>98</v>
      </c>
      <c r="B99" s="23" t="inlineStr">
        <is>
          <t>حسين مصطفى – مستودع الرياض</t>
        </is>
      </c>
      <c r="C99" s="24" t="n">
        <v>46160</v>
      </c>
      <c r="D99" s="23" t="inlineStr">
        <is>
          <t>سوالر س - عصمت ( تبوك )</t>
        </is>
      </c>
      <c r="E99" s="23" t="inlineStr">
        <is>
          <t>VHC-1219</t>
        </is>
      </c>
      <c r="F99" s="23" t="inlineStr">
        <is>
          <t>وقود (ديزل/بنزين)</t>
        </is>
      </c>
      <c r="G99" s="25" t="n">
        <v>135</v>
      </c>
      <c r="H99" s="23" t="inlineStr">
        <is>
          <t>نعم</t>
        </is>
      </c>
      <c r="I99" s="23" t="inlineStr"/>
    </row>
    <row r="100">
      <c r="A100" s="23" t="n">
        <v>99</v>
      </c>
      <c r="B100" s="23" t="inlineStr">
        <is>
          <t>حسين مصطفى – مستودع الرياض</t>
        </is>
      </c>
      <c r="C100" s="24" t="n">
        <v>46160</v>
      </c>
      <c r="D100" s="23" t="inlineStr">
        <is>
          <t>سوالر س - عصمت ( تبوك )</t>
        </is>
      </c>
      <c r="E100" s="23" t="inlineStr">
        <is>
          <t>VHC-1219</t>
        </is>
      </c>
      <c r="F100" s="23" t="inlineStr">
        <is>
          <t>وقود (ديزل/بنزين)</t>
        </is>
      </c>
      <c r="G100" s="25" t="n">
        <v>120.11</v>
      </c>
      <c r="H100" s="23" t="inlineStr">
        <is>
          <t>نعم</t>
        </is>
      </c>
      <c r="I100" s="23" t="inlineStr"/>
    </row>
    <row r="101">
      <c r="A101" s="23" t="n">
        <v>100</v>
      </c>
      <c r="B101" s="23" t="inlineStr">
        <is>
          <t>حسين مصطفى – مستودع الرياض</t>
        </is>
      </c>
      <c r="C101" s="24" t="n">
        <v>46160</v>
      </c>
      <c r="D101" s="23" t="inlineStr">
        <is>
          <t>سوالر س - عصمت ( تبوك )</t>
        </is>
      </c>
      <c r="E101" s="23" t="inlineStr">
        <is>
          <t>VHC-1219</t>
        </is>
      </c>
      <c r="F101" s="23" t="inlineStr">
        <is>
          <t>وقود (ديزل/بنزين)</t>
        </is>
      </c>
      <c r="G101" s="25" t="n">
        <v>110.01</v>
      </c>
      <c r="H101" s="23" t="inlineStr">
        <is>
          <t>نعم</t>
        </is>
      </c>
      <c r="I101" s="23" t="inlineStr"/>
    </row>
    <row r="102">
      <c r="A102" s="23" t="n">
        <v>101</v>
      </c>
      <c r="B102" s="23" t="inlineStr">
        <is>
          <t>حسين مصطفى – مستودع الرياض</t>
        </is>
      </c>
      <c r="C102" s="24" t="n">
        <v>46160</v>
      </c>
      <c r="D102" s="23" t="inlineStr">
        <is>
          <t>سوالر س - عصمت ( تبوك )</t>
        </is>
      </c>
      <c r="E102" s="23" t="inlineStr">
        <is>
          <t>VHC-1219</t>
        </is>
      </c>
      <c r="F102" s="23" t="inlineStr">
        <is>
          <t>وقود (ديزل/بنزين)</t>
        </is>
      </c>
      <c r="G102" s="25" t="n">
        <v>270</v>
      </c>
      <c r="H102" s="23" t="inlineStr">
        <is>
          <t>نعم</t>
        </is>
      </c>
      <c r="I102" s="23" t="inlineStr"/>
    </row>
    <row r="103">
      <c r="A103" s="23" t="n">
        <v>102</v>
      </c>
      <c r="B103" s="23" t="inlineStr">
        <is>
          <t>حسين مصطفى – مستودع الرياض</t>
        </is>
      </c>
      <c r="C103" s="24" t="n">
        <v>46161</v>
      </c>
      <c r="D103" s="23" t="inlineStr">
        <is>
          <t>سوالر س عماد - تبوك</t>
        </is>
      </c>
      <c r="E103" s="23" t="inlineStr">
        <is>
          <t>VHC-3010</t>
        </is>
      </c>
      <c r="F103" s="23" t="inlineStr">
        <is>
          <t>وقود (ديزل/بنزين)</t>
        </is>
      </c>
      <c r="G103" s="25" t="n">
        <v>320.01</v>
      </c>
      <c r="H103" s="23" t="inlineStr">
        <is>
          <t>نعم</t>
        </is>
      </c>
      <c r="I103" s="23" t="inlineStr"/>
    </row>
    <row r="104">
      <c r="A104" s="23" t="n">
        <v>103</v>
      </c>
      <c r="B104" s="23" t="inlineStr">
        <is>
          <t>حسين مصطفى – مستودع الرياض</t>
        </is>
      </c>
      <c r="C104" s="24" t="n">
        <v>46161</v>
      </c>
      <c r="D104" s="23" t="inlineStr">
        <is>
          <t>سوالر س - عصمت ( تبوك )</t>
        </is>
      </c>
      <c r="E104" s="23" t="inlineStr">
        <is>
          <t>VHC-1219</t>
        </is>
      </c>
      <c r="F104" s="23" t="inlineStr">
        <is>
          <t>وقود (ديزل/بنزين)</t>
        </is>
      </c>
      <c r="G104" s="25" t="n">
        <v>114.01</v>
      </c>
      <c r="H104" s="23" t="inlineStr">
        <is>
          <t>نعم</t>
        </is>
      </c>
      <c r="I104" s="23" t="inlineStr"/>
    </row>
    <row r="105">
      <c r="A105" s="23" t="n">
        <v>104</v>
      </c>
      <c r="B105" s="23" t="inlineStr">
        <is>
          <t>حسين مصطفى – مستودع الرياض</t>
        </is>
      </c>
      <c r="C105" s="24" t="n">
        <v>46161</v>
      </c>
      <c r="D105" s="23" t="inlineStr">
        <is>
          <t>سوالر س - عصمت ( تبوك )</t>
        </is>
      </c>
      <c r="E105" s="23" t="inlineStr">
        <is>
          <t>VHC-1219</t>
        </is>
      </c>
      <c r="F105" s="23" t="inlineStr">
        <is>
          <t>وقود (ديزل/بنزين)</t>
        </is>
      </c>
      <c r="G105" s="25" t="n">
        <v>150.01</v>
      </c>
      <c r="H105" s="23" t="inlineStr">
        <is>
          <t>نعم</t>
        </is>
      </c>
      <c r="I105" s="23" t="inlineStr"/>
    </row>
    <row r="106">
      <c r="A106" s="23" t="n">
        <v>105</v>
      </c>
      <c r="B106" s="23" t="inlineStr">
        <is>
          <t>حسين مصطفى – مستودع الرياض</t>
        </is>
      </c>
      <c r="C106" s="24" t="n">
        <v>46162</v>
      </c>
      <c r="D106" s="23" t="inlineStr">
        <is>
          <t>سوالر س عماد - تبوك</t>
        </is>
      </c>
      <c r="E106" s="23" t="inlineStr">
        <is>
          <t>VHC-3010</t>
        </is>
      </c>
      <c r="F106" s="23" t="inlineStr">
        <is>
          <t>وقود (ديزل/بنزين)</t>
        </is>
      </c>
      <c r="G106" s="25" t="n">
        <v>229.39</v>
      </c>
      <c r="H106" s="23" t="inlineStr">
        <is>
          <t>نعم</t>
        </is>
      </c>
      <c r="I106" s="23" t="inlineStr"/>
    </row>
    <row r="107">
      <c r="A107" s="23" t="n">
        <v>106</v>
      </c>
      <c r="B107" s="23" t="inlineStr">
        <is>
          <t>حسين مصطفى – مستودع الرياض</t>
        </is>
      </c>
      <c r="C107" s="24" t="n">
        <v>46162</v>
      </c>
      <c r="D107" s="23" t="inlineStr">
        <is>
          <t>سوالر س - عصمت ( تبوك )</t>
        </is>
      </c>
      <c r="E107" s="23" t="inlineStr">
        <is>
          <t>VHC-1219</t>
        </is>
      </c>
      <c r="F107" s="23" t="inlineStr">
        <is>
          <t>وقود (ديزل/بنزين)</t>
        </is>
      </c>
      <c r="G107" s="25" t="n">
        <v>120</v>
      </c>
      <c r="H107" s="23" t="inlineStr">
        <is>
          <t>نعم</t>
        </is>
      </c>
      <c r="I107" s="23" t="inlineStr"/>
    </row>
    <row r="108">
      <c r="A108" s="23" t="n">
        <v>107</v>
      </c>
      <c r="B108" s="23" t="inlineStr">
        <is>
          <t>حسين مصطفى – مستودع الرياض</t>
        </is>
      </c>
      <c r="C108" s="24" t="n">
        <v>46162</v>
      </c>
      <c r="D108" s="23" t="inlineStr">
        <is>
          <t>سوالر س - عصمت ( تبوك )</t>
        </is>
      </c>
      <c r="E108" s="23" t="inlineStr">
        <is>
          <t>VHC-1219</t>
        </is>
      </c>
      <c r="F108" s="23" t="inlineStr">
        <is>
          <t>وقود (ديزل/بنزين)</t>
        </is>
      </c>
      <c r="G108" s="25" t="n">
        <v>187</v>
      </c>
      <c r="H108" s="23" t="inlineStr">
        <is>
          <t>نعم</t>
        </is>
      </c>
      <c r="I108" s="23" t="inlineStr"/>
    </row>
    <row r="109">
      <c r="A109" s="23" t="n">
        <v>108</v>
      </c>
      <c r="B109" s="23" t="inlineStr">
        <is>
          <t>حسين مصطفى – مستودع الرياض</t>
        </is>
      </c>
      <c r="C109" s="24" t="n">
        <v>46163</v>
      </c>
      <c r="D109" s="23" t="inlineStr">
        <is>
          <t>صيانة السيارة الوانيت</t>
        </is>
      </c>
      <c r="E109" s="23" t="inlineStr">
        <is>
          <t>VHC-5564</t>
        </is>
      </c>
      <c r="F109" s="23" t="inlineStr">
        <is>
          <t>صيانة سيارات</t>
        </is>
      </c>
      <c r="G109" s="25" t="n">
        <v>295</v>
      </c>
      <c r="H109" s="23" t="inlineStr">
        <is>
          <t>نعم</t>
        </is>
      </c>
      <c r="I109" s="23" t="inlineStr"/>
    </row>
    <row r="110">
      <c r="A110" s="23" t="n">
        <v>109</v>
      </c>
      <c r="B110" s="23" t="inlineStr">
        <is>
          <t>حسين مصطفى – مستودع الرياض</t>
        </is>
      </c>
      <c r="C110" s="24" t="n">
        <v>46163</v>
      </c>
      <c r="D110" s="23" t="inlineStr">
        <is>
          <t>غيار زيت وفالتر س عصمت</t>
        </is>
      </c>
      <c r="E110" s="23" t="inlineStr">
        <is>
          <t>VHC-1219</t>
        </is>
      </c>
      <c r="F110" s="23" t="inlineStr">
        <is>
          <t>صيانة سيارات</t>
        </is>
      </c>
      <c r="G110" s="25" t="n">
        <v>445</v>
      </c>
      <c r="H110" s="23" t="inlineStr">
        <is>
          <t>نعم</t>
        </is>
      </c>
      <c r="I110" s="23" t="inlineStr"/>
    </row>
    <row r="111">
      <c r="A111" s="23" t="n">
        <v>110</v>
      </c>
      <c r="B111" s="23" t="inlineStr">
        <is>
          <t>حسين مصطفى – مستودع الرياض</t>
        </is>
      </c>
      <c r="C111" s="24" t="n">
        <v>46163</v>
      </c>
      <c r="D111" s="23" t="inlineStr">
        <is>
          <t>سوالر س عماد</t>
        </is>
      </c>
      <c r="E111" s="23" t="inlineStr">
        <is>
          <t>VHC-3010</t>
        </is>
      </c>
      <c r="F111" s="23" t="inlineStr">
        <is>
          <t>وقود (ديزل/بنزين)</t>
        </is>
      </c>
      <c r="G111" s="25" t="n">
        <v>300</v>
      </c>
      <c r="H111" s="23" t="inlineStr">
        <is>
          <t>نعم</t>
        </is>
      </c>
      <c r="I111" s="23" t="inlineStr"/>
    </row>
    <row r="112">
      <c r="A112" s="23" t="n">
        <v>111</v>
      </c>
      <c r="B112" s="23" t="inlineStr">
        <is>
          <t>حسين مصطفى – مستودع الرياض</t>
        </is>
      </c>
      <c r="C112" s="24" t="n">
        <v>46164</v>
      </c>
      <c r="D112" s="23" t="inlineStr">
        <is>
          <t>غيار زيت وفالتر س عماد</t>
        </is>
      </c>
      <c r="E112" s="23" t="inlineStr">
        <is>
          <t>VHC-3010</t>
        </is>
      </c>
      <c r="F112" s="23" t="inlineStr">
        <is>
          <t>صيانة سيارات</t>
        </is>
      </c>
      <c r="G112" s="25" t="n">
        <v>345</v>
      </c>
      <c r="H112" s="23" t="inlineStr">
        <is>
          <t>نعم</t>
        </is>
      </c>
      <c r="I112" s="23" t="inlineStr"/>
    </row>
    <row r="113">
      <c r="A113" s="23" t="n">
        <v>112</v>
      </c>
      <c r="B113" s="23" t="inlineStr">
        <is>
          <t>حسين مصطفى – مستودع الرياض</t>
        </is>
      </c>
      <c r="C113" s="24" t="n">
        <v>46164</v>
      </c>
      <c r="D113" s="23" t="inlineStr">
        <is>
          <t>غسيل س - عماد</t>
        </is>
      </c>
      <c r="E113" s="23" t="inlineStr">
        <is>
          <t>VHC-3010</t>
        </is>
      </c>
      <c r="F113" s="23" t="inlineStr">
        <is>
          <t>صيانة سيارات</t>
        </is>
      </c>
      <c r="G113" s="25" t="n">
        <v>100</v>
      </c>
      <c r="H113" s="23" t="inlineStr">
        <is>
          <t>نعم</t>
        </is>
      </c>
      <c r="I113" s="23" t="inlineStr"/>
    </row>
    <row r="114">
      <c r="A114" s="23" t="n">
        <v>113</v>
      </c>
      <c r="B114" s="23" t="inlineStr">
        <is>
          <t>حسين مصطفى – مستودع الرياض</t>
        </is>
      </c>
      <c r="C114" s="24" t="n">
        <v>46164</v>
      </c>
      <c r="D114" s="23" t="inlineStr">
        <is>
          <t>سوالر س عماد</t>
        </is>
      </c>
      <c r="E114" s="23" t="inlineStr">
        <is>
          <t>VHC-3010</t>
        </is>
      </c>
      <c r="F114" s="23" t="inlineStr">
        <is>
          <t>وقود (ديزل/بنزين)</t>
        </is>
      </c>
      <c r="G114" s="25" t="n">
        <v>303.62</v>
      </c>
      <c r="H114" s="23" t="inlineStr">
        <is>
          <t>نعم</t>
        </is>
      </c>
      <c r="I114" s="23" t="inlineStr"/>
    </row>
    <row r="115">
      <c r="A115" s="23" t="n">
        <v>114</v>
      </c>
      <c r="B115" s="23" t="inlineStr">
        <is>
          <t>حسين مصطفى – مستودع الرياض</t>
        </is>
      </c>
      <c r="C115" s="24" t="n">
        <v>46165</v>
      </c>
      <c r="D115" s="23" t="inlineStr">
        <is>
          <t>شراء سيور س عصمت-</t>
        </is>
      </c>
      <c r="E115" s="23" t="inlineStr">
        <is>
          <t>VHC-1219</t>
        </is>
      </c>
      <c r="F115" s="23" t="inlineStr">
        <is>
          <t>صيانة سيارات</t>
        </is>
      </c>
      <c r="G115" s="25" t="n">
        <v>115.53</v>
      </c>
      <c r="H115" s="23" t="inlineStr">
        <is>
          <t>نعم</t>
        </is>
      </c>
      <c r="I115" s="23" t="inlineStr"/>
    </row>
    <row r="116">
      <c r="A116" s="23" t="n">
        <v>115</v>
      </c>
      <c r="B116" s="23" t="inlineStr">
        <is>
          <t>حسين مصطفى – مستودع الرياض</t>
        </is>
      </c>
      <c r="C116" s="24" t="n">
        <v>46165</v>
      </c>
      <c r="D116" s="23" t="inlineStr">
        <is>
          <t>تركيب السيور + زيت فرامل س - عصمت</t>
        </is>
      </c>
      <c r="E116" s="23" t="inlineStr">
        <is>
          <t>VHC-1219</t>
        </is>
      </c>
      <c r="F116" s="23" t="inlineStr">
        <is>
          <t>صيانة سيارات</t>
        </is>
      </c>
      <c r="G116" s="25" t="n">
        <v>80.01000000000001</v>
      </c>
      <c r="H116" s="23" t="inlineStr">
        <is>
          <t>نعم</t>
        </is>
      </c>
      <c r="I116" s="23" t="inlineStr"/>
    </row>
    <row r="117">
      <c r="A117" s="23" t="n">
        <v>116</v>
      </c>
      <c r="B117" s="23" t="inlineStr">
        <is>
          <t>حسين مصطفى – مستودع الرياض</t>
        </is>
      </c>
      <c r="C117" s="24" t="n">
        <v>46166</v>
      </c>
      <c r="D117" s="23" t="inlineStr">
        <is>
          <t>سوالر س - عصمت</t>
        </is>
      </c>
      <c r="E117" s="23" t="inlineStr">
        <is>
          <t>VHC-1219</t>
        </is>
      </c>
      <c r="F117" s="23" t="inlineStr">
        <is>
          <t>وقود (ديزل/بنزين)</t>
        </is>
      </c>
      <c r="G117" s="25" t="n">
        <v>275.01</v>
      </c>
      <c r="H117" s="23" t="inlineStr">
        <is>
          <t>نعم</t>
        </is>
      </c>
      <c r="I117" s="23" t="inlineStr"/>
    </row>
    <row r="118">
      <c r="A118" s="23" t="n">
        <v>117</v>
      </c>
      <c r="B118" s="23" t="inlineStr">
        <is>
          <t>حسين مصطفى – مستودع الرياض</t>
        </is>
      </c>
      <c r="C118" s="24" t="n">
        <v>46168</v>
      </c>
      <c r="D118" s="23" t="inlineStr">
        <is>
          <t>بنزين للوانيت</t>
        </is>
      </c>
      <c r="E118" s="23" t="inlineStr">
        <is>
          <t>VHC-5564</t>
        </is>
      </c>
      <c r="F118" s="23" t="inlineStr">
        <is>
          <t>وقود (ديزل/بنزين)</t>
        </is>
      </c>
      <c r="G118" s="25" t="n">
        <v>139.61</v>
      </c>
      <c r="H118" s="23" t="inlineStr">
        <is>
          <t>نعم</t>
        </is>
      </c>
      <c r="I118" s="23" t="inlineStr"/>
    </row>
    <row r="119">
      <c r="A119" s="23" t="n">
        <v>118</v>
      </c>
      <c r="B119" s="23" t="inlineStr">
        <is>
          <t>حسين مصطفى – مستودع الرياض</t>
        </is>
      </c>
      <c r="C119" s="24" t="n">
        <v>46171</v>
      </c>
      <c r="D119" s="23" t="inlineStr">
        <is>
          <t>سوالر س عماد</t>
        </is>
      </c>
      <c r="E119" s="23" t="inlineStr">
        <is>
          <t>VHC-3010</t>
        </is>
      </c>
      <c r="F119" s="23" t="inlineStr">
        <is>
          <t>وقود (ديزل/بنزين)</t>
        </is>
      </c>
      <c r="G119" s="25" t="n">
        <v>100</v>
      </c>
      <c r="H119" s="23" t="inlineStr">
        <is>
          <t>نعم</t>
        </is>
      </c>
      <c r="I119" s="23" t="inlineStr"/>
    </row>
    <row r="120">
      <c r="A120" s="23" t="n">
        <v>119</v>
      </c>
      <c r="B120" s="23" t="inlineStr">
        <is>
          <t>حسين مصطفى – مستودع الرياض</t>
        </is>
      </c>
      <c r="C120" s="24" t="n">
        <v>46172</v>
      </c>
      <c r="D120" s="23" t="inlineStr">
        <is>
          <t>سوالر س - عصمت</t>
        </is>
      </c>
      <c r="E120" s="23" t="inlineStr">
        <is>
          <t>VHC-1219</t>
        </is>
      </c>
      <c r="F120" s="23" t="inlineStr">
        <is>
          <t>وقود (ديزل/بنزين)</t>
        </is>
      </c>
      <c r="G120" s="25" t="n">
        <v>270</v>
      </c>
      <c r="H120" s="23" t="inlineStr">
        <is>
          <t>نعم</t>
        </is>
      </c>
      <c r="I120" s="23" t="inlineStr"/>
    </row>
    <row r="121">
      <c r="A121" s="23" t="n">
        <v>120</v>
      </c>
      <c r="B121" s="23" t="inlineStr">
        <is>
          <t>حسين مصطفى – مستودع الرياض</t>
        </is>
      </c>
      <c r="C121" s="24" t="n">
        <v>46172</v>
      </c>
      <c r="D121" s="23" t="inlineStr">
        <is>
          <t>سوالر س عماد</t>
        </is>
      </c>
      <c r="E121" s="23" t="inlineStr">
        <is>
          <t>VHC-3010</t>
        </is>
      </c>
      <c r="F121" s="23" t="inlineStr">
        <is>
          <t>وقود (ديزل/بنزين)</t>
        </is>
      </c>
      <c r="G121" s="25" t="n">
        <v>200</v>
      </c>
      <c r="H121" s="23" t="inlineStr">
        <is>
          <t>نعم</t>
        </is>
      </c>
      <c r="I121" s="23" t="inlineStr"/>
    </row>
    <row r="122">
      <c r="A122" s="23" t="n">
        <v>121</v>
      </c>
      <c r="B122" s="23" t="inlineStr">
        <is>
          <t>حسين مصطفى – مستودع الرياض</t>
        </is>
      </c>
      <c r="C122" s="24" t="n">
        <v>46180</v>
      </c>
      <c r="D122" s="23" t="inlineStr">
        <is>
          <t>شراء مبيد العشاب الشجر</t>
        </is>
      </c>
      <c r="E122" s="23" t="inlineStr">
        <is>
          <t>RN-DEPARTMENT</t>
        </is>
      </c>
      <c r="F122" s="23" t="inlineStr">
        <is>
          <t>مصروفات تشغيل المزرعة</t>
        </is>
      </c>
      <c r="G122" s="25" t="n">
        <v>450</v>
      </c>
      <c r="H122" s="23" t="inlineStr">
        <is>
          <t>نعم</t>
        </is>
      </c>
      <c r="I122" s="23" t="inlineStr"/>
    </row>
    <row r="123">
      <c r="A123" s="23" t="n">
        <v>122</v>
      </c>
      <c r="B123" s="23" t="inlineStr">
        <is>
          <t>حسين مصطفى – مستودع الرياض</t>
        </is>
      </c>
      <c r="C123" s="24" t="n">
        <v>46180</v>
      </c>
      <c r="D123" s="23" t="inlineStr">
        <is>
          <t>مياه شرب للعمال</t>
        </is>
      </c>
      <c r="E123" s="23" t="inlineStr">
        <is>
          <t>EXP.RN.NURSERY</t>
        </is>
      </c>
      <c r="F123" s="23" t="inlineStr">
        <is>
          <t>مصروفات تشغيل المزرعة</t>
        </is>
      </c>
      <c r="G123" s="25" t="n">
        <v>70</v>
      </c>
      <c r="H123" s="23" t="inlineStr">
        <is>
          <t>نعم</t>
        </is>
      </c>
      <c r="I123" s="23" t="inlineStr"/>
    </row>
    <row r="124">
      <c r="A124" s="23" t="n">
        <v>123</v>
      </c>
      <c r="B124" s="23" t="inlineStr">
        <is>
          <t>حسين مصطفى – مستودع الرياض</t>
        </is>
      </c>
      <c r="C124" s="24" t="n">
        <v>46180</v>
      </c>
      <c r="D124" s="23" t="inlineStr">
        <is>
          <t>شراء لي كوري 50 متر لماتور الرش</t>
        </is>
      </c>
      <c r="E124" s="23" t="inlineStr">
        <is>
          <t>RN-DEPARTMENT</t>
        </is>
      </c>
      <c r="F124" s="23" t="inlineStr">
        <is>
          <t>مصروفات تشغيل المزرعة</t>
        </is>
      </c>
      <c r="G124" s="25" t="n">
        <v>160</v>
      </c>
      <c r="H124" s="23" t="inlineStr">
        <is>
          <t>نعم</t>
        </is>
      </c>
      <c r="I124" s="23" t="inlineStr"/>
    </row>
    <row r="125">
      <c r="A125" s="23" t="n">
        <v>124</v>
      </c>
      <c r="B125" s="23" t="inlineStr">
        <is>
          <t>حسين مصطفى – مستودع الرياض</t>
        </is>
      </c>
      <c r="C125" s="24" t="n">
        <v>46180</v>
      </c>
      <c r="D125" s="23" t="inlineStr">
        <is>
          <t>سوالر س عماد - ترحيل من العهدة القديمة 2026-5-13-</t>
        </is>
      </c>
      <c r="E125" s="23" t="inlineStr">
        <is>
          <t>VHC-3010</t>
        </is>
      </c>
      <c r="F125" s="23" t="inlineStr">
        <is>
          <t>وقود (ديزل/بنزين)</t>
        </is>
      </c>
      <c r="G125" s="25" t="n">
        <v>300</v>
      </c>
      <c r="H125" s="23" t="inlineStr">
        <is>
          <t>نعم</t>
        </is>
      </c>
      <c r="I125" s="23" t="inlineStr"/>
    </row>
    <row r="126">
      <c r="A126" s="23" t="n">
        <v>125</v>
      </c>
      <c r="B126" s="23" t="inlineStr">
        <is>
          <t>حسين مصطفى – مستودع الرياض</t>
        </is>
      </c>
      <c r="C126" s="24" t="n">
        <v>46180</v>
      </c>
      <c r="D126" s="23" t="inlineStr">
        <is>
          <t>سوالر س عماد يوم 2026-5-14 - مرحلة من العهدة القديمة</t>
        </is>
      </c>
      <c r="E126" s="23" t="inlineStr">
        <is>
          <t>VHC-3010</t>
        </is>
      </c>
      <c r="F126" s="23" t="inlineStr">
        <is>
          <t>وقود (ديزل/بنزين)</t>
        </is>
      </c>
      <c r="G126" s="25" t="n">
        <v>270</v>
      </c>
      <c r="H126" s="23" t="inlineStr">
        <is>
          <t>نعم</t>
        </is>
      </c>
      <c r="I126" s="23" t="inlineStr"/>
    </row>
    <row r="127">
      <c r="A127" s="23" t="n">
        <v>126</v>
      </c>
      <c r="B127" s="23" t="inlineStr">
        <is>
          <t>حسين مصطفى – مستودع الرياض</t>
        </is>
      </c>
      <c r="C127" s="24" t="n">
        <v>46180</v>
      </c>
      <c r="D127" s="23" t="inlineStr">
        <is>
          <t>غسيل وتشحيم س عماد يوم 2026-5-14 - مرحل من العهدة القديمة</t>
        </is>
      </c>
      <c r="E127" s="23" t="inlineStr">
        <is>
          <t>VHC-3010</t>
        </is>
      </c>
      <c r="F127" s="23" t="inlineStr">
        <is>
          <t>صيانة سيارات</t>
        </is>
      </c>
      <c r="G127" s="25" t="n">
        <v>100</v>
      </c>
      <c r="H127" s="23" t="inlineStr">
        <is>
          <t>نعم</t>
        </is>
      </c>
      <c r="I127" s="23" t="inlineStr"/>
    </row>
    <row r="128">
      <c r="A128" s="23" t="n">
        <v>127</v>
      </c>
      <c r="B128" s="23" t="inlineStr">
        <is>
          <t>حسين مصطفى – مستودع الرياض</t>
        </is>
      </c>
      <c r="C128" s="24" t="n">
        <v>46186</v>
      </c>
      <c r="D128" s="23" t="inlineStr">
        <is>
          <t>شراء خيط لربط الشجار</t>
        </is>
      </c>
      <c r="E128" s="23" t="inlineStr">
        <is>
          <t>EXP.RN.NURSERY</t>
        </is>
      </c>
      <c r="F128" s="23" t="inlineStr">
        <is>
          <t>مصروفات تشغيل المزرعة</t>
        </is>
      </c>
      <c r="G128" s="25" t="n">
        <v>50</v>
      </c>
      <c r="H128" s="23" t="inlineStr">
        <is>
          <t>نعم</t>
        </is>
      </c>
      <c r="I128" s="23" t="inlineStr"/>
    </row>
    <row r="129">
      <c r="A129" s="23" t="n">
        <v>128</v>
      </c>
      <c r="B129" s="23" t="inlineStr">
        <is>
          <t>عظمت الله خان – سيارة 1219</t>
        </is>
      </c>
      <c r="C129" s="24" t="n">
        <v>46187</v>
      </c>
      <c r="D129" s="23" t="inlineStr">
        <is>
          <t>غيار زيت وفلتر س - عصمت</t>
        </is>
      </c>
      <c r="E129" s="23" t="inlineStr">
        <is>
          <t>VHC-1219</t>
        </is>
      </c>
      <c r="F129" s="23" t="inlineStr">
        <is>
          <t>صيانة سيارات</t>
        </is>
      </c>
      <c r="G129" s="25" t="n">
        <v>245</v>
      </c>
      <c r="H129" s="23" t="inlineStr">
        <is>
          <t>نعم</t>
        </is>
      </c>
      <c r="I129" s="23" t="inlineStr"/>
    </row>
    <row r="130">
      <c r="A130" s="23" t="n">
        <v>129</v>
      </c>
      <c r="B130" s="23" t="inlineStr">
        <is>
          <t>عظمت الله خان – سيارة 1219</t>
        </is>
      </c>
      <c r="C130" s="24" t="n">
        <v>46187</v>
      </c>
      <c r="D130" s="23" t="inlineStr">
        <is>
          <t>سوالر السيارة - لعدم وجود شحن في الدريس</t>
        </is>
      </c>
      <c r="E130" s="23" t="inlineStr">
        <is>
          <t>VHC-1219</t>
        </is>
      </c>
      <c r="F130" s="23" t="inlineStr">
        <is>
          <t>وقود (ديزل/بنزين)</t>
        </is>
      </c>
      <c r="G130" s="25" t="n">
        <v>200.09</v>
      </c>
      <c r="H130" s="23" t="inlineStr">
        <is>
          <t>نعم</t>
        </is>
      </c>
      <c r="I130" s="23" t="inlineStr"/>
    </row>
    <row r="131">
      <c r="A131" s="23" t="n">
        <v>130</v>
      </c>
      <c r="B131" s="23" t="inlineStr">
        <is>
          <t>حسين مصطفى – مستودع الرياض</t>
        </is>
      </c>
      <c r="C131" s="24" t="n">
        <v>46190</v>
      </c>
      <c r="D131" s="23" t="inlineStr">
        <is>
          <t>مياه للشرب</t>
        </is>
      </c>
      <c r="E131" s="23" t="inlineStr">
        <is>
          <t>RN-DEPARTMENT</t>
        </is>
      </c>
      <c r="F131" s="23" t="inlineStr">
        <is>
          <t>مصروفات تشغيل المزرعة</t>
        </is>
      </c>
      <c r="G131" s="25" t="n">
        <v>70</v>
      </c>
      <c r="H131" s="23" t="inlineStr">
        <is>
          <t>نعم</t>
        </is>
      </c>
      <c r="I131" s="23" t="inlineStr"/>
    </row>
    <row r="132">
      <c r="A132" s="23" t="n">
        <v>131</v>
      </c>
      <c r="B132" s="23" t="inlineStr">
        <is>
          <t>عظمت الله خان – سيارة 1219</t>
        </is>
      </c>
      <c r="C132" s="24" t="n">
        <v>46190</v>
      </c>
      <c r="D132" s="23" t="inlineStr">
        <is>
          <t>سوالر س - عصمت</t>
        </is>
      </c>
      <c r="E132" s="23" t="inlineStr">
        <is>
          <t>VHC-1219</t>
        </is>
      </c>
      <c r="F132" s="23" t="inlineStr">
        <is>
          <t>وقود (ديزل/بنزين)</t>
        </is>
      </c>
      <c r="G132" s="25" t="n">
        <v>234</v>
      </c>
      <c r="H132" s="23" t="inlineStr">
        <is>
          <t>نعم</t>
        </is>
      </c>
      <c r="I132" s="23" t="inlineStr"/>
    </row>
    <row r="133">
      <c r="A133" s="23" t="n">
        <v>132</v>
      </c>
      <c r="B133" s="23" t="inlineStr">
        <is>
          <t>عظمت الله خان – سيارة 1219</t>
        </is>
      </c>
      <c r="C133" s="24" t="n">
        <v>46193</v>
      </c>
      <c r="D133" s="23" t="inlineStr">
        <is>
          <t>شراء مرايه صغير س عصمت</t>
        </is>
      </c>
      <c r="E133" s="23" t="inlineStr">
        <is>
          <t>VHC-1219</t>
        </is>
      </c>
      <c r="F133" s="23" t="inlineStr">
        <is>
          <t>صيانة سيارات</t>
        </is>
      </c>
      <c r="G133" s="25" t="n">
        <v>30</v>
      </c>
      <c r="H133" s="23" t="inlineStr">
        <is>
          <t>نعم</t>
        </is>
      </c>
      <c r="I133" s="23" t="inlineStr"/>
    </row>
    <row r="134">
      <c r="A134" s="23" t="n">
        <v>133</v>
      </c>
      <c r="B134" s="23" t="inlineStr">
        <is>
          <t>عماد حمدي – سيارة 3010</t>
        </is>
      </c>
      <c r="C134" s="24" t="n">
        <v>46193</v>
      </c>
      <c r="D134" s="23" t="inlineStr">
        <is>
          <t>غيار زيت وفالتر سيارة عماد</t>
        </is>
      </c>
      <c r="E134" s="23" t="inlineStr">
        <is>
          <t>VHC-3010</t>
        </is>
      </c>
      <c r="F134" s="23" t="inlineStr">
        <is>
          <t>صيانة سيارات</t>
        </is>
      </c>
      <c r="G134" s="25" t="n">
        <v>345</v>
      </c>
      <c r="H134" s="23" t="inlineStr">
        <is>
          <t>نعم</t>
        </is>
      </c>
      <c r="I134" s="23" t="inlineStr"/>
    </row>
    <row r="135">
      <c r="A135" s="23" t="n">
        <v>134</v>
      </c>
      <c r="B135" s="23" t="inlineStr">
        <is>
          <t>حسين مصطفى – مستودع الرياض</t>
        </is>
      </c>
      <c r="C135" s="24" t="n">
        <v>46195</v>
      </c>
      <c r="D135" s="23" t="inlineStr">
        <is>
          <t>شراء اغراض سباكة لماتور الرش</t>
        </is>
      </c>
      <c r="E135" s="23" t="inlineStr">
        <is>
          <t>RN-DEPARTMENT</t>
        </is>
      </c>
      <c r="F135" s="23" t="inlineStr">
        <is>
          <t>مصروفات تشغيل المزرعة</t>
        </is>
      </c>
      <c r="G135" s="25" t="n">
        <v>37</v>
      </c>
      <c r="H135" s="23" t="inlineStr">
        <is>
          <t>نعم</t>
        </is>
      </c>
      <c r="I135" s="23" t="inlineStr"/>
    </row>
    <row r="136">
      <c r="A136" s="23" t="n">
        <v>135</v>
      </c>
      <c r="B136" s="23" t="inlineStr">
        <is>
          <t>عظمت الله خان – سيارة 1219</t>
        </is>
      </c>
      <c r="C136" s="24" t="n">
        <v>46195</v>
      </c>
      <c r="D136" s="23" t="inlineStr">
        <is>
          <t>غسيل سيارة عصمت</t>
        </is>
      </c>
      <c r="E136" s="23" t="inlineStr">
        <is>
          <t>VHC-3010</t>
        </is>
      </c>
      <c r="F136" s="23" t="inlineStr">
        <is>
          <t>صيانة سيارات</t>
        </is>
      </c>
      <c r="G136" s="25" t="n">
        <v>60</v>
      </c>
      <c r="H136" s="23" t="inlineStr">
        <is>
          <t>نعم</t>
        </is>
      </c>
      <c r="I136" s="23" t="inlineStr"/>
    </row>
    <row r="137">
      <c r="A137" s="23" t="n">
        <v>136</v>
      </c>
      <c r="B137" s="23" t="inlineStr">
        <is>
          <t>عظمت الله خان – سيارة 1219</t>
        </is>
      </c>
      <c r="C137" s="24" t="n">
        <v>46195</v>
      </c>
      <c r="D137" s="23" t="inlineStr">
        <is>
          <t>شراء سير مراوح وسلك مجلفن</t>
        </is>
      </c>
      <c r="E137" s="23" t="inlineStr">
        <is>
          <t>EXP.RN.NURSERY</t>
        </is>
      </c>
      <c r="F137" s="23" t="inlineStr">
        <is>
          <t>مصروفات تشغيل المزرعة</t>
        </is>
      </c>
      <c r="G137" s="25" t="n">
        <v>88.93000000000001</v>
      </c>
      <c r="H137" s="23" t="inlineStr">
        <is>
          <t>نعم</t>
        </is>
      </c>
      <c r="I137" s="23" t="inlineStr"/>
    </row>
    <row r="138">
      <c r="A138" s="23" t="n">
        <v>137</v>
      </c>
      <c r="B138" s="23" t="inlineStr">
        <is>
          <t>حسين مصطفى – مستودع الرياض</t>
        </is>
      </c>
      <c r="C138" s="24" t="n">
        <v>46197</v>
      </c>
      <c r="D138" s="23" t="inlineStr">
        <is>
          <t>مياه للشرب</t>
        </is>
      </c>
      <c r="E138" s="23" t="inlineStr">
        <is>
          <t>RN-DEPARTMENT</t>
        </is>
      </c>
      <c r="F138" s="23" t="inlineStr">
        <is>
          <t>مصروفات تشغيل المزرعة</t>
        </is>
      </c>
      <c r="G138" s="25" t="n">
        <v>70</v>
      </c>
      <c r="H138" s="23" t="inlineStr">
        <is>
          <t>نعم</t>
        </is>
      </c>
      <c r="I138" s="23" t="inlineStr"/>
    </row>
    <row r="139">
      <c r="A139" s="23" t="n">
        <v>138</v>
      </c>
      <c r="B139" s="23" t="inlineStr">
        <is>
          <t>حسين مصطفى – مستودع الرياض</t>
        </is>
      </c>
      <c r="C139" s="24" t="n">
        <v>46198</v>
      </c>
      <c r="D139" s="23" t="inlineStr">
        <is>
          <t>شراء مفاتيح اتوماتيك 4 حبه</t>
        </is>
      </c>
      <c r="E139" s="23" t="inlineStr">
        <is>
          <t>EXP.RN.NURSERY</t>
        </is>
      </c>
      <c r="F139" s="23" t="inlineStr">
        <is>
          <t>مصروفات تشغيل المزرعة</t>
        </is>
      </c>
      <c r="G139" s="25" t="n">
        <v>200</v>
      </c>
      <c r="H139" s="23" t="inlineStr">
        <is>
          <t>نعم</t>
        </is>
      </c>
      <c r="I139" s="23" t="inlineStr"/>
    </row>
    <row r="140">
      <c r="A140" s="23" t="n">
        <v>139</v>
      </c>
      <c r="B140" s="23" t="inlineStr">
        <is>
          <t>عظمت الله خان – سيارة 1219</t>
        </is>
      </c>
      <c r="C140" s="24" t="n">
        <v>46201</v>
      </c>
      <c r="D140" s="23" t="inlineStr">
        <is>
          <t>غيار زيت وفلتر س - عصمت</t>
        </is>
      </c>
      <c r="E140" s="23" t="inlineStr">
        <is>
          <t>VHC-1219</t>
        </is>
      </c>
      <c r="F140" s="23" t="inlineStr">
        <is>
          <t>صيانة سيارات</t>
        </is>
      </c>
      <c r="G140" s="25" t="n">
        <v>235</v>
      </c>
      <c r="H140" s="23" t="inlineStr">
        <is>
          <t>نعم</t>
        </is>
      </c>
      <c r="I140" s="23" t="inlineStr"/>
    </row>
    <row r="141">
      <c r="A141" s="23" t="n">
        <v>140</v>
      </c>
      <c r="B141" s="23" t="inlineStr">
        <is>
          <t>عماد حمدي – سيارة 3010</t>
        </is>
      </c>
      <c r="C141" s="24" t="n">
        <v>46214</v>
      </c>
      <c r="D141" s="23" t="inlineStr">
        <is>
          <t>غيار زيت وفلتر للسيارة</t>
        </is>
      </c>
      <c r="E141" s="23" t="inlineStr">
        <is>
          <t>VHC-3010</t>
        </is>
      </c>
      <c r="F141" s="23" t="inlineStr">
        <is>
          <t>صيانة سيارات</t>
        </is>
      </c>
      <c r="G141" s="25" t="n">
        <v>345</v>
      </c>
      <c r="H141" s="23" t="inlineStr">
        <is>
          <t>نعم</t>
        </is>
      </c>
      <c r="I141" s="23" t="inlineStr"/>
    </row>
    <row r="142">
      <c r="A142" s="23" t="n">
        <v>141</v>
      </c>
      <c r="B142" s="23" t="inlineStr">
        <is>
          <t>حسين مصطفى – مستودع الرياض</t>
        </is>
      </c>
      <c r="C142" s="24" t="n">
        <v>46216</v>
      </c>
      <c r="D142" s="23" t="inlineStr">
        <is>
          <t>شراء مبيدات الشجار</t>
        </is>
      </c>
      <c r="E142" s="23" t="inlineStr">
        <is>
          <t>RN-DEPARTMENT</t>
        </is>
      </c>
      <c r="F142" s="23" t="inlineStr">
        <is>
          <t>مصروفات تشغيل المزرعة</t>
        </is>
      </c>
      <c r="G142" s="25" t="n">
        <v>320</v>
      </c>
      <c r="H142" s="23" t="inlineStr">
        <is>
          <t>نعم</t>
        </is>
      </c>
      <c r="I142" s="23" t="inlineStr"/>
    </row>
    <row r="143">
      <c r="A143" s="23" t="n">
        <v>142</v>
      </c>
      <c r="B143" s="23" t="inlineStr">
        <is>
          <t>إسماعيل جان حبيب – سيارة 3010</t>
        </is>
      </c>
      <c r="C143" s="24" t="n">
        <v>46221</v>
      </c>
      <c r="D143" s="23" t="inlineStr">
        <is>
          <t>غيار زيت وفالتر للسيارة</t>
        </is>
      </c>
      <c r="E143" s="23" t="inlineStr">
        <is>
          <t>VHC-3010</t>
        </is>
      </c>
      <c r="F143" s="23" t="inlineStr">
        <is>
          <t>صيانة سيارات</t>
        </is>
      </c>
      <c r="G143" s="25" t="n">
        <v>530</v>
      </c>
      <c r="H143" s="23" t="inlineStr">
        <is>
          <t>نعم</t>
        </is>
      </c>
      <c r="I143" s="23" t="inlineStr"/>
    </row>
    <row r="144">
      <c r="A144" s="23" t="n">
        <v>143</v>
      </c>
      <c r="B144" s="23" t="inlineStr">
        <is>
          <t>إسماعيل جان حبيب – سيارة 3010</t>
        </is>
      </c>
      <c r="C144" s="24" t="n">
        <v>46231</v>
      </c>
      <c r="D144" s="23" t="inlineStr">
        <is>
          <t>سوالر س - اسماعيل - نجران يوم 2026-7-26</t>
        </is>
      </c>
      <c r="E144" s="23" t="inlineStr">
        <is>
          <t>VHC-3010</t>
        </is>
      </c>
      <c r="F144" s="23" t="inlineStr">
        <is>
          <t>وقود (ديزل/بنزين)</t>
        </is>
      </c>
      <c r="G144" s="25" t="n">
        <v>175.01</v>
      </c>
      <c r="H144" s="23" t="inlineStr">
        <is>
          <t>نعم</t>
        </is>
      </c>
      <c r="I144" s="23" t="inlineStr"/>
    </row>
    <row r="145">
      <c r="A145" s="23" t="n">
        <v>144</v>
      </c>
      <c r="B145" s="23" t="inlineStr">
        <is>
          <t>إسماعيل جان حبيب – سيارة 3010</t>
        </is>
      </c>
      <c r="C145" s="24" t="n">
        <v>46231</v>
      </c>
      <c r="D145" s="23" t="inlineStr">
        <is>
          <t>سوالر س اسماعيل- - نجران - يوم 2026-7-27</t>
        </is>
      </c>
      <c r="E145" s="23" t="inlineStr">
        <is>
          <t>VHC-3010</t>
        </is>
      </c>
      <c r="F145" s="23" t="inlineStr">
        <is>
          <t>وقود (ديزل/بنزين)</t>
        </is>
      </c>
      <c r="G145" s="25" t="n">
        <v>210</v>
      </c>
      <c r="H145" s="23" t="inlineStr">
        <is>
          <t>نعم</t>
        </is>
      </c>
      <c r="I145" s="23" t="inlineStr"/>
    </row>
    <row r="146">
      <c r="A146" s="23" t="n">
        <v>145</v>
      </c>
      <c r="B146" s="23" t="inlineStr">
        <is>
          <t>إسماعيل جان حبيب – سيارة 3010</t>
        </is>
      </c>
      <c r="C146" s="24" t="n">
        <v>46231</v>
      </c>
      <c r="D146" s="23" t="inlineStr">
        <is>
          <t>سوالر س - اسماعيل - نجران - يوم 2026-7-28 T N E I P I C E R D E M A N E H T R O F Y L E L O S D E D N E T N I D N A L A I T N E D I F N O C S I T N E M U C O D S I H T 0551019506 | SABOUR ABDEL AHMED ENG. 18:07 2026, Aug 09 Generated: v10.0 ERP Unified NSC</t>
        </is>
      </c>
      <c r="E146" s="23" t="inlineStr">
        <is>
          <t>VHC-3010</t>
        </is>
      </c>
      <c r="F146" s="23" t="inlineStr">
        <is>
          <t>وقود (ديزل/بنزين)</t>
        </is>
      </c>
      <c r="G146" s="25" t="n">
        <v>238.03</v>
      </c>
      <c r="H146" s="23" t="inlineStr">
        <is>
          <t>نعم</t>
        </is>
      </c>
      <c r="I146" s="23" t="inlineStr"/>
    </row>
    <row r="147">
      <c r="A147" s="23" t="n">
        <v>146</v>
      </c>
      <c r="B147" s="23" t="inlineStr">
        <is>
          <t>عظمت الله خان – سيارة 1219</t>
        </is>
      </c>
      <c r="C147" s="24" t="n">
        <v>46231</v>
      </c>
      <c r="D147" s="23" t="inlineStr">
        <is>
          <t>سوالر لسيارة عصمت</t>
        </is>
      </c>
      <c r="E147" s="23" t="inlineStr">
        <is>
          <t>VHC-1219</t>
        </is>
      </c>
      <c r="F147" s="23" t="inlineStr">
        <is>
          <t>وقود (ديزل/بنزين)</t>
        </is>
      </c>
      <c r="G147" s="25" t="n">
        <v>200</v>
      </c>
      <c r="H147" s="23" t="inlineStr">
        <is>
          <t>نعم</t>
        </is>
      </c>
      <c r="I147" s="23" t="inlineStr"/>
    </row>
    <row r="148">
      <c r="A148" s="23" t="n">
        <v>147</v>
      </c>
      <c r="B148" s="23" t="inlineStr">
        <is>
          <t>إسماعيل جان حبيب – سيارة 3010</t>
        </is>
      </c>
      <c r="C148" s="24" t="n">
        <v>46233</v>
      </c>
      <c r="D148" s="23" t="inlineStr">
        <is>
          <t>سوالر س - اسماعيل</t>
        </is>
      </c>
      <c r="E148" s="23" t="inlineStr">
        <is>
          <t>VHC-3010</t>
        </is>
      </c>
      <c r="F148" s="23" t="inlineStr">
        <is>
          <t>وقود (ديزل/بنزين)</t>
        </is>
      </c>
      <c r="G148" s="25" t="n">
        <v>100.01</v>
      </c>
      <c r="H148" s="23" t="inlineStr">
        <is>
          <t>نعم</t>
        </is>
      </c>
      <c r="I148" s="23" t="inlineStr"/>
    </row>
    <row r="149">
      <c r="A149" s="26" t="n">
        <v>148</v>
      </c>
      <c r="B149" s="26" t="inlineStr">
        <is>
          <t>إسماعيل جان حبيب – سيارة 3010</t>
        </is>
      </c>
      <c r="C149" s="27" t="n">
        <v>46236</v>
      </c>
      <c r="D149" s="26" t="inlineStr">
        <is>
          <t>سوالر س اسماعيل</t>
        </is>
      </c>
      <c r="E149" s="26" t="inlineStr">
        <is>
          <t>VHC-3010</t>
        </is>
      </c>
      <c r="F149" s="26" t="inlineStr">
        <is>
          <t>وقود (ديزل/بنزين)</t>
        </is>
      </c>
      <c r="G149" s="28" t="n">
        <v>100</v>
      </c>
      <c r="H149" s="26" t="inlineStr">
        <is>
          <t>لا</t>
        </is>
      </c>
      <c r="I149" s="26" t="inlineStr">
        <is>
          <t>بعد 31-7-2026 – خارج الفترة</t>
        </is>
      </c>
    </row>
    <row r="150">
      <c r="A150" s="26" t="n">
        <v>149</v>
      </c>
      <c r="B150" s="26" t="inlineStr">
        <is>
          <t>إسماعيل جان حبيب – سيارة 3010</t>
        </is>
      </c>
      <c r="C150" s="27" t="n">
        <v>46236</v>
      </c>
      <c r="D150" s="26" t="inlineStr">
        <is>
          <t>غيار زيت وفلتر وتشحيم س اسماعيل</t>
        </is>
      </c>
      <c r="E150" s="26" t="inlineStr">
        <is>
          <t>VHC-3010</t>
        </is>
      </c>
      <c r="F150" s="26" t="inlineStr">
        <is>
          <t>صيانة سيارات</t>
        </is>
      </c>
      <c r="G150" s="28" t="n">
        <v>300</v>
      </c>
      <c r="H150" s="26" t="inlineStr">
        <is>
          <t>لا</t>
        </is>
      </c>
      <c r="I150" s="26" t="inlineStr">
        <is>
          <t>بعد 31-7-2026 – خارج الفترة</t>
        </is>
      </c>
    </row>
    <row r="151">
      <c r="A151" s="26" t="n">
        <v>150</v>
      </c>
      <c r="B151" s="26" t="inlineStr">
        <is>
          <t>عظمت الله خان – سيارة 1219</t>
        </is>
      </c>
      <c r="C151" s="27" t="n">
        <v>46236</v>
      </c>
      <c r="D151" s="26" t="inlineStr">
        <is>
          <t>غيار زيت وفالتر للسيارة</t>
        </is>
      </c>
      <c r="E151" s="26" t="inlineStr">
        <is>
          <t>VHC-1219</t>
        </is>
      </c>
      <c r="F151" s="26" t="inlineStr">
        <is>
          <t>صيانة سيارات</t>
        </is>
      </c>
      <c r="G151" s="28" t="n">
        <v>245</v>
      </c>
      <c r="H151" s="26" t="inlineStr">
        <is>
          <t>لا</t>
        </is>
      </c>
      <c r="I151" s="26" t="inlineStr">
        <is>
          <t>بعد 31-7-2026 – خارج الفترة</t>
        </is>
      </c>
    </row>
    <row r="152">
      <c r="A152" s="26" t="n">
        <v>151</v>
      </c>
      <c r="B152" s="26" t="inlineStr">
        <is>
          <t>عظمت الله خان – سيارة 1219</t>
        </is>
      </c>
      <c r="C152" s="27" t="n">
        <v>46236</v>
      </c>
      <c r="D152" s="26" t="inlineStr">
        <is>
          <t>سوالر س - عصمت 1219</t>
        </is>
      </c>
      <c r="E152" s="26" t="inlineStr">
        <is>
          <t>VHC-1219</t>
        </is>
      </c>
      <c r="F152" s="26" t="inlineStr">
        <is>
          <t>وقود (ديزل/بنزين)</t>
        </is>
      </c>
      <c r="G152" s="28" t="n">
        <v>200</v>
      </c>
      <c r="H152" s="26" t="inlineStr">
        <is>
          <t>لا</t>
        </is>
      </c>
      <c r="I152" s="26" t="inlineStr">
        <is>
          <t>بعد 31-7-2026 – خارج الفترة</t>
        </is>
      </c>
    </row>
    <row r="153">
      <c r="A153" s="26" t="n">
        <v>152</v>
      </c>
      <c r="B153" s="26" t="inlineStr">
        <is>
          <t>حسين مصطفى – مستودع الرياض</t>
        </is>
      </c>
      <c r="C153" s="27" t="n">
        <v>46238</v>
      </c>
      <c r="D153" s="26" t="inlineStr">
        <is>
          <t>إسماعيل محمد مصروفات)61( السائق إسماعيل توصيل طلبية نجران - توجيه من أبوخالد</t>
        </is>
      </c>
      <c r="E153" s="26" t="inlineStr">
        <is>
          <t>إسماعيلRN محمد #61</t>
        </is>
      </c>
      <c r="F153" s="26" t="inlineStr">
        <is>
          <t>رواتب وعمولات وانتقالات</t>
        </is>
      </c>
      <c r="G153" s="28" t="n">
        <v>100</v>
      </c>
      <c r="H153" s="26" t="inlineStr">
        <is>
          <t>لا</t>
        </is>
      </c>
      <c r="I153" s="26" t="inlineStr">
        <is>
          <t>بعد 31-7-2026 – خارج الفترة</t>
        </is>
      </c>
    </row>
    <row r="154">
      <c r="A154" s="26" t="n">
        <v>153</v>
      </c>
      <c r="B154" s="26" t="inlineStr">
        <is>
          <t>حسين مصطفى – مستودع الرياض</t>
        </is>
      </c>
      <c r="C154" s="27" t="n">
        <v>46238</v>
      </c>
      <c r="D154" s="26" t="inlineStr">
        <is>
          <t>SUPPLIES COFFEE &amp; مياهTEA للشرب للعمال</t>
        </is>
      </c>
      <c r="E154" s="26" t="inlineStr"/>
      <c r="F154" s="26" t="inlineStr">
        <is>
          <t>خدمات ومرافق (كهرباء/مياه/إنترنت/إنشاءات)</t>
        </is>
      </c>
      <c r="G154" s="28" t="n">
        <v>70</v>
      </c>
      <c r="H154" s="26" t="inlineStr">
        <is>
          <t>لا</t>
        </is>
      </c>
      <c r="I154" s="26" t="inlineStr">
        <is>
          <t>بعد 31-7-2026 – خارج الفترة</t>
        </is>
      </c>
    </row>
    <row r="155">
      <c r="A155" s="26" t="n">
        <v>154</v>
      </c>
      <c r="B155" s="26" t="inlineStr">
        <is>
          <t>حسين مصطفى – مستودع الرياض</t>
        </is>
      </c>
      <c r="C155" s="27" t="n">
        <v>46238</v>
      </c>
      <c r="D155" s="26" t="inlineStr">
        <is>
          <t>شراء 3 لفة خيط لتربيط الشجار</t>
        </is>
      </c>
      <c r="E155" s="26" t="inlineStr">
        <is>
          <t>RN-DEPARTMENT</t>
        </is>
      </c>
      <c r="F155" s="26" t="inlineStr">
        <is>
          <t>مصروفات تشغيل المزرعة</t>
        </is>
      </c>
      <c r="G155" s="28" t="n">
        <v>150</v>
      </c>
      <c r="H155" s="26" t="inlineStr">
        <is>
          <t>لا</t>
        </is>
      </c>
      <c r="I155" s="26" t="inlineStr">
        <is>
          <t>بعد 31-7-2026 – خارج الفترة</t>
        </is>
      </c>
    </row>
    <row r="156">
      <c r="A156" s="26" t="n">
        <v>155</v>
      </c>
      <c r="B156" s="26" t="inlineStr">
        <is>
          <t>حسين مصطفى – مستودع الرياض</t>
        </is>
      </c>
      <c r="C156" s="27" t="n">
        <v>46238</v>
      </c>
      <c r="D156" s="26" t="inlineStr">
        <is>
          <t>SUPPLIES شراءCLEANING سم فئران</t>
        </is>
      </c>
      <c r="E156" s="26" t="inlineStr"/>
      <c r="F156" s="26" t="inlineStr">
        <is>
          <t>خدمات ومرافق (كهرباء/مياه/إنترنت/إنشاءات)</t>
        </is>
      </c>
      <c r="G156" s="28" t="n">
        <v>20</v>
      </c>
      <c r="H156" s="26" t="inlineStr">
        <is>
          <t>لا</t>
        </is>
      </c>
      <c r="I156" s="26" t="inlineStr">
        <is>
          <t>بعد 31-7-2026 – خارج الفترة</t>
        </is>
      </c>
    </row>
    <row r="157">
      <c r="A157" s="26" t="n">
        <v>156</v>
      </c>
      <c r="B157" s="26" t="inlineStr">
        <is>
          <t>حسين مصطفى – مستودع الرياض</t>
        </is>
      </c>
      <c r="C157" s="27" t="n">
        <v>46238</v>
      </c>
      <c r="D157" s="26" t="inlineStr">
        <is>
          <t>شراء خالط دش وخالط وضوء للعمال</t>
        </is>
      </c>
      <c r="E157" s="26" t="inlineStr">
        <is>
          <t>EQUIP. &amp; DEVICE MAINTENANCE</t>
        </is>
      </c>
      <c r="F157" s="26" t="inlineStr">
        <is>
          <t>خدمات ومرافق (كهرباء/مياه/إنترنت/إنشاءات)</t>
        </is>
      </c>
      <c r="G157" s="28" t="n">
        <v>184</v>
      </c>
      <c r="H157" s="26" t="inlineStr">
        <is>
          <t>لا</t>
        </is>
      </c>
      <c r="I157" s="26" t="inlineStr">
        <is>
          <t>بعد 31-7-2026 – خارج الفترة</t>
        </is>
      </c>
    </row>
    <row r="158">
      <c r="A158" s="26" t="n">
        <v>157</v>
      </c>
      <c r="B158" s="26" t="inlineStr">
        <is>
          <t>حسين مصطفى – مستودع الرياض</t>
        </is>
      </c>
      <c r="C158" s="27" t="n">
        <v>46238</v>
      </c>
      <c r="D158" s="26" t="inlineStr">
        <is>
          <t>شراء مقصات للشجر</t>
        </is>
      </c>
      <c r="E158" s="26" t="inlineStr">
        <is>
          <t>RN-DEPARTMENT</t>
        </is>
      </c>
      <c r="F158" s="26" t="inlineStr">
        <is>
          <t>مصروفات تشغيل المزرعة</t>
        </is>
      </c>
      <c r="G158" s="28" t="n">
        <v>45</v>
      </c>
      <c r="H158" s="26" t="inlineStr">
        <is>
          <t>لا</t>
        </is>
      </c>
      <c r="I158" s="26" t="inlineStr">
        <is>
          <t>بعد 31-7-2026 – خارج الفترة</t>
        </is>
      </c>
    </row>
    <row r="159">
      <c r="A159" s="26" t="n">
        <v>158</v>
      </c>
      <c r="B159" s="26" t="inlineStr">
        <is>
          <t>حسين مصطفى – مستودع الرياض</t>
        </is>
      </c>
      <c r="C159" s="27" t="n">
        <v>46238</v>
      </c>
      <c r="D159" s="26" t="inlineStr">
        <is>
          <t>شراء شطرطون ومفكات</t>
        </is>
      </c>
      <c r="E159" s="26" t="inlineStr">
        <is>
          <t>RN-DEPARTMENT</t>
        </is>
      </c>
      <c r="F159" s="26" t="inlineStr">
        <is>
          <t>مصروفات تشغيل المزرعة</t>
        </is>
      </c>
      <c r="G159" s="28" t="n">
        <v>46</v>
      </c>
      <c r="H159" s="26" t="inlineStr">
        <is>
          <t>لا</t>
        </is>
      </c>
      <c r="I159" s="26" t="inlineStr">
        <is>
          <t>بعد 31-7-2026 – خارج الفترة</t>
        </is>
      </c>
    </row>
    <row r="160">
      <c r="A160" s="26" t="n">
        <v>159</v>
      </c>
      <c r="B160" s="26" t="inlineStr">
        <is>
          <t>حسين مصطفى – مستودع الرياض</t>
        </is>
      </c>
      <c r="C160" s="27" t="n">
        <v>46238</v>
      </c>
      <c r="D160" s="26" t="inlineStr">
        <is>
          <t>شراء مسدس رش مياه وسيلكون</t>
        </is>
      </c>
      <c r="E160" s="26" t="inlineStr">
        <is>
          <t>RN-DEPARTMENT</t>
        </is>
      </c>
      <c r="F160" s="26" t="inlineStr">
        <is>
          <t>مصروفات تشغيل المزرعة</t>
        </is>
      </c>
      <c r="G160" s="28" t="n">
        <v>40</v>
      </c>
      <c r="H160" s="26" t="inlineStr">
        <is>
          <t>لا</t>
        </is>
      </c>
      <c r="I160" s="26" t="inlineStr">
        <is>
          <t>بعد 31-7-2026 – خارج الفترة</t>
        </is>
      </c>
    </row>
    <row r="161">
      <c r="A161" s="26" t="n">
        <v>160</v>
      </c>
      <c r="B161" s="26" t="inlineStr">
        <is>
          <t>حسين مصطفى – مستودع الرياض</t>
        </is>
      </c>
      <c r="C161" s="27" t="n">
        <v>46238</v>
      </c>
      <c r="D161" s="26" t="inlineStr">
        <is>
          <t>شراء مسدس سيلكون</t>
        </is>
      </c>
      <c r="E161" s="26" t="inlineStr">
        <is>
          <t>EQUIP. &amp; DEVICE MAINTENANCE</t>
        </is>
      </c>
      <c r="F161" s="26" t="inlineStr">
        <is>
          <t>خدمات ومرافق (كهرباء/مياه/إنترنت/إنشاءات)</t>
        </is>
      </c>
      <c r="G161" s="28" t="n">
        <v>20</v>
      </c>
      <c r="H161" s="26" t="inlineStr">
        <is>
          <t>لا</t>
        </is>
      </c>
      <c r="I161" s="26" t="inlineStr">
        <is>
          <t>بعد 31-7-2026 – خارج الفترة</t>
        </is>
      </c>
    </row>
    <row r="162">
      <c r="A162" s="26" t="n">
        <v>161</v>
      </c>
      <c r="B162" s="26" t="inlineStr">
        <is>
          <t>حسين مصطفى – مستودع الرياض</t>
        </is>
      </c>
      <c r="C162" s="27" t="n">
        <v>46238</v>
      </c>
      <c r="D162" s="26" t="inlineStr">
        <is>
          <t>شراء علبة زيت فرامل و علبة دريكسيون للوانيت</t>
        </is>
      </c>
      <c r="E162" s="26" t="inlineStr">
        <is>
          <t>VHC-5564</t>
        </is>
      </c>
      <c r="F162" s="26" t="inlineStr">
        <is>
          <t>صيانة سيارات</t>
        </is>
      </c>
      <c r="G162" s="28" t="n">
        <v>20</v>
      </c>
      <c r="H162" s="26" t="inlineStr">
        <is>
          <t>لا</t>
        </is>
      </c>
      <c r="I162" s="26" t="inlineStr">
        <is>
          <t>بعد 31-7-2026 – خارج الفترة</t>
        </is>
      </c>
    </row>
    <row r="163">
      <c r="A163" s="26" t="n">
        <v>162</v>
      </c>
      <c r="B163" s="26" t="inlineStr">
        <is>
          <t>حسين مصطفى – مستودع الرياض</t>
        </is>
      </c>
      <c r="C163" s="27" t="n">
        <v>46238</v>
      </c>
      <c r="D163" s="26" t="inlineStr">
        <is>
          <t>غيار زيت وفلتر للوانيت</t>
        </is>
      </c>
      <c r="E163" s="26" t="inlineStr">
        <is>
          <t>VHC-5564</t>
        </is>
      </c>
      <c r="F163" s="26" t="inlineStr">
        <is>
          <t>صيانة سيارات</t>
        </is>
      </c>
      <c r="G163" s="28" t="n">
        <v>230</v>
      </c>
      <c r="H163" s="26" t="inlineStr">
        <is>
          <t>لا</t>
        </is>
      </c>
      <c r="I163" s="26" t="inlineStr">
        <is>
          <t>بعد 31-7-2026 – خارج الفترة</t>
        </is>
      </c>
    </row>
    <row r="164">
      <c r="A164" s="26" t="n">
        <v>163</v>
      </c>
      <c r="B164" s="26" t="inlineStr">
        <is>
          <t>حسين مصطفى – مستودع الرياض</t>
        </is>
      </c>
      <c r="C164" s="27" t="n">
        <v>46238</v>
      </c>
      <c r="D164" s="26" t="inlineStr">
        <is>
          <t>SUPPLIES COFFEE &amp; مياهTEA للشرب للعمال</t>
        </is>
      </c>
      <c r="E164" s="26" t="inlineStr"/>
      <c r="F164" s="26" t="inlineStr">
        <is>
          <t>خدمات ومرافق (كهرباء/مياه/إنترنت/إنشاءات)</t>
        </is>
      </c>
      <c r="G164" s="28" t="n">
        <v>70</v>
      </c>
      <c r="H164" s="26" t="inlineStr">
        <is>
          <t>لا</t>
        </is>
      </c>
      <c r="I164" s="26" t="inlineStr">
        <is>
          <t>بعد 31-7-2026 – خارج الفترة</t>
        </is>
      </c>
    </row>
    <row r="165">
      <c r="A165" s="26" t="n">
        <v>164</v>
      </c>
      <c r="B165" s="26" t="inlineStr">
        <is>
          <t>حسين مصطفى – مستودع الرياض</t>
        </is>
      </c>
      <c r="C165" s="27" t="n">
        <v>46238</v>
      </c>
      <c r="D165" s="26" t="inlineStr">
        <is>
          <t>شراء مسمامير وسيلكون للمزرعة</t>
        </is>
      </c>
      <c r="E165" s="26" t="inlineStr">
        <is>
          <t>RN-DEPARTMENT</t>
        </is>
      </c>
      <c r="F165" s="26" t="inlineStr">
        <is>
          <t>مصروفات تشغيل المزرعة</t>
        </is>
      </c>
      <c r="G165" s="28" t="n">
        <v>90</v>
      </c>
      <c r="H165" s="26" t="inlineStr">
        <is>
          <t>لا</t>
        </is>
      </c>
      <c r="I165" s="26" t="inlineStr">
        <is>
          <t>بعد 31-7-2026 – خارج الفترة</t>
        </is>
      </c>
    </row>
    <row r="166">
      <c r="A166" s="26" t="n">
        <v>165</v>
      </c>
      <c r="B166" s="26" t="inlineStr">
        <is>
          <t>حسين مصطفى – مستودع الرياض</t>
        </is>
      </c>
      <c r="C166" s="27" t="n">
        <v>46238</v>
      </c>
      <c r="D166" s="26" t="inlineStr">
        <is>
          <t>SUPPLIES شفطCLEANING الصرف الصحي بالمزرعة T N E I P I C E R D E M A N E H T R O F Y L E L O S D E D N E T N I D N A L A I T N E D I F N O C S I T N E M U C O D S I H T 0551019506 | SABOUR ABDEL AHMED ENG. 18:06 2026, Aug 09 Generated: v10.0 ERP Unified NSC</t>
        </is>
      </c>
      <c r="E166" s="26" t="inlineStr"/>
      <c r="F166" s="26" t="inlineStr">
        <is>
          <t>خدمات ومرافق (كهرباء/مياه/إنترنت/إنشاءات)</t>
        </is>
      </c>
      <c r="G166" s="28" t="n">
        <v>300</v>
      </c>
      <c r="H166" s="26" t="inlineStr">
        <is>
          <t>لا</t>
        </is>
      </c>
      <c r="I166" s="26" t="inlineStr">
        <is>
          <t>بعد 31-7-2026 – خارج الفترة</t>
        </is>
      </c>
    </row>
    <row r="167">
      <c r="A167" s="26" t="n">
        <v>166</v>
      </c>
      <c r="B167" s="26" t="inlineStr">
        <is>
          <t>حسين مصطفى – مستودع الرياض</t>
        </is>
      </c>
      <c r="C167" s="27" t="n">
        <v>46238</v>
      </c>
      <c r="D167" s="26" t="inlineStr">
        <is>
          <t>شراء اكواع سباكة ولفة احبال ونبل نحاس</t>
        </is>
      </c>
      <c r="E167" s="26" t="inlineStr">
        <is>
          <t>EQUIP. &amp; DEVICE MAINTENANCE</t>
        </is>
      </c>
      <c r="F167" s="26" t="inlineStr">
        <is>
          <t>خدمات ومرافق (كهرباء/مياه/إنترنت/إنشاءات)</t>
        </is>
      </c>
      <c r="G167" s="28" t="n">
        <v>75</v>
      </c>
      <c r="H167" s="26" t="inlineStr">
        <is>
          <t>لا</t>
        </is>
      </c>
      <c r="I167" s="26" t="inlineStr">
        <is>
          <t>بعد 31-7-2026 – خارج الفترة</t>
        </is>
      </c>
    </row>
    <row r="168">
      <c r="A168" s="26" t="n">
        <v>167</v>
      </c>
      <c r="B168" s="26" t="inlineStr">
        <is>
          <t>حسين مصطفى – مستودع الرياض</t>
        </is>
      </c>
      <c r="C168" s="27" t="n">
        <v>46238</v>
      </c>
      <c r="D168" s="26" t="inlineStr">
        <is>
          <t>بنزين للسيارة الوانيت</t>
        </is>
      </c>
      <c r="E168" s="26" t="inlineStr">
        <is>
          <t>VHC-5564</t>
        </is>
      </c>
      <c r="F168" s="26" t="inlineStr">
        <is>
          <t>وقود (ديزل/بنزين)</t>
        </is>
      </c>
      <c r="G168" s="28" t="n">
        <v>139.74</v>
      </c>
      <c r="H168" s="26" t="inlineStr">
        <is>
          <t>لا</t>
        </is>
      </c>
      <c r="I168" s="26" t="inlineStr">
        <is>
          <t>بعد 31-7-2026 – خارج الفترة</t>
        </is>
      </c>
    </row>
    <row r="169">
      <c r="A169" s="26" t="n">
        <v>168</v>
      </c>
      <c r="B169" s="26" t="inlineStr">
        <is>
          <t>حسين مصطفى – مستودع الرياض</t>
        </is>
      </c>
      <c r="C169" s="27" t="n">
        <v>46238</v>
      </c>
      <c r="D169" s="26" t="inlineStr">
        <is>
          <t>عمل كفر السيارة الوانيت</t>
        </is>
      </c>
      <c r="E169" s="26" t="inlineStr">
        <is>
          <t>VHC-5564</t>
        </is>
      </c>
      <c r="F169" s="26" t="inlineStr">
        <is>
          <t>صيانة سيارات</t>
        </is>
      </c>
      <c r="G169" s="28" t="n">
        <v>40</v>
      </c>
      <c r="H169" s="26" t="inlineStr">
        <is>
          <t>لا</t>
        </is>
      </c>
      <c r="I169" s="26" t="inlineStr">
        <is>
          <t>بعد 31-7-2026 – خارج الفترة</t>
        </is>
      </c>
    </row>
    <row r="170">
      <c r="A170" s="26" t="n">
        <v>169</v>
      </c>
      <c r="B170" s="26" t="inlineStr">
        <is>
          <t>حسين مصطفى – مستودع الرياض</t>
        </is>
      </c>
      <c r="C170" s="27" t="n">
        <v>46238</v>
      </c>
      <c r="D170" s="26" t="inlineStr">
        <is>
          <t>اصالح مواتير مراوح وخزانات المزرعة</t>
        </is>
      </c>
      <c r="E170" s="26" t="inlineStr">
        <is>
          <t>EQUIP. &amp; DEVICE MAINTENANCE</t>
        </is>
      </c>
      <c r="F170" s="26" t="inlineStr">
        <is>
          <t>خدمات ومرافق (كهرباء/مياه/إنترنت/إنشاءات)</t>
        </is>
      </c>
      <c r="G170" s="28" t="n">
        <v>900</v>
      </c>
      <c r="H170" s="26" t="inlineStr">
        <is>
          <t>لا</t>
        </is>
      </c>
      <c r="I170" s="26" t="inlineStr">
        <is>
          <t>بعد 31-7-2026 – خارج الفترة</t>
        </is>
      </c>
    </row>
    <row r="171">
      <c r="A171" s="26" t="n">
        <v>170</v>
      </c>
      <c r="B171" s="26" t="inlineStr">
        <is>
          <t>حسين مصطفى – مستودع الرياض</t>
        </is>
      </c>
      <c r="C171" s="27" t="n">
        <v>46238</v>
      </c>
      <c r="D171" s="26" t="inlineStr">
        <is>
          <t>شراء سلك تربيط</t>
        </is>
      </c>
      <c r="E171" s="26" t="inlineStr">
        <is>
          <t>RN-DEPARTMENT</t>
        </is>
      </c>
      <c r="F171" s="26" t="inlineStr">
        <is>
          <t>مصروفات تشغيل المزرعة</t>
        </is>
      </c>
      <c r="G171" s="28" t="n">
        <v>40.25</v>
      </c>
      <c r="H171" s="26" t="inlineStr">
        <is>
          <t>لا</t>
        </is>
      </c>
      <c r="I171" s="26" t="inlineStr">
        <is>
          <t>بعد 31-7-2026 – خارج الفترة</t>
        </is>
      </c>
    </row>
    <row r="172">
      <c r="A172" s="26" t="n">
        <v>171</v>
      </c>
      <c r="B172" s="26" t="inlineStr">
        <is>
          <t>حسين مصطفى – مستودع الرياض</t>
        </is>
      </c>
      <c r="C172" s="27" t="n">
        <v>46238</v>
      </c>
      <c r="D172" s="26" t="inlineStr">
        <is>
          <t>SUPPLIES COFFEE &amp; مياهTEA للشرب للعمال</t>
        </is>
      </c>
      <c r="E172" s="26" t="inlineStr"/>
      <c r="F172" s="26" t="inlineStr">
        <is>
          <t>خدمات ومرافق (كهرباء/مياه/إنترنت/إنشاءات)</t>
        </is>
      </c>
      <c r="G172" s="28" t="n">
        <v>70</v>
      </c>
      <c r="H172" s="26" t="inlineStr">
        <is>
          <t>لا</t>
        </is>
      </c>
      <c r="I172" s="26" t="inlineStr">
        <is>
          <t>بعد 31-7-2026 – خارج الفترة</t>
        </is>
      </c>
    </row>
    <row r="173">
      <c r="A173" s="26" t="n">
        <v>172</v>
      </c>
      <c r="B173" s="26" t="inlineStr">
        <is>
          <t>حسين مصطفى – مستودع الرياض</t>
        </is>
      </c>
      <c r="C173" s="27" t="n">
        <v>46238</v>
      </c>
      <c r="D173" s="26" t="inlineStr">
        <is>
          <t>B82 - شراء سيور للمراوح</t>
        </is>
      </c>
      <c r="E173" s="26" t="inlineStr">
        <is>
          <t>EQUIP. &amp; DEVICE MAINTENANCE</t>
        </is>
      </c>
      <c r="F173" s="26" t="inlineStr">
        <is>
          <t>خدمات ومرافق (كهرباء/مياه/إنترنت/إنشاءات)</t>
        </is>
      </c>
      <c r="G173" s="28" t="n">
        <v>126.01</v>
      </c>
      <c r="H173" s="26" t="inlineStr">
        <is>
          <t>لا</t>
        </is>
      </c>
      <c r="I173" s="26" t="inlineStr">
        <is>
          <t>بعد 31-7-2026 – خارج الفترة</t>
        </is>
      </c>
    </row>
    <row r="174">
      <c r="A174" s="26" t="n">
        <v>173</v>
      </c>
      <c r="B174" s="26" t="inlineStr">
        <is>
          <t>حسين مصطفى – مستودع الرياض</t>
        </is>
      </c>
      <c r="C174" s="27" t="n">
        <v>46238</v>
      </c>
      <c r="D174" s="26" t="inlineStr">
        <is>
          <t>قيمةNS-DEPARTMENT اجرة سيارة لتوصيل اوراق الشئون للرياض يوم 2026-7-1</t>
        </is>
      </c>
      <c r="E174" s="26" t="inlineStr"/>
      <c r="F174" s="26" t="inlineStr">
        <is>
          <t>نقل خارجي</t>
        </is>
      </c>
      <c r="G174" s="28" t="n">
        <v>280</v>
      </c>
      <c r="H174" s="26" t="inlineStr">
        <is>
          <t>لا</t>
        </is>
      </c>
      <c r="I174" s="26" t="inlineStr">
        <is>
          <t>بعد 31-7-2026 – خارج الفترة</t>
        </is>
      </c>
    </row>
    <row r="175">
      <c r="A175" s="26" t="n">
        <v>174</v>
      </c>
      <c r="B175" s="26" t="inlineStr">
        <is>
          <t>إسماعيل جان حبيب – سيارة 3010</t>
        </is>
      </c>
      <c r="C175" s="27" t="n">
        <v>46240</v>
      </c>
      <c r="D175" s="26" t="inlineStr">
        <is>
          <t>سوالر س اسماعيل يوم 2026-8-3</t>
        </is>
      </c>
      <c r="E175" s="26" t="inlineStr">
        <is>
          <t>VHC-3010</t>
        </is>
      </c>
      <c r="F175" s="26" t="inlineStr">
        <is>
          <t>وقود (ديزل/بنزين)</t>
        </is>
      </c>
      <c r="G175" s="28" t="n">
        <v>150</v>
      </c>
      <c r="H175" s="26" t="inlineStr">
        <is>
          <t>لا</t>
        </is>
      </c>
      <c r="I175" s="26" t="inlineStr">
        <is>
          <t>بعد 31-7-2026 – خارج الفترة</t>
        </is>
      </c>
    </row>
    <row r="176">
      <c r="A176" s="26" t="n">
        <v>175</v>
      </c>
      <c r="B176" s="26" t="inlineStr">
        <is>
          <t>إسماعيل جان حبيب – سيارة 3010</t>
        </is>
      </c>
      <c r="C176" s="27" t="n">
        <v>46240</v>
      </c>
      <c r="D176" s="26" t="inlineStr">
        <is>
          <t>سوالر اسماعيل يوم 2026-8-6</t>
        </is>
      </c>
      <c r="E176" s="26" t="inlineStr">
        <is>
          <t>VHC-3010</t>
        </is>
      </c>
      <c r="F176" s="26" t="inlineStr">
        <is>
          <t>وقود (ديزل/بنزين)</t>
        </is>
      </c>
      <c r="G176" s="28" t="n">
        <v>200</v>
      </c>
      <c r="H176" s="26" t="inlineStr">
        <is>
          <t>لا</t>
        </is>
      </c>
      <c r="I176" s="26" t="inlineStr">
        <is>
          <t>بعد 31-7-2026 – خارج الفترة</t>
        </is>
      </c>
    </row>
    <row r="177">
      <c r="A177" s="26" t="n">
        <v>176</v>
      </c>
      <c r="B177" s="26" t="inlineStr">
        <is>
          <t>حسين مصطفى – مستودع الرياض</t>
        </is>
      </c>
      <c r="C177" s="27" t="n">
        <v>46240</v>
      </c>
      <c r="D177" s="26" t="inlineStr">
        <is>
          <t>شراء مبيدات الشجار والحشائش يوم 2026-8-3</t>
        </is>
      </c>
      <c r="E177" s="26" t="inlineStr">
        <is>
          <t>RN-DEPARTMENT</t>
        </is>
      </c>
      <c r="F177" s="26" t="inlineStr">
        <is>
          <t>مصروفات تشغيل المزرعة</t>
        </is>
      </c>
      <c r="G177" s="28" t="n">
        <v>405</v>
      </c>
      <c r="H177" s="26" t="inlineStr">
        <is>
          <t>لا</t>
        </is>
      </c>
      <c r="I177" s="26" t="inlineStr">
        <is>
          <t>بعد 31-7-2026 – خارج الفترة</t>
        </is>
      </c>
    </row>
    <row r="178">
      <c r="A178" s="26" t="n">
        <v>177</v>
      </c>
      <c r="B178" s="26" t="inlineStr">
        <is>
          <t>حسين مصطفى – مستودع الرياض</t>
        </is>
      </c>
      <c r="C178" s="27" t="n">
        <v>46242</v>
      </c>
      <c r="D178" s="26" t="inlineStr">
        <is>
          <t>بنزين للوانيت 5564 - يوم 2026-8-7</t>
        </is>
      </c>
      <c r="E178" s="26" t="inlineStr">
        <is>
          <t>VHC-5564</t>
        </is>
      </c>
      <c r="F178" s="26" t="inlineStr">
        <is>
          <t>وقود (ديزل/بنزين)</t>
        </is>
      </c>
      <c r="G178" s="28" t="n">
        <v>60.02</v>
      </c>
      <c r="H178" s="26" t="inlineStr">
        <is>
          <t>لا</t>
        </is>
      </c>
      <c r="I178" s="26" t="inlineStr">
        <is>
          <t>بعد 31-7-2026 – خارج الفترة</t>
        </is>
      </c>
    </row>
    <row r="179">
      <c r="A179" s="26" t="n">
        <v>178</v>
      </c>
      <c r="B179" s="26" t="inlineStr">
        <is>
          <t>عظمت الله خان – سيارة 1219</t>
        </is>
      </c>
      <c r="C179" s="27" t="n">
        <v>46242</v>
      </c>
      <c r="D179" s="26" t="inlineStr">
        <is>
          <t>سوالر س - عصمت يوم 2026-8-8</t>
        </is>
      </c>
      <c r="E179" s="26" t="inlineStr">
        <is>
          <t>VHC-1219</t>
        </is>
      </c>
      <c r="F179" s="26" t="inlineStr">
        <is>
          <t>وقود (ديزل/بنزين)</t>
        </is>
      </c>
      <c r="G179" s="28" t="n">
        <v>250</v>
      </c>
      <c r="H179" s="26" t="inlineStr">
        <is>
          <t>لا</t>
        </is>
      </c>
      <c r="I179" s="26" t="inlineStr">
        <is>
          <t>بعد 31-7-2026 – خارج الفترة</t>
        </is>
      </c>
    </row>
    <row r="180">
      <c r="A180" s="21" t="inlineStr"/>
      <c r="B180" s="21" t="inlineStr"/>
      <c r="C180" s="21" t="inlineStr"/>
      <c r="D180" s="21" t="inlineStr">
        <is>
          <t>الإجمالي</t>
        </is>
      </c>
      <c r="E180" s="21" t="inlineStr"/>
      <c r="F180" s="21" t="inlineStr"/>
      <c r="G180" s="22">
        <f>SUM(G2:G179)</f>
        <v/>
      </c>
      <c r="H180" s="21" t="n"/>
      <c r="I180" s="21" t="n"/>
    </row>
  </sheetData>
  <autoFilter ref="A1:I1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rightToLeft="1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20" customWidth="1" min="4" max="4"/>
    <col width="20" customWidth="1" min="5" max="5"/>
    <col width="16" customWidth="1" min="6" max="6"/>
  </cols>
  <sheetData>
    <row r="1">
      <c r="A1" s="2" t="inlineStr">
        <is>
          <t>صاحب العهدة</t>
        </is>
      </c>
      <c r="B1" s="2" t="inlineStr">
        <is>
          <t>المنصرف له (إجمالي العهدة)</t>
        </is>
      </c>
      <c r="C1" s="2" t="inlineStr">
        <is>
          <t>المسوّى بمستندات</t>
        </is>
      </c>
      <c r="D1" s="2" t="inlineStr">
        <is>
          <t>الرصيد المتبقي بدون تسوية</t>
        </is>
      </c>
      <c r="E1" s="2" t="inlineStr">
        <is>
          <t>منها داخل الفترة حتى 31-7</t>
        </is>
      </c>
      <c r="F1" s="2" t="inlineStr">
        <is>
          <t>منها بعد 31-7</t>
        </is>
      </c>
    </row>
    <row r="2">
      <c r="A2" s="23" t="inlineStr">
        <is>
          <t>حسين مصطفى – مستودع الرياض</t>
        </is>
      </c>
      <c r="B2" s="25" t="n">
        <v>46018.39</v>
      </c>
      <c r="C2" s="25" t="n">
        <v>45136.41</v>
      </c>
      <c r="D2" s="25" t="n">
        <v>881.98</v>
      </c>
      <c r="E2" s="25" t="n">
        <v>41615.39</v>
      </c>
      <c r="F2" s="25" t="n">
        <v>3521.02</v>
      </c>
    </row>
    <row r="3">
      <c r="A3" s="23" t="inlineStr">
        <is>
          <t>إسماعيل جان حبيب – سيارة 3010</t>
        </is>
      </c>
      <c r="B3" s="25" t="n">
        <v>2153</v>
      </c>
      <c r="C3" s="25" t="n">
        <v>2003.05</v>
      </c>
      <c r="D3" s="25" t="n">
        <v>149.95</v>
      </c>
      <c r="E3" s="25" t="n">
        <v>1253.05</v>
      </c>
      <c r="F3" s="25" t="n">
        <v>750</v>
      </c>
    </row>
    <row r="4">
      <c r="A4" s="23" t="inlineStr">
        <is>
          <t>عظمت الله خان – سيارة 1219</t>
        </is>
      </c>
      <c r="B4" s="25" t="n">
        <v>2500</v>
      </c>
      <c r="C4" s="25" t="n">
        <v>1988.02</v>
      </c>
      <c r="D4" s="25" t="n">
        <v>511.98</v>
      </c>
      <c r="E4" s="25" t="n">
        <v>1293.02</v>
      </c>
      <c r="F4" s="25" t="n">
        <v>695</v>
      </c>
    </row>
    <row r="5">
      <c r="A5" s="23" t="inlineStr">
        <is>
          <t>عماد حمدي – سيارة 3010</t>
        </is>
      </c>
      <c r="B5" s="25" t="n">
        <v>690</v>
      </c>
      <c r="C5" s="25" t="n">
        <v>690</v>
      </c>
      <c r="D5" s="25" t="n">
        <v>0</v>
      </c>
      <c r="E5" s="25" t="n">
        <v>690</v>
      </c>
      <c r="F5" s="25" t="n">
        <v>0</v>
      </c>
    </row>
    <row r="6">
      <c r="A6" s="21" t="inlineStr">
        <is>
          <t>الإجمالي</t>
        </is>
      </c>
      <c r="B6" s="22">
        <f>SUM(B2:B5)</f>
        <v/>
      </c>
      <c r="C6" s="22">
        <f>SUM(C2:C5)</f>
        <v/>
      </c>
      <c r="D6" s="22">
        <f>SUM(D2:D5)</f>
        <v/>
      </c>
      <c r="E6" s="22">
        <f>SUM(E2:E5)</f>
        <v/>
      </c>
      <c r="F6" s="22">
        <f>SUM(F2:F5)</f>
        <v/>
      </c>
    </row>
    <row r="8">
      <c r="A8" s="29" t="inlineStr">
        <is>
          <t>المصروفات حسب البند (داخل الفترة حتى 31-7-2026)</t>
        </is>
      </c>
    </row>
    <row r="9">
      <c r="A9" s="2" t="inlineStr">
        <is>
          <t>البند</t>
        </is>
      </c>
      <c r="B9" s="2" t="inlineStr">
        <is>
          <t>المبلغ</t>
        </is>
      </c>
      <c r="C9" s="2" t="inlineStr">
        <is>
          <t>عدد الحركات</t>
        </is>
      </c>
      <c r="D9" s="2" t="n"/>
      <c r="E9" s="2" t="n"/>
      <c r="F9" s="2" t="n"/>
    </row>
    <row r="10">
      <c r="A10" s="23" t="inlineStr">
        <is>
          <t>وقود (ديزل/بنزين)</t>
        </is>
      </c>
      <c r="B10" s="25" t="n">
        <v>13997.32</v>
      </c>
      <c r="C10" s="23" t="n">
        <v>64</v>
      </c>
      <c r="D10" s="23" t="n"/>
      <c r="E10" s="23" t="n"/>
      <c r="F10" s="23" t="n"/>
    </row>
    <row r="11">
      <c r="A11" s="23" t="inlineStr">
        <is>
          <t>صيانة سيارات</t>
        </is>
      </c>
      <c r="B11" s="25" t="n">
        <v>13421.86</v>
      </c>
      <c r="C11" s="23" t="n">
        <v>39</v>
      </c>
      <c r="D11" s="23" t="n"/>
      <c r="E11" s="23" t="n"/>
      <c r="F11" s="23" t="n"/>
    </row>
    <row r="12">
      <c r="A12" s="23" t="inlineStr">
        <is>
          <t>خدمات ومرافق (كهرباء/مياه/إنترنت/إنشاءات)</t>
        </is>
      </c>
      <c r="B12" s="25" t="n">
        <v>11253.65</v>
      </c>
      <c r="C12" s="23" t="n">
        <v>23</v>
      </c>
      <c r="D12" s="23" t="n"/>
      <c r="E12" s="23" t="n"/>
      <c r="F12" s="23" t="n"/>
    </row>
    <row r="13">
      <c r="A13" s="23" t="inlineStr">
        <is>
          <t>مصروفات تشغيل المزرعة</t>
        </is>
      </c>
      <c r="B13" s="25" t="n">
        <v>3674.38</v>
      </c>
      <c r="C13" s="23" t="n">
        <v>17</v>
      </c>
      <c r="D13" s="23" t="n"/>
      <c r="E13" s="23" t="n"/>
      <c r="F13" s="23" t="n"/>
    </row>
    <row r="14">
      <c r="A14" s="23" t="inlineStr">
        <is>
          <t>رواتب وعمولات وانتقالات</t>
        </is>
      </c>
      <c r="B14" s="25" t="n">
        <v>2504.25</v>
      </c>
      <c r="C14" s="23" t="n">
        <v>4</v>
      </c>
      <c r="D14" s="23" t="n"/>
      <c r="E14" s="23" t="n"/>
      <c r="F14" s="23" t="n"/>
    </row>
    <row r="15">
      <c r="A15" s="21" t="inlineStr">
        <is>
          <t>الإجمالي</t>
        </is>
      </c>
      <c r="B15" s="22">
        <f>SUM(B10:B14)</f>
        <v/>
      </c>
      <c r="C15" s="21">
        <f>SUM(C10:C14)</f>
        <v/>
      </c>
      <c r="D15" s="21" t="n"/>
      <c r="E15" s="21" t="n"/>
      <c r="F15" s="21" t="n"/>
    </row>
    <row r="17">
      <c r="A17" s="29" t="inlineStr">
        <is>
          <t>المصروفات حسب السيارة / المستفيد (داخل الفترة)</t>
        </is>
      </c>
    </row>
    <row r="18">
      <c r="A18" s="2" t="inlineStr">
        <is>
          <t>المستفيد</t>
        </is>
      </c>
      <c r="B18" s="2" t="inlineStr">
        <is>
          <t>المبلغ</t>
        </is>
      </c>
      <c r="C18" s="2" t="inlineStr">
        <is>
          <t>عدد الحركات</t>
        </is>
      </c>
      <c r="D18" s="2" t="n"/>
      <c r="E18" s="2" t="n"/>
      <c r="F18" s="2" t="n"/>
    </row>
    <row r="19">
      <c r="A19" s="23" t="inlineStr">
        <is>
          <t>سيارة 3010 (عماد)</t>
        </is>
      </c>
      <c r="B19" s="25" t="n">
        <v>14033.16</v>
      </c>
      <c r="C19" s="23" t="n">
        <v>52</v>
      </c>
      <c r="D19" s="23" t="n"/>
      <c r="E19" s="23" t="n"/>
      <c r="F19" s="23" t="n"/>
    </row>
    <row r="20">
      <c r="A20" s="23" t="inlineStr">
        <is>
          <t>مصروفات المزرعة</t>
        </is>
      </c>
      <c r="B20" s="25" t="n">
        <v>11747.11</v>
      </c>
      <c r="C20" s="23" t="n">
        <v>22</v>
      </c>
      <c r="D20" s="23" t="n"/>
      <c r="E20" s="23" t="n"/>
      <c r="F20" s="23" t="n"/>
    </row>
    <row r="21">
      <c r="A21" s="23" t="inlineStr">
        <is>
          <t>سيارة 1219 (عصمت)</t>
        </is>
      </c>
      <c r="B21" s="25" t="n">
        <v>11176.31</v>
      </c>
      <c r="C21" s="23" t="n">
        <v>42</v>
      </c>
      <c r="D21" s="23" t="n"/>
      <c r="E21" s="23" t="n"/>
      <c r="F21" s="23" t="n"/>
    </row>
    <row r="22">
      <c r="A22" s="23" t="inlineStr">
        <is>
          <t>أفراد (عمولات/انتقالات)</t>
        </is>
      </c>
      <c r="B22" s="25" t="n">
        <v>2794.25</v>
      </c>
      <c r="C22" s="23" t="n">
        <v>4</v>
      </c>
      <c r="D22" s="23" t="n"/>
      <c r="E22" s="23" t="n"/>
      <c r="F22" s="23" t="n"/>
    </row>
    <row r="23">
      <c r="A23" s="23" t="inlineStr">
        <is>
          <t>سيارة 5564 (الوانيت)</t>
        </is>
      </c>
      <c r="B23" s="25" t="n">
        <v>2669.71</v>
      </c>
      <c r="C23" s="23" t="n">
        <v>10</v>
      </c>
      <c r="D23" s="23" t="n"/>
      <c r="E23" s="23" t="n"/>
      <c r="F23" s="23" t="n"/>
    </row>
    <row r="24">
      <c r="A24" s="23" t="inlineStr">
        <is>
          <t>قسم مزرعة الرياض</t>
        </is>
      </c>
      <c r="B24" s="25" t="n">
        <v>2430.92</v>
      </c>
      <c r="C24" s="23" t="n">
        <v>17</v>
      </c>
      <c r="D24" s="23" t="n"/>
      <c r="E24" s="23" t="n"/>
      <c r="F24" s="23" t="n"/>
    </row>
    <row r="25">
      <c r="A25" s="21" t="inlineStr">
        <is>
          <t>الإجمالي</t>
        </is>
      </c>
      <c r="B25" s="22">
        <f>SUM(B19:B24)</f>
        <v/>
      </c>
      <c r="C25" s="21">
        <f>SUM(C19:C24)</f>
        <v/>
      </c>
      <c r="D25" s="21" t="n"/>
      <c r="E25" s="21" t="n"/>
      <c r="F25" s="2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2026-09-28T00:00:07Z</dcterms:created>
  <dcterms:modified xsi:type="dcterms:W3CDTF">2026-09-28T00:00:07Z</dcterms:modified>
</cp:coreProperties>
</file>