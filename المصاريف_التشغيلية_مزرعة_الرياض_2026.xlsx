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أوامر الشراء" sheetId="2" state="visible" r:id="rId2"/>
    <sheet name="العهد - تفصيل المصروفات" sheetId="3" state="visible" r:id="rId3"/>
    <sheet name="العهد - ملخص" sheetId="4" state="visible" r:id="rId4"/>
    <sheet name="مصروفات 2025 - تفصيل" sheetId="5" state="visible" r:id="rId5"/>
    <sheet name="مصروفات 2025 - ملخص" sheetId="6" state="visible" r:id="rId6"/>
  </sheets>
  <definedNames>
    <definedName name="_xlnm._FilterDatabase" localSheetId="1" hidden="1">'أوامر الشراء'!$A$1:$L$32</definedName>
    <definedName name="_xlnm._FilterDatabase" localSheetId="2" hidden="1">'العهد - تفصيل المصروفات'!$A$1:$I$179</definedName>
    <definedName name="_xlnm._FilterDatabase" localSheetId="4" hidden="1">'مصروفات 2025 - تفصيل'!$A$1:$L$307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4" fontId="2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2" fillId="5" borderId="1" pivotButton="0" quotePrefix="0" xfId="0"/>
    <xf numFmtId="4" fontId="2" fillId="5" borderId="1" pivotButton="0" quotePrefix="0" xfId="0"/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0" fillId="6" borderId="1" pivotButton="0" quotePrefix="0" xfId="0"/>
    <xf numFmtId="165" fontId="0" fillId="6" borderId="1" pivotButton="0" quotePrefix="0" xfId="0"/>
    <xf numFmtId="4" fontId="0" fillId="6" borderId="1" pivotButton="0" quotePrefix="0" xfId="0"/>
    <xf numFmtId="0" fontId="2" fillId="0" borderId="0" pivotButton="0" quotePrefix="0" xfId="0"/>
    <xf numFmtId="0" fontId="0" fillId="8" borderId="1" pivotButton="0" quotePrefix="0" xfId="0"/>
    <xf numFmtId="4" fontId="0" fillId="8" borderId="1" pivotButton="0" quotePrefix="0" xfId="0"/>
    <xf numFmtId="0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165" fontId="0" fillId="8" borderId="1" applyAlignment="1" pivotButton="0" quotePrefix="0" xfId="0">
      <alignment vertical="top" wrapText="1"/>
    </xf>
    <xf numFmtId="4" fontId="0" fillId="8" borderId="1" applyAlignment="1" pivotButton="0" quotePrefix="0" xfId="0">
      <alignment vertical="top" wrapText="1"/>
    </xf>
    <xf numFmtId="0" fontId="0" fillId="3" borderId="1" pivotButton="0" quotePrefix="0" xfId="0"/>
    <xf numFmtId="165" fontId="0" fillId="3" borderId="1" pivotButton="0" quotePrefix="0" xfId="0"/>
    <xf numFmtId="4" fontId="0" fillId="3" borderId="1" pivotButton="0" quotePrefix="0" xfId="0"/>
    <xf numFmtId="165" fontId="0" fillId="8" borderId="1" pivotButton="0" quotePrefix="0" xfId="0"/>
    <xf numFmtId="0" fontId="0" fillId="4" borderId="1" pivotButton="0" quotePrefix="0" xfId="0"/>
    <xf numFmtId="165" fontId="0" fillId="4" borderId="1" pivotButton="0" quotePrefix="0" xfId="0"/>
    <xf numFmtId="4" fontId="0" fillId="4" borderId="1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8" customWidth="1" min="3" max="3"/>
    <col width="80" customWidth="1" min="4" max="4"/>
  </cols>
  <sheetData>
    <row r="1">
      <c r="A1" s="1" t="inlineStr">
        <is>
          <t>المصاريف التشغيلية – مزرعة الرياض (1-1-2026 إلى 31-7-2026)</t>
        </is>
      </c>
    </row>
    <row r="3">
      <c r="A3" s="2" t="inlineStr">
        <is>
          <t>البند</t>
        </is>
      </c>
      <c r="B3" s="2" t="inlineStr">
        <is>
          <t>العدد</t>
        </is>
      </c>
      <c r="C3" s="2" t="inlineStr">
        <is>
          <t>المبلغ</t>
        </is>
      </c>
      <c r="D3" s="2" t="inlineStr">
        <is>
          <t>ملاحظة</t>
        </is>
      </c>
    </row>
    <row r="4">
      <c r="A4" s="3" t="inlineStr">
        <is>
          <t>أولاً: أوامر الشراء (مشتريات المزرعة)</t>
        </is>
      </c>
      <c r="B4" s="3" t="n"/>
      <c r="C4" s="4" t="n"/>
      <c r="D4" s="3" t="inlineStr"/>
    </row>
    <row r="5">
      <c r="A5" s="5" t="inlineStr">
        <is>
          <t xml:space="preserve">  أوامر مدفوعة بالكامل</t>
        </is>
      </c>
      <c r="B5" s="5" t="n">
        <v>29</v>
      </c>
      <c r="C5" s="6" t="n">
        <v>497518.61</v>
      </c>
      <c r="D5" s="5" t="inlineStr"/>
    </row>
    <row r="6">
      <c r="A6" s="5" t="inlineStr">
        <is>
          <t xml:space="preserve">  أوامر مدفوعة جزئياً</t>
        </is>
      </c>
      <c r="B6" s="5" t="n">
        <v>1</v>
      </c>
      <c r="C6" s="6" t="n">
        <v>66420</v>
      </c>
      <c r="D6" s="5" t="inlineStr">
        <is>
          <t>PO-0777 (بساتين الرياض) – المبلغ المدفوع غير موضح</t>
        </is>
      </c>
    </row>
    <row r="7">
      <c r="A7" s="5" t="inlineStr">
        <is>
          <t xml:space="preserve">  أوامر غير مدفوعة</t>
        </is>
      </c>
      <c r="B7" s="5" t="n">
        <v>1</v>
      </c>
      <c r="C7" s="6" t="n">
        <v>33950</v>
      </c>
      <c r="D7" s="5" t="inlineStr">
        <is>
          <t>PO-1023 (بساتين الرياض)</t>
        </is>
      </c>
    </row>
    <row r="8">
      <c r="A8" s="5" t="inlineStr">
        <is>
          <t xml:space="preserve">  إجمالي أوامر الشراء</t>
        </is>
      </c>
      <c r="B8" s="5" t="n">
        <v>31</v>
      </c>
      <c r="C8" s="6" t="n">
        <v>597888.61</v>
      </c>
      <c r="D8" s="5" t="inlineStr"/>
    </row>
    <row r="9">
      <c r="A9" s="5" t="inlineStr">
        <is>
          <t xml:space="preserve">  المديونية القائمة للموردين (حد أقصى)</t>
        </is>
      </c>
      <c r="B9" s="5" t="n">
        <v>2</v>
      </c>
      <c r="C9" s="6" t="n">
        <v>100370</v>
      </c>
      <c r="D9" s="5">
        <f> غير المدفوع + المدفوع جزئياً بالكامل لحين معرفة المسدد من PO-0777</f>
        <v/>
      </c>
    </row>
    <row r="10">
      <c r="A10" s="3" t="inlineStr">
        <is>
          <t>ثانياً: مصروفات العهد النقدية (تسويات معتمدة)</t>
        </is>
      </c>
      <c r="B10" s="3" t="n"/>
      <c r="C10" s="4" t="n"/>
      <c r="D10" s="3" t="inlineStr"/>
    </row>
    <row r="11">
      <c r="A11" s="5" t="inlineStr">
        <is>
          <t xml:space="preserve">  داخل الفترة حتى 31-7-2026</t>
        </is>
      </c>
      <c r="B11" s="5" t="n">
        <v>147</v>
      </c>
      <c r="C11" s="6" t="n">
        <v>44851.46</v>
      </c>
      <c r="D11" s="5" t="inlineStr">
        <is>
          <t>تفصيلها حسب البند والسيارة في شيت "العهد - ملخص"</t>
        </is>
      </c>
    </row>
    <row r="12">
      <c r="A12" s="5" t="inlineStr">
        <is>
          <t xml:space="preserve">  بعد 31-7-2026 (خارج الفترة)</t>
        </is>
      </c>
      <c r="B12" s="5" t="n">
        <v>31</v>
      </c>
      <c r="C12" s="6" t="n">
        <v>4966.02</v>
      </c>
      <c r="D12" s="5" t="inlineStr"/>
    </row>
    <row r="13">
      <c r="A13" s="5" t="inlineStr">
        <is>
          <t xml:space="preserve">  أرصدة عهد لم تُسوَّ بعد</t>
        </is>
      </c>
      <c r="B13" s="5" t="n"/>
      <c r="C13" s="6" t="n">
        <v>1543.91</v>
      </c>
      <c r="D13" s="5" t="inlineStr">
        <is>
          <t>مبالغ صُرفت لأصحاب العهد ولم تُقدم بها مستندات حتى تاريخ التقارير 9-8-2026</t>
        </is>
      </c>
    </row>
    <row r="14">
      <c r="A14" s="30" t="inlineStr">
        <is>
          <t xml:space="preserve">  يُخصم: أوامر 2026 هي سداد لمشتريات 2025 (PO-288، PO-287-REV1، PO-296، PO-295)</t>
        </is>
      </c>
      <c r="B14" s="30" t="n">
        <v>4</v>
      </c>
      <c r="C14" s="31" t="n">
        <v>-211811.25</v>
      </c>
      <c r="D14" s="30" t="inlineStr">
        <is>
          <t>مصروفات تخص 2025 وسُددت في 2026 – مدرجة في شيت مصروفات 2025</t>
        </is>
      </c>
    </row>
    <row r="15" ht="32" customHeight="1">
      <c r="A15" s="7" t="inlineStr">
        <is>
          <t>إجمالي المصاريف التشغيلية 2026 (أوامر الشراء + العهد، بعد استبعاد سداد 2025)</t>
        </is>
      </c>
      <c r="B15" s="21" t="n"/>
      <c r="C15" s="22">
        <f>C8+C11+C14</f>
        <v/>
      </c>
      <c r="D15" s="21" t="n"/>
    </row>
    <row r="16" ht="32" customHeight="1">
      <c r="A16" s="9" t="inlineStr"/>
    </row>
    <row r="17" ht="32" customHeight="1">
      <c r="A17" s="10" t="inlineStr">
        <is>
          <t>ملاحظات المراجعة:</t>
        </is>
      </c>
    </row>
    <row r="18" ht="32" customHeight="1">
      <c r="A18" s="9" t="inlineStr">
        <is>
          <t>1) كل تقارير العهد الأربعة مطابقة: مجموع التسويات = "TOTAL SETTLED" بكل تقرير، ومجموع الإضافات = "TOTAL GRANTED".</t>
        </is>
      </c>
    </row>
    <row r="19" ht="32" customHeight="1">
      <c r="A19" s="9" t="inlineStr">
        <is>
          <t>2) ⚠ مديونية قائمة: PO-1023 (33,950 غير مدفوع) و PO-0777 (66,420 مدفوع جزئياً) – كلاهما لمؤسسة بساتين الرياض وتم استلامهما بالكامل.</t>
        </is>
      </c>
    </row>
    <row r="20" ht="32" customHeight="1">
      <c r="A20" s="9" t="inlineStr">
        <is>
          <t>3) ⚠ 27 أمر شراء حالة الاستلام فيها "Not Issued" رغم أنها مدفوعة بالكامل – يعني الاستلام لم يُسجل بالنظام.</t>
        </is>
      </c>
    </row>
    <row r="21" ht="32" customHeight="1">
      <c r="A21" s="9" t="inlineStr">
        <is>
          <t>4) ⚠ المدارات: أمران بنفس القيمة 53,475 (PO-267 و PO-309) – يلزم التأكد أنهما توريدان مختلفان.</t>
        </is>
      </c>
    </row>
    <row r="22" ht="32" customHeight="1">
      <c r="A22" s="9" t="inlineStr">
        <is>
          <t>5) أوامر PO-288 و PO-287-REV1 و PO-295 و PO-296 (211,811.25) هي سداد لمشتريات 2025 غير مدفوعة – تم استبعادها من مصاريف 2026.</t>
        </is>
      </c>
    </row>
    <row r="23" ht="32" customHeight="1">
      <c r="A23" s="9" t="inlineStr">
        <is>
          <t>6) ⚠ تداخل محتمل: مصروفات الديزل بالعهد (سيارات 1219 و 3010) قد تكون جزءاً من إجمالي الديزل 2026 (24,888) في شيت "الديزل المدفوع من نسما الشرق" – يلزم التأكد لتجنب الاحتساب مرتين.</t>
        </is>
      </c>
    </row>
    <row r="24" ht="32" customHeight="1">
      <c r="A24" s="9" t="inlineStr">
        <is>
          <t>7) عهدة حسين مصطفى تشمل إضافات "نقداً" بقيمة 39,518.39 (عمود المنصرف = 0) – أي أنها صُرفت نقداً من خارج النظام.</t>
        </is>
      </c>
    </row>
    <row r="25">
      <c r="A25" s="9" t="inlineStr">
        <is>
          <t>8) مصروفات 2025 مضافة في شيتي "مصروفات 2025 - تفصيل" و"مصروفات 2025 - ملخص".</t>
        </is>
      </c>
    </row>
  </sheetData>
  <mergeCells count="10">
    <mergeCell ref="A1:D1"/>
    <mergeCell ref="A23:D23"/>
    <mergeCell ref="A18:D18"/>
    <mergeCell ref="A17:D17"/>
    <mergeCell ref="A22:D22"/>
    <mergeCell ref="A20:D20"/>
    <mergeCell ref="A21:D21"/>
    <mergeCell ref="A25:D25"/>
    <mergeCell ref="A24:D24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30" customWidth="1" min="4" max="4"/>
    <col width="11" customWidth="1" min="5" max="5"/>
    <col width="15" customWidth="1" min="6" max="6"/>
    <col width="12" customWidth="1" min="7" max="7"/>
    <col width="16" customWidth="1" min="8" max="8"/>
    <col width="16" customWidth="1" min="9" max="9"/>
    <col width="13" customWidth="1" min="10" max="10"/>
    <col width="15" customWidth="1" min="11" max="11"/>
    <col width="70" customWidth="1" min="12" max="12"/>
  </cols>
  <sheetData>
    <row r="1">
      <c r="A1" s="2" t="inlineStr">
        <is>
          <t>م</t>
        </is>
      </c>
      <c r="B1" s="2" t="inlineStr">
        <is>
          <t>رقم أمر الشراء</t>
        </is>
      </c>
      <c r="C1" s="2" t="inlineStr">
        <is>
          <t>التاريخ</t>
        </is>
      </c>
      <c r="D1" s="2" t="inlineStr">
        <is>
          <t>المورد</t>
        </is>
      </c>
      <c r="E1" s="2" t="inlineStr">
        <is>
          <t>المرجع</t>
        </is>
      </c>
      <c r="F1" s="2" t="inlineStr">
        <is>
          <t>القيمة قبل الضريبة</t>
        </is>
      </c>
      <c r="G1" s="2" t="inlineStr">
        <is>
          <t>الضريبة</t>
        </is>
      </c>
      <c r="H1" s="2" t="inlineStr">
        <is>
          <t>الإجمالي بعد الضريبة</t>
        </is>
      </c>
      <c r="I1" s="2" t="inlineStr">
        <is>
          <t>حالة الاستلام</t>
        </is>
      </c>
      <c r="J1" s="2" t="inlineStr">
        <is>
          <t>حالة الدفع</t>
        </is>
      </c>
      <c r="K1" s="2" t="inlineStr">
        <is>
          <t>المديونية القائمة</t>
        </is>
      </c>
      <c r="L1" s="2" t="inlineStr">
        <is>
          <t>ملاحظة</t>
        </is>
      </c>
    </row>
    <row r="2">
      <c r="A2" s="32" t="n">
        <v>1</v>
      </c>
      <c r="B2" s="33" t="inlineStr">
        <is>
          <t>PO-288</t>
        </is>
      </c>
      <c r="C2" s="34" t="n">
        <v>46024</v>
      </c>
      <c r="D2" s="32" t="inlineStr">
        <is>
          <t>بساتين الرياض</t>
        </is>
      </c>
      <c r="E2" s="32" t="inlineStr">
        <is>
          <t>RN-711</t>
        </is>
      </c>
      <c r="F2" s="35" t="n">
        <v>75005</v>
      </c>
      <c r="G2" s="35" t="n">
        <v>11250.75</v>
      </c>
      <c r="H2" s="35" t="n">
        <v>86255.75</v>
      </c>
      <c r="I2" s="32" t="inlineStr">
        <is>
          <t>لم يُسجل الاستلام</t>
        </is>
      </c>
      <c r="J2" s="32" t="inlineStr">
        <is>
          <t>مدفوع بالكامل</t>
        </is>
      </c>
      <c r="K2" s="35" t="n">
        <v>0</v>
      </c>
      <c r="L2" s="32" t="inlineStr">
        <is>
          <t>⚠ سداد لمشتريات 2025 غير مدفوعة: PO711 + PO748 (بساتين الرياض – 2025)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</t>
        </is>
      </c>
    </row>
    <row r="3">
      <c r="A3" s="32" t="n">
        <v>2</v>
      </c>
      <c r="B3" s="33" t="inlineStr">
        <is>
          <t>PO-287-REV1</t>
        </is>
      </c>
      <c r="C3" s="34" t="n">
        <v>46025</v>
      </c>
      <c r="D3" s="32" t="inlineStr">
        <is>
          <t>بساتين الرياض</t>
        </is>
      </c>
      <c r="E3" s="32" t="inlineStr">
        <is>
          <t>RN-838</t>
        </is>
      </c>
      <c r="F3" s="35" t="n">
        <v>53470</v>
      </c>
      <c r="G3" s="35" t="n">
        <v>8020.5</v>
      </c>
      <c r="H3" s="35" t="n">
        <v>61490.5</v>
      </c>
      <c r="I3" s="32" t="inlineStr">
        <is>
          <t>لم يُسجل الاستلام</t>
        </is>
      </c>
      <c r="J3" s="32" t="inlineStr">
        <is>
          <t>مدفوع بالكامل</t>
        </is>
      </c>
      <c r="K3" s="35" t="n">
        <v>0</v>
      </c>
      <c r="L3" s="32" t="inlineStr">
        <is>
          <t>⚠ سداد لمشتريات 2025 غير مدفوعة: PO838 + PO876 (بساتين الرياض – 2025)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 | أمر معدّل (REV1)</t>
        </is>
      </c>
    </row>
    <row r="4">
      <c r="A4" s="5" t="n">
        <v>3</v>
      </c>
      <c r="B4" s="11" t="inlineStr">
        <is>
          <t>PO-9</t>
        </is>
      </c>
      <c r="C4" s="12" t="n">
        <v>46025</v>
      </c>
      <c r="D4" s="5" t="inlineStr">
        <is>
          <t>شركة مصنع الديكور والبولستيرين</t>
        </is>
      </c>
      <c r="E4" s="5" t="inlineStr">
        <is>
          <t>RN-2</t>
        </is>
      </c>
      <c r="F4" s="6" t="n">
        <v>4200</v>
      </c>
      <c r="G4" s="6" t="n">
        <v>630</v>
      </c>
      <c r="H4" s="6" t="n">
        <v>4830</v>
      </c>
      <c r="I4" s="5" t="inlineStr">
        <is>
          <t>لم يُسجل الاستلام</t>
        </is>
      </c>
      <c r="J4" s="5" t="inlineStr">
        <is>
          <t>مدفوع بالكامل</t>
        </is>
      </c>
      <c r="K4" s="6" t="n">
        <v>0</v>
      </c>
      <c r="L4" s="5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5">
      <c r="A5" s="32" t="n">
        <v>4</v>
      </c>
      <c r="B5" s="33" t="inlineStr">
        <is>
          <t>PO-296</t>
        </is>
      </c>
      <c r="C5" s="34" t="n">
        <v>46027</v>
      </c>
      <c r="D5" s="32" t="inlineStr">
        <is>
          <t>مشتل الجودة المطلقة</t>
        </is>
      </c>
      <c r="E5" s="32" t="inlineStr">
        <is>
          <t>RN-877</t>
        </is>
      </c>
      <c r="F5" s="35" t="n">
        <v>49550</v>
      </c>
      <c r="G5" s="35" t="n">
        <v>0</v>
      </c>
      <c r="H5" s="35" t="n">
        <v>49550</v>
      </c>
      <c r="I5" s="32" t="inlineStr">
        <is>
          <t>لم يُسجل الاستلام</t>
        </is>
      </c>
      <c r="J5" s="32" t="inlineStr">
        <is>
          <t>مدفوع بالكامل</t>
        </is>
      </c>
      <c r="K5" s="35" t="n">
        <v>0</v>
      </c>
      <c r="L5" s="32" t="inlineStr">
        <is>
          <t>⚠ سداد لمشتريات 2025 غير مدفوعة: PO877 + PO878 (مشتل الجودة – 2025)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</t>
        </is>
      </c>
    </row>
    <row r="6">
      <c r="A6" s="32" t="n">
        <v>5</v>
      </c>
      <c r="B6" s="33" t="inlineStr">
        <is>
          <t>PO-295</t>
        </is>
      </c>
      <c r="C6" s="34" t="n">
        <v>46027</v>
      </c>
      <c r="D6" s="32" t="inlineStr">
        <is>
          <t>شركة غرس نجد</t>
        </is>
      </c>
      <c r="E6" s="32" t="inlineStr">
        <is>
          <t>RN-1606</t>
        </is>
      </c>
      <c r="F6" s="35" t="n">
        <v>14515</v>
      </c>
      <c r="G6" s="35" t="n">
        <v>0</v>
      </c>
      <c r="H6" s="35" t="n">
        <v>14515</v>
      </c>
      <c r="I6" s="32" t="inlineStr">
        <is>
          <t>لم يُسجل الاستلام</t>
        </is>
      </c>
      <c r="J6" s="32" t="inlineStr">
        <is>
          <t>مدفوع بالكامل</t>
        </is>
      </c>
      <c r="K6" s="35" t="n">
        <v>0</v>
      </c>
      <c r="L6" s="32" t="inlineStr">
        <is>
          <t>⚠ سداد لمشتريات 2025 غير مدفوعة: فاتورة غرس نجد 4-8-2025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</t>
        </is>
      </c>
    </row>
    <row r="7">
      <c r="A7" s="5" t="n">
        <v>6</v>
      </c>
      <c r="B7" s="11" t="inlineStr">
        <is>
          <t>PO-67</t>
        </is>
      </c>
      <c r="C7" s="12" t="n">
        <v>46032</v>
      </c>
      <c r="D7" s="5" t="inlineStr">
        <is>
          <t>شركة مصنع الديكور والبولستيرين</t>
        </is>
      </c>
      <c r="E7" s="5" t="inlineStr">
        <is>
          <t>RN-3</t>
        </is>
      </c>
      <c r="F7" s="6" t="n">
        <v>2100</v>
      </c>
      <c r="G7" s="6" t="n">
        <v>315</v>
      </c>
      <c r="H7" s="6" t="n">
        <v>2415</v>
      </c>
      <c r="I7" s="5" t="inlineStr">
        <is>
          <t>لم يُسجل الاستلام</t>
        </is>
      </c>
      <c r="J7" s="5" t="inlineStr">
        <is>
          <t>مدفوع بالكامل</t>
        </is>
      </c>
      <c r="K7" s="6" t="n">
        <v>0</v>
      </c>
      <c r="L7" s="5" t="inlineStr">
        <is>
          <t>حالة الاستلام "Not Issued" رغم أنه مدفوع بالكامل – لم يُسجل استلام بالنظام</t>
        </is>
      </c>
    </row>
    <row r="8">
      <c r="A8" s="5" t="n">
        <v>7</v>
      </c>
      <c r="B8" s="11" t="inlineStr">
        <is>
          <t>PO-121</t>
        </is>
      </c>
      <c r="C8" s="12" t="n">
        <v>46043</v>
      </c>
      <c r="D8" s="5" t="inlineStr">
        <is>
          <t>شركة مصنع الديكور والبولستيرين</t>
        </is>
      </c>
      <c r="E8" s="5" t="inlineStr">
        <is>
          <t>RN-5</t>
        </is>
      </c>
      <c r="F8" s="6" t="n">
        <v>4200</v>
      </c>
      <c r="G8" s="6" t="n">
        <v>630</v>
      </c>
      <c r="H8" s="6" t="n">
        <v>4830</v>
      </c>
      <c r="I8" s="5" t="inlineStr">
        <is>
          <t>لم يُسجل الاستلام</t>
        </is>
      </c>
      <c r="J8" s="5" t="inlineStr">
        <is>
          <t>مدفوع بالكامل</t>
        </is>
      </c>
      <c r="K8" s="6" t="n">
        <v>0</v>
      </c>
      <c r="L8" s="5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9">
      <c r="A9" s="5" t="n">
        <v>8</v>
      </c>
      <c r="B9" s="11" t="inlineStr">
        <is>
          <t>PO-146</t>
        </is>
      </c>
      <c r="C9" s="12" t="n">
        <v>46049</v>
      </c>
      <c r="D9" s="5" t="inlineStr">
        <is>
          <t>بساتين الرياض</t>
        </is>
      </c>
      <c r="E9" s="5" t="inlineStr">
        <is>
          <t>RN-8</t>
        </is>
      </c>
      <c r="F9" s="6" t="n">
        <v>32750</v>
      </c>
      <c r="G9" s="6" t="n">
        <v>0</v>
      </c>
      <c r="H9" s="6" t="n">
        <v>32750</v>
      </c>
      <c r="I9" s="5" t="inlineStr">
        <is>
          <t>لم يُسجل الاستلام</t>
        </is>
      </c>
      <c r="J9" s="5" t="inlineStr">
        <is>
          <t>مدفوع بالكامل</t>
        </is>
      </c>
      <c r="K9" s="6" t="n">
        <v>0</v>
      </c>
      <c r="L9" s="5" t="inlineStr">
        <is>
          <t>حالة الاستلام "Not Issued" رغم أنه مدفوع بالكامل – لم يُسجل استلام بالنظام</t>
        </is>
      </c>
    </row>
    <row r="10">
      <c r="A10" s="5" t="n">
        <v>9</v>
      </c>
      <c r="B10" s="11" t="inlineStr">
        <is>
          <t>PO-181</t>
        </is>
      </c>
      <c r="C10" s="12" t="n">
        <v>46054</v>
      </c>
      <c r="D10" s="5" t="inlineStr">
        <is>
          <t>شركة مصنع الديكور والبولستيرين</t>
        </is>
      </c>
      <c r="E10" s="5" t="inlineStr">
        <is>
          <t>RN-158</t>
        </is>
      </c>
      <c r="F10" s="6" t="n">
        <v>8148</v>
      </c>
      <c r="G10" s="6" t="n">
        <v>1222.2</v>
      </c>
      <c r="H10" s="6" t="n">
        <v>9370.200000000001</v>
      </c>
      <c r="I10" s="5" t="inlineStr">
        <is>
          <t>لم يُسجل الاستلام</t>
        </is>
      </c>
      <c r="J10" s="5" t="inlineStr">
        <is>
          <t>مدفوع بالكامل</t>
        </is>
      </c>
      <c r="K10" s="6" t="n">
        <v>0</v>
      </c>
      <c r="L10" s="5" t="inlineStr">
        <is>
          <t>حالة الاستلام "Not Issued" رغم أنه مدفوع بالكامل – لم يُسجل استلام بالنظام</t>
        </is>
      </c>
    </row>
    <row r="11">
      <c r="A11" s="5" t="n">
        <v>10</v>
      </c>
      <c r="B11" s="11" t="inlineStr">
        <is>
          <t>PO-210</t>
        </is>
      </c>
      <c r="C11" s="12" t="n">
        <v>46060</v>
      </c>
      <c r="D11" s="5" t="inlineStr">
        <is>
          <t>مصتع قطاف للاسمدة (البقرة السودة )</t>
        </is>
      </c>
      <c r="E11" s="5" t="inlineStr">
        <is>
          <t>RN-PR-191</t>
        </is>
      </c>
      <c r="F11" s="6" t="n">
        <v>1739.13</v>
      </c>
      <c r="G11" s="6" t="n">
        <v>260.87</v>
      </c>
      <c r="H11" s="6" t="n">
        <v>2000</v>
      </c>
      <c r="I11" s="5" t="inlineStr">
        <is>
          <t>لم يُسجل الاستلام</t>
        </is>
      </c>
      <c r="J11" s="5" t="inlineStr">
        <is>
          <t>مدفوع بالكامل</t>
        </is>
      </c>
      <c r="K11" s="6" t="n">
        <v>0</v>
      </c>
      <c r="L11" s="5" t="inlineStr">
        <is>
          <t>حالة الاستلام "Not Issued" رغم أنه مدفوع بالكامل – لم يُسجل استلام بالنظام</t>
        </is>
      </c>
    </row>
    <row r="12">
      <c r="A12" s="5" t="n">
        <v>11</v>
      </c>
      <c r="B12" s="11" t="inlineStr">
        <is>
          <t>PO-228-REV1</t>
        </is>
      </c>
      <c r="C12" s="12" t="n">
        <v>46063</v>
      </c>
      <c r="D12" s="5" t="inlineStr">
        <is>
          <t>شركة مصنع الديكور والبولستيرين</t>
        </is>
      </c>
      <c r="E12" s="5" t="inlineStr">
        <is>
          <t>RN-PR#203</t>
        </is>
      </c>
      <c r="F12" s="6" t="n">
        <v>8400</v>
      </c>
      <c r="G12" s="6" t="n">
        <v>1260</v>
      </c>
      <c r="H12" s="6" t="n">
        <v>9660</v>
      </c>
      <c r="I12" s="5" t="inlineStr">
        <is>
          <t>لم يُسجل الاستلام</t>
        </is>
      </c>
      <c r="J12" s="5" t="inlineStr">
        <is>
          <t>مدفوع بالكامل</t>
        </is>
      </c>
      <c r="K12" s="6" t="n">
        <v>0</v>
      </c>
      <c r="L12" s="5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 | أمر معدّل (REV1)</t>
        </is>
      </c>
    </row>
    <row r="13">
      <c r="A13" s="5" t="n">
        <v>12</v>
      </c>
      <c r="B13" s="11" t="inlineStr">
        <is>
          <t>PO-267</t>
        </is>
      </c>
      <c r="C13" s="12" t="n">
        <v>46072</v>
      </c>
      <c r="D13" s="5" t="inlineStr">
        <is>
          <t>المدارات</t>
        </is>
      </c>
      <c r="E13" s="5" t="inlineStr">
        <is>
          <t>RN-249</t>
        </is>
      </c>
      <c r="F13" s="6" t="n">
        <v>46500</v>
      </c>
      <c r="G13" s="6" t="n">
        <v>6975</v>
      </c>
      <c r="H13" s="6" t="n">
        <v>53475</v>
      </c>
      <c r="I13" s="5" t="inlineStr">
        <is>
          <t>لم يُسجل الاستلام</t>
        </is>
      </c>
      <c r="J13" s="5" t="inlineStr">
        <is>
          <t>مدفوع بالكامل</t>
        </is>
      </c>
      <c r="K13" s="6" t="n">
        <v>0</v>
      </c>
      <c r="L13" s="5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14">
      <c r="A14" s="5" t="n">
        <v>13</v>
      </c>
      <c r="B14" s="11" t="inlineStr">
        <is>
          <t>PO-6-REV1</t>
        </is>
      </c>
      <c r="C14" s="12" t="n">
        <v>46074</v>
      </c>
      <c r="D14" s="5" t="inlineStr">
        <is>
          <t>شركة مصنع الديكور والبولستيرين</t>
        </is>
      </c>
      <c r="E14" s="5" t="inlineStr">
        <is>
          <t>RN-34</t>
        </is>
      </c>
      <c r="F14" s="6" t="n">
        <v>4200</v>
      </c>
      <c r="G14" s="6" t="n">
        <v>630</v>
      </c>
      <c r="H14" s="6" t="n">
        <v>4830</v>
      </c>
      <c r="I14" s="5" t="inlineStr">
        <is>
          <t>لم يُسجل الاستلام</t>
        </is>
      </c>
      <c r="J14" s="5" t="inlineStr">
        <is>
          <t>مدفوع بالكامل</t>
        </is>
      </c>
      <c r="K14" s="6" t="n">
        <v>0</v>
      </c>
      <c r="L14" s="5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 | أمر معدّل (REV1)</t>
        </is>
      </c>
    </row>
    <row r="15">
      <c r="A15" s="5" t="n">
        <v>14</v>
      </c>
      <c r="B15" s="11" t="inlineStr">
        <is>
          <t>PO-265-REV1</t>
        </is>
      </c>
      <c r="C15" s="12" t="n">
        <v>46074</v>
      </c>
      <c r="D15" s="5" t="inlineStr">
        <is>
          <t>مصنع امداد للبلاسنيك</t>
        </is>
      </c>
      <c r="E15" s="5" t="inlineStr">
        <is>
          <t>RN-245</t>
        </is>
      </c>
      <c r="F15" s="6" t="n">
        <v>18000</v>
      </c>
      <c r="G15" s="6" t="n">
        <v>0</v>
      </c>
      <c r="H15" s="6" t="n">
        <v>18000</v>
      </c>
      <c r="I15" s="5" t="inlineStr">
        <is>
          <t>لم يُسجل الاستلام</t>
        </is>
      </c>
      <c r="J15" s="5" t="inlineStr">
        <is>
          <t>مدفوع بالكامل</t>
        </is>
      </c>
      <c r="K15" s="6" t="n">
        <v>0</v>
      </c>
      <c r="L15" s="5" t="inlineStr">
        <is>
          <t>حالة الاستلام "Not Issued" رغم أنه مدفوع بالكامل – لم يُسجل استلام بالنظام | أمر معدّل (REV1)</t>
        </is>
      </c>
    </row>
    <row r="16">
      <c r="A16" s="5" t="n">
        <v>15</v>
      </c>
      <c r="B16" s="11" t="inlineStr">
        <is>
          <t>PO-255-REV1</t>
        </is>
      </c>
      <c r="C16" s="12" t="n">
        <v>46074</v>
      </c>
      <c r="D16" s="5" t="inlineStr">
        <is>
          <t>بساتين الرياض</t>
        </is>
      </c>
      <c r="E16" s="5" t="inlineStr">
        <is>
          <t>RN-225</t>
        </is>
      </c>
      <c r="F16" s="6" t="n">
        <v>2750</v>
      </c>
      <c r="G16" s="6" t="n">
        <v>0</v>
      </c>
      <c r="H16" s="6" t="n">
        <v>2750</v>
      </c>
      <c r="I16" s="5" t="inlineStr">
        <is>
          <t>لم يُسجل الاستلام</t>
        </is>
      </c>
      <c r="J16" s="5" t="inlineStr">
        <is>
          <t>مدفوع بالكامل</t>
        </is>
      </c>
      <c r="K16" s="6" t="n">
        <v>0</v>
      </c>
      <c r="L16" s="5" t="inlineStr">
        <is>
          <t>حالة الاستلام "Not Issued" رغم أنه مدفوع بالكامل – لم يُسجل استلام بالنظام | أمر معدّل (REV1)</t>
        </is>
      </c>
    </row>
    <row r="17">
      <c r="A17" s="5" t="n">
        <v>16</v>
      </c>
      <c r="B17" s="11" t="inlineStr">
        <is>
          <t>PO-294</t>
        </is>
      </c>
      <c r="C17" s="12" t="n">
        <v>46082</v>
      </c>
      <c r="D17" s="5" t="inlineStr">
        <is>
          <t>شركة مصنع الديكور والبولستيرين</t>
        </is>
      </c>
      <c r="E17" s="5" t="inlineStr">
        <is>
          <t>RN-266</t>
        </is>
      </c>
      <c r="F17" s="6" t="n">
        <v>8400</v>
      </c>
      <c r="G17" s="6" t="n">
        <v>1260</v>
      </c>
      <c r="H17" s="6" t="n">
        <v>9660</v>
      </c>
      <c r="I17" s="5" t="inlineStr">
        <is>
          <t>لم يُسجل الاستلام</t>
        </is>
      </c>
      <c r="J17" s="5" t="inlineStr">
        <is>
          <t>مدفوع بالكامل</t>
        </is>
      </c>
      <c r="K17" s="6" t="n">
        <v>0</v>
      </c>
      <c r="L17" s="5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18">
      <c r="A18" s="5" t="n">
        <v>17</v>
      </c>
      <c r="B18" s="11" t="inlineStr">
        <is>
          <t>PO-309</t>
        </is>
      </c>
      <c r="C18" s="12" t="n">
        <v>46084</v>
      </c>
      <c r="D18" s="5" t="inlineStr">
        <is>
          <t>المدارات</t>
        </is>
      </c>
      <c r="E18" s="5" t="inlineStr">
        <is>
          <t>RN-285</t>
        </is>
      </c>
      <c r="F18" s="6" t="n">
        <v>46500</v>
      </c>
      <c r="G18" s="6" t="n">
        <v>6975</v>
      </c>
      <c r="H18" s="6" t="n">
        <v>53475</v>
      </c>
      <c r="I18" s="5" t="inlineStr">
        <is>
          <t>لم يُسجل الاستلام</t>
        </is>
      </c>
      <c r="J18" s="5" t="inlineStr">
        <is>
          <t>مدفوع بالكامل</t>
        </is>
      </c>
      <c r="K18" s="6" t="n">
        <v>0</v>
      </c>
      <c r="L18" s="5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19">
      <c r="A19" s="5" t="n">
        <v>18</v>
      </c>
      <c r="B19" s="11" t="inlineStr">
        <is>
          <t>PO-314</t>
        </is>
      </c>
      <c r="C19" s="12" t="n">
        <v>46089</v>
      </c>
      <c r="D19" s="5" t="inlineStr">
        <is>
          <t>شركة محمد راشد</t>
        </is>
      </c>
      <c r="E19" s="5" t="inlineStr">
        <is>
          <t>RN-287</t>
        </is>
      </c>
      <c r="F19" s="6" t="n">
        <v>434.8</v>
      </c>
      <c r="G19" s="6" t="n">
        <v>65.22</v>
      </c>
      <c r="H19" s="6" t="n">
        <v>500.02</v>
      </c>
      <c r="I19" s="5" t="inlineStr">
        <is>
          <t>لم يُسجل الاستلام</t>
        </is>
      </c>
      <c r="J19" s="5" t="inlineStr">
        <is>
          <t>مدفوع بالكامل</t>
        </is>
      </c>
      <c r="K19" s="6" t="n">
        <v>0</v>
      </c>
      <c r="L19" s="5" t="inlineStr">
        <is>
          <t>حالة الاستلام "Not Issued" رغم أنه مدفوع بالكامل – لم يُسجل استلام بالنظام</t>
        </is>
      </c>
    </row>
    <row r="20">
      <c r="A20" s="5" t="n">
        <v>19</v>
      </c>
      <c r="B20" s="11" t="inlineStr">
        <is>
          <t>PO-313</t>
        </is>
      </c>
      <c r="C20" s="12" t="n">
        <v>46089</v>
      </c>
      <c r="D20" s="5" t="inlineStr">
        <is>
          <t>شركة التاج المميزة</t>
        </is>
      </c>
      <c r="E20" s="5" t="inlineStr">
        <is>
          <t>RN-289</t>
        </is>
      </c>
      <c r="F20" s="6" t="n">
        <v>10000</v>
      </c>
      <c r="G20" s="6" t="n">
        <v>0</v>
      </c>
      <c r="H20" s="6" t="n">
        <v>10000</v>
      </c>
      <c r="I20" s="5" t="inlineStr">
        <is>
          <t>لم يُسجل الاستلام</t>
        </is>
      </c>
      <c r="J20" s="5" t="inlineStr">
        <is>
          <t>مدفوع بالكامل</t>
        </is>
      </c>
      <c r="K20" s="6" t="n">
        <v>0</v>
      </c>
      <c r="L20" s="5" t="inlineStr">
        <is>
          <t>حالة الاستلام "Not Issued" رغم أنه مدفوع بالكامل – لم يُسجل استلام بالنظام</t>
        </is>
      </c>
    </row>
    <row r="21">
      <c r="A21" s="5" t="n">
        <v>20</v>
      </c>
      <c r="B21" s="11" t="inlineStr">
        <is>
          <t>PO-366</t>
        </is>
      </c>
      <c r="C21" s="12" t="n">
        <v>46099</v>
      </c>
      <c r="D21" s="5" t="inlineStr">
        <is>
          <t>شركة مصنع الديكور والبولستيرين</t>
        </is>
      </c>
      <c r="E21" s="5" t="inlineStr">
        <is>
          <t>RN-329</t>
        </is>
      </c>
      <c r="F21" s="6" t="n">
        <v>4200</v>
      </c>
      <c r="G21" s="6" t="n">
        <v>0</v>
      </c>
      <c r="H21" s="6" t="n">
        <v>4200</v>
      </c>
      <c r="I21" s="5" t="inlineStr">
        <is>
          <t>لم يُسجل الاستلام</t>
        </is>
      </c>
      <c r="J21" s="5" t="inlineStr">
        <is>
          <t>مدفوع بالكامل</t>
        </is>
      </c>
      <c r="K21" s="6" t="n">
        <v>0</v>
      </c>
      <c r="L21" s="5" t="inlineStr">
        <is>
          <t>حالة الاستلام "Not Issued" رغم أنه مدفوع بالكامل – لم يُسجل استلام بالنظام</t>
        </is>
      </c>
    </row>
    <row r="22">
      <c r="A22" s="5" t="n">
        <v>21</v>
      </c>
      <c r="B22" s="11" t="inlineStr">
        <is>
          <t>PO-365</t>
        </is>
      </c>
      <c r="C22" s="12" t="n">
        <v>46099</v>
      </c>
      <c r="D22" s="5" t="inlineStr">
        <is>
          <t>موسسة أفكار المصدر</t>
        </is>
      </c>
      <c r="E22" s="5" t="inlineStr">
        <is>
          <t>RN-325</t>
        </is>
      </c>
      <c r="F22" s="6" t="n">
        <v>6000</v>
      </c>
      <c r="G22" s="6" t="n">
        <v>0</v>
      </c>
      <c r="H22" s="6" t="n">
        <v>6000</v>
      </c>
      <c r="I22" s="5" t="inlineStr">
        <is>
          <t>لم يُسجل الاستلام</t>
        </is>
      </c>
      <c r="J22" s="5" t="inlineStr">
        <is>
          <t>مدفوع بالكامل</t>
        </is>
      </c>
      <c r="K22" s="6" t="n">
        <v>0</v>
      </c>
      <c r="L22" s="5" t="inlineStr">
        <is>
          <t>حالة الاستلام "Not Issued" رغم أنه مدفوع بالكامل – لم يُسجل استلام بالنظام</t>
        </is>
      </c>
    </row>
    <row r="23">
      <c r="A23" s="5" t="n">
        <v>22</v>
      </c>
      <c r="B23" s="11" t="inlineStr">
        <is>
          <t>PO-404-REV1</t>
        </is>
      </c>
      <c r="C23" s="12" t="n">
        <v>46112</v>
      </c>
      <c r="D23" s="5" t="inlineStr">
        <is>
          <t>موسسة امجاد الخليج</t>
        </is>
      </c>
      <c r="E23" s="5" t="inlineStr">
        <is>
          <t>RN-362</t>
        </is>
      </c>
      <c r="F23" s="6" t="n">
        <v>4000</v>
      </c>
      <c r="G23" s="6" t="n">
        <v>0</v>
      </c>
      <c r="H23" s="6" t="n">
        <v>4000</v>
      </c>
      <c r="I23" s="5" t="inlineStr">
        <is>
          <t>لم يُسجل الاستلام</t>
        </is>
      </c>
      <c r="J23" s="5" t="inlineStr">
        <is>
          <t>مدفوع بالكامل</t>
        </is>
      </c>
      <c r="K23" s="6" t="n">
        <v>0</v>
      </c>
      <c r="L23" s="5" t="inlineStr">
        <is>
          <t>حالة الاستلام "Not Issued" رغم أنه مدفوع بالكامل – لم يُسجل استلام بالنظام | أمر معدّل (REV1)</t>
        </is>
      </c>
    </row>
    <row r="24">
      <c r="A24" s="5" t="n">
        <v>23</v>
      </c>
      <c r="B24" s="11" t="inlineStr">
        <is>
          <t>PO-419</t>
        </is>
      </c>
      <c r="C24" s="12" t="n">
        <v>46113</v>
      </c>
      <c r="D24" s="5" t="inlineStr">
        <is>
          <t>شركة التاج المميزة</t>
        </is>
      </c>
      <c r="E24" s="5" t="inlineStr">
        <is>
          <t>RN-376</t>
        </is>
      </c>
      <c r="F24" s="6" t="n">
        <v>20000</v>
      </c>
      <c r="G24" s="6" t="n">
        <v>0</v>
      </c>
      <c r="H24" s="6" t="n">
        <v>20000</v>
      </c>
      <c r="I24" s="5" t="inlineStr">
        <is>
          <t>لم يُسجل الاستلام</t>
        </is>
      </c>
      <c r="J24" s="5" t="inlineStr">
        <is>
          <t>مدفوع بالكامل</t>
        </is>
      </c>
      <c r="K24" s="6" t="n">
        <v>0</v>
      </c>
      <c r="L24" s="5" t="inlineStr">
        <is>
          <t>حالة الاستلام "Not Issued" رغم أنه مدفوع بالكامل – لم يُسجل استلام بالنظام</t>
        </is>
      </c>
    </row>
    <row r="25">
      <c r="A25" s="5" t="n">
        <v>24</v>
      </c>
      <c r="B25" s="11" t="inlineStr">
        <is>
          <t>PO-478</t>
        </is>
      </c>
      <c r="C25" s="12" t="n">
        <v>46125</v>
      </c>
      <c r="D25" s="5" t="inlineStr">
        <is>
          <t>شركة مسار الجزيرة للحاصلات</t>
        </is>
      </c>
      <c r="E25" s="5" t="inlineStr">
        <is>
          <t>RN-388</t>
        </is>
      </c>
      <c r="F25" s="6" t="n">
        <v>952.21</v>
      </c>
      <c r="G25" s="6" t="n">
        <v>142.83</v>
      </c>
      <c r="H25" s="6" t="n">
        <v>1095.04</v>
      </c>
      <c r="I25" s="5" t="inlineStr">
        <is>
          <t>لم يُسجل الاستلام</t>
        </is>
      </c>
      <c r="J25" s="5" t="inlineStr">
        <is>
          <t>مدفوع بالكامل</t>
        </is>
      </c>
      <c r="K25" s="6" t="n">
        <v>0</v>
      </c>
      <c r="L25" s="5" t="inlineStr">
        <is>
          <t>حالة الاستلام "Not Issued" رغم أنه مدفوع بالكامل – لم يُسجل استلام بالنظام</t>
        </is>
      </c>
    </row>
    <row r="26">
      <c r="A26" s="5" t="n">
        <v>25</v>
      </c>
      <c r="B26" s="11" t="inlineStr">
        <is>
          <t>PO-506</t>
        </is>
      </c>
      <c r="C26" s="12" t="n">
        <v>46130</v>
      </c>
      <c r="D26" s="5" t="inlineStr">
        <is>
          <t>شركة مصنع الديكور والبولستيرين</t>
        </is>
      </c>
      <c r="E26" s="5" t="inlineStr">
        <is>
          <t>RN-458</t>
        </is>
      </c>
      <c r="F26" s="6" t="n">
        <v>13250</v>
      </c>
      <c r="G26" s="6" t="n">
        <v>0</v>
      </c>
      <c r="H26" s="6" t="n">
        <v>13250</v>
      </c>
      <c r="I26" s="5" t="inlineStr">
        <is>
          <t>لم يُسجل الاستلام</t>
        </is>
      </c>
      <c r="J26" s="5" t="inlineStr">
        <is>
          <t>مدفوع بالكامل</t>
        </is>
      </c>
      <c r="K26" s="6" t="n">
        <v>0</v>
      </c>
      <c r="L26" s="5" t="inlineStr">
        <is>
          <t>حالة الاستلام "Not Issued" رغم أنه مدفوع بالكامل – لم يُسجل استلام بالنظام</t>
        </is>
      </c>
    </row>
    <row r="27">
      <c r="A27" s="5" t="n">
        <v>26</v>
      </c>
      <c r="B27" s="11" t="inlineStr">
        <is>
          <t>PO-557</t>
        </is>
      </c>
      <c r="C27" s="12" t="n">
        <v>46141</v>
      </c>
      <c r="D27" s="5" t="inlineStr">
        <is>
          <t>مصنع شركة سانج لي للبلاستيك</t>
        </is>
      </c>
      <c r="E27" s="5" t="inlineStr">
        <is>
          <t>RN-493</t>
        </is>
      </c>
      <c r="F27" s="6" t="n">
        <v>13250</v>
      </c>
      <c r="G27" s="6" t="n">
        <v>0</v>
      </c>
      <c r="H27" s="6" t="n">
        <v>13250</v>
      </c>
      <c r="I27" s="5" t="inlineStr">
        <is>
          <t>لم يُسجل الاستلام</t>
        </is>
      </c>
      <c r="J27" s="5" t="inlineStr">
        <is>
          <t>مدفوع بالكامل</t>
        </is>
      </c>
      <c r="K27" s="6" t="n">
        <v>0</v>
      </c>
      <c r="L27" s="5" t="inlineStr">
        <is>
          <t>حالة الاستلام "Not Issued" رغم أنه مدفوع بالكامل – لم يُسجل استلام بالنظام</t>
        </is>
      </c>
    </row>
    <row r="28">
      <c r="A28" s="5" t="n">
        <v>27</v>
      </c>
      <c r="B28" s="11" t="inlineStr">
        <is>
          <t>PO-585</t>
        </is>
      </c>
      <c r="C28" s="12" t="n">
        <v>46147</v>
      </c>
      <c r="D28" s="5" t="inlineStr">
        <is>
          <t>موسسة دنيا الري للتجارة</t>
        </is>
      </c>
      <c r="E28" s="5" t="inlineStr">
        <is>
          <t>RN-520</t>
        </is>
      </c>
      <c r="F28" s="6" t="n">
        <v>700</v>
      </c>
      <c r="G28" s="6" t="n">
        <v>0</v>
      </c>
      <c r="H28" s="6" t="n">
        <v>700</v>
      </c>
      <c r="I28" s="5" t="inlineStr">
        <is>
          <t>لم يُسجل الاستلام</t>
        </is>
      </c>
      <c r="J28" s="5" t="inlineStr">
        <is>
          <t>مدفوع بالكامل</t>
        </is>
      </c>
      <c r="K28" s="6" t="n">
        <v>0</v>
      </c>
      <c r="L28" s="5" t="inlineStr">
        <is>
          <t>حالة الاستلام "Not Issued" رغم أنه مدفوع بالكامل – لم يُسجل استلام بالنظام</t>
        </is>
      </c>
    </row>
    <row r="29">
      <c r="A29" s="5" t="n">
        <v>28</v>
      </c>
      <c r="B29" s="11" t="inlineStr">
        <is>
          <t>PO-0707</t>
        </is>
      </c>
      <c r="C29" s="12" t="n">
        <v>46181</v>
      </c>
      <c r="D29" s="5" t="inlineStr">
        <is>
          <t>بساتين الرياض</t>
        </is>
      </c>
      <c r="E29" s="5" t="n"/>
      <c r="F29" s="6" t="n">
        <v>1500</v>
      </c>
      <c r="G29" s="6" t="n">
        <v>0</v>
      </c>
      <c r="H29" s="6" t="n">
        <v>1500</v>
      </c>
      <c r="I29" s="5" t="inlineStr">
        <is>
          <t>تم الاستلام بالكامل</t>
        </is>
      </c>
      <c r="J29" s="5" t="inlineStr">
        <is>
          <t>مدفوع بالكامل</t>
        </is>
      </c>
      <c r="K29" s="6" t="n">
        <v>0</v>
      </c>
      <c r="L29" s="5" t="inlineStr"/>
    </row>
    <row r="30">
      <c r="A30" s="5" t="n">
        <v>29</v>
      </c>
      <c r="B30" s="11" t="inlineStr">
        <is>
          <t>PO-0706</t>
        </is>
      </c>
      <c r="C30" s="12" t="n">
        <v>46181</v>
      </c>
      <c r="D30" s="5" t="inlineStr">
        <is>
          <t>شركة ايراد المتحدة</t>
        </is>
      </c>
      <c r="E30" s="5" t="n"/>
      <c r="F30" s="6" t="n">
        <v>2754</v>
      </c>
      <c r="G30" s="6" t="n">
        <v>413.1</v>
      </c>
      <c r="H30" s="6" t="n">
        <v>3167.1</v>
      </c>
      <c r="I30" s="5" t="inlineStr">
        <is>
          <t>تم الاستلام بالكامل</t>
        </is>
      </c>
      <c r="J30" s="5" t="inlineStr">
        <is>
          <t>مدفوع بالكامل</t>
        </is>
      </c>
      <c r="K30" s="6" t="n">
        <v>0</v>
      </c>
      <c r="L30" s="5" t="inlineStr">
        <is>
          <t>تمت مراجعة سعر من الإدارة: 6/13/2026  1:42:33 PM by ahmed.strc@gmail.com] Cost updated for: FR1023 (Base: 270  Add: 0)</t>
        </is>
      </c>
    </row>
    <row r="31">
      <c r="A31" s="13" t="n">
        <v>30</v>
      </c>
      <c r="B31" s="14" t="inlineStr">
        <is>
          <t>PO-0777</t>
        </is>
      </c>
      <c r="C31" s="15" t="n">
        <v>46197</v>
      </c>
      <c r="D31" s="13" t="inlineStr">
        <is>
          <t>بساتين الرياض</t>
        </is>
      </c>
      <c r="E31" s="13" t="n"/>
      <c r="F31" s="16" t="n">
        <v>66420</v>
      </c>
      <c r="G31" s="16" t="n">
        <v>0</v>
      </c>
      <c r="H31" s="16" t="n">
        <v>66420</v>
      </c>
      <c r="I31" s="13" t="inlineStr">
        <is>
          <t>تم الاستلام بالكامل</t>
        </is>
      </c>
      <c r="J31" s="13" t="inlineStr">
        <is>
          <t>مدفوع جزئياً</t>
        </is>
      </c>
      <c r="K31" s="16">
        <f>H31</f>
        <v/>
      </c>
      <c r="L31" s="13" t="inlineStr">
        <is>
          <t>⚠ مدفوع جزئياً – المبلغ المدفوع غير موضح بالملف، المديونية المعروضة = كامل القيمة لحين تحديد المدفوع | تمت مراجعة سعر من الإدارة: 6/27/2026  6:29:59 PM by ahmed.strc@gmail.com] Cost updated for: FR1028 (Base: 123  Add: 0)</t>
        </is>
      </c>
    </row>
    <row r="32">
      <c r="A32" s="17" t="n">
        <v>31</v>
      </c>
      <c r="B32" s="18" t="inlineStr">
        <is>
          <t>PO-1023</t>
        </is>
      </c>
      <c r="C32" s="19" t="n">
        <v>46231</v>
      </c>
      <c r="D32" s="17" t="inlineStr">
        <is>
          <t>بساتين الرياض</t>
        </is>
      </c>
      <c r="E32" s="17" t="n"/>
      <c r="F32" s="20" t="n">
        <v>33950</v>
      </c>
      <c r="G32" s="20" t="n">
        <v>0</v>
      </c>
      <c r="H32" s="20" t="n">
        <v>33950</v>
      </c>
      <c r="I32" s="17" t="inlineStr">
        <is>
          <t>تم الاستلام بالكامل</t>
        </is>
      </c>
      <c r="J32" s="17" t="inlineStr">
        <is>
          <t>غير مدفوع</t>
        </is>
      </c>
      <c r="K32" s="20">
        <f>H32</f>
        <v/>
      </c>
      <c r="L32" s="17" t="inlineStr">
        <is>
          <t>⚠ غير مدفوع – مديونية قائمة للمورد</t>
        </is>
      </c>
    </row>
    <row r="33">
      <c r="A33" s="21" t="inlineStr"/>
      <c r="B33" s="21" t="inlineStr"/>
      <c r="C33" s="21" t="inlineStr"/>
      <c r="D33" s="21" t="inlineStr">
        <is>
          <t>الإجمالي</t>
        </is>
      </c>
      <c r="E33" s="21" t="inlineStr"/>
      <c r="F33" s="22">
        <f>SUM(F2:F32)</f>
        <v/>
      </c>
      <c r="G33" s="22">
        <f>SUM(G2:G32)</f>
        <v/>
      </c>
      <c r="H33" s="22">
        <f>SUM(H2:H32)</f>
        <v/>
      </c>
      <c r="I33" s="21" t="inlineStr"/>
      <c r="J33" s="21" t="inlineStr"/>
      <c r="K33" s="22">
        <f>SUM(K2:K32)</f>
        <v/>
      </c>
      <c r="L33" s="21" t="n"/>
    </row>
  </sheetData>
  <autoFilter ref="A1:L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60" customWidth="1" min="4" max="4"/>
    <col width="22" customWidth="1" min="5" max="5"/>
    <col width="34" customWidth="1" min="6" max="6"/>
    <col width="12" customWidth="1" min="7" max="7"/>
    <col width="10" customWidth="1" min="8" max="8"/>
    <col width="40" customWidth="1" min="9" max="9"/>
  </cols>
  <sheetData>
    <row r="1">
      <c r="A1" s="2" t="inlineStr">
        <is>
          <t>م</t>
        </is>
      </c>
      <c r="B1" s="2" t="inlineStr">
        <is>
          <t>صاحب العهدة</t>
        </is>
      </c>
      <c r="C1" s="2" t="inlineStr">
        <is>
          <t>التاريخ</t>
        </is>
      </c>
      <c r="D1" s="2" t="inlineStr">
        <is>
          <t>البيان</t>
        </is>
      </c>
      <c r="E1" s="2" t="inlineStr">
        <is>
          <t>المستفيد / السيارة</t>
        </is>
      </c>
      <c r="F1" s="2" t="inlineStr">
        <is>
          <t>البند</t>
        </is>
      </c>
      <c r="G1" s="2" t="inlineStr">
        <is>
          <t>المبلغ</t>
        </is>
      </c>
      <c r="H1" s="2" t="inlineStr">
        <is>
          <t>داخل الفترة</t>
        </is>
      </c>
      <c r="I1" s="2" t="inlineStr">
        <is>
          <t>ملاحظة</t>
        </is>
      </c>
    </row>
    <row r="2">
      <c r="A2" s="23" t="n">
        <v>1</v>
      </c>
      <c r="B2" s="23" t="inlineStr">
        <is>
          <t>حسين مصطفى – مستودع الرياض</t>
        </is>
      </c>
      <c r="C2" s="24" t="n">
        <v>46064</v>
      </c>
      <c r="D2" s="23" t="inlineStr">
        <is>
          <t>بنزين س الوانيت رقم 5564 + غيار زيت</t>
        </is>
      </c>
      <c r="E2" s="23" t="inlineStr">
        <is>
          <t>VHC-5564</t>
        </is>
      </c>
      <c r="F2" s="23" t="inlineStr">
        <is>
          <t>وقود (ديزل/بنزين)</t>
        </is>
      </c>
      <c r="G2" s="25" t="n">
        <v>345</v>
      </c>
      <c r="H2" s="23" t="inlineStr">
        <is>
          <t>نعم</t>
        </is>
      </c>
      <c r="I2" s="23" t="inlineStr"/>
    </row>
    <row r="3">
      <c r="A3" s="23" t="n">
        <v>2</v>
      </c>
      <c r="B3" s="23" t="inlineStr">
        <is>
          <t>حسين مصطفى – مستودع الرياض</t>
        </is>
      </c>
      <c r="C3" s="24" t="n">
        <v>46064</v>
      </c>
      <c r="D3" s="23" t="inlineStr">
        <is>
          <t>غيار زيت وفالتر وغسيل وتشحيم س عماد رقم 3010</t>
        </is>
      </c>
      <c r="E3" s="23" t="inlineStr">
        <is>
          <t>VHC-3010</t>
        </is>
      </c>
      <c r="F3" s="23" t="inlineStr">
        <is>
          <t>صيانة سيارات</t>
        </is>
      </c>
      <c r="G3" s="25" t="n">
        <v>990</v>
      </c>
      <c r="H3" s="23" t="inlineStr">
        <is>
          <t>نعم</t>
        </is>
      </c>
      <c r="I3" s="23" t="inlineStr"/>
    </row>
    <row r="4">
      <c r="A4" s="23" t="n">
        <v>3</v>
      </c>
      <c r="B4" s="23" t="inlineStr">
        <is>
          <t>حسين مصطفى – مستودع الرياض</t>
        </is>
      </c>
      <c r="C4" s="24" t="n">
        <v>46064</v>
      </c>
      <c r="D4" s="23" t="inlineStr">
        <is>
          <t>سوالر س عصمت رقم 1219 + غيار +زيت صيانة السيارة</t>
        </is>
      </c>
      <c r="E4" s="23" t="inlineStr">
        <is>
          <t>VHC-1219</t>
        </is>
      </c>
      <c r="F4" s="23" t="inlineStr">
        <is>
          <t>صيانة سيارات</t>
        </is>
      </c>
      <c r="G4" s="25" t="n">
        <v>1599.24</v>
      </c>
      <c r="H4" s="23" t="inlineStr">
        <is>
          <t>نعم</t>
        </is>
      </c>
      <c r="I4" s="23" t="inlineStr"/>
    </row>
    <row r="5">
      <c r="A5" s="23" t="n">
        <v>4</v>
      </c>
      <c r="B5" s="23" t="inlineStr">
        <is>
          <t>حسين مصطفى – مستودع الرياض</t>
        </is>
      </c>
      <c r="C5" s="24" t="n">
        <v>46064</v>
      </c>
      <c r="D5" s="23" t="inlineStr">
        <is>
          <t>كهرباء مزرعة الرياض عن شهر 2026-1</t>
        </is>
      </c>
      <c r="E5" s="23" t="inlineStr">
        <is>
          <t>EXP.RN.NURSERY</t>
        </is>
      </c>
      <c r="F5" s="23" t="inlineStr">
        <is>
          <t>خدمات ومرافق (كهرباء/مياه/إنترنت/إنشاءات)</t>
        </is>
      </c>
      <c r="G5" s="25" t="n">
        <v>2633</v>
      </c>
      <c r="H5" s="23" t="inlineStr">
        <is>
          <t>نعم</t>
        </is>
      </c>
      <c r="I5" s="23" t="inlineStr"/>
    </row>
    <row r="6">
      <c r="A6" s="23" t="n">
        <v>5</v>
      </c>
      <c r="B6" s="23" t="inlineStr">
        <is>
          <t>حسين مصطفى – مستودع الرياض</t>
        </is>
      </c>
      <c r="C6" s="24" t="n">
        <v>46064</v>
      </c>
      <c r="D6" s="23" t="inlineStr">
        <is>
          <t>انتقال عماد من الرياض الي تبوك</t>
        </is>
      </c>
      <c r="E6" s="23" t="inlineStr">
        <is>
          <t>VHC-3010</t>
        </is>
      </c>
      <c r="F6" s="23" t="inlineStr">
        <is>
          <t>رواتب وعمولات وانتقالات</t>
        </is>
      </c>
      <c r="G6" s="25" t="n">
        <v>460</v>
      </c>
      <c r="H6" s="23" t="inlineStr">
        <is>
          <t>نعم</t>
        </is>
      </c>
      <c r="I6" s="23" t="inlineStr"/>
    </row>
    <row r="7">
      <c r="A7" s="23" t="n">
        <v>6</v>
      </c>
      <c r="B7" s="23" t="inlineStr">
        <is>
          <t>حسين مصطفى – مستودع الرياض</t>
        </is>
      </c>
      <c r="C7" s="24" t="n">
        <v>46064</v>
      </c>
      <c r="D7" s="23" t="inlineStr">
        <is>
          <t>عصمت الله عمولة)72( عصمت عن شهر 2025-12 + صيانة +السيارة غسيل</t>
        </is>
      </c>
      <c r="E7" s="23" t="inlineStr">
        <is>
          <t>عصمتRN الله #72</t>
        </is>
      </c>
      <c r="F7" s="23" t="inlineStr">
        <is>
          <t>رواتب وعمولات وانتقالات</t>
        </is>
      </c>
      <c r="G7" s="25" t="n">
        <v>925</v>
      </c>
      <c r="H7" s="23" t="inlineStr">
        <is>
          <t>نعم</t>
        </is>
      </c>
      <c r="I7" s="23" t="inlineStr"/>
    </row>
    <row r="8">
      <c r="A8" s="23" t="n">
        <v>7</v>
      </c>
      <c r="B8" s="23" t="inlineStr">
        <is>
          <t>حسين مصطفى – مستودع الرياض</t>
        </is>
      </c>
      <c r="C8" s="24" t="n">
        <v>46064</v>
      </c>
      <c r="D8" s="23" t="inlineStr">
        <is>
          <t>عماد حمدى عمولة)24( عماد حمدي عن شهر 2025-12 + الردود</t>
        </is>
      </c>
      <c r="E8" s="23" t="inlineStr">
        <is>
          <t>عمادRN حمدى #24</t>
        </is>
      </c>
      <c r="F8" s="23" t="inlineStr">
        <is>
          <t>رواتب وعمولات وانتقالات</t>
        </is>
      </c>
      <c r="G8" s="25" t="n">
        <v>711</v>
      </c>
      <c r="H8" s="23" t="inlineStr">
        <is>
          <t>نعم</t>
        </is>
      </c>
      <c r="I8" s="23" t="inlineStr"/>
    </row>
    <row r="9">
      <c r="A9" s="23" t="n">
        <v>8</v>
      </c>
      <c r="B9" s="23" t="inlineStr">
        <is>
          <t>حسين مصطفى – مستودع الرياض</t>
        </is>
      </c>
      <c r="C9" s="24" t="n">
        <v>46064</v>
      </c>
      <c r="D9" s="23" t="inlineStr">
        <is>
          <t>عماد حمدى شحن)24( الت جو - حسين ومحمد عبدالمجيد وعصمت وعماد</t>
        </is>
      </c>
      <c r="E9" s="23" t="inlineStr">
        <is>
          <t>عمادRN حمدى #24</t>
        </is>
      </c>
      <c r="F9" s="23" t="inlineStr">
        <is>
          <t>رواتب وعمولات وانتقالات</t>
        </is>
      </c>
      <c r="G9" s="25" t="n">
        <v>408.25</v>
      </c>
      <c r="H9" s="23" t="inlineStr">
        <is>
          <t>نعم</t>
        </is>
      </c>
      <c r="I9" s="23" t="inlineStr"/>
    </row>
    <row r="10">
      <c r="A10" s="23" t="n">
        <v>9</v>
      </c>
      <c r="B10" s="23" t="inlineStr">
        <is>
          <t>حسين مصطفى – مستودع الرياض</t>
        </is>
      </c>
      <c r="C10" s="24" t="n">
        <v>46064</v>
      </c>
      <c r="D10" s="23" t="inlineStr">
        <is>
          <t>نولون نقلة سماد معالج</t>
        </is>
      </c>
      <c r="E10" s="23" t="inlineStr">
        <is>
          <t>EXP.RN.NURSERY</t>
        </is>
      </c>
      <c r="F10" s="23" t="inlineStr">
        <is>
          <t>مصروفات تشغيل المزرعة</t>
        </is>
      </c>
      <c r="G10" s="25" t="n">
        <v>400</v>
      </c>
      <c r="H10" s="23" t="inlineStr">
        <is>
          <t>نعم</t>
        </is>
      </c>
      <c r="I10" s="23" t="inlineStr"/>
    </row>
    <row r="11">
      <c r="A11" s="23" t="n">
        <v>10</v>
      </c>
      <c r="B11" s="23" t="inlineStr">
        <is>
          <t>حسين مصطفى – مستودع الرياض</t>
        </is>
      </c>
      <c r="C11" s="24" t="n">
        <v>46064</v>
      </c>
      <c r="D11" s="23" t="inlineStr">
        <is>
          <t>مياه للشرب - 3 نقلة</t>
        </is>
      </c>
      <c r="E11" s="23" t="inlineStr">
        <is>
          <t>RN-DEPARTMENT</t>
        </is>
      </c>
      <c r="F11" s="23" t="inlineStr">
        <is>
          <t>خدمات ومرافق (كهرباء/مياه/إنترنت/إنشاءات)</t>
        </is>
      </c>
      <c r="G11" s="25" t="n">
        <v>210</v>
      </c>
      <c r="H11" s="23" t="inlineStr">
        <is>
          <t>نعم</t>
        </is>
      </c>
      <c r="I11" s="23" t="inlineStr"/>
    </row>
    <row r="12">
      <c r="A12" s="23" t="n">
        <v>11</v>
      </c>
      <c r="B12" s="23" t="inlineStr">
        <is>
          <t>حسين مصطفى – مستودع الرياض</t>
        </is>
      </c>
      <c r="C12" s="24" t="n">
        <v>46064</v>
      </c>
      <c r="D12" s="23" t="inlineStr">
        <is>
          <t>مصنعية تركيب سباكة وكهرباء للمطبخ والحمام</t>
        </is>
      </c>
      <c r="E12" s="23" t="inlineStr">
        <is>
          <t>EXP.RN.NURSERY</t>
        </is>
      </c>
      <c r="F12" s="23" t="inlineStr">
        <is>
          <t>خدمات ومرافق (كهرباء/مياه/إنترنت/إنشاءات)</t>
        </is>
      </c>
      <c r="G12" s="25" t="n">
        <v>600</v>
      </c>
      <c r="H12" s="23" t="inlineStr">
        <is>
          <t>نعم</t>
        </is>
      </c>
      <c r="I12" s="23" t="inlineStr"/>
    </row>
    <row r="13">
      <c r="A13" s="23" t="n">
        <v>12</v>
      </c>
      <c r="B13" s="23" t="inlineStr">
        <is>
          <t>حسين مصطفى – مستودع الرياض</t>
        </is>
      </c>
      <c r="C13" s="24" t="n">
        <v>46064</v>
      </c>
      <c r="D13" s="23" t="inlineStr">
        <is>
          <t>مصنعية بناء مطبخ وحمام وصرف ومحارة</t>
        </is>
      </c>
      <c r="E13" s="23" t="inlineStr">
        <is>
          <t>EXP.RN.NURSERY</t>
        </is>
      </c>
      <c r="F13" s="23" t="inlineStr">
        <is>
          <t>خدمات ومرافق (كهرباء/مياه/إنترنت/إنشاءات)</t>
        </is>
      </c>
      <c r="G13" s="25" t="n">
        <v>1190</v>
      </c>
      <c r="H13" s="23" t="inlineStr">
        <is>
          <t>نعم</t>
        </is>
      </c>
      <c r="I13" s="23" t="inlineStr"/>
    </row>
    <row r="14">
      <c r="A14" s="23" t="n">
        <v>13</v>
      </c>
      <c r="B14" s="23" t="inlineStr">
        <is>
          <t>حسين مصطفى – مستودع الرياض</t>
        </is>
      </c>
      <c r="C14" s="24" t="n">
        <v>46064</v>
      </c>
      <c r="D14" s="23" t="inlineStr">
        <is>
          <t>شراء اسمنت وزلط ورمل وبلوك</t>
        </is>
      </c>
      <c r="E14" s="23" t="inlineStr">
        <is>
          <t>EXP.RN.NURSERY</t>
        </is>
      </c>
      <c r="F14" s="23" t="inlineStr">
        <is>
          <t>خدمات ومرافق (كهرباء/مياه/إنترنت/إنشاءات)</t>
        </is>
      </c>
      <c r="G14" s="25" t="n">
        <v>1555</v>
      </c>
      <c r="H14" s="23" t="inlineStr">
        <is>
          <t>نعم</t>
        </is>
      </c>
      <c r="I14" s="23" t="inlineStr"/>
    </row>
    <row r="15">
      <c r="A15" s="23" t="n">
        <v>14</v>
      </c>
      <c r="B15" s="23" t="inlineStr">
        <is>
          <t>حسين مصطفى – مستودع الرياض</t>
        </is>
      </c>
      <c r="C15" s="24" t="n">
        <v>46064</v>
      </c>
      <c r="D15" s="23" t="inlineStr">
        <is>
          <t>شراء رشاش صغير ومسحاة ومحشات وماتور مياه صغير</t>
        </is>
      </c>
      <c r="E15" s="23" t="inlineStr">
        <is>
          <t>EXP.RN.NURSERY</t>
        </is>
      </c>
      <c r="F15" s="23" t="inlineStr">
        <is>
          <t>خدمات ومرافق (كهرباء/مياه/إنترنت/إنشاءات)</t>
        </is>
      </c>
      <c r="G15" s="25" t="n">
        <v>582</v>
      </c>
      <c r="H15" s="23" t="inlineStr">
        <is>
          <t>نعم</t>
        </is>
      </c>
      <c r="I15" s="23" t="inlineStr"/>
    </row>
    <row r="16">
      <c r="A16" s="23" t="n">
        <v>15</v>
      </c>
      <c r="B16" s="23" t="inlineStr">
        <is>
          <t>حسين مصطفى – مستودع الرياض</t>
        </is>
      </c>
      <c r="C16" s="24" t="n">
        <v>46064</v>
      </c>
      <c r="D16" s="23" t="inlineStr">
        <is>
          <t>شراء فايالت واقالم الوان ومشترك كهرباء</t>
        </is>
      </c>
      <c r="E16" s="23" t="inlineStr">
        <is>
          <t>RN-DEPARTMENT</t>
        </is>
      </c>
      <c r="F16" s="23" t="inlineStr">
        <is>
          <t>خدمات ومرافق (كهرباء/مياه/إنترنت/إنشاءات)</t>
        </is>
      </c>
      <c r="G16" s="25" t="n">
        <v>184.25</v>
      </c>
      <c r="H16" s="23" t="inlineStr">
        <is>
          <t>نعم</t>
        </is>
      </c>
      <c r="I16" s="23" t="inlineStr"/>
    </row>
    <row r="17">
      <c r="A17" s="23" t="n">
        <v>16</v>
      </c>
      <c r="B17" s="23" t="inlineStr">
        <is>
          <t>حسين مصطفى – مستودع الرياض</t>
        </is>
      </c>
      <c r="C17" s="24" t="n">
        <v>46064</v>
      </c>
      <c r="D17" s="23" t="inlineStr">
        <is>
          <t>بنزين س الوانيت رقم 5564 + عمل كاوتش</t>
        </is>
      </c>
      <c r="E17" s="23" t="inlineStr">
        <is>
          <t>VHC-5564</t>
        </is>
      </c>
      <c r="F17" s="23" t="inlineStr">
        <is>
          <t>وقود (ديزل/بنزين)</t>
        </is>
      </c>
      <c r="G17" s="25" t="n">
        <v>190</v>
      </c>
      <c r="H17" s="23" t="inlineStr">
        <is>
          <t>نعم</t>
        </is>
      </c>
      <c r="I17" s="23" t="inlineStr"/>
    </row>
    <row r="18">
      <c r="A18" s="23" t="n">
        <v>17</v>
      </c>
      <c r="B18" s="23" t="inlineStr">
        <is>
          <t>حسين مصطفى – مستودع الرياض</t>
        </is>
      </c>
      <c r="C18" s="24" t="n">
        <v>46064</v>
      </c>
      <c r="D18" s="23" t="inlineStr">
        <is>
          <t>غيار زيت وفالتر س عماد رقم 3010</t>
        </is>
      </c>
      <c r="E18" s="23" t="inlineStr">
        <is>
          <t>VHC-3010</t>
        </is>
      </c>
      <c r="F18" s="23" t="inlineStr">
        <is>
          <t>صيانة سيارات</t>
        </is>
      </c>
      <c r="G18" s="25" t="n">
        <v>282</v>
      </c>
      <c r="H18" s="23" t="inlineStr">
        <is>
          <t>نعم</t>
        </is>
      </c>
      <c r="I18" s="23" t="inlineStr"/>
    </row>
    <row r="19">
      <c r="A19" s="23" t="n">
        <v>18</v>
      </c>
      <c r="B19" s="23" t="inlineStr">
        <is>
          <t>حسين مصطفى – مستودع الرياض</t>
        </is>
      </c>
      <c r="C19" s="24" t="n">
        <v>46066</v>
      </c>
      <c r="D19" s="23" t="inlineStr">
        <is>
          <t>غيار زيت وفالتر س الوانيت</t>
        </is>
      </c>
      <c r="E19" s="23" t="inlineStr">
        <is>
          <t>VHC-5564</t>
        </is>
      </c>
      <c r="F19" s="23" t="inlineStr">
        <is>
          <t>صيانة سيارات</t>
        </is>
      </c>
      <c r="G19" s="25" t="n">
        <v>260</v>
      </c>
      <c r="H19" s="23" t="inlineStr">
        <is>
          <t>نعم</t>
        </is>
      </c>
      <c r="I19" s="23" t="inlineStr"/>
    </row>
    <row r="20">
      <c r="A20" s="23" t="n">
        <v>19</v>
      </c>
      <c r="B20" s="23" t="inlineStr">
        <is>
          <t>حسين مصطفى – مستودع الرياض</t>
        </is>
      </c>
      <c r="C20" s="24" t="n">
        <v>46067</v>
      </c>
      <c r="D20" s="23" t="inlineStr">
        <is>
          <t>شراء شكرتون</t>
        </is>
      </c>
      <c r="E20" s="23" t="inlineStr">
        <is>
          <t>RN-DEPARTMENT</t>
        </is>
      </c>
      <c r="F20" s="23" t="inlineStr">
        <is>
          <t>خدمات ومرافق (كهرباء/مياه/إنترنت/إنشاءات)</t>
        </is>
      </c>
      <c r="G20" s="25" t="n">
        <v>30</v>
      </c>
      <c r="H20" s="23" t="inlineStr">
        <is>
          <t>نعم</t>
        </is>
      </c>
      <c r="I20" s="23" t="inlineStr"/>
    </row>
    <row r="21">
      <c r="A21" s="23" t="n">
        <v>20</v>
      </c>
      <c r="B21" s="23" t="inlineStr">
        <is>
          <t>حسين مصطفى – مستودع الرياض</t>
        </is>
      </c>
      <c r="C21" s="24" t="n">
        <v>46067</v>
      </c>
      <c r="D21" s="23" t="inlineStr">
        <is>
          <t>بنزين للوانيت</t>
        </is>
      </c>
      <c r="E21" s="23" t="inlineStr">
        <is>
          <t>VHC-5564</t>
        </is>
      </c>
      <c r="F21" s="23" t="inlineStr">
        <is>
          <t>وقود (ديزل/بنزين)</t>
        </is>
      </c>
      <c r="G21" s="25" t="n">
        <v>140.07</v>
      </c>
      <c r="H21" s="23" t="inlineStr">
        <is>
          <t>نعم</t>
        </is>
      </c>
      <c r="I21" s="23" t="inlineStr"/>
    </row>
    <row r="22">
      <c r="A22" s="23" t="n">
        <v>21</v>
      </c>
      <c r="B22" s="23" t="inlineStr">
        <is>
          <t>حسين مصطفى – مستودع الرياض</t>
        </is>
      </c>
      <c r="C22" s="24" t="n">
        <v>46068</v>
      </c>
      <c r="D22" s="23" t="inlineStr">
        <is>
          <t>شراء لفة سلك حديد وحديد خردة الستخدام الشجر</t>
        </is>
      </c>
      <c r="E22" s="23" t="inlineStr">
        <is>
          <t>EXP.RN.NURSERY</t>
        </is>
      </c>
      <c r="F22" s="23" t="inlineStr">
        <is>
          <t>مصروفات تشغيل المزرعة</t>
        </is>
      </c>
      <c r="G22" s="25" t="n">
        <v>535</v>
      </c>
      <c r="H22" s="23" t="inlineStr">
        <is>
          <t>نعم</t>
        </is>
      </c>
      <c r="I22" s="23" t="inlineStr"/>
    </row>
    <row r="23">
      <c r="A23" s="23" t="n">
        <v>22</v>
      </c>
      <c r="B23" s="23" t="inlineStr">
        <is>
          <t>حسين مصطفى – مستودع الرياض</t>
        </is>
      </c>
      <c r="C23" s="24" t="n">
        <v>46068</v>
      </c>
      <c r="D23" s="23" t="inlineStr">
        <is>
          <t>كهرباء مزرعة الرياض عن شهر 2026-2</t>
        </is>
      </c>
      <c r="E23" s="23" t="inlineStr">
        <is>
          <t>EXP.RN.NURSERY</t>
        </is>
      </c>
      <c r="F23" s="23" t="inlineStr">
        <is>
          <t>خدمات ومرافق (كهرباء/مياه/إنترنت/إنشاءات)</t>
        </is>
      </c>
      <c r="G23" s="25" t="n">
        <v>2168.23</v>
      </c>
      <c r="H23" s="23" t="inlineStr">
        <is>
          <t>نعم</t>
        </is>
      </c>
      <c r="I23" s="23" t="inlineStr"/>
    </row>
    <row r="24">
      <c r="A24" s="23" t="n">
        <v>23</v>
      </c>
      <c r="B24" s="23" t="inlineStr">
        <is>
          <t>حسين مصطفى – مستودع الرياض</t>
        </is>
      </c>
      <c r="C24" s="24" t="n">
        <v>46070</v>
      </c>
      <c r="D24" s="23" t="inlineStr">
        <is>
          <t>غيار زيت س - عماد رقم 3010</t>
        </is>
      </c>
      <c r="E24" s="23" t="inlineStr">
        <is>
          <t>VHC-3010</t>
        </is>
      </c>
      <c r="F24" s="23" t="inlineStr">
        <is>
          <t>صيانة سيارات</t>
        </is>
      </c>
      <c r="G24" s="25" t="n">
        <v>270</v>
      </c>
      <c r="H24" s="23" t="inlineStr">
        <is>
          <t>نعم</t>
        </is>
      </c>
      <c r="I24" s="23" t="inlineStr"/>
    </row>
    <row r="25">
      <c r="A25" s="23" t="n">
        <v>24</v>
      </c>
      <c r="B25" s="23" t="inlineStr">
        <is>
          <t>حسين مصطفى – مستودع الرياض</t>
        </is>
      </c>
      <c r="C25" s="24" t="n">
        <v>46073</v>
      </c>
      <c r="D25" s="23" t="inlineStr">
        <is>
          <t>غيار زيت وفالتر س - عصمت رقم 1219</t>
        </is>
      </c>
      <c r="E25" s="23" t="inlineStr">
        <is>
          <t>VHC-1219</t>
        </is>
      </c>
      <c r="F25" s="23" t="inlineStr">
        <is>
          <t>صيانة سيارات</t>
        </is>
      </c>
      <c r="G25" s="25" t="n">
        <v>225.01</v>
      </c>
      <c r="H25" s="23" t="inlineStr">
        <is>
          <t>نعم</t>
        </is>
      </c>
      <c r="I25" s="23" t="inlineStr"/>
    </row>
    <row r="26">
      <c r="A26" s="23" t="n">
        <v>25</v>
      </c>
      <c r="B26" s="23" t="inlineStr">
        <is>
          <t>حسين مصطفى – مستودع الرياض</t>
        </is>
      </c>
      <c r="C26" s="24" t="n">
        <v>46084</v>
      </c>
      <c r="D26" s="23" t="inlineStr">
        <is>
          <t>شراء رول بالستيك الستخدام المزرعة</t>
        </is>
      </c>
      <c r="E26" s="23" t="inlineStr">
        <is>
          <t>EXP.RN.NURSERY</t>
        </is>
      </c>
      <c r="F26" s="23" t="inlineStr">
        <is>
          <t>خدمات ومرافق (كهرباء/مياه/إنترنت/إنشاءات)</t>
        </is>
      </c>
      <c r="G26" s="25" t="n">
        <v>190</v>
      </c>
      <c r="H26" s="23" t="inlineStr">
        <is>
          <t>نعم</t>
        </is>
      </c>
      <c r="I26" s="23" t="inlineStr"/>
    </row>
    <row r="27">
      <c r="A27" s="23" t="n">
        <v>26</v>
      </c>
      <c r="B27" s="23" t="inlineStr">
        <is>
          <t>حسين مصطفى – مستودع الرياض</t>
        </is>
      </c>
      <c r="C27" s="24" t="n">
        <v>46084</v>
      </c>
      <c r="D27" s="23" t="inlineStr">
        <is>
          <t>غيار زيت وفالتر سيارة عماد - رقم 3010</t>
        </is>
      </c>
      <c r="E27" s="23" t="inlineStr">
        <is>
          <t>VHC-3010</t>
        </is>
      </c>
      <c r="F27" s="23" t="inlineStr">
        <is>
          <t>صيانة سيارات</t>
        </is>
      </c>
      <c r="G27" s="25" t="n">
        <v>275</v>
      </c>
      <c r="H27" s="23" t="inlineStr">
        <is>
          <t>نعم</t>
        </is>
      </c>
      <c r="I27" s="23" t="inlineStr"/>
    </row>
    <row r="28">
      <c r="A28" s="23" t="n">
        <v>27</v>
      </c>
      <c r="B28" s="23" t="inlineStr">
        <is>
          <t>حسين مصطفى – مستودع الرياض</t>
        </is>
      </c>
      <c r="C28" s="24" t="n">
        <v>46090</v>
      </c>
      <c r="D28" s="23" t="inlineStr">
        <is>
          <t>مياه للشرب</t>
        </is>
      </c>
      <c r="E28" s="23" t="inlineStr">
        <is>
          <t>RN-DEPARTMENT</t>
        </is>
      </c>
      <c r="F28" s="23" t="inlineStr">
        <is>
          <t>خدمات ومرافق (كهرباء/مياه/إنترنت/إنشاءات)</t>
        </is>
      </c>
      <c r="G28" s="25" t="n">
        <v>70</v>
      </c>
      <c r="H28" s="23" t="inlineStr">
        <is>
          <t>نعم</t>
        </is>
      </c>
      <c r="I28" s="23" t="inlineStr"/>
    </row>
    <row r="29">
      <c r="A29" s="23" t="n">
        <v>28</v>
      </c>
      <c r="B29" s="23" t="inlineStr">
        <is>
          <t>حسين مصطفى – مستودع الرياض</t>
        </is>
      </c>
      <c r="C29" s="24" t="n">
        <v>46094</v>
      </c>
      <c r="D29" s="23" t="inlineStr">
        <is>
          <t>شراء أغراض صيانة للسيارة الوانيت</t>
        </is>
      </c>
      <c r="E29" s="23" t="inlineStr">
        <is>
          <t>VHC-5564</t>
        </is>
      </c>
      <c r="F29" s="23" t="inlineStr">
        <is>
          <t>صيانة سيارات</t>
        </is>
      </c>
      <c r="G29" s="25" t="n">
        <v>570.01</v>
      </c>
      <c r="H29" s="23" t="inlineStr">
        <is>
          <t>نعم</t>
        </is>
      </c>
      <c r="I29" s="23" t="inlineStr"/>
    </row>
    <row r="30">
      <c r="A30" s="23" t="n">
        <v>29</v>
      </c>
      <c r="B30" s="23" t="inlineStr">
        <is>
          <t>حسين مصطفى – مستودع الرياض</t>
        </is>
      </c>
      <c r="C30" s="24" t="n">
        <v>46094</v>
      </c>
      <c r="D30" s="23" t="inlineStr">
        <is>
          <t>لاير مصنعية مكانيكي 200 لاير + سطحة لنقل الوانيت ذهاب وعودة 300</t>
        </is>
      </c>
      <c r="E30" s="23" t="inlineStr">
        <is>
          <t>VHC-5564</t>
        </is>
      </c>
      <c r="F30" s="23" t="inlineStr">
        <is>
          <t>صيانة سيارات</t>
        </is>
      </c>
      <c r="G30" s="25" t="n">
        <v>500</v>
      </c>
      <c r="H30" s="23" t="inlineStr">
        <is>
          <t>نعم</t>
        </is>
      </c>
      <c r="I30" s="23" t="inlineStr"/>
    </row>
    <row r="31">
      <c r="A31" s="23" t="n">
        <v>30</v>
      </c>
      <c r="B31" s="23" t="inlineStr">
        <is>
          <t>حسين مصطفى – مستودع الرياض</t>
        </is>
      </c>
      <c r="C31" s="24" t="n">
        <v>46094</v>
      </c>
      <c r="D31" s="23" t="inlineStr">
        <is>
          <t>غيار زيت وفالتر وتشحيم سيارة عصمت</t>
        </is>
      </c>
      <c r="E31" s="23" t="inlineStr">
        <is>
          <t>VHC-1219</t>
        </is>
      </c>
      <c r="F31" s="23" t="inlineStr">
        <is>
          <t>صيانة سيارات</t>
        </is>
      </c>
      <c r="G31" s="25" t="n">
        <v>435</v>
      </c>
      <c r="H31" s="23" t="inlineStr">
        <is>
          <t>نعم</t>
        </is>
      </c>
      <c r="I31" s="23" t="inlineStr"/>
    </row>
    <row r="32">
      <c r="A32" s="23" t="n">
        <v>31</v>
      </c>
      <c r="B32" s="23" t="inlineStr">
        <is>
          <t>حسين مصطفى – مستودع الرياض</t>
        </is>
      </c>
      <c r="C32" s="24" t="n">
        <v>46094</v>
      </c>
      <c r="D32" s="23" t="inlineStr">
        <is>
          <t>غسيل سيارة عصمت</t>
        </is>
      </c>
      <c r="E32" s="23" t="inlineStr">
        <is>
          <t>VHC-1219</t>
        </is>
      </c>
      <c r="F32" s="23" t="inlineStr">
        <is>
          <t>صيانة سيارات</t>
        </is>
      </c>
      <c r="G32" s="25" t="n">
        <v>70</v>
      </c>
      <c r="H32" s="23" t="inlineStr">
        <is>
          <t>نعم</t>
        </is>
      </c>
      <c r="I32" s="23" t="inlineStr"/>
    </row>
    <row r="33">
      <c r="A33" s="23" t="n">
        <v>32</v>
      </c>
      <c r="B33" s="23" t="inlineStr">
        <is>
          <t>حسين مصطفى – مستودع الرياض</t>
        </is>
      </c>
      <c r="C33" s="24" t="n">
        <v>46098</v>
      </c>
      <c r="D33" s="23" t="inlineStr">
        <is>
          <t>شراء سيور للمراوح</t>
        </is>
      </c>
      <c r="E33" s="23" t="inlineStr">
        <is>
          <t>EXP.RN.NURSERY</t>
        </is>
      </c>
      <c r="F33" s="23" t="inlineStr">
        <is>
          <t>خدمات ومرافق (كهرباء/مياه/إنترنت/إنشاءات)</t>
        </is>
      </c>
      <c r="G33" s="25" t="n">
        <v>149.5</v>
      </c>
      <c r="H33" s="23" t="inlineStr">
        <is>
          <t>نعم</t>
        </is>
      </c>
      <c r="I33" s="23" t="inlineStr"/>
    </row>
    <row r="34">
      <c r="A34" s="23" t="n">
        <v>33</v>
      </c>
      <c r="B34" s="23" t="inlineStr">
        <is>
          <t>حسين مصطفى – مستودع الرياض</t>
        </is>
      </c>
      <c r="C34" s="24" t="n">
        <v>46098</v>
      </c>
      <c r="D34" s="23" t="inlineStr">
        <is>
          <t>غيار زيت وفلتر + غسيل وتشحيم + 2 كساحة خلفي</t>
        </is>
      </c>
      <c r="E34" s="23" t="inlineStr">
        <is>
          <t>VHC-3010</t>
        </is>
      </c>
      <c r="F34" s="23" t="inlineStr">
        <is>
          <t>صيانة سيارات</t>
        </is>
      </c>
      <c r="G34" s="25" t="n">
        <v>480</v>
      </c>
      <c r="H34" s="23" t="inlineStr">
        <is>
          <t>نعم</t>
        </is>
      </c>
      <c r="I34" s="23" t="inlineStr"/>
    </row>
    <row r="35">
      <c r="A35" s="23" t="n">
        <v>34</v>
      </c>
      <c r="B35" s="23" t="inlineStr">
        <is>
          <t>حسين مصطفى – مستودع الرياض</t>
        </is>
      </c>
      <c r="C35" s="24" t="n">
        <v>46113</v>
      </c>
      <c r="D35" s="23" t="inlineStr">
        <is>
          <t>شراء كفر سيارة عصمت</t>
        </is>
      </c>
      <c r="E35" s="23" t="inlineStr">
        <is>
          <t>VHC-1219</t>
        </is>
      </c>
      <c r="F35" s="23" t="inlineStr">
        <is>
          <t>صيانة سيارات</t>
        </is>
      </c>
      <c r="G35" s="25" t="n">
        <v>2060.01</v>
      </c>
      <c r="H35" s="23" t="inlineStr">
        <is>
          <t>نعم</t>
        </is>
      </c>
      <c r="I35" s="23" t="inlineStr"/>
    </row>
    <row r="36">
      <c r="A36" s="23" t="n">
        <v>35</v>
      </c>
      <c r="B36" s="23" t="inlineStr">
        <is>
          <t>حسين مصطفى – مستودع الرياض</t>
        </is>
      </c>
      <c r="C36" s="24" t="n">
        <v>46113</v>
      </c>
      <c r="D36" s="23" t="inlineStr">
        <is>
          <t>تركيب كفر س عصمت</t>
        </is>
      </c>
      <c r="E36" s="23" t="inlineStr">
        <is>
          <t>VHC-1219</t>
        </is>
      </c>
      <c r="F36" s="23" t="inlineStr">
        <is>
          <t>صيانة سيارات</t>
        </is>
      </c>
      <c r="G36" s="25" t="n">
        <v>40</v>
      </c>
      <c r="H36" s="23" t="inlineStr">
        <is>
          <t>نعم</t>
        </is>
      </c>
      <c r="I36" s="23" t="inlineStr"/>
    </row>
    <row r="37">
      <c r="A37" s="23" t="n">
        <v>36</v>
      </c>
      <c r="B37" s="23" t="inlineStr">
        <is>
          <t>حسين مصطفى – مستودع الرياض</t>
        </is>
      </c>
      <c r="C37" s="24" t="n">
        <v>46113</v>
      </c>
      <c r="D37" s="23" t="inlineStr">
        <is>
          <t>مسدس رش مبيدات تركي</t>
        </is>
      </c>
      <c r="E37" s="23" t="inlineStr">
        <is>
          <t>EXP.RN.NURSERY</t>
        </is>
      </c>
      <c r="F37" s="23" t="inlineStr">
        <is>
          <t>خدمات ومرافق (كهرباء/مياه/إنترنت/إنشاءات)</t>
        </is>
      </c>
      <c r="G37" s="25" t="n">
        <v>207</v>
      </c>
      <c r="H37" s="23" t="inlineStr">
        <is>
          <t>نعم</t>
        </is>
      </c>
      <c r="I37" s="23" t="inlineStr"/>
    </row>
    <row r="38">
      <c r="A38" s="23" t="n">
        <v>37</v>
      </c>
      <c r="B38" s="23" t="inlineStr">
        <is>
          <t>حسين مصطفى – مستودع الرياض</t>
        </is>
      </c>
      <c r="C38" s="24" t="n">
        <v>46113</v>
      </c>
      <c r="D38" s="23" t="inlineStr">
        <is>
          <t>سوالر س - عماد</t>
        </is>
      </c>
      <c r="E38" s="23" t="inlineStr">
        <is>
          <t>VHC-3010</t>
        </is>
      </c>
      <c r="F38" s="23" t="inlineStr">
        <is>
          <t>وقود (ديزل/بنزين)</t>
        </is>
      </c>
      <c r="G38" s="25" t="n">
        <v>130.01</v>
      </c>
      <c r="H38" s="23" t="inlineStr">
        <is>
          <t>نعم</t>
        </is>
      </c>
      <c r="I38" s="23" t="inlineStr"/>
    </row>
    <row r="39">
      <c r="A39" s="23" t="n">
        <v>38</v>
      </c>
      <c r="B39" s="23" t="inlineStr">
        <is>
          <t>حسين مصطفى – مستودع الرياض</t>
        </is>
      </c>
      <c r="C39" s="24" t="n">
        <v>46113</v>
      </c>
      <c r="D39" s="23" t="inlineStr">
        <is>
          <t>مياه للشرب</t>
        </is>
      </c>
      <c r="E39" s="23" t="inlineStr">
        <is>
          <t>RN-DEPARTMENT</t>
        </is>
      </c>
      <c r="F39" s="23" t="inlineStr">
        <is>
          <t>خدمات ومرافق (كهرباء/مياه/إنترنت/إنشاءات)</t>
        </is>
      </c>
      <c r="G39" s="25" t="n">
        <v>70</v>
      </c>
      <c r="H39" s="23" t="inlineStr">
        <is>
          <t>نعم</t>
        </is>
      </c>
      <c r="I39" s="23" t="inlineStr"/>
    </row>
    <row r="40">
      <c r="A40" s="23" t="n">
        <v>39</v>
      </c>
      <c r="B40" s="23" t="inlineStr">
        <is>
          <t>حسين مصطفى – مستودع الرياض</t>
        </is>
      </c>
      <c r="C40" s="24" t="n">
        <v>46115</v>
      </c>
      <c r="D40" s="23" t="inlineStr">
        <is>
          <t>بنزين للوانيت</t>
        </is>
      </c>
      <c r="E40" s="23" t="inlineStr">
        <is>
          <t>VHC-5564</t>
        </is>
      </c>
      <c r="F40" s="23" t="inlineStr">
        <is>
          <t>وقود (ديزل/بنزين)</t>
        </is>
      </c>
      <c r="G40" s="25" t="n">
        <v>130</v>
      </c>
      <c r="H40" s="23" t="inlineStr">
        <is>
          <t>نعم</t>
        </is>
      </c>
      <c r="I40" s="23" t="inlineStr"/>
    </row>
    <row r="41">
      <c r="A41" s="23" t="n">
        <v>40</v>
      </c>
      <c r="B41" s="23" t="inlineStr">
        <is>
          <t>حسين مصطفى – مستودع الرياض</t>
        </is>
      </c>
      <c r="C41" s="24" t="n">
        <v>46115</v>
      </c>
      <c r="D41" s="23" t="inlineStr">
        <is>
          <t>غيار زيت وفلتر س عصمت</t>
        </is>
      </c>
      <c r="E41" s="23" t="inlineStr">
        <is>
          <t>VHC-1219</t>
        </is>
      </c>
      <c r="F41" s="23" t="inlineStr">
        <is>
          <t>صيانة سيارات</t>
        </is>
      </c>
      <c r="G41" s="25" t="n">
        <v>225.01</v>
      </c>
      <c r="H41" s="23" t="inlineStr">
        <is>
          <t>نعم</t>
        </is>
      </c>
      <c r="I41" s="23" t="inlineStr"/>
    </row>
    <row r="42">
      <c r="A42" s="23" t="n">
        <v>41</v>
      </c>
      <c r="B42" s="23" t="inlineStr">
        <is>
          <t>حسين مصطفى – مستودع الرياض</t>
        </is>
      </c>
      <c r="C42" s="24" t="n">
        <v>46118</v>
      </c>
      <c r="D42" s="23" t="inlineStr">
        <is>
          <t>شراء 2 لفة شكرتون</t>
        </is>
      </c>
      <c r="E42" s="23" t="inlineStr">
        <is>
          <t>RN-DEPARTMENT</t>
        </is>
      </c>
      <c r="F42" s="23" t="inlineStr">
        <is>
          <t>خدمات ومرافق (كهرباء/مياه/إنترنت/إنشاءات)</t>
        </is>
      </c>
      <c r="G42" s="25" t="n">
        <v>50</v>
      </c>
      <c r="H42" s="23" t="inlineStr">
        <is>
          <t>نعم</t>
        </is>
      </c>
      <c r="I42" s="23" t="inlineStr"/>
    </row>
    <row r="43">
      <c r="A43" s="23" t="n">
        <v>42</v>
      </c>
      <c r="B43" s="23" t="inlineStr">
        <is>
          <t>حسين مصطفى – مستودع الرياض</t>
        </is>
      </c>
      <c r="C43" s="24" t="n">
        <v>46121</v>
      </c>
      <c r="D43" s="23" t="inlineStr">
        <is>
          <t>شحن الت جو ونت شحن واي فاي - النت 6 شهور</t>
        </is>
      </c>
      <c r="E43" s="23" t="inlineStr"/>
      <c r="F43" s="23" t="inlineStr">
        <is>
          <t>خدمات ومرافق (كهرباء/مياه/إنترنت/إنشاءات)</t>
        </is>
      </c>
      <c r="G43" s="25" t="n">
        <v>750</v>
      </c>
      <c r="H43" s="23" t="inlineStr">
        <is>
          <t>نعم</t>
        </is>
      </c>
      <c r="I43" s="23" t="inlineStr"/>
    </row>
    <row r="44">
      <c r="A44" s="23" t="n">
        <v>43</v>
      </c>
      <c r="B44" s="23" t="inlineStr">
        <is>
          <t>حسين مصطفى – مستودع الرياض</t>
        </is>
      </c>
      <c r="C44" s="24" t="n">
        <v>46121</v>
      </c>
      <c r="D44" s="23" t="inlineStr">
        <is>
          <t>شراء ورق طباعة وفايل</t>
        </is>
      </c>
      <c r="E44" s="23" t="inlineStr">
        <is>
          <t>RN-DEPARTMENT</t>
        </is>
      </c>
      <c r="F44" s="23" t="inlineStr">
        <is>
          <t>خدمات ومرافق (كهرباء/مياه/إنترنت/إنشاءات)</t>
        </is>
      </c>
      <c r="G44" s="25" t="n">
        <v>46.17</v>
      </c>
      <c r="H44" s="23" t="inlineStr">
        <is>
          <t>نعم</t>
        </is>
      </c>
      <c r="I44" s="23" t="inlineStr"/>
    </row>
    <row r="45">
      <c r="A45" s="23" t="n">
        <v>44</v>
      </c>
      <c r="B45" s="23" t="inlineStr">
        <is>
          <t>حسين مصطفى – مستودع الرياض</t>
        </is>
      </c>
      <c r="C45" s="24" t="n">
        <v>46121</v>
      </c>
      <c r="D45" s="23" t="inlineStr">
        <is>
          <t>غيار زيت وفلتر س عماد</t>
        </is>
      </c>
      <c r="E45" s="23" t="inlineStr">
        <is>
          <t>VHC-3010</t>
        </is>
      </c>
      <c r="F45" s="23" t="inlineStr">
        <is>
          <t>صيانة سيارات</t>
        </is>
      </c>
      <c r="G45" s="25" t="n">
        <v>280</v>
      </c>
      <c r="H45" s="23" t="inlineStr">
        <is>
          <t>نعم</t>
        </is>
      </c>
      <c r="I45" s="23" t="inlineStr"/>
    </row>
    <row r="46">
      <c r="A46" s="23" t="n">
        <v>45</v>
      </c>
      <c r="B46" s="23" t="inlineStr">
        <is>
          <t>حسين مصطفى – مستودع الرياض</t>
        </is>
      </c>
      <c r="C46" s="24" t="n">
        <v>46123</v>
      </c>
      <c r="D46" s="23" t="inlineStr">
        <is>
          <t>سوالر س - عماد</t>
        </is>
      </c>
      <c r="E46" s="23" t="inlineStr">
        <is>
          <t>VHC-3010</t>
        </is>
      </c>
      <c r="F46" s="23" t="inlineStr">
        <is>
          <t>وقود (ديزل/بنزين)</t>
        </is>
      </c>
      <c r="G46" s="25" t="n">
        <v>150.02</v>
      </c>
      <c r="H46" s="23" t="inlineStr">
        <is>
          <t>نعم</t>
        </is>
      </c>
      <c r="I46" s="23" t="inlineStr"/>
    </row>
    <row r="47">
      <c r="A47" s="23" t="n">
        <v>46</v>
      </c>
      <c r="B47" s="23" t="inlineStr">
        <is>
          <t>حسين مصطفى – مستودع الرياض</t>
        </is>
      </c>
      <c r="C47" s="24" t="n">
        <v>46125</v>
      </c>
      <c r="D47" s="23" t="inlineStr">
        <is>
          <t>سوالر س - عماد</t>
        </is>
      </c>
      <c r="E47" s="23" t="inlineStr">
        <is>
          <t>VHC-3010</t>
        </is>
      </c>
      <c r="F47" s="23" t="inlineStr">
        <is>
          <t>وقود (ديزل/بنزين)</t>
        </is>
      </c>
      <c r="G47" s="25" t="n">
        <v>150.01</v>
      </c>
      <c r="H47" s="23" t="inlineStr">
        <is>
          <t>نعم</t>
        </is>
      </c>
      <c r="I47" s="23" t="inlineStr"/>
    </row>
    <row r="48">
      <c r="A48" s="23" t="n">
        <v>47</v>
      </c>
      <c r="B48" s="23" t="inlineStr">
        <is>
          <t>حسين مصطفى – مستودع الرياض</t>
        </is>
      </c>
      <c r="C48" s="24" t="n">
        <v>46126</v>
      </c>
      <c r="D48" s="23" t="inlineStr">
        <is>
          <t>سوالر س - عصمت</t>
        </is>
      </c>
      <c r="E48" s="23" t="inlineStr">
        <is>
          <t>VHC-1219</t>
        </is>
      </c>
      <c r="F48" s="23" t="inlineStr">
        <is>
          <t>وقود (ديزل/بنزين)</t>
        </is>
      </c>
      <c r="G48" s="25" t="n">
        <v>150.01</v>
      </c>
      <c r="H48" s="23" t="inlineStr">
        <is>
          <t>نعم</t>
        </is>
      </c>
      <c r="I48" s="23" t="inlineStr"/>
    </row>
    <row r="49">
      <c r="A49" s="23" t="n">
        <v>48</v>
      </c>
      <c r="B49" s="23" t="inlineStr">
        <is>
          <t>حسين مصطفى – مستودع الرياض</t>
        </is>
      </c>
      <c r="C49" s="24" t="n">
        <v>46126</v>
      </c>
      <c r="D49" s="23" t="inlineStr">
        <is>
          <t>ترصيص س عصمت</t>
        </is>
      </c>
      <c r="E49" s="23" t="inlineStr">
        <is>
          <t>VHC-1219</t>
        </is>
      </c>
      <c r="F49" s="23" t="inlineStr">
        <is>
          <t>صيانة سيارات</t>
        </is>
      </c>
      <c r="G49" s="25" t="n">
        <v>150.01</v>
      </c>
      <c r="H49" s="23" t="inlineStr">
        <is>
          <t>نعم</t>
        </is>
      </c>
      <c r="I49" s="23" t="inlineStr"/>
    </row>
    <row r="50">
      <c r="A50" s="23" t="n">
        <v>49</v>
      </c>
      <c r="B50" s="23" t="inlineStr">
        <is>
          <t>حسين مصطفى – مستودع الرياض</t>
        </is>
      </c>
      <c r="C50" s="24" t="n">
        <v>46127</v>
      </c>
      <c r="D50" s="23" t="inlineStr">
        <is>
          <t>سوالر س - عماد</t>
        </is>
      </c>
      <c r="E50" s="23" t="inlineStr">
        <is>
          <t>VHC-3010</t>
        </is>
      </c>
      <c r="F50" s="23" t="inlineStr">
        <is>
          <t>وقود (ديزل/بنزين)</t>
        </is>
      </c>
      <c r="G50" s="25" t="n">
        <v>150.01</v>
      </c>
      <c r="H50" s="23" t="inlineStr">
        <is>
          <t>نعم</t>
        </is>
      </c>
      <c r="I50" s="23" t="inlineStr"/>
    </row>
    <row r="51">
      <c r="A51" s="23" t="n">
        <v>50</v>
      </c>
      <c r="B51" s="23" t="inlineStr">
        <is>
          <t>حسين مصطفى – مستودع الرياض</t>
        </is>
      </c>
      <c r="C51" s="24" t="n">
        <v>46129</v>
      </c>
      <c r="D51" s="23" t="inlineStr">
        <is>
          <t>شراء غراء سباكة</t>
        </is>
      </c>
      <c r="E51" s="23" t="inlineStr">
        <is>
          <t>EXP.RN.NURSERY</t>
        </is>
      </c>
      <c r="F51" s="23" t="inlineStr">
        <is>
          <t>خدمات ومرافق (كهرباء/مياه/إنترنت/إنشاءات)</t>
        </is>
      </c>
      <c r="G51" s="25" t="n">
        <v>45</v>
      </c>
      <c r="H51" s="23" t="inlineStr">
        <is>
          <t>نعم</t>
        </is>
      </c>
      <c r="I51" s="23" t="inlineStr"/>
    </row>
    <row r="52">
      <c r="A52" s="23" t="n">
        <v>51</v>
      </c>
      <c r="B52" s="23" t="inlineStr">
        <is>
          <t>حسين مصطفى – مستودع الرياض</t>
        </is>
      </c>
      <c r="C52" s="24" t="n">
        <v>46129</v>
      </c>
      <c r="D52" s="23" t="inlineStr">
        <is>
          <t>غسيل س عصمت</t>
        </is>
      </c>
      <c r="E52" s="23" t="inlineStr">
        <is>
          <t>VHC-1219</t>
        </is>
      </c>
      <c r="F52" s="23" t="inlineStr">
        <is>
          <t>صيانة سيارات</t>
        </is>
      </c>
      <c r="G52" s="25" t="n">
        <v>60</v>
      </c>
      <c r="H52" s="23" t="inlineStr">
        <is>
          <t>نعم</t>
        </is>
      </c>
      <c r="I52" s="23" t="inlineStr"/>
    </row>
    <row r="53">
      <c r="A53" s="23" t="n">
        <v>52</v>
      </c>
      <c r="B53" s="23" t="inlineStr">
        <is>
          <t>حسين مصطفى – مستودع الرياض</t>
        </is>
      </c>
      <c r="C53" s="24" t="n">
        <v>46129</v>
      </c>
      <c r="D53" s="23" t="inlineStr">
        <is>
          <t>غيار زيت وفلتر س عماد</t>
        </is>
      </c>
      <c r="E53" s="23" t="inlineStr">
        <is>
          <t>VHC-3010</t>
        </is>
      </c>
      <c r="F53" s="23" t="inlineStr">
        <is>
          <t>صيانة سيارات</t>
        </is>
      </c>
      <c r="G53" s="25" t="n">
        <v>280</v>
      </c>
      <c r="H53" s="23" t="inlineStr">
        <is>
          <t>نعم</t>
        </is>
      </c>
      <c r="I53" s="23" t="inlineStr"/>
    </row>
    <row r="54">
      <c r="A54" s="23" t="n">
        <v>53</v>
      </c>
      <c r="B54" s="23" t="inlineStr">
        <is>
          <t>حسين مصطفى – مستودع الرياض</t>
        </is>
      </c>
      <c r="C54" s="24" t="n">
        <v>46129</v>
      </c>
      <c r="D54" s="23" t="inlineStr">
        <is>
          <t>غسيل وتشحيم س عماد + اصالح ماكينة رش المزرعة MOSTAFA HUSSEIN</t>
        </is>
      </c>
      <c r="E54" s="23" t="inlineStr">
        <is>
          <t>VHC-3010</t>
        </is>
      </c>
      <c r="F54" s="23" t="inlineStr">
        <is>
          <t>صيانة سيارات</t>
        </is>
      </c>
      <c r="G54" s="25" t="n">
        <v>250</v>
      </c>
      <c r="H54" s="23" t="inlineStr">
        <is>
          <t>نعم</t>
        </is>
      </c>
      <c r="I54" s="23" t="inlineStr"/>
    </row>
    <row r="55">
      <c r="A55" s="23" t="n">
        <v>54</v>
      </c>
      <c r="B55" s="23" t="inlineStr">
        <is>
          <t>حسين مصطفى – مستودع الرياض</t>
        </is>
      </c>
      <c r="C55" s="24" t="n">
        <v>46129</v>
      </c>
      <c r="D55" s="23" t="inlineStr">
        <is>
          <t>سوالر س عصمت</t>
        </is>
      </c>
      <c r="E55" s="23" t="inlineStr">
        <is>
          <t>VHC-1219</t>
        </is>
      </c>
      <c r="F55" s="23" t="inlineStr">
        <is>
          <t>وقود (ديزل/بنزين)</t>
        </is>
      </c>
      <c r="G55" s="25" t="n">
        <v>200</v>
      </c>
      <c r="H55" s="23" t="inlineStr">
        <is>
          <t>نعم</t>
        </is>
      </c>
      <c r="I55" s="23" t="inlineStr"/>
    </row>
    <row r="56">
      <c r="A56" s="23" t="n">
        <v>55</v>
      </c>
      <c r="B56" s="23" t="inlineStr">
        <is>
          <t>حسين مصطفى – مستودع الرياض</t>
        </is>
      </c>
      <c r="C56" s="24" t="n">
        <v>46130</v>
      </c>
      <c r="D56" s="23" t="inlineStr">
        <is>
          <t>سوالر س - عماد</t>
        </is>
      </c>
      <c r="E56" s="23" t="inlineStr">
        <is>
          <t>VHC-3010</t>
        </is>
      </c>
      <c r="F56" s="23" t="inlineStr">
        <is>
          <t>وقود (ديزل/بنزين)</t>
        </is>
      </c>
      <c r="G56" s="25" t="n">
        <v>300</v>
      </c>
      <c r="H56" s="23" t="inlineStr">
        <is>
          <t>نعم</t>
        </is>
      </c>
      <c r="I56" s="23" t="inlineStr"/>
    </row>
    <row r="57">
      <c r="A57" s="23" t="n">
        <v>56</v>
      </c>
      <c r="B57" s="23" t="inlineStr">
        <is>
          <t>حسين مصطفى – مستودع الرياض</t>
        </is>
      </c>
      <c r="C57" s="24" t="n">
        <v>46130</v>
      </c>
      <c r="D57" s="23" t="inlineStr">
        <is>
          <t>مياه للشرب</t>
        </is>
      </c>
      <c r="E57" s="23" t="inlineStr">
        <is>
          <t>EXP.RN.NURSERY</t>
        </is>
      </c>
      <c r="F57" s="23" t="inlineStr">
        <is>
          <t>خدمات ومرافق (كهرباء/مياه/إنترنت/إنشاءات)</t>
        </is>
      </c>
      <c r="G57" s="25" t="n">
        <v>70</v>
      </c>
      <c r="H57" s="23" t="inlineStr">
        <is>
          <t>نعم</t>
        </is>
      </c>
      <c r="I57" s="23" t="inlineStr"/>
    </row>
    <row r="58">
      <c r="A58" s="23" t="n">
        <v>57</v>
      </c>
      <c r="B58" s="23" t="inlineStr">
        <is>
          <t>حسين مصطفى – مستودع الرياض</t>
        </is>
      </c>
      <c r="C58" s="24" t="n">
        <v>46133</v>
      </c>
      <c r="D58" s="23" t="inlineStr">
        <is>
          <t>سوالر س - عماد</t>
        </is>
      </c>
      <c r="E58" s="23" t="inlineStr">
        <is>
          <t>VHC-3010</t>
        </is>
      </c>
      <c r="F58" s="23" t="inlineStr">
        <is>
          <t>وقود (ديزل/بنزين)</t>
        </is>
      </c>
      <c r="G58" s="25" t="n">
        <v>300</v>
      </c>
      <c r="H58" s="23" t="inlineStr">
        <is>
          <t>نعم</t>
        </is>
      </c>
      <c r="I58" s="23" t="inlineStr"/>
    </row>
    <row r="59">
      <c r="A59" s="23" t="n">
        <v>58</v>
      </c>
      <c r="B59" s="23" t="inlineStr">
        <is>
          <t>حسين مصطفى – مستودع الرياض</t>
        </is>
      </c>
      <c r="C59" s="24" t="n">
        <v>46133</v>
      </c>
      <c r="D59" s="23" t="inlineStr">
        <is>
          <t>غيار زيت س عصمت</t>
        </is>
      </c>
      <c r="E59" s="23" t="inlineStr">
        <is>
          <t>VHC-1219</t>
        </is>
      </c>
      <c r="F59" s="23" t="inlineStr">
        <is>
          <t>صيانة سيارات</t>
        </is>
      </c>
      <c r="G59" s="25" t="n">
        <v>225.01</v>
      </c>
      <c r="H59" s="23" t="inlineStr">
        <is>
          <t>نعم</t>
        </is>
      </c>
      <c r="I59" s="23" t="inlineStr"/>
    </row>
    <row r="60">
      <c r="A60" s="23" t="n">
        <v>59</v>
      </c>
      <c r="B60" s="23" t="inlineStr">
        <is>
          <t>حسين مصطفى – مستودع الرياض</t>
        </is>
      </c>
      <c r="C60" s="24" t="n">
        <v>46133</v>
      </c>
      <c r="D60" s="23" t="inlineStr">
        <is>
          <t>سوالر س - عصمت</t>
        </is>
      </c>
      <c r="E60" s="23" t="inlineStr">
        <is>
          <t>VHC-1219</t>
        </is>
      </c>
      <c r="F60" s="23" t="inlineStr">
        <is>
          <t>وقود (ديزل/بنزين)</t>
        </is>
      </c>
      <c r="G60" s="25" t="n">
        <v>200.1</v>
      </c>
      <c r="H60" s="23" t="inlineStr">
        <is>
          <t>نعم</t>
        </is>
      </c>
      <c r="I60" s="23" t="inlineStr"/>
    </row>
    <row r="61">
      <c r="A61" s="23" t="n">
        <v>60</v>
      </c>
      <c r="B61" s="23" t="inlineStr">
        <is>
          <t>حسين مصطفى – مستودع الرياض</t>
        </is>
      </c>
      <c r="C61" s="24" t="n">
        <v>46133</v>
      </c>
      <c r="D61" s="23" t="inlineStr">
        <is>
          <t>سوالر س - عصمت</t>
        </is>
      </c>
      <c r="E61" s="23" t="inlineStr">
        <is>
          <t>VHC-1219</t>
        </is>
      </c>
      <c r="F61" s="23" t="inlineStr">
        <is>
          <t>وقود (ديزل/بنزين)</t>
        </is>
      </c>
      <c r="G61" s="25" t="n">
        <v>200.1</v>
      </c>
      <c r="H61" s="23" t="inlineStr">
        <is>
          <t>نعم</t>
        </is>
      </c>
      <c r="I61" s="23" t="inlineStr"/>
    </row>
    <row r="62">
      <c r="A62" s="23" t="n">
        <v>61</v>
      </c>
      <c r="B62" s="23" t="inlineStr">
        <is>
          <t>حسين مصطفى – مستودع الرياض</t>
        </is>
      </c>
      <c r="C62" s="24" t="n">
        <v>46134</v>
      </c>
      <c r="D62" s="23" t="inlineStr">
        <is>
          <t>سوالر س - عماد</t>
        </is>
      </c>
      <c r="E62" s="23" t="inlineStr">
        <is>
          <t>VHC-3010</t>
        </is>
      </c>
      <c r="F62" s="23" t="inlineStr">
        <is>
          <t>وقود (ديزل/بنزين)</t>
        </is>
      </c>
      <c r="G62" s="25" t="n">
        <v>350</v>
      </c>
      <c r="H62" s="23" t="inlineStr">
        <is>
          <t>نعم</t>
        </is>
      </c>
      <c r="I62" s="23" t="inlineStr"/>
    </row>
    <row r="63">
      <c r="A63" s="23" t="n">
        <v>62</v>
      </c>
      <c r="B63" s="23" t="inlineStr">
        <is>
          <t>حسين مصطفى – مستودع الرياض</t>
        </is>
      </c>
      <c r="C63" s="24" t="n">
        <v>46136</v>
      </c>
      <c r="D63" s="23" t="inlineStr">
        <is>
          <t>بنزين للوانيت</t>
        </is>
      </c>
      <c r="E63" s="23" t="inlineStr">
        <is>
          <t>VHC-5564</t>
        </is>
      </c>
      <c r="F63" s="23" t="inlineStr">
        <is>
          <t>وقود (ديزل/بنزين)</t>
        </is>
      </c>
      <c r="G63" s="25" t="n">
        <v>100.02</v>
      </c>
      <c r="H63" s="23" t="inlineStr">
        <is>
          <t>نعم</t>
        </is>
      </c>
      <c r="I63" s="23" t="inlineStr"/>
    </row>
    <row r="64">
      <c r="A64" s="23" t="n">
        <v>63</v>
      </c>
      <c r="B64" s="23" t="inlineStr">
        <is>
          <t>حسين مصطفى – مستودع الرياض</t>
        </is>
      </c>
      <c r="C64" s="24" t="n">
        <v>46136</v>
      </c>
      <c r="D64" s="23" t="inlineStr">
        <is>
          <t>سوالر س - عماد</t>
        </is>
      </c>
      <c r="E64" s="23" t="inlineStr">
        <is>
          <t>VHC-3010</t>
        </is>
      </c>
      <c r="F64" s="23" t="inlineStr">
        <is>
          <t>وقود (ديزل/بنزين)</t>
        </is>
      </c>
      <c r="G64" s="25" t="n">
        <v>315.01</v>
      </c>
      <c r="H64" s="23" t="inlineStr">
        <is>
          <t>نعم</t>
        </is>
      </c>
      <c r="I64" s="23" t="inlineStr"/>
    </row>
    <row r="65">
      <c r="A65" s="23" t="n">
        <v>64</v>
      </c>
      <c r="B65" s="23" t="inlineStr">
        <is>
          <t>حسين مصطفى – مستودع الرياض</t>
        </is>
      </c>
      <c r="C65" s="24" t="n">
        <v>46137</v>
      </c>
      <c r="D65" s="23" t="inlineStr">
        <is>
          <t>سوالر س - عصمت</t>
        </is>
      </c>
      <c r="E65" s="23" t="inlineStr">
        <is>
          <t>VHC-1219</t>
        </is>
      </c>
      <c r="F65" s="23" t="inlineStr">
        <is>
          <t>وقود (ديزل/بنزين)</t>
        </is>
      </c>
      <c r="G65" s="25" t="n">
        <v>200</v>
      </c>
      <c r="H65" s="23" t="inlineStr">
        <is>
          <t>نعم</t>
        </is>
      </c>
      <c r="I65" s="23" t="inlineStr"/>
    </row>
    <row r="66">
      <c r="A66" s="23" t="n">
        <v>65</v>
      </c>
      <c r="B66" s="23" t="inlineStr">
        <is>
          <t>حسين مصطفى – مستودع الرياض</t>
        </is>
      </c>
      <c r="C66" s="24" t="n">
        <v>46137</v>
      </c>
      <c r="D66" s="23" t="inlineStr">
        <is>
          <t>سوالر س - عماد</t>
        </is>
      </c>
      <c r="E66" s="23" t="inlineStr">
        <is>
          <t>VHC-3010</t>
        </is>
      </c>
      <c r="F66" s="23" t="inlineStr">
        <is>
          <t>وقود (ديزل/بنزين)</t>
        </is>
      </c>
      <c r="G66" s="25" t="n">
        <v>200</v>
      </c>
      <c r="H66" s="23" t="inlineStr">
        <is>
          <t>نعم</t>
        </is>
      </c>
      <c r="I66" s="23" t="inlineStr"/>
    </row>
    <row r="67">
      <c r="A67" s="23" t="n">
        <v>66</v>
      </c>
      <c r="B67" s="23" t="inlineStr">
        <is>
          <t>حسين مصطفى – مستودع الرياض</t>
        </is>
      </c>
      <c r="C67" s="24" t="n">
        <v>46138</v>
      </c>
      <c r="D67" s="23" t="inlineStr">
        <is>
          <t>صيانة ماتور الرش + زيت</t>
        </is>
      </c>
      <c r="E67" s="23" t="inlineStr">
        <is>
          <t>EXP.RN.NURSERY</t>
        </is>
      </c>
      <c r="F67" s="23" t="inlineStr">
        <is>
          <t>خدمات ومرافق (كهرباء/مياه/إنترنت/إنشاءات)</t>
        </is>
      </c>
      <c r="G67" s="25" t="n">
        <v>210</v>
      </c>
      <c r="H67" s="23" t="inlineStr">
        <is>
          <t>نعم</t>
        </is>
      </c>
      <c r="I67" s="23" t="inlineStr"/>
    </row>
    <row r="68">
      <c r="A68" s="23" t="n">
        <v>67</v>
      </c>
      <c r="B68" s="23" t="inlineStr">
        <is>
          <t>حسين مصطفى – مستودع الرياض</t>
        </is>
      </c>
      <c r="C68" s="24" t="n">
        <v>46139</v>
      </c>
      <c r="D68" s="23" t="inlineStr">
        <is>
          <t>سوالر س - عماد</t>
        </is>
      </c>
      <c r="E68" s="23" t="inlineStr">
        <is>
          <t>VHC-3010</t>
        </is>
      </c>
      <c r="F68" s="23" t="inlineStr">
        <is>
          <t>وقود (ديزل/بنزين)</t>
        </is>
      </c>
      <c r="G68" s="25" t="n">
        <v>200</v>
      </c>
      <c r="H68" s="23" t="inlineStr">
        <is>
          <t>نعم</t>
        </is>
      </c>
      <c r="I68" s="23" t="inlineStr"/>
    </row>
    <row r="69">
      <c r="A69" s="23" t="n">
        <v>68</v>
      </c>
      <c r="B69" s="23" t="inlineStr">
        <is>
          <t>حسين مصطفى – مستودع الرياض</t>
        </is>
      </c>
      <c r="C69" s="24" t="n">
        <v>46139</v>
      </c>
      <c r="D69" s="23" t="inlineStr">
        <is>
          <t>شراء مبيدات للزهور</t>
        </is>
      </c>
      <c r="E69" s="23" t="inlineStr">
        <is>
          <t>EXP.RN.NURSERY</t>
        </is>
      </c>
      <c r="F69" s="23" t="inlineStr">
        <is>
          <t>مصروفات تشغيل المزرعة</t>
        </is>
      </c>
      <c r="G69" s="25" t="n">
        <v>325</v>
      </c>
      <c r="H69" s="23" t="inlineStr">
        <is>
          <t>نعم</t>
        </is>
      </c>
      <c r="I69" s="23" t="inlineStr"/>
    </row>
    <row r="70">
      <c r="A70" s="23" t="n">
        <v>69</v>
      </c>
      <c r="B70" s="23" t="inlineStr">
        <is>
          <t>حسين مصطفى – مستودع الرياض</t>
        </is>
      </c>
      <c r="C70" s="24" t="n">
        <v>46139</v>
      </c>
      <c r="D70" s="23" t="inlineStr">
        <is>
          <t>شراء مبيدات للزهور</t>
        </is>
      </c>
      <c r="E70" s="23" t="inlineStr">
        <is>
          <t>EXP.RN.NURSERY</t>
        </is>
      </c>
      <c r="F70" s="23" t="inlineStr">
        <is>
          <t>مصروفات تشغيل المزرعة</t>
        </is>
      </c>
      <c r="G70" s="25" t="n">
        <v>275</v>
      </c>
      <c r="H70" s="23" t="inlineStr">
        <is>
          <t>نعم</t>
        </is>
      </c>
      <c r="I70" s="23" t="inlineStr"/>
    </row>
    <row r="71">
      <c r="A71" s="23" t="n">
        <v>70</v>
      </c>
      <c r="B71" s="23" t="inlineStr">
        <is>
          <t>حسين مصطفى – مستودع الرياض</t>
        </is>
      </c>
      <c r="C71" s="24" t="n">
        <v>46141</v>
      </c>
      <c r="D71" s="23" t="inlineStr">
        <is>
          <t>سوالر س - عصمت</t>
        </is>
      </c>
      <c r="E71" s="23" t="inlineStr">
        <is>
          <t>VHC-1219</t>
        </is>
      </c>
      <c r="F71" s="23" t="inlineStr">
        <is>
          <t>وقود (ديزل/بنزين)</t>
        </is>
      </c>
      <c r="G71" s="25" t="n">
        <v>230</v>
      </c>
      <c r="H71" s="23" t="inlineStr">
        <is>
          <t>نعم</t>
        </is>
      </c>
      <c r="I71" s="23" t="inlineStr"/>
    </row>
    <row r="72">
      <c r="A72" s="23" t="n">
        <v>71</v>
      </c>
      <c r="B72" s="23" t="inlineStr">
        <is>
          <t>حسين مصطفى – مستودع الرياض</t>
        </is>
      </c>
      <c r="C72" s="24" t="n">
        <v>46143</v>
      </c>
      <c r="D72" s="23" t="inlineStr">
        <is>
          <t>سوالر س - عماد</t>
        </is>
      </c>
      <c r="E72" s="23" t="inlineStr">
        <is>
          <t>VHC-3010</t>
        </is>
      </c>
      <c r="F72" s="23" t="inlineStr">
        <is>
          <t>وقود (ديزل/بنزين)</t>
        </is>
      </c>
      <c r="G72" s="25" t="n">
        <v>300</v>
      </c>
      <c r="H72" s="23" t="inlineStr">
        <is>
          <t>نعم</t>
        </is>
      </c>
      <c r="I72" s="23" t="inlineStr"/>
    </row>
    <row r="73">
      <c r="A73" s="23" t="n">
        <v>72</v>
      </c>
      <c r="B73" s="23" t="inlineStr">
        <is>
          <t>حسين مصطفى – مستودع الرياض</t>
        </is>
      </c>
      <c r="C73" s="24" t="n">
        <v>46143</v>
      </c>
      <c r="D73" s="23" t="inlineStr">
        <is>
          <t>غسيل وتشحيم س - عماد</t>
        </is>
      </c>
      <c r="E73" s="23" t="inlineStr">
        <is>
          <t>VHC-3010</t>
        </is>
      </c>
      <c r="F73" s="23" t="inlineStr">
        <is>
          <t>وقود (ديزل/بنزين)</t>
        </is>
      </c>
      <c r="G73" s="25" t="n">
        <v>100</v>
      </c>
      <c r="H73" s="23" t="inlineStr">
        <is>
          <t>نعم</t>
        </is>
      </c>
      <c r="I73" s="23" t="inlineStr"/>
    </row>
    <row r="74">
      <c r="A74" s="23" t="n">
        <v>73</v>
      </c>
      <c r="B74" s="23" t="inlineStr">
        <is>
          <t>حسين مصطفى – مستودع الرياض</t>
        </is>
      </c>
      <c r="C74" s="24" t="n">
        <v>46144</v>
      </c>
      <c r="D74" s="23" t="inlineStr">
        <is>
          <t>سوالر س - عصمت</t>
        </is>
      </c>
      <c r="E74" s="23" t="inlineStr">
        <is>
          <t>VHC-1219</t>
        </is>
      </c>
      <c r="F74" s="23" t="inlineStr">
        <is>
          <t>وقود (ديزل/بنزين)</t>
        </is>
      </c>
      <c r="G74" s="25" t="n">
        <v>250.01</v>
      </c>
      <c r="H74" s="23" t="inlineStr">
        <is>
          <t>نعم</t>
        </is>
      </c>
      <c r="I74" s="23" t="inlineStr"/>
    </row>
    <row r="75">
      <c r="A75" s="23" t="n">
        <v>74</v>
      </c>
      <c r="B75" s="23" t="inlineStr">
        <is>
          <t>حسين مصطفى – مستودع الرياض</t>
        </is>
      </c>
      <c r="C75" s="24" t="n">
        <v>46144</v>
      </c>
      <c r="D75" s="23" t="inlineStr">
        <is>
          <t>سوالر س - عماد</t>
        </is>
      </c>
      <c r="E75" s="23" t="inlineStr">
        <is>
          <t>VHC-3010</t>
        </is>
      </c>
      <c r="F75" s="23" t="inlineStr">
        <is>
          <t>وقود (ديزل/بنزين)</t>
        </is>
      </c>
      <c r="G75" s="25" t="n">
        <v>300</v>
      </c>
      <c r="H75" s="23" t="inlineStr">
        <is>
          <t>نعم</t>
        </is>
      </c>
      <c r="I75" s="23" t="inlineStr"/>
    </row>
    <row r="76">
      <c r="A76" s="23" t="n">
        <v>75</v>
      </c>
      <c r="B76" s="23" t="inlineStr">
        <is>
          <t>حسين مصطفى – مستودع الرياض</t>
        </is>
      </c>
      <c r="C76" s="24" t="n">
        <v>46144</v>
      </c>
      <c r="D76" s="23" t="inlineStr">
        <is>
          <t>غيار زيت س عماد</t>
        </is>
      </c>
      <c r="E76" s="23" t="inlineStr">
        <is>
          <t>VHC-3010</t>
        </is>
      </c>
      <c r="F76" s="23" t="inlineStr">
        <is>
          <t>صيانة سيارات</t>
        </is>
      </c>
      <c r="G76" s="25" t="n">
        <v>300</v>
      </c>
      <c r="H76" s="23" t="inlineStr">
        <is>
          <t>نعم</t>
        </is>
      </c>
      <c r="I76" s="23" t="inlineStr"/>
    </row>
    <row r="77">
      <c r="A77" s="23" t="n">
        <v>76</v>
      </c>
      <c r="B77" s="23" t="inlineStr">
        <is>
          <t>حسين مصطفى – مستودع الرياض</t>
        </is>
      </c>
      <c r="C77" s="24" t="n">
        <v>46145</v>
      </c>
      <c r="D77" s="23" t="inlineStr">
        <is>
          <t>مياه للشرب</t>
        </is>
      </c>
      <c r="E77" s="23" t="inlineStr">
        <is>
          <t>RN-DEPARTMENT</t>
        </is>
      </c>
      <c r="F77" s="23" t="inlineStr">
        <is>
          <t>خدمات ومرافق (كهرباء/مياه/إنترنت/إنشاءات)</t>
        </is>
      </c>
      <c r="G77" s="25" t="n">
        <v>70</v>
      </c>
      <c r="H77" s="23" t="inlineStr">
        <is>
          <t>نعم</t>
        </is>
      </c>
      <c r="I77" s="23" t="inlineStr"/>
    </row>
    <row r="78">
      <c r="A78" s="23" t="n">
        <v>77</v>
      </c>
      <c r="B78" s="23" t="inlineStr">
        <is>
          <t>حسين مصطفى – مستودع الرياض</t>
        </is>
      </c>
      <c r="C78" s="24" t="n">
        <v>46145</v>
      </c>
      <c r="D78" s="23" t="inlineStr">
        <is>
          <t>سوالر س - عماد</t>
        </is>
      </c>
      <c r="E78" s="23" t="inlineStr">
        <is>
          <t>VHC-3010</t>
        </is>
      </c>
      <c r="F78" s="23" t="inlineStr">
        <is>
          <t>وقود (ديزل/بنزين)</t>
        </is>
      </c>
      <c r="G78" s="25" t="n">
        <v>300</v>
      </c>
      <c r="H78" s="23" t="inlineStr">
        <is>
          <t>نعم</t>
        </is>
      </c>
      <c r="I78" s="23" t="inlineStr"/>
    </row>
    <row r="79">
      <c r="A79" s="23" t="n">
        <v>78</v>
      </c>
      <c r="B79" s="23" t="inlineStr">
        <is>
          <t>حسين مصطفى – مستودع الرياض</t>
        </is>
      </c>
      <c r="C79" s="24" t="n">
        <v>46146</v>
      </c>
      <c r="D79" s="23" t="inlineStr">
        <is>
          <t>شراء مقصات شجر</t>
        </is>
      </c>
      <c r="E79" s="23" t="inlineStr">
        <is>
          <t>EXP.RN.NURSERY</t>
        </is>
      </c>
      <c r="F79" s="23" t="inlineStr">
        <is>
          <t>مصروفات تشغيل المزرعة</t>
        </is>
      </c>
      <c r="G79" s="25" t="n">
        <v>118.45</v>
      </c>
      <c r="H79" s="23" t="inlineStr">
        <is>
          <t>نعم</t>
        </is>
      </c>
      <c r="I79" s="23" t="inlineStr"/>
    </row>
    <row r="80">
      <c r="A80" s="23" t="n">
        <v>79</v>
      </c>
      <c r="B80" s="23" t="inlineStr">
        <is>
          <t>حسين مصطفى – مستودع الرياض</t>
        </is>
      </c>
      <c r="C80" s="24" t="n">
        <v>46146</v>
      </c>
      <c r="D80" s="23" t="inlineStr">
        <is>
          <t>سوالر س - عماد</t>
        </is>
      </c>
      <c r="E80" s="23" t="inlineStr">
        <is>
          <t>VHC-3010</t>
        </is>
      </c>
      <c r="F80" s="23" t="inlineStr">
        <is>
          <t>وقود (ديزل/بنزين)</t>
        </is>
      </c>
      <c r="G80" s="25" t="n">
        <v>250.01</v>
      </c>
      <c r="H80" s="23" t="inlineStr">
        <is>
          <t>نعم</t>
        </is>
      </c>
      <c r="I80" s="23" t="inlineStr"/>
    </row>
    <row r="81">
      <c r="A81" s="23" t="n">
        <v>80</v>
      </c>
      <c r="B81" s="23" t="inlineStr">
        <is>
          <t>حسين مصطفى – مستودع الرياض</t>
        </is>
      </c>
      <c r="C81" s="24" t="n">
        <v>46147</v>
      </c>
      <c r="D81" s="23" t="inlineStr">
        <is>
          <t>سوالر س - عصمت</t>
        </is>
      </c>
      <c r="E81" s="23" t="inlineStr">
        <is>
          <t>VHC-1219</t>
        </is>
      </c>
      <c r="F81" s="23" t="inlineStr">
        <is>
          <t>وقود (ديزل/بنزين)</t>
        </is>
      </c>
      <c r="G81" s="25" t="n">
        <v>250</v>
      </c>
      <c r="H81" s="23" t="inlineStr">
        <is>
          <t>نعم</t>
        </is>
      </c>
      <c r="I81" s="23" t="inlineStr"/>
    </row>
    <row r="82">
      <c r="A82" s="23" t="n">
        <v>81</v>
      </c>
      <c r="B82" s="23" t="inlineStr">
        <is>
          <t>حسين مصطفى – مستودع الرياض</t>
        </is>
      </c>
      <c r="C82" s="24" t="n">
        <v>46147</v>
      </c>
      <c r="D82" s="23" t="inlineStr">
        <is>
          <t>شراء خيط الشجار وزراديه</t>
        </is>
      </c>
      <c r="E82" s="23" t="inlineStr">
        <is>
          <t>EXP.RN.NURSERY</t>
        </is>
      </c>
      <c r="F82" s="23" t="inlineStr">
        <is>
          <t>مصروفات تشغيل المزرعة</t>
        </is>
      </c>
      <c r="G82" s="25" t="n">
        <v>85</v>
      </c>
      <c r="H82" s="23" t="inlineStr">
        <is>
          <t>نعم</t>
        </is>
      </c>
      <c r="I82" s="23" t="inlineStr"/>
    </row>
    <row r="83">
      <c r="A83" s="23" t="n">
        <v>82</v>
      </c>
      <c r="B83" s="23" t="inlineStr">
        <is>
          <t>حسين مصطفى – مستودع الرياض</t>
        </is>
      </c>
      <c r="C83" s="24" t="n">
        <v>46148</v>
      </c>
      <c r="D83" s="23" t="inlineStr">
        <is>
          <t>سوالر س عماد</t>
        </is>
      </c>
      <c r="E83" s="23" t="inlineStr">
        <is>
          <t>VHC-3010</t>
        </is>
      </c>
      <c r="F83" s="23" t="inlineStr">
        <is>
          <t>وقود (ديزل/بنزين)</t>
        </is>
      </c>
      <c r="G83" s="25" t="n">
        <v>200</v>
      </c>
      <c r="H83" s="23" t="inlineStr">
        <is>
          <t>نعم</t>
        </is>
      </c>
      <c r="I83" s="23" t="inlineStr"/>
    </row>
    <row r="84">
      <c r="A84" s="23" t="n">
        <v>83</v>
      </c>
      <c r="B84" s="23" t="inlineStr">
        <is>
          <t>حسين مصطفى – مستودع الرياض</t>
        </is>
      </c>
      <c r="C84" s="24" t="n">
        <v>46148</v>
      </c>
      <c r="D84" s="23" t="inlineStr">
        <is>
          <t>غسيل س - عصمت</t>
        </is>
      </c>
      <c r="E84" s="23" t="inlineStr">
        <is>
          <t>VHC-1219</t>
        </is>
      </c>
      <c r="F84" s="23" t="inlineStr">
        <is>
          <t>صيانة سيارات</t>
        </is>
      </c>
      <c r="G84" s="25" t="n">
        <v>60</v>
      </c>
      <c r="H84" s="23" t="inlineStr">
        <is>
          <t>نعم</t>
        </is>
      </c>
      <c r="I84" s="23" t="inlineStr"/>
    </row>
    <row r="85">
      <c r="A85" s="23" t="n">
        <v>84</v>
      </c>
      <c r="B85" s="23" t="inlineStr">
        <is>
          <t>حسين مصطفى – مستودع الرياض</t>
        </is>
      </c>
      <c r="C85" s="24" t="n">
        <v>46148</v>
      </c>
      <c r="D85" s="23" t="inlineStr">
        <is>
          <t>غيار زيت س عصمت</t>
        </is>
      </c>
      <c r="E85" s="23" t="inlineStr">
        <is>
          <t>VHC-1219</t>
        </is>
      </c>
      <c r="F85" s="23" t="inlineStr">
        <is>
          <t>صيانة سيارات</t>
        </is>
      </c>
      <c r="G85" s="25" t="n">
        <v>245.01</v>
      </c>
      <c r="H85" s="23" t="inlineStr">
        <is>
          <t>نعم</t>
        </is>
      </c>
      <c r="I85" s="23" t="inlineStr"/>
    </row>
    <row r="86">
      <c r="A86" s="23" t="n">
        <v>85</v>
      </c>
      <c r="B86" s="23" t="inlineStr">
        <is>
          <t>حسين مصطفى – مستودع الرياض</t>
        </is>
      </c>
      <c r="C86" s="24" t="n">
        <v>46150</v>
      </c>
      <c r="D86" s="23" t="inlineStr">
        <is>
          <t>سوالر س عماد</t>
        </is>
      </c>
      <c r="E86" s="23" t="inlineStr">
        <is>
          <t>VHC-3010</t>
        </is>
      </c>
      <c r="F86" s="23" t="inlineStr">
        <is>
          <t>وقود (ديزل/بنزين)</t>
        </is>
      </c>
      <c r="G86" s="25" t="n">
        <v>220.01</v>
      </c>
      <c r="H86" s="23" t="inlineStr">
        <is>
          <t>نعم</t>
        </is>
      </c>
      <c r="I86" s="23" t="inlineStr"/>
    </row>
    <row r="87">
      <c r="A87" s="23" t="n">
        <v>86</v>
      </c>
      <c r="B87" s="23" t="inlineStr">
        <is>
          <t>حسين مصطفى – مستودع الرياض</t>
        </is>
      </c>
      <c r="C87" s="24" t="n">
        <v>46151</v>
      </c>
      <c r="D87" s="23" t="inlineStr">
        <is>
          <t>سوالر س عماد</t>
        </is>
      </c>
      <c r="E87" s="23" t="inlineStr">
        <is>
          <t>VHC-3010</t>
        </is>
      </c>
      <c r="F87" s="23" t="inlineStr">
        <is>
          <t>وقود (ديزل/بنزين)</t>
        </is>
      </c>
      <c r="G87" s="25" t="n">
        <v>300</v>
      </c>
      <c r="H87" s="23" t="inlineStr">
        <is>
          <t>نعم</t>
        </is>
      </c>
      <c r="I87" s="23" t="inlineStr"/>
    </row>
    <row r="88">
      <c r="A88" s="23" t="n">
        <v>87</v>
      </c>
      <c r="B88" s="23" t="inlineStr">
        <is>
          <t>حسين مصطفى – مستودع الرياض</t>
        </is>
      </c>
      <c r="C88" s="24" t="n">
        <v>46151</v>
      </c>
      <c r="D88" s="23" t="inlineStr">
        <is>
          <t>سوالر س - عصمت</t>
        </is>
      </c>
      <c r="E88" s="23" t="inlineStr">
        <is>
          <t>VHC-1219</t>
        </is>
      </c>
      <c r="F88" s="23" t="inlineStr">
        <is>
          <t>وقود (ديزل/بنزين)</t>
        </is>
      </c>
      <c r="G88" s="25" t="n">
        <v>276</v>
      </c>
      <c r="H88" s="23" t="inlineStr">
        <is>
          <t>نعم</t>
        </is>
      </c>
      <c r="I88" s="23" t="inlineStr"/>
    </row>
    <row r="89">
      <c r="A89" s="23" t="n">
        <v>88</v>
      </c>
      <c r="B89" s="23" t="inlineStr">
        <is>
          <t>حسين مصطفى – مستودع الرياض</t>
        </is>
      </c>
      <c r="C89" s="24" t="n">
        <v>46152</v>
      </c>
      <c r="D89" s="23" t="inlineStr">
        <is>
          <t>سوالر س عماد</t>
        </is>
      </c>
      <c r="E89" s="23" t="inlineStr">
        <is>
          <t>VHC-3010</t>
        </is>
      </c>
      <c r="F89" s="23" t="inlineStr">
        <is>
          <t>وقود (ديزل/بنزين)</t>
        </is>
      </c>
      <c r="G89" s="25" t="n">
        <v>200</v>
      </c>
      <c r="H89" s="23" t="inlineStr">
        <is>
          <t>نعم</t>
        </is>
      </c>
      <c r="I89" s="23" t="inlineStr"/>
    </row>
    <row r="90">
      <c r="A90" s="23" t="n">
        <v>89</v>
      </c>
      <c r="B90" s="23" t="inlineStr">
        <is>
          <t>حسين مصطفى – مستودع الرياض</t>
        </is>
      </c>
      <c r="C90" s="24" t="n">
        <v>46154</v>
      </c>
      <c r="D90" s="23" t="inlineStr">
        <is>
          <t>شراء حبر للطابعة</t>
        </is>
      </c>
      <c r="E90" s="23" t="inlineStr">
        <is>
          <t>RN-DEPARTMENT</t>
        </is>
      </c>
      <c r="F90" s="23" t="inlineStr">
        <is>
          <t>مصروفات تشغيل المزرعة</t>
        </is>
      </c>
      <c r="G90" s="25" t="n">
        <v>420</v>
      </c>
      <c r="H90" s="23" t="inlineStr">
        <is>
          <t>نعم</t>
        </is>
      </c>
      <c r="I90" s="23" t="inlineStr"/>
    </row>
    <row r="91">
      <c r="A91" s="23" t="n">
        <v>90</v>
      </c>
      <c r="B91" s="23" t="inlineStr">
        <is>
          <t>حسين مصطفى – مستودع الرياض</t>
        </is>
      </c>
      <c r="C91" s="24" t="n">
        <v>46155</v>
      </c>
      <c r="D91" s="23" t="inlineStr">
        <is>
          <t>سوالر س - عصمت</t>
        </is>
      </c>
      <c r="E91" s="23" t="inlineStr">
        <is>
          <t>VHC-1219</t>
        </is>
      </c>
      <c r="F91" s="23" t="inlineStr">
        <is>
          <t>وقود (ديزل/بنزين)</t>
        </is>
      </c>
      <c r="G91" s="25" t="n">
        <v>270</v>
      </c>
      <c r="H91" s="23" t="inlineStr">
        <is>
          <t>نعم</t>
        </is>
      </c>
      <c r="I91" s="23" t="inlineStr"/>
    </row>
    <row r="92">
      <c r="A92" s="23" t="n">
        <v>91</v>
      </c>
      <c r="B92" s="23" t="inlineStr">
        <is>
          <t>حسين مصطفى – مستودع الرياض</t>
        </is>
      </c>
      <c r="C92" s="24" t="n">
        <v>46155</v>
      </c>
      <c r="D92" s="23" t="inlineStr">
        <is>
          <t>شراء 2 لمبة جنب س - عصمت</t>
        </is>
      </c>
      <c r="E92" s="23" t="inlineStr">
        <is>
          <t>VHC-1219</t>
        </is>
      </c>
      <c r="F92" s="23" t="inlineStr">
        <is>
          <t>صيانة سيارات</t>
        </is>
      </c>
      <c r="G92" s="25" t="n">
        <v>20.01</v>
      </c>
      <c r="H92" s="23" t="inlineStr">
        <is>
          <t>نعم</t>
        </is>
      </c>
      <c r="I92" s="23" t="inlineStr"/>
    </row>
    <row r="93">
      <c r="A93" s="23" t="n">
        <v>92</v>
      </c>
      <c r="B93" s="23" t="inlineStr">
        <is>
          <t>حسين مصطفى – مستودع الرياض</t>
        </is>
      </c>
      <c r="C93" s="24" t="n">
        <v>46157</v>
      </c>
      <c r="D93" s="23" t="inlineStr">
        <is>
          <t>شراء لمبات ومفاتيح للغرف</t>
        </is>
      </c>
      <c r="E93" s="23" t="inlineStr">
        <is>
          <t>RN-DEPARTMENT</t>
        </is>
      </c>
      <c r="F93" s="23" t="inlineStr">
        <is>
          <t>خدمات ومرافق (كهرباء/مياه/إنترنت/إنشاءات)</t>
        </is>
      </c>
      <c r="G93" s="25" t="n">
        <v>103.5</v>
      </c>
      <c r="H93" s="23" t="inlineStr">
        <is>
          <t>نعم</t>
        </is>
      </c>
      <c r="I93" s="23" t="inlineStr"/>
    </row>
    <row r="94">
      <c r="A94" s="23" t="n">
        <v>93</v>
      </c>
      <c r="B94" s="23" t="inlineStr">
        <is>
          <t>حسين مصطفى – مستودع الرياض</t>
        </is>
      </c>
      <c r="C94" s="24" t="n">
        <v>46157</v>
      </c>
      <c r="D94" s="23" t="inlineStr">
        <is>
          <t>سوالر س عماد</t>
        </is>
      </c>
      <c r="E94" s="23" t="inlineStr">
        <is>
          <t>VHC-3010</t>
        </is>
      </c>
      <c r="F94" s="23" t="inlineStr">
        <is>
          <t>وقود (ديزل/بنزين)</t>
        </is>
      </c>
      <c r="G94" s="25" t="n">
        <v>300</v>
      </c>
      <c r="H94" s="23" t="inlineStr">
        <is>
          <t>نعم</t>
        </is>
      </c>
      <c r="I94" s="23" t="inlineStr"/>
    </row>
    <row r="95">
      <c r="A95" s="23" t="n">
        <v>94</v>
      </c>
      <c r="B95" s="23" t="inlineStr">
        <is>
          <t>حسين مصطفى – مستودع الرياض</t>
        </is>
      </c>
      <c r="C95" s="24" t="n">
        <v>46159</v>
      </c>
      <c r="D95" s="23" t="inlineStr">
        <is>
          <t>مياه للشرب</t>
        </is>
      </c>
      <c r="E95" s="23" t="inlineStr">
        <is>
          <t>RN-DEPARTMENT</t>
        </is>
      </c>
      <c r="F95" s="23" t="inlineStr">
        <is>
          <t>خدمات ومرافق (كهرباء/مياه/إنترنت/إنشاءات)</t>
        </is>
      </c>
      <c r="G95" s="25" t="n">
        <v>70</v>
      </c>
      <c r="H95" s="23" t="inlineStr">
        <is>
          <t>نعم</t>
        </is>
      </c>
      <c r="I95" s="23" t="inlineStr"/>
    </row>
    <row r="96">
      <c r="A96" s="23" t="n">
        <v>95</v>
      </c>
      <c r="B96" s="23" t="inlineStr">
        <is>
          <t>حسين مصطفى – مستودع الرياض</t>
        </is>
      </c>
      <c r="C96" s="24" t="n">
        <v>46159</v>
      </c>
      <c r="D96" s="23" t="inlineStr">
        <is>
          <t>سوالر س عماد</t>
        </is>
      </c>
      <c r="E96" s="23" t="inlineStr">
        <is>
          <t>VHC-3010</t>
        </is>
      </c>
      <c r="F96" s="23" t="inlineStr">
        <is>
          <t>وقود (ديزل/بنزين)</t>
        </is>
      </c>
      <c r="G96" s="25" t="n">
        <v>280.01</v>
      </c>
      <c r="H96" s="23" t="inlineStr">
        <is>
          <t>نعم</t>
        </is>
      </c>
      <c r="I96" s="23" t="inlineStr"/>
    </row>
    <row r="97">
      <c r="A97" s="23" t="n">
        <v>96</v>
      </c>
      <c r="B97" s="23" t="inlineStr">
        <is>
          <t>حسين مصطفى – مستودع الرياض</t>
        </is>
      </c>
      <c r="C97" s="24" t="n">
        <v>46160</v>
      </c>
      <c r="D97" s="23" t="inlineStr">
        <is>
          <t>سوالر س عماد - تبوك</t>
        </is>
      </c>
      <c r="E97" s="23" t="inlineStr">
        <is>
          <t>VHC-3010</t>
        </is>
      </c>
      <c r="F97" s="23" t="inlineStr">
        <is>
          <t>وقود (ديزل/بنزين)</t>
        </is>
      </c>
      <c r="G97" s="25" t="n">
        <v>300</v>
      </c>
      <c r="H97" s="23" t="inlineStr">
        <is>
          <t>نعم</t>
        </is>
      </c>
      <c r="I97" s="23" t="inlineStr"/>
    </row>
    <row r="98">
      <c r="A98" s="23" t="n">
        <v>97</v>
      </c>
      <c r="B98" s="23" t="inlineStr">
        <is>
          <t>حسين مصطفى – مستودع الرياض</t>
        </is>
      </c>
      <c r="C98" s="24" t="n">
        <v>46160</v>
      </c>
      <c r="D98" s="23" t="inlineStr">
        <is>
          <t>سوالر س عماد - تبوك</t>
        </is>
      </c>
      <c r="E98" s="23" t="inlineStr">
        <is>
          <t>VHC-3010</t>
        </is>
      </c>
      <c r="F98" s="23" t="inlineStr">
        <is>
          <t>وقود (ديزل/بنزين)</t>
        </is>
      </c>
      <c r="G98" s="25" t="n">
        <v>300</v>
      </c>
      <c r="H98" s="23" t="inlineStr">
        <is>
          <t>نعم</t>
        </is>
      </c>
      <c r="I98" s="23" t="inlineStr"/>
    </row>
    <row r="99">
      <c r="A99" s="23" t="n">
        <v>98</v>
      </c>
      <c r="B99" s="23" t="inlineStr">
        <is>
          <t>حسين مصطفى – مستودع الرياض</t>
        </is>
      </c>
      <c r="C99" s="24" t="n">
        <v>46160</v>
      </c>
      <c r="D99" s="23" t="inlineStr">
        <is>
          <t>سوالر س - عصمت ( تبوك )</t>
        </is>
      </c>
      <c r="E99" s="23" t="inlineStr">
        <is>
          <t>VHC-1219</t>
        </is>
      </c>
      <c r="F99" s="23" t="inlineStr">
        <is>
          <t>وقود (ديزل/بنزين)</t>
        </is>
      </c>
      <c r="G99" s="25" t="n">
        <v>135</v>
      </c>
      <c r="H99" s="23" t="inlineStr">
        <is>
          <t>نعم</t>
        </is>
      </c>
      <c r="I99" s="23" t="inlineStr"/>
    </row>
    <row r="100">
      <c r="A100" s="23" t="n">
        <v>99</v>
      </c>
      <c r="B100" s="23" t="inlineStr">
        <is>
          <t>حسين مصطفى – مستودع الرياض</t>
        </is>
      </c>
      <c r="C100" s="24" t="n">
        <v>46160</v>
      </c>
      <c r="D100" s="23" t="inlineStr">
        <is>
          <t>سوالر س - عصمت ( تبوك )</t>
        </is>
      </c>
      <c r="E100" s="23" t="inlineStr">
        <is>
          <t>VHC-1219</t>
        </is>
      </c>
      <c r="F100" s="23" t="inlineStr">
        <is>
          <t>وقود (ديزل/بنزين)</t>
        </is>
      </c>
      <c r="G100" s="25" t="n">
        <v>120.11</v>
      </c>
      <c r="H100" s="23" t="inlineStr">
        <is>
          <t>نعم</t>
        </is>
      </c>
      <c r="I100" s="23" t="inlineStr"/>
    </row>
    <row r="101">
      <c r="A101" s="23" t="n">
        <v>100</v>
      </c>
      <c r="B101" s="23" t="inlineStr">
        <is>
          <t>حسين مصطفى – مستودع الرياض</t>
        </is>
      </c>
      <c r="C101" s="24" t="n">
        <v>46160</v>
      </c>
      <c r="D101" s="23" t="inlineStr">
        <is>
          <t>سوالر س - عصمت ( تبوك )</t>
        </is>
      </c>
      <c r="E101" s="23" t="inlineStr">
        <is>
          <t>VHC-1219</t>
        </is>
      </c>
      <c r="F101" s="23" t="inlineStr">
        <is>
          <t>وقود (ديزل/بنزين)</t>
        </is>
      </c>
      <c r="G101" s="25" t="n">
        <v>110.01</v>
      </c>
      <c r="H101" s="23" t="inlineStr">
        <is>
          <t>نعم</t>
        </is>
      </c>
      <c r="I101" s="23" t="inlineStr"/>
    </row>
    <row r="102">
      <c r="A102" s="23" t="n">
        <v>101</v>
      </c>
      <c r="B102" s="23" t="inlineStr">
        <is>
          <t>حسين مصطفى – مستودع الرياض</t>
        </is>
      </c>
      <c r="C102" s="24" t="n">
        <v>46160</v>
      </c>
      <c r="D102" s="23" t="inlineStr">
        <is>
          <t>سوالر س - عصمت ( تبوك )</t>
        </is>
      </c>
      <c r="E102" s="23" t="inlineStr">
        <is>
          <t>VHC-1219</t>
        </is>
      </c>
      <c r="F102" s="23" t="inlineStr">
        <is>
          <t>وقود (ديزل/بنزين)</t>
        </is>
      </c>
      <c r="G102" s="25" t="n">
        <v>270</v>
      </c>
      <c r="H102" s="23" t="inlineStr">
        <is>
          <t>نعم</t>
        </is>
      </c>
      <c r="I102" s="23" t="inlineStr"/>
    </row>
    <row r="103">
      <c r="A103" s="23" t="n">
        <v>102</v>
      </c>
      <c r="B103" s="23" t="inlineStr">
        <is>
          <t>حسين مصطفى – مستودع الرياض</t>
        </is>
      </c>
      <c r="C103" s="24" t="n">
        <v>46161</v>
      </c>
      <c r="D103" s="23" t="inlineStr">
        <is>
          <t>سوالر س عماد - تبوك</t>
        </is>
      </c>
      <c r="E103" s="23" t="inlineStr">
        <is>
          <t>VHC-3010</t>
        </is>
      </c>
      <c r="F103" s="23" t="inlineStr">
        <is>
          <t>وقود (ديزل/بنزين)</t>
        </is>
      </c>
      <c r="G103" s="25" t="n">
        <v>320.01</v>
      </c>
      <c r="H103" s="23" t="inlineStr">
        <is>
          <t>نعم</t>
        </is>
      </c>
      <c r="I103" s="23" t="inlineStr"/>
    </row>
    <row r="104">
      <c r="A104" s="23" t="n">
        <v>103</v>
      </c>
      <c r="B104" s="23" t="inlineStr">
        <is>
          <t>حسين مصطفى – مستودع الرياض</t>
        </is>
      </c>
      <c r="C104" s="24" t="n">
        <v>46161</v>
      </c>
      <c r="D104" s="23" t="inlineStr">
        <is>
          <t>سوالر س - عصمت ( تبوك )</t>
        </is>
      </c>
      <c r="E104" s="23" t="inlineStr">
        <is>
          <t>VHC-1219</t>
        </is>
      </c>
      <c r="F104" s="23" t="inlineStr">
        <is>
          <t>وقود (ديزل/بنزين)</t>
        </is>
      </c>
      <c r="G104" s="25" t="n">
        <v>114.01</v>
      </c>
      <c r="H104" s="23" t="inlineStr">
        <is>
          <t>نعم</t>
        </is>
      </c>
      <c r="I104" s="23" t="inlineStr"/>
    </row>
    <row r="105">
      <c r="A105" s="23" t="n">
        <v>104</v>
      </c>
      <c r="B105" s="23" t="inlineStr">
        <is>
          <t>حسين مصطفى – مستودع الرياض</t>
        </is>
      </c>
      <c r="C105" s="24" t="n">
        <v>46161</v>
      </c>
      <c r="D105" s="23" t="inlineStr">
        <is>
          <t>سوالر س - عصمت ( تبوك )</t>
        </is>
      </c>
      <c r="E105" s="23" t="inlineStr">
        <is>
          <t>VHC-1219</t>
        </is>
      </c>
      <c r="F105" s="23" t="inlineStr">
        <is>
          <t>وقود (ديزل/بنزين)</t>
        </is>
      </c>
      <c r="G105" s="25" t="n">
        <v>150.01</v>
      </c>
      <c r="H105" s="23" t="inlineStr">
        <is>
          <t>نعم</t>
        </is>
      </c>
      <c r="I105" s="23" t="inlineStr"/>
    </row>
    <row r="106">
      <c r="A106" s="23" t="n">
        <v>105</v>
      </c>
      <c r="B106" s="23" t="inlineStr">
        <is>
          <t>حسين مصطفى – مستودع الرياض</t>
        </is>
      </c>
      <c r="C106" s="24" t="n">
        <v>46162</v>
      </c>
      <c r="D106" s="23" t="inlineStr">
        <is>
          <t>سوالر س عماد - تبوك</t>
        </is>
      </c>
      <c r="E106" s="23" t="inlineStr">
        <is>
          <t>VHC-3010</t>
        </is>
      </c>
      <c r="F106" s="23" t="inlineStr">
        <is>
          <t>وقود (ديزل/بنزين)</t>
        </is>
      </c>
      <c r="G106" s="25" t="n">
        <v>229.39</v>
      </c>
      <c r="H106" s="23" t="inlineStr">
        <is>
          <t>نعم</t>
        </is>
      </c>
      <c r="I106" s="23" t="inlineStr"/>
    </row>
    <row r="107">
      <c r="A107" s="23" t="n">
        <v>106</v>
      </c>
      <c r="B107" s="23" t="inlineStr">
        <is>
          <t>حسين مصطفى – مستودع الرياض</t>
        </is>
      </c>
      <c r="C107" s="24" t="n">
        <v>46162</v>
      </c>
      <c r="D107" s="23" t="inlineStr">
        <is>
          <t>سوالر س - عصمت ( تبوك )</t>
        </is>
      </c>
      <c r="E107" s="23" t="inlineStr">
        <is>
          <t>VHC-1219</t>
        </is>
      </c>
      <c r="F107" s="23" t="inlineStr">
        <is>
          <t>وقود (ديزل/بنزين)</t>
        </is>
      </c>
      <c r="G107" s="25" t="n">
        <v>120</v>
      </c>
      <c r="H107" s="23" t="inlineStr">
        <is>
          <t>نعم</t>
        </is>
      </c>
      <c r="I107" s="23" t="inlineStr"/>
    </row>
    <row r="108">
      <c r="A108" s="23" t="n">
        <v>107</v>
      </c>
      <c r="B108" s="23" t="inlineStr">
        <is>
          <t>حسين مصطفى – مستودع الرياض</t>
        </is>
      </c>
      <c r="C108" s="24" t="n">
        <v>46162</v>
      </c>
      <c r="D108" s="23" t="inlineStr">
        <is>
          <t>سوالر س - عصمت ( تبوك )</t>
        </is>
      </c>
      <c r="E108" s="23" t="inlineStr">
        <is>
          <t>VHC-1219</t>
        </is>
      </c>
      <c r="F108" s="23" t="inlineStr">
        <is>
          <t>وقود (ديزل/بنزين)</t>
        </is>
      </c>
      <c r="G108" s="25" t="n">
        <v>187</v>
      </c>
      <c r="H108" s="23" t="inlineStr">
        <is>
          <t>نعم</t>
        </is>
      </c>
      <c r="I108" s="23" t="inlineStr"/>
    </row>
    <row r="109">
      <c r="A109" s="23" t="n">
        <v>108</v>
      </c>
      <c r="B109" s="23" t="inlineStr">
        <is>
          <t>حسين مصطفى – مستودع الرياض</t>
        </is>
      </c>
      <c r="C109" s="24" t="n">
        <v>46163</v>
      </c>
      <c r="D109" s="23" t="inlineStr">
        <is>
          <t>صيانة السيارة الوانيت</t>
        </is>
      </c>
      <c r="E109" s="23" t="inlineStr">
        <is>
          <t>VHC-5564</t>
        </is>
      </c>
      <c r="F109" s="23" t="inlineStr">
        <is>
          <t>صيانة سيارات</t>
        </is>
      </c>
      <c r="G109" s="25" t="n">
        <v>295</v>
      </c>
      <c r="H109" s="23" t="inlineStr">
        <is>
          <t>نعم</t>
        </is>
      </c>
      <c r="I109" s="23" t="inlineStr"/>
    </row>
    <row r="110">
      <c r="A110" s="23" t="n">
        <v>109</v>
      </c>
      <c r="B110" s="23" t="inlineStr">
        <is>
          <t>حسين مصطفى – مستودع الرياض</t>
        </is>
      </c>
      <c r="C110" s="24" t="n">
        <v>46163</v>
      </c>
      <c r="D110" s="23" t="inlineStr">
        <is>
          <t>غيار زيت وفالتر س عصمت</t>
        </is>
      </c>
      <c r="E110" s="23" t="inlineStr">
        <is>
          <t>VHC-1219</t>
        </is>
      </c>
      <c r="F110" s="23" t="inlineStr">
        <is>
          <t>صيانة سيارات</t>
        </is>
      </c>
      <c r="G110" s="25" t="n">
        <v>445</v>
      </c>
      <c r="H110" s="23" t="inlineStr">
        <is>
          <t>نعم</t>
        </is>
      </c>
      <c r="I110" s="23" t="inlineStr"/>
    </row>
    <row r="111">
      <c r="A111" s="23" t="n">
        <v>110</v>
      </c>
      <c r="B111" s="23" t="inlineStr">
        <is>
          <t>حسين مصطفى – مستودع الرياض</t>
        </is>
      </c>
      <c r="C111" s="24" t="n">
        <v>46163</v>
      </c>
      <c r="D111" s="23" t="inlineStr">
        <is>
          <t>سوالر س عماد</t>
        </is>
      </c>
      <c r="E111" s="23" t="inlineStr">
        <is>
          <t>VHC-3010</t>
        </is>
      </c>
      <c r="F111" s="23" t="inlineStr">
        <is>
          <t>وقود (ديزل/بنزين)</t>
        </is>
      </c>
      <c r="G111" s="25" t="n">
        <v>300</v>
      </c>
      <c r="H111" s="23" t="inlineStr">
        <is>
          <t>نعم</t>
        </is>
      </c>
      <c r="I111" s="23" t="inlineStr"/>
    </row>
    <row r="112">
      <c r="A112" s="23" t="n">
        <v>111</v>
      </c>
      <c r="B112" s="23" t="inlineStr">
        <is>
          <t>حسين مصطفى – مستودع الرياض</t>
        </is>
      </c>
      <c r="C112" s="24" t="n">
        <v>46164</v>
      </c>
      <c r="D112" s="23" t="inlineStr">
        <is>
          <t>غيار زيت وفالتر س عماد</t>
        </is>
      </c>
      <c r="E112" s="23" t="inlineStr">
        <is>
          <t>VHC-3010</t>
        </is>
      </c>
      <c r="F112" s="23" t="inlineStr">
        <is>
          <t>صيانة سيارات</t>
        </is>
      </c>
      <c r="G112" s="25" t="n">
        <v>345</v>
      </c>
      <c r="H112" s="23" t="inlineStr">
        <is>
          <t>نعم</t>
        </is>
      </c>
      <c r="I112" s="23" t="inlineStr"/>
    </row>
    <row r="113">
      <c r="A113" s="23" t="n">
        <v>112</v>
      </c>
      <c r="B113" s="23" t="inlineStr">
        <is>
          <t>حسين مصطفى – مستودع الرياض</t>
        </is>
      </c>
      <c r="C113" s="24" t="n">
        <v>46164</v>
      </c>
      <c r="D113" s="23" t="inlineStr">
        <is>
          <t>غسيل س - عماد</t>
        </is>
      </c>
      <c r="E113" s="23" t="inlineStr">
        <is>
          <t>VHC-3010</t>
        </is>
      </c>
      <c r="F113" s="23" t="inlineStr">
        <is>
          <t>صيانة سيارات</t>
        </is>
      </c>
      <c r="G113" s="25" t="n">
        <v>100</v>
      </c>
      <c r="H113" s="23" t="inlineStr">
        <is>
          <t>نعم</t>
        </is>
      </c>
      <c r="I113" s="23" t="inlineStr"/>
    </row>
    <row r="114">
      <c r="A114" s="23" t="n">
        <v>113</v>
      </c>
      <c r="B114" s="23" t="inlineStr">
        <is>
          <t>حسين مصطفى – مستودع الرياض</t>
        </is>
      </c>
      <c r="C114" s="24" t="n">
        <v>46164</v>
      </c>
      <c r="D114" s="23" t="inlineStr">
        <is>
          <t>سوالر س عماد</t>
        </is>
      </c>
      <c r="E114" s="23" t="inlineStr">
        <is>
          <t>VHC-3010</t>
        </is>
      </c>
      <c r="F114" s="23" t="inlineStr">
        <is>
          <t>وقود (ديزل/بنزين)</t>
        </is>
      </c>
      <c r="G114" s="25" t="n">
        <v>303.62</v>
      </c>
      <c r="H114" s="23" t="inlineStr">
        <is>
          <t>نعم</t>
        </is>
      </c>
      <c r="I114" s="23" t="inlineStr"/>
    </row>
    <row r="115">
      <c r="A115" s="23" t="n">
        <v>114</v>
      </c>
      <c r="B115" s="23" t="inlineStr">
        <is>
          <t>حسين مصطفى – مستودع الرياض</t>
        </is>
      </c>
      <c r="C115" s="24" t="n">
        <v>46165</v>
      </c>
      <c r="D115" s="23" t="inlineStr">
        <is>
          <t>شراء سيور س عصمت-</t>
        </is>
      </c>
      <c r="E115" s="23" t="inlineStr">
        <is>
          <t>VHC-1219</t>
        </is>
      </c>
      <c r="F115" s="23" t="inlineStr">
        <is>
          <t>صيانة سيارات</t>
        </is>
      </c>
      <c r="G115" s="25" t="n">
        <v>115.53</v>
      </c>
      <c r="H115" s="23" t="inlineStr">
        <is>
          <t>نعم</t>
        </is>
      </c>
      <c r="I115" s="23" t="inlineStr"/>
    </row>
    <row r="116">
      <c r="A116" s="23" t="n">
        <v>115</v>
      </c>
      <c r="B116" s="23" t="inlineStr">
        <is>
          <t>حسين مصطفى – مستودع الرياض</t>
        </is>
      </c>
      <c r="C116" s="24" t="n">
        <v>46165</v>
      </c>
      <c r="D116" s="23" t="inlineStr">
        <is>
          <t>تركيب السيور + زيت فرامل س - عصمت</t>
        </is>
      </c>
      <c r="E116" s="23" t="inlineStr">
        <is>
          <t>VHC-1219</t>
        </is>
      </c>
      <c r="F116" s="23" t="inlineStr">
        <is>
          <t>صيانة سيارات</t>
        </is>
      </c>
      <c r="G116" s="25" t="n">
        <v>80.01000000000001</v>
      </c>
      <c r="H116" s="23" t="inlineStr">
        <is>
          <t>نعم</t>
        </is>
      </c>
      <c r="I116" s="23" t="inlineStr"/>
    </row>
    <row r="117">
      <c r="A117" s="23" t="n">
        <v>116</v>
      </c>
      <c r="B117" s="23" t="inlineStr">
        <is>
          <t>حسين مصطفى – مستودع الرياض</t>
        </is>
      </c>
      <c r="C117" s="24" t="n">
        <v>46166</v>
      </c>
      <c r="D117" s="23" t="inlineStr">
        <is>
          <t>سوالر س - عصمت</t>
        </is>
      </c>
      <c r="E117" s="23" t="inlineStr">
        <is>
          <t>VHC-1219</t>
        </is>
      </c>
      <c r="F117" s="23" t="inlineStr">
        <is>
          <t>وقود (ديزل/بنزين)</t>
        </is>
      </c>
      <c r="G117" s="25" t="n">
        <v>275.01</v>
      </c>
      <c r="H117" s="23" t="inlineStr">
        <is>
          <t>نعم</t>
        </is>
      </c>
      <c r="I117" s="23" t="inlineStr"/>
    </row>
    <row r="118">
      <c r="A118" s="23" t="n">
        <v>117</v>
      </c>
      <c r="B118" s="23" t="inlineStr">
        <is>
          <t>حسين مصطفى – مستودع الرياض</t>
        </is>
      </c>
      <c r="C118" s="24" t="n">
        <v>46168</v>
      </c>
      <c r="D118" s="23" t="inlineStr">
        <is>
          <t>بنزين للوانيت</t>
        </is>
      </c>
      <c r="E118" s="23" t="inlineStr">
        <is>
          <t>VHC-5564</t>
        </is>
      </c>
      <c r="F118" s="23" t="inlineStr">
        <is>
          <t>وقود (ديزل/بنزين)</t>
        </is>
      </c>
      <c r="G118" s="25" t="n">
        <v>139.61</v>
      </c>
      <c r="H118" s="23" t="inlineStr">
        <is>
          <t>نعم</t>
        </is>
      </c>
      <c r="I118" s="23" t="inlineStr"/>
    </row>
    <row r="119">
      <c r="A119" s="23" t="n">
        <v>118</v>
      </c>
      <c r="B119" s="23" t="inlineStr">
        <is>
          <t>حسين مصطفى – مستودع الرياض</t>
        </is>
      </c>
      <c r="C119" s="24" t="n">
        <v>46171</v>
      </c>
      <c r="D119" s="23" t="inlineStr">
        <is>
          <t>سوالر س عماد</t>
        </is>
      </c>
      <c r="E119" s="23" t="inlineStr">
        <is>
          <t>VHC-3010</t>
        </is>
      </c>
      <c r="F119" s="23" t="inlineStr">
        <is>
          <t>وقود (ديزل/بنزين)</t>
        </is>
      </c>
      <c r="G119" s="25" t="n">
        <v>100</v>
      </c>
      <c r="H119" s="23" t="inlineStr">
        <is>
          <t>نعم</t>
        </is>
      </c>
      <c r="I119" s="23" t="inlineStr"/>
    </row>
    <row r="120">
      <c r="A120" s="23" t="n">
        <v>119</v>
      </c>
      <c r="B120" s="23" t="inlineStr">
        <is>
          <t>حسين مصطفى – مستودع الرياض</t>
        </is>
      </c>
      <c r="C120" s="24" t="n">
        <v>46172</v>
      </c>
      <c r="D120" s="23" t="inlineStr">
        <is>
          <t>سوالر س - عصمت</t>
        </is>
      </c>
      <c r="E120" s="23" t="inlineStr">
        <is>
          <t>VHC-1219</t>
        </is>
      </c>
      <c r="F120" s="23" t="inlineStr">
        <is>
          <t>وقود (ديزل/بنزين)</t>
        </is>
      </c>
      <c r="G120" s="25" t="n">
        <v>270</v>
      </c>
      <c r="H120" s="23" t="inlineStr">
        <is>
          <t>نعم</t>
        </is>
      </c>
      <c r="I120" s="23" t="inlineStr"/>
    </row>
    <row r="121">
      <c r="A121" s="23" t="n">
        <v>120</v>
      </c>
      <c r="B121" s="23" t="inlineStr">
        <is>
          <t>حسين مصطفى – مستودع الرياض</t>
        </is>
      </c>
      <c r="C121" s="24" t="n">
        <v>46172</v>
      </c>
      <c r="D121" s="23" t="inlineStr">
        <is>
          <t>سوالر س عماد</t>
        </is>
      </c>
      <c r="E121" s="23" t="inlineStr">
        <is>
          <t>VHC-3010</t>
        </is>
      </c>
      <c r="F121" s="23" t="inlineStr">
        <is>
          <t>وقود (ديزل/بنزين)</t>
        </is>
      </c>
      <c r="G121" s="25" t="n">
        <v>200</v>
      </c>
      <c r="H121" s="23" t="inlineStr">
        <is>
          <t>نعم</t>
        </is>
      </c>
      <c r="I121" s="23" t="inlineStr"/>
    </row>
    <row r="122">
      <c r="A122" s="23" t="n">
        <v>121</v>
      </c>
      <c r="B122" s="23" t="inlineStr">
        <is>
          <t>حسين مصطفى – مستودع الرياض</t>
        </is>
      </c>
      <c r="C122" s="24" t="n">
        <v>46180</v>
      </c>
      <c r="D122" s="23" t="inlineStr">
        <is>
          <t>شراء مبيد العشاب الشجر</t>
        </is>
      </c>
      <c r="E122" s="23" t="inlineStr">
        <is>
          <t>RN-DEPARTMENT</t>
        </is>
      </c>
      <c r="F122" s="23" t="inlineStr">
        <is>
          <t>مصروفات تشغيل المزرعة</t>
        </is>
      </c>
      <c r="G122" s="25" t="n">
        <v>450</v>
      </c>
      <c r="H122" s="23" t="inlineStr">
        <is>
          <t>نعم</t>
        </is>
      </c>
      <c r="I122" s="23" t="inlineStr"/>
    </row>
    <row r="123">
      <c r="A123" s="23" t="n">
        <v>122</v>
      </c>
      <c r="B123" s="23" t="inlineStr">
        <is>
          <t>حسين مصطفى – مستودع الرياض</t>
        </is>
      </c>
      <c r="C123" s="24" t="n">
        <v>46180</v>
      </c>
      <c r="D123" s="23" t="inlineStr">
        <is>
          <t>مياه شرب للعمال</t>
        </is>
      </c>
      <c r="E123" s="23" t="inlineStr">
        <is>
          <t>EXP.RN.NURSERY</t>
        </is>
      </c>
      <c r="F123" s="23" t="inlineStr">
        <is>
          <t>مصروفات تشغيل المزرعة</t>
        </is>
      </c>
      <c r="G123" s="25" t="n">
        <v>70</v>
      </c>
      <c r="H123" s="23" t="inlineStr">
        <is>
          <t>نعم</t>
        </is>
      </c>
      <c r="I123" s="23" t="inlineStr"/>
    </row>
    <row r="124">
      <c r="A124" s="23" t="n">
        <v>123</v>
      </c>
      <c r="B124" s="23" t="inlineStr">
        <is>
          <t>حسين مصطفى – مستودع الرياض</t>
        </is>
      </c>
      <c r="C124" s="24" t="n">
        <v>46180</v>
      </c>
      <c r="D124" s="23" t="inlineStr">
        <is>
          <t>شراء لي كوري 50 متر لماتور الرش</t>
        </is>
      </c>
      <c r="E124" s="23" t="inlineStr">
        <is>
          <t>RN-DEPARTMENT</t>
        </is>
      </c>
      <c r="F124" s="23" t="inlineStr">
        <is>
          <t>مصروفات تشغيل المزرعة</t>
        </is>
      </c>
      <c r="G124" s="25" t="n">
        <v>160</v>
      </c>
      <c r="H124" s="23" t="inlineStr">
        <is>
          <t>نعم</t>
        </is>
      </c>
      <c r="I124" s="23" t="inlineStr"/>
    </row>
    <row r="125">
      <c r="A125" s="23" t="n">
        <v>124</v>
      </c>
      <c r="B125" s="23" t="inlineStr">
        <is>
          <t>حسين مصطفى – مستودع الرياض</t>
        </is>
      </c>
      <c r="C125" s="24" t="n">
        <v>46180</v>
      </c>
      <c r="D125" s="23" t="inlineStr">
        <is>
          <t>سوالر س عماد - ترحيل من العهدة القديمة 2026-5-13-</t>
        </is>
      </c>
      <c r="E125" s="23" t="inlineStr">
        <is>
          <t>VHC-3010</t>
        </is>
      </c>
      <c r="F125" s="23" t="inlineStr">
        <is>
          <t>وقود (ديزل/بنزين)</t>
        </is>
      </c>
      <c r="G125" s="25" t="n">
        <v>300</v>
      </c>
      <c r="H125" s="23" t="inlineStr">
        <is>
          <t>نعم</t>
        </is>
      </c>
      <c r="I125" s="23" t="inlineStr"/>
    </row>
    <row r="126">
      <c r="A126" s="23" t="n">
        <v>125</v>
      </c>
      <c r="B126" s="23" t="inlineStr">
        <is>
          <t>حسين مصطفى – مستودع الرياض</t>
        </is>
      </c>
      <c r="C126" s="24" t="n">
        <v>46180</v>
      </c>
      <c r="D126" s="23" t="inlineStr">
        <is>
          <t>سوالر س عماد يوم 2026-5-14 - مرحلة من العهدة القديمة</t>
        </is>
      </c>
      <c r="E126" s="23" t="inlineStr">
        <is>
          <t>VHC-3010</t>
        </is>
      </c>
      <c r="F126" s="23" t="inlineStr">
        <is>
          <t>وقود (ديزل/بنزين)</t>
        </is>
      </c>
      <c r="G126" s="25" t="n">
        <v>270</v>
      </c>
      <c r="H126" s="23" t="inlineStr">
        <is>
          <t>نعم</t>
        </is>
      </c>
      <c r="I126" s="23" t="inlineStr"/>
    </row>
    <row r="127">
      <c r="A127" s="23" t="n">
        <v>126</v>
      </c>
      <c r="B127" s="23" t="inlineStr">
        <is>
          <t>حسين مصطفى – مستودع الرياض</t>
        </is>
      </c>
      <c r="C127" s="24" t="n">
        <v>46180</v>
      </c>
      <c r="D127" s="23" t="inlineStr">
        <is>
          <t>غسيل وتشحيم س عماد يوم 2026-5-14 - مرحل من العهدة القديمة</t>
        </is>
      </c>
      <c r="E127" s="23" t="inlineStr">
        <is>
          <t>VHC-3010</t>
        </is>
      </c>
      <c r="F127" s="23" t="inlineStr">
        <is>
          <t>صيانة سيارات</t>
        </is>
      </c>
      <c r="G127" s="25" t="n">
        <v>100</v>
      </c>
      <c r="H127" s="23" t="inlineStr">
        <is>
          <t>نعم</t>
        </is>
      </c>
      <c r="I127" s="23" t="inlineStr"/>
    </row>
    <row r="128">
      <c r="A128" s="23" t="n">
        <v>127</v>
      </c>
      <c r="B128" s="23" t="inlineStr">
        <is>
          <t>حسين مصطفى – مستودع الرياض</t>
        </is>
      </c>
      <c r="C128" s="24" t="n">
        <v>46186</v>
      </c>
      <c r="D128" s="23" t="inlineStr">
        <is>
          <t>شراء خيط لربط الشجار</t>
        </is>
      </c>
      <c r="E128" s="23" t="inlineStr">
        <is>
          <t>EXP.RN.NURSERY</t>
        </is>
      </c>
      <c r="F128" s="23" t="inlineStr">
        <is>
          <t>مصروفات تشغيل المزرعة</t>
        </is>
      </c>
      <c r="G128" s="25" t="n">
        <v>50</v>
      </c>
      <c r="H128" s="23" t="inlineStr">
        <is>
          <t>نعم</t>
        </is>
      </c>
      <c r="I128" s="23" t="inlineStr"/>
    </row>
    <row r="129">
      <c r="A129" s="23" t="n">
        <v>128</v>
      </c>
      <c r="B129" s="23" t="inlineStr">
        <is>
          <t>عظمت الله خان – سيارة 1219</t>
        </is>
      </c>
      <c r="C129" s="24" t="n">
        <v>46187</v>
      </c>
      <c r="D129" s="23" t="inlineStr">
        <is>
          <t>غيار زيت وفلتر س - عصمت</t>
        </is>
      </c>
      <c r="E129" s="23" t="inlineStr">
        <is>
          <t>VHC-1219</t>
        </is>
      </c>
      <c r="F129" s="23" t="inlineStr">
        <is>
          <t>صيانة سيارات</t>
        </is>
      </c>
      <c r="G129" s="25" t="n">
        <v>245</v>
      </c>
      <c r="H129" s="23" t="inlineStr">
        <is>
          <t>نعم</t>
        </is>
      </c>
      <c r="I129" s="23" t="inlineStr"/>
    </row>
    <row r="130">
      <c r="A130" s="23" t="n">
        <v>129</v>
      </c>
      <c r="B130" s="23" t="inlineStr">
        <is>
          <t>عظمت الله خان – سيارة 1219</t>
        </is>
      </c>
      <c r="C130" s="24" t="n">
        <v>46187</v>
      </c>
      <c r="D130" s="23" t="inlineStr">
        <is>
          <t>سوالر السيارة - لعدم وجود شحن في الدريس</t>
        </is>
      </c>
      <c r="E130" s="23" t="inlineStr">
        <is>
          <t>VHC-1219</t>
        </is>
      </c>
      <c r="F130" s="23" t="inlineStr">
        <is>
          <t>وقود (ديزل/بنزين)</t>
        </is>
      </c>
      <c r="G130" s="25" t="n">
        <v>200.09</v>
      </c>
      <c r="H130" s="23" t="inlineStr">
        <is>
          <t>نعم</t>
        </is>
      </c>
      <c r="I130" s="23" t="inlineStr"/>
    </row>
    <row r="131">
      <c r="A131" s="23" t="n">
        <v>130</v>
      </c>
      <c r="B131" s="23" t="inlineStr">
        <is>
          <t>حسين مصطفى – مستودع الرياض</t>
        </is>
      </c>
      <c r="C131" s="24" t="n">
        <v>46190</v>
      </c>
      <c r="D131" s="23" t="inlineStr">
        <is>
          <t>مياه للشرب</t>
        </is>
      </c>
      <c r="E131" s="23" t="inlineStr">
        <is>
          <t>RN-DEPARTMENT</t>
        </is>
      </c>
      <c r="F131" s="23" t="inlineStr">
        <is>
          <t>مصروفات تشغيل المزرعة</t>
        </is>
      </c>
      <c r="G131" s="25" t="n">
        <v>70</v>
      </c>
      <c r="H131" s="23" t="inlineStr">
        <is>
          <t>نعم</t>
        </is>
      </c>
      <c r="I131" s="23" t="inlineStr"/>
    </row>
    <row r="132">
      <c r="A132" s="23" t="n">
        <v>131</v>
      </c>
      <c r="B132" s="23" t="inlineStr">
        <is>
          <t>عظمت الله خان – سيارة 1219</t>
        </is>
      </c>
      <c r="C132" s="24" t="n">
        <v>46190</v>
      </c>
      <c r="D132" s="23" t="inlineStr">
        <is>
          <t>سوالر س - عصمت</t>
        </is>
      </c>
      <c r="E132" s="23" t="inlineStr">
        <is>
          <t>VHC-1219</t>
        </is>
      </c>
      <c r="F132" s="23" t="inlineStr">
        <is>
          <t>وقود (ديزل/بنزين)</t>
        </is>
      </c>
      <c r="G132" s="25" t="n">
        <v>234</v>
      </c>
      <c r="H132" s="23" t="inlineStr">
        <is>
          <t>نعم</t>
        </is>
      </c>
      <c r="I132" s="23" t="inlineStr"/>
    </row>
    <row r="133">
      <c r="A133" s="23" t="n">
        <v>132</v>
      </c>
      <c r="B133" s="23" t="inlineStr">
        <is>
          <t>عظمت الله خان – سيارة 1219</t>
        </is>
      </c>
      <c r="C133" s="24" t="n">
        <v>46193</v>
      </c>
      <c r="D133" s="23" t="inlineStr">
        <is>
          <t>شراء مرايه صغير س عصمت</t>
        </is>
      </c>
      <c r="E133" s="23" t="inlineStr">
        <is>
          <t>VHC-1219</t>
        </is>
      </c>
      <c r="F133" s="23" t="inlineStr">
        <is>
          <t>صيانة سيارات</t>
        </is>
      </c>
      <c r="G133" s="25" t="n">
        <v>30</v>
      </c>
      <c r="H133" s="23" t="inlineStr">
        <is>
          <t>نعم</t>
        </is>
      </c>
      <c r="I133" s="23" t="inlineStr"/>
    </row>
    <row r="134">
      <c r="A134" s="23" t="n">
        <v>133</v>
      </c>
      <c r="B134" s="23" t="inlineStr">
        <is>
          <t>عماد حمدي – سيارة 3010</t>
        </is>
      </c>
      <c r="C134" s="24" t="n">
        <v>46193</v>
      </c>
      <c r="D134" s="23" t="inlineStr">
        <is>
          <t>غيار زيت وفالتر سيارة عماد</t>
        </is>
      </c>
      <c r="E134" s="23" t="inlineStr">
        <is>
          <t>VHC-3010</t>
        </is>
      </c>
      <c r="F134" s="23" t="inlineStr">
        <is>
          <t>صيانة سيارات</t>
        </is>
      </c>
      <c r="G134" s="25" t="n">
        <v>345</v>
      </c>
      <c r="H134" s="23" t="inlineStr">
        <is>
          <t>نعم</t>
        </is>
      </c>
      <c r="I134" s="23" t="inlineStr"/>
    </row>
    <row r="135">
      <c r="A135" s="23" t="n">
        <v>134</v>
      </c>
      <c r="B135" s="23" t="inlineStr">
        <is>
          <t>حسين مصطفى – مستودع الرياض</t>
        </is>
      </c>
      <c r="C135" s="24" t="n">
        <v>46195</v>
      </c>
      <c r="D135" s="23" t="inlineStr">
        <is>
          <t>شراء اغراض سباكة لماتور الرش</t>
        </is>
      </c>
      <c r="E135" s="23" t="inlineStr">
        <is>
          <t>RN-DEPARTMENT</t>
        </is>
      </c>
      <c r="F135" s="23" t="inlineStr">
        <is>
          <t>مصروفات تشغيل المزرعة</t>
        </is>
      </c>
      <c r="G135" s="25" t="n">
        <v>37</v>
      </c>
      <c r="H135" s="23" t="inlineStr">
        <is>
          <t>نعم</t>
        </is>
      </c>
      <c r="I135" s="23" t="inlineStr"/>
    </row>
    <row r="136">
      <c r="A136" s="23" t="n">
        <v>135</v>
      </c>
      <c r="B136" s="23" t="inlineStr">
        <is>
          <t>عظمت الله خان – سيارة 1219</t>
        </is>
      </c>
      <c r="C136" s="24" t="n">
        <v>46195</v>
      </c>
      <c r="D136" s="23" t="inlineStr">
        <is>
          <t>غسيل سيارة عصمت</t>
        </is>
      </c>
      <c r="E136" s="23" t="inlineStr">
        <is>
          <t>VHC-3010</t>
        </is>
      </c>
      <c r="F136" s="23" t="inlineStr">
        <is>
          <t>صيانة سيارات</t>
        </is>
      </c>
      <c r="G136" s="25" t="n">
        <v>60</v>
      </c>
      <c r="H136" s="23" t="inlineStr">
        <is>
          <t>نعم</t>
        </is>
      </c>
      <c r="I136" s="23" t="inlineStr"/>
    </row>
    <row r="137">
      <c r="A137" s="23" t="n">
        <v>136</v>
      </c>
      <c r="B137" s="23" t="inlineStr">
        <is>
          <t>عظمت الله خان – سيارة 1219</t>
        </is>
      </c>
      <c r="C137" s="24" t="n">
        <v>46195</v>
      </c>
      <c r="D137" s="23" t="inlineStr">
        <is>
          <t>شراء سير مراوح وسلك مجلفن</t>
        </is>
      </c>
      <c r="E137" s="23" t="inlineStr">
        <is>
          <t>EXP.RN.NURSERY</t>
        </is>
      </c>
      <c r="F137" s="23" t="inlineStr">
        <is>
          <t>مصروفات تشغيل المزرعة</t>
        </is>
      </c>
      <c r="G137" s="25" t="n">
        <v>88.93000000000001</v>
      </c>
      <c r="H137" s="23" t="inlineStr">
        <is>
          <t>نعم</t>
        </is>
      </c>
      <c r="I137" s="23" t="inlineStr"/>
    </row>
    <row r="138">
      <c r="A138" s="23" t="n">
        <v>137</v>
      </c>
      <c r="B138" s="23" t="inlineStr">
        <is>
          <t>حسين مصطفى – مستودع الرياض</t>
        </is>
      </c>
      <c r="C138" s="24" t="n">
        <v>46197</v>
      </c>
      <c r="D138" s="23" t="inlineStr">
        <is>
          <t>مياه للشرب</t>
        </is>
      </c>
      <c r="E138" s="23" t="inlineStr">
        <is>
          <t>RN-DEPARTMENT</t>
        </is>
      </c>
      <c r="F138" s="23" t="inlineStr">
        <is>
          <t>مصروفات تشغيل المزرعة</t>
        </is>
      </c>
      <c r="G138" s="25" t="n">
        <v>70</v>
      </c>
      <c r="H138" s="23" t="inlineStr">
        <is>
          <t>نعم</t>
        </is>
      </c>
      <c r="I138" s="23" t="inlineStr"/>
    </row>
    <row r="139">
      <c r="A139" s="23" t="n">
        <v>138</v>
      </c>
      <c r="B139" s="23" t="inlineStr">
        <is>
          <t>حسين مصطفى – مستودع الرياض</t>
        </is>
      </c>
      <c r="C139" s="24" t="n">
        <v>46198</v>
      </c>
      <c r="D139" s="23" t="inlineStr">
        <is>
          <t>شراء مفاتيح اتوماتيك 4 حبه</t>
        </is>
      </c>
      <c r="E139" s="23" t="inlineStr">
        <is>
          <t>EXP.RN.NURSERY</t>
        </is>
      </c>
      <c r="F139" s="23" t="inlineStr">
        <is>
          <t>مصروفات تشغيل المزرعة</t>
        </is>
      </c>
      <c r="G139" s="25" t="n">
        <v>200</v>
      </c>
      <c r="H139" s="23" t="inlineStr">
        <is>
          <t>نعم</t>
        </is>
      </c>
      <c r="I139" s="23" t="inlineStr"/>
    </row>
    <row r="140">
      <c r="A140" s="23" t="n">
        <v>139</v>
      </c>
      <c r="B140" s="23" t="inlineStr">
        <is>
          <t>عظمت الله خان – سيارة 1219</t>
        </is>
      </c>
      <c r="C140" s="24" t="n">
        <v>46201</v>
      </c>
      <c r="D140" s="23" t="inlineStr">
        <is>
          <t>غيار زيت وفلتر س - عصمت</t>
        </is>
      </c>
      <c r="E140" s="23" t="inlineStr">
        <is>
          <t>VHC-1219</t>
        </is>
      </c>
      <c r="F140" s="23" t="inlineStr">
        <is>
          <t>صيانة سيارات</t>
        </is>
      </c>
      <c r="G140" s="25" t="n">
        <v>235</v>
      </c>
      <c r="H140" s="23" t="inlineStr">
        <is>
          <t>نعم</t>
        </is>
      </c>
      <c r="I140" s="23" t="inlineStr"/>
    </row>
    <row r="141">
      <c r="A141" s="23" t="n">
        <v>140</v>
      </c>
      <c r="B141" s="23" t="inlineStr">
        <is>
          <t>عماد حمدي – سيارة 3010</t>
        </is>
      </c>
      <c r="C141" s="24" t="n">
        <v>46214</v>
      </c>
      <c r="D141" s="23" t="inlineStr">
        <is>
          <t>غيار زيت وفلتر للسيارة</t>
        </is>
      </c>
      <c r="E141" s="23" t="inlineStr">
        <is>
          <t>VHC-3010</t>
        </is>
      </c>
      <c r="F141" s="23" t="inlineStr">
        <is>
          <t>صيانة سيارات</t>
        </is>
      </c>
      <c r="G141" s="25" t="n">
        <v>345</v>
      </c>
      <c r="H141" s="23" t="inlineStr">
        <is>
          <t>نعم</t>
        </is>
      </c>
      <c r="I141" s="23" t="inlineStr"/>
    </row>
    <row r="142">
      <c r="A142" s="23" t="n">
        <v>141</v>
      </c>
      <c r="B142" s="23" t="inlineStr">
        <is>
          <t>حسين مصطفى – مستودع الرياض</t>
        </is>
      </c>
      <c r="C142" s="24" t="n">
        <v>46216</v>
      </c>
      <c r="D142" s="23" t="inlineStr">
        <is>
          <t>شراء مبيدات الشجار</t>
        </is>
      </c>
      <c r="E142" s="23" t="inlineStr">
        <is>
          <t>RN-DEPARTMENT</t>
        </is>
      </c>
      <c r="F142" s="23" t="inlineStr">
        <is>
          <t>مصروفات تشغيل المزرعة</t>
        </is>
      </c>
      <c r="G142" s="25" t="n">
        <v>320</v>
      </c>
      <c r="H142" s="23" t="inlineStr">
        <is>
          <t>نعم</t>
        </is>
      </c>
      <c r="I142" s="23" t="inlineStr"/>
    </row>
    <row r="143">
      <c r="A143" s="23" t="n">
        <v>142</v>
      </c>
      <c r="B143" s="23" t="inlineStr">
        <is>
          <t>إسماعيل جان حبيب – سيارة 3010</t>
        </is>
      </c>
      <c r="C143" s="24" t="n">
        <v>46221</v>
      </c>
      <c r="D143" s="23" t="inlineStr">
        <is>
          <t>غيار زيت وفالتر للسيارة</t>
        </is>
      </c>
      <c r="E143" s="23" t="inlineStr">
        <is>
          <t>VHC-3010</t>
        </is>
      </c>
      <c r="F143" s="23" t="inlineStr">
        <is>
          <t>صيانة سيارات</t>
        </is>
      </c>
      <c r="G143" s="25" t="n">
        <v>530</v>
      </c>
      <c r="H143" s="23" t="inlineStr">
        <is>
          <t>نعم</t>
        </is>
      </c>
      <c r="I143" s="23" t="inlineStr"/>
    </row>
    <row r="144">
      <c r="A144" s="23" t="n">
        <v>143</v>
      </c>
      <c r="B144" s="23" t="inlineStr">
        <is>
          <t>إسماعيل جان حبيب – سيارة 3010</t>
        </is>
      </c>
      <c r="C144" s="24" t="n">
        <v>46231</v>
      </c>
      <c r="D144" s="23" t="inlineStr">
        <is>
          <t>سوالر س - اسماعيل - نجران يوم 2026-7-26</t>
        </is>
      </c>
      <c r="E144" s="23" t="inlineStr">
        <is>
          <t>VHC-3010</t>
        </is>
      </c>
      <c r="F144" s="23" t="inlineStr">
        <is>
          <t>وقود (ديزل/بنزين)</t>
        </is>
      </c>
      <c r="G144" s="25" t="n">
        <v>175.01</v>
      </c>
      <c r="H144" s="23" t="inlineStr">
        <is>
          <t>نعم</t>
        </is>
      </c>
      <c r="I144" s="23" t="inlineStr"/>
    </row>
    <row r="145">
      <c r="A145" s="23" t="n">
        <v>144</v>
      </c>
      <c r="B145" s="23" t="inlineStr">
        <is>
          <t>إسماعيل جان حبيب – سيارة 3010</t>
        </is>
      </c>
      <c r="C145" s="24" t="n">
        <v>46231</v>
      </c>
      <c r="D145" s="23" t="inlineStr">
        <is>
          <t>سوالر س اسماعيل- - نجران - يوم 2026-7-27</t>
        </is>
      </c>
      <c r="E145" s="23" t="inlineStr">
        <is>
          <t>VHC-3010</t>
        </is>
      </c>
      <c r="F145" s="23" t="inlineStr">
        <is>
          <t>وقود (ديزل/بنزين)</t>
        </is>
      </c>
      <c r="G145" s="25" t="n">
        <v>210</v>
      </c>
      <c r="H145" s="23" t="inlineStr">
        <is>
          <t>نعم</t>
        </is>
      </c>
      <c r="I145" s="23" t="inlineStr"/>
    </row>
    <row r="146">
      <c r="A146" s="23" t="n">
        <v>145</v>
      </c>
      <c r="B146" s="23" t="inlineStr">
        <is>
          <t>إسماعيل جان حبيب – سيارة 3010</t>
        </is>
      </c>
      <c r="C146" s="24" t="n">
        <v>46231</v>
      </c>
      <c r="D146" s="23" t="inlineStr">
        <is>
          <t>سوالر س - اسماعيل - نجران - يوم 2026-7-28 T N E I P I C E R D E M A N E H T R O F Y L E L O S D E D N E T N I D N A L A I T N E D I F N O C S I T N E M U C O D S I H T 0551019506 | SABOUR ABDEL AHMED ENG. 18:07 2026, Aug 09 Generated: v10.0 ERP Unified NSC</t>
        </is>
      </c>
      <c r="E146" s="23" t="inlineStr">
        <is>
          <t>VHC-3010</t>
        </is>
      </c>
      <c r="F146" s="23" t="inlineStr">
        <is>
          <t>وقود (ديزل/بنزين)</t>
        </is>
      </c>
      <c r="G146" s="25" t="n">
        <v>238.03</v>
      </c>
      <c r="H146" s="23" t="inlineStr">
        <is>
          <t>نعم</t>
        </is>
      </c>
      <c r="I146" s="23" t="inlineStr"/>
    </row>
    <row r="147">
      <c r="A147" s="23" t="n">
        <v>146</v>
      </c>
      <c r="B147" s="23" t="inlineStr">
        <is>
          <t>عظمت الله خان – سيارة 1219</t>
        </is>
      </c>
      <c r="C147" s="24" t="n">
        <v>46231</v>
      </c>
      <c r="D147" s="23" t="inlineStr">
        <is>
          <t>سوالر لسيارة عصمت</t>
        </is>
      </c>
      <c r="E147" s="23" t="inlineStr">
        <is>
          <t>VHC-1219</t>
        </is>
      </c>
      <c r="F147" s="23" t="inlineStr">
        <is>
          <t>وقود (ديزل/بنزين)</t>
        </is>
      </c>
      <c r="G147" s="25" t="n">
        <v>200</v>
      </c>
      <c r="H147" s="23" t="inlineStr">
        <is>
          <t>نعم</t>
        </is>
      </c>
      <c r="I147" s="23" t="inlineStr"/>
    </row>
    <row r="148">
      <c r="A148" s="23" t="n">
        <v>147</v>
      </c>
      <c r="B148" s="23" t="inlineStr">
        <is>
          <t>إسماعيل جان حبيب – سيارة 3010</t>
        </is>
      </c>
      <c r="C148" s="24" t="n">
        <v>46233</v>
      </c>
      <c r="D148" s="23" t="inlineStr">
        <is>
          <t>سوالر س - اسماعيل</t>
        </is>
      </c>
      <c r="E148" s="23" t="inlineStr">
        <is>
          <t>VHC-3010</t>
        </is>
      </c>
      <c r="F148" s="23" t="inlineStr">
        <is>
          <t>وقود (ديزل/بنزين)</t>
        </is>
      </c>
      <c r="G148" s="25" t="n">
        <v>100.01</v>
      </c>
      <c r="H148" s="23" t="inlineStr">
        <is>
          <t>نعم</t>
        </is>
      </c>
      <c r="I148" s="23" t="inlineStr"/>
    </row>
    <row r="149">
      <c r="A149" s="26" t="n">
        <v>148</v>
      </c>
      <c r="B149" s="26" t="inlineStr">
        <is>
          <t>إسماعيل جان حبيب – سيارة 3010</t>
        </is>
      </c>
      <c r="C149" s="27" t="n">
        <v>46236</v>
      </c>
      <c r="D149" s="26" t="inlineStr">
        <is>
          <t>سوالر س اسماعيل</t>
        </is>
      </c>
      <c r="E149" s="26" t="inlineStr">
        <is>
          <t>VHC-3010</t>
        </is>
      </c>
      <c r="F149" s="26" t="inlineStr">
        <is>
          <t>وقود (ديزل/بنزين)</t>
        </is>
      </c>
      <c r="G149" s="28" t="n">
        <v>100</v>
      </c>
      <c r="H149" s="26" t="inlineStr">
        <is>
          <t>لا</t>
        </is>
      </c>
      <c r="I149" s="26" t="inlineStr">
        <is>
          <t>بعد 31-7-2026 – خارج الفترة</t>
        </is>
      </c>
    </row>
    <row r="150">
      <c r="A150" s="26" t="n">
        <v>149</v>
      </c>
      <c r="B150" s="26" t="inlineStr">
        <is>
          <t>إسماعيل جان حبيب – سيارة 3010</t>
        </is>
      </c>
      <c r="C150" s="27" t="n">
        <v>46236</v>
      </c>
      <c r="D150" s="26" t="inlineStr">
        <is>
          <t>غيار زيت وفلتر وتشحيم س اسماعيل</t>
        </is>
      </c>
      <c r="E150" s="26" t="inlineStr">
        <is>
          <t>VHC-3010</t>
        </is>
      </c>
      <c r="F150" s="26" t="inlineStr">
        <is>
          <t>صيانة سيارات</t>
        </is>
      </c>
      <c r="G150" s="28" t="n">
        <v>300</v>
      </c>
      <c r="H150" s="26" t="inlineStr">
        <is>
          <t>لا</t>
        </is>
      </c>
      <c r="I150" s="26" t="inlineStr">
        <is>
          <t>بعد 31-7-2026 – خارج الفترة</t>
        </is>
      </c>
    </row>
    <row r="151">
      <c r="A151" s="26" t="n">
        <v>150</v>
      </c>
      <c r="B151" s="26" t="inlineStr">
        <is>
          <t>عظمت الله خان – سيارة 1219</t>
        </is>
      </c>
      <c r="C151" s="27" t="n">
        <v>46236</v>
      </c>
      <c r="D151" s="26" t="inlineStr">
        <is>
          <t>غيار زيت وفالتر للسيارة</t>
        </is>
      </c>
      <c r="E151" s="26" t="inlineStr">
        <is>
          <t>VHC-1219</t>
        </is>
      </c>
      <c r="F151" s="26" t="inlineStr">
        <is>
          <t>صيانة سيارات</t>
        </is>
      </c>
      <c r="G151" s="28" t="n">
        <v>245</v>
      </c>
      <c r="H151" s="26" t="inlineStr">
        <is>
          <t>لا</t>
        </is>
      </c>
      <c r="I151" s="26" t="inlineStr">
        <is>
          <t>بعد 31-7-2026 – خارج الفترة</t>
        </is>
      </c>
    </row>
    <row r="152">
      <c r="A152" s="26" t="n">
        <v>151</v>
      </c>
      <c r="B152" s="26" t="inlineStr">
        <is>
          <t>عظمت الله خان – سيارة 1219</t>
        </is>
      </c>
      <c r="C152" s="27" t="n">
        <v>46236</v>
      </c>
      <c r="D152" s="26" t="inlineStr">
        <is>
          <t>سوالر س - عصمت 1219</t>
        </is>
      </c>
      <c r="E152" s="26" t="inlineStr">
        <is>
          <t>VHC-1219</t>
        </is>
      </c>
      <c r="F152" s="26" t="inlineStr">
        <is>
          <t>وقود (ديزل/بنزين)</t>
        </is>
      </c>
      <c r="G152" s="28" t="n">
        <v>200</v>
      </c>
      <c r="H152" s="26" t="inlineStr">
        <is>
          <t>لا</t>
        </is>
      </c>
      <c r="I152" s="26" t="inlineStr">
        <is>
          <t>بعد 31-7-2026 – خارج الفترة</t>
        </is>
      </c>
    </row>
    <row r="153">
      <c r="A153" s="26" t="n">
        <v>152</v>
      </c>
      <c r="B153" s="26" t="inlineStr">
        <is>
          <t>حسين مصطفى – مستودع الرياض</t>
        </is>
      </c>
      <c r="C153" s="27" t="n">
        <v>46238</v>
      </c>
      <c r="D153" s="26" t="inlineStr">
        <is>
          <t>إسماعيل محمد مصروفات)61( السائق إسماعيل توصيل طلبية نجران - توجيه من أبوخالد</t>
        </is>
      </c>
      <c r="E153" s="26" t="inlineStr">
        <is>
          <t>إسماعيلRN محمد #61</t>
        </is>
      </c>
      <c r="F153" s="26" t="inlineStr">
        <is>
          <t>رواتب وعمولات وانتقالات</t>
        </is>
      </c>
      <c r="G153" s="28" t="n">
        <v>100</v>
      </c>
      <c r="H153" s="26" t="inlineStr">
        <is>
          <t>لا</t>
        </is>
      </c>
      <c r="I153" s="26" t="inlineStr">
        <is>
          <t>بعد 31-7-2026 – خارج الفترة</t>
        </is>
      </c>
    </row>
    <row r="154">
      <c r="A154" s="26" t="n">
        <v>153</v>
      </c>
      <c r="B154" s="26" t="inlineStr">
        <is>
          <t>حسين مصطفى – مستودع الرياض</t>
        </is>
      </c>
      <c r="C154" s="27" t="n">
        <v>46238</v>
      </c>
      <c r="D154" s="26" t="inlineStr">
        <is>
          <t>SUPPLIES COFFEE &amp; مياهTEA للشرب للعمال</t>
        </is>
      </c>
      <c r="E154" s="26" t="inlineStr"/>
      <c r="F154" s="26" t="inlineStr">
        <is>
          <t>خدمات ومرافق (كهرباء/مياه/إنترنت/إنشاءات)</t>
        </is>
      </c>
      <c r="G154" s="28" t="n">
        <v>70</v>
      </c>
      <c r="H154" s="26" t="inlineStr">
        <is>
          <t>لا</t>
        </is>
      </c>
      <c r="I154" s="26" t="inlineStr">
        <is>
          <t>بعد 31-7-2026 – خارج الفترة</t>
        </is>
      </c>
    </row>
    <row r="155">
      <c r="A155" s="26" t="n">
        <v>154</v>
      </c>
      <c r="B155" s="26" t="inlineStr">
        <is>
          <t>حسين مصطفى – مستودع الرياض</t>
        </is>
      </c>
      <c r="C155" s="27" t="n">
        <v>46238</v>
      </c>
      <c r="D155" s="26" t="inlineStr">
        <is>
          <t>شراء 3 لفة خيط لتربيط الشجار</t>
        </is>
      </c>
      <c r="E155" s="26" t="inlineStr">
        <is>
          <t>RN-DEPARTMENT</t>
        </is>
      </c>
      <c r="F155" s="26" t="inlineStr">
        <is>
          <t>مصروفات تشغيل المزرعة</t>
        </is>
      </c>
      <c r="G155" s="28" t="n">
        <v>150</v>
      </c>
      <c r="H155" s="26" t="inlineStr">
        <is>
          <t>لا</t>
        </is>
      </c>
      <c r="I155" s="26" t="inlineStr">
        <is>
          <t>بعد 31-7-2026 – خارج الفترة</t>
        </is>
      </c>
    </row>
    <row r="156">
      <c r="A156" s="26" t="n">
        <v>155</v>
      </c>
      <c r="B156" s="26" t="inlineStr">
        <is>
          <t>حسين مصطفى – مستودع الرياض</t>
        </is>
      </c>
      <c r="C156" s="27" t="n">
        <v>46238</v>
      </c>
      <c r="D156" s="26" t="inlineStr">
        <is>
          <t>SUPPLIES شراءCLEANING سم فئران</t>
        </is>
      </c>
      <c r="E156" s="26" t="inlineStr"/>
      <c r="F156" s="26" t="inlineStr">
        <is>
          <t>خدمات ومرافق (كهرباء/مياه/إنترنت/إنشاءات)</t>
        </is>
      </c>
      <c r="G156" s="28" t="n">
        <v>20</v>
      </c>
      <c r="H156" s="26" t="inlineStr">
        <is>
          <t>لا</t>
        </is>
      </c>
      <c r="I156" s="26" t="inlineStr">
        <is>
          <t>بعد 31-7-2026 – خارج الفترة</t>
        </is>
      </c>
    </row>
    <row r="157">
      <c r="A157" s="26" t="n">
        <v>156</v>
      </c>
      <c r="B157" s="26" t="inlineStr">
        <is>
          <t>حسين مصطفى – مستودع الرياض</t>
        </is>
      </c>
      <c r="C157" s="27" t="n">
        <v>46238</v>
      </c>
      <c r="D157" s="26" t="inlineStr">
        <is>
          <t>شراء خالط دش وخالط وضوء للعمال</t>
        </is>
      </c>
      <c r="E157" s="26" t="inlineStr">
        <is>
          <t>EQUIP. &amp; DEVICE MAINTENANCE</t>
        </is>
      </c>
      <c r="F157" s="26" t="inlineStr">
        <is>
          <t>خدمات ومرافق (كهرباء/مياه/إنترنت/إنشاءات)</t>
        </is>
      </c>
      <c r="G157" s="28" t="n">
        <v>184</v>
      </c>
      <c r="H157" s="26" t="inlineStr">
        <is>
          <t>لا</t>
        </is>
      </c>
      <c r="I157" s="26" t="inlineStr">
        <is>
          <t>بعد 31-7-2026 – خارج الفترة</t>
        </is>
      </c>
    </row>
    <row r="158">
      <c r="A158" s="26" t="n">
        <v>157</v>
      </c>
      <c r="B158" s="26" t="inlineStr">
        <is>
          <t>حسين مصطفى – مستودع الرياض</t>
        </is>
      </c>
      <c r="C158" s="27" t="n">
        <v>46238</v>
      </c>
      <c r="D158" s="26" t="inlineStr">
        <is>
          <t>شراء مقصات للشجر</t>
        </is>
      </c>
      <c r="E158" s="26" t="inlineStr">
        <is>
          <t>RN-DEPARTMENT</t>
        </is>
      </c>
      <c r="F158" s="26" t="inlineStr">
        <is>
          <t>مصروفات تشغيل المزرعة</t>
        </is>
      </c>
      <c r="G158" s="28" t="n">
        <v>45</v>
      </c>
      <c r="H158" s="26" t="inlineStr">
        <is>
          <t>لا</t>
        </is>
      </c>
      <c r="I158" s="26" t="inlineStr">
        <is>
          <t>بعد 31-7-2026 – خارج الفترة</t>
        </is>
      </c>
    </row>
    <row r="159">
      <c r="A159" s="26" t="n">
        <v>158</v>
      </c>
      <c r="B159" s="26" t="inlineStr">
        <is>
          <t>حسين مصطفى – مستودع الرياض</t>
        </is>
      </c>
      <c r="C159" s="27" t="n">
        <v>46238</v>
      </c>
      <c r="D159" s="26" t="inlineStr">
        <is>
          <t>شراء شطرطون ومفكات</t>
        </is>
      </c>
      <c r="E159" s="26" t="inlineStr">
        <is>
          <t>RN-DEPARTMENT</t>
        </is>
      </c>
      <c r="F159" s="26" t="inlineStr">
        <is>
          <t>مصروفات تشغيل المزرعة</t>
        </is>
      </c>
      <c r="G159" s="28" t="n">
        <v>46</v>
      </c>
      <c r="H159" s="26" t="inlineStr">
        <is>
          <t>لا</t>
        </is>
      </c>
      <c r="I159" s="26" t="inlineStr">
        <is>
          <t>بعد 31-7-2026 – خارج الفترة</t>
        </is>
      </c>
    </row>
    <row r="160">
      <c r="A160" s="26" t="n">
        <v>159</v>
      </c>
      <c r="B160" s="26" t="inlineStr">
        <is>
          <t>حسين مصطفى – مستودع الرياض</t>
        </is>
      </c>
      <c r="C160" s="27" t="n">
        <v>46238</v>
      </c>
      <c r="D160" s="26" t="inlineStr">
        <is>
          <t>شراء مسدس رش مياه وسيلكون</t>
        </is>
      </c>
      <c r="E160" s="26" t="inlineStr">
        <is>
          <t>RN-DEPARTMENT</t>
        </is>
      </c>
      <c r="F160" s="26" t="inlineStr">
        <is>
          <t>مصروفات تشغيل المزرعة</t>
        </is>
      </c>
      <c r="G160" s="28" t="n">
        <v>40</v>
      </c>
      <c r="H160" s="26" t="inlineStr">
        <is>
          <t>لا</t>
        </is>
      </c>
      <c r="I160" s="26" t="inlineStr">
        <is>
          <t>بعد 31-7-2026 – خارج الفترة</t>
        </is>
      </c>
    </row>
    <row r="161">
      <c r="A161" s="26" t="n">
        <v>160</v>
      </c>
      <c r="B161" s="26" t="inlineStr">
        <is>
          <t>حسين مصطفى – مستودع الرياض</t>
        </is>
      </c>
      <c r="C161" s="27" t="n">
        <v>46238</v>
      </c>
      <c r="D161" s="26" t="inlineStr">
        <is>
          <t>شراء مسدس سيلكون</t>
        </is>
      </c>
      <c r="E161" s="26" t="inlineStr">
        <is>
          <t>EQUIP. &amp; DEVICE MAINTENANCE</t>
        </is>
      </c>
      <c r="F161" s="26" t="inlineStr">
        <is>
          <t>خدمات ومرافق (كهرباء/مياه/إنترنت/إنشاءات)</t>
        </is>
      </c>
      <c r="G161" s="28" t="n">
        <v>20</v>
      </c>
      <c r="H161" s="26" t="inlineStr">
        <is>
          <t>لا</t>
        </is>
      </c>
      <c r="I161" s="26" t="inlineStr">
        <is>
          <t>بعد 31-7-2026 – خارج الفترة</t>
        </is>
      </c>
    </row>
    <row r="162">
      <c r="A162" s="26" t="n">
        <v>161</v>
      </c>
      <c r="B162" s="26" t="inlineStr">
        <is>
          <t>حسين مصطفى – مستودع الرياض</t>
        </is>
      </c>
      <c r="C162" s="27" t="n">
        <v>46238</v>
      </c>
      <c r="D162" s="26" t="inlineStr">
        <is>
          <t>شراء علبة زيت فرامل و علبة دريكسيون للوانيت</t>
        </is>
      </c>
      <c r="E162" s="26" t="inlineStr">
        <is>
          <t>VHC-5564</t>
        </is>
      </c>
      <c r="F162" s="26" t="inlineStr">
        <is>
          <t>صيانة سيارات</t>
        </is>
      </c>
      <c r="G162" s="28" t="n">
        <v>20</v>
      </c>
      <c r="H162" s="26" t="inlineStr">
        <is>
          <t>لا</t>
        </is>
      </c>
      <c r="I162" s="26" t="inlineStr">
        <is>
          <t>بعد 31-7-2026 – خارج الفترة</t>
        </is>
      </c>
    </row>
    <row r="163">
      <c r="A163" s="26" t="n">
        <v>162</v>
      </c>
      <c r="B163" s="26" t="inlineStr">
        <is>
          <t>حسين مصطفى – مستودع الرياض</t>
        </is>
      </c>
      <c r="C163" s="27" t="n">
        <v>46238</v>
      </c>
      <c r="D163" s="26" t="inlineStr">
        <is>
          <t>غيار زيت وفلتر للوانيت</t>
        </is>
      </c>
      <c r="E163" s="26" t="inlineStr">
        <is>
          <t>VHC-5564</t>
        </is>
      </c>
      <c r="F163" s="26" t="inlineStr">
        <is>
          <t>صيانة سيارات</t>
        </is>
      </c>
      <c r="G163" s="28" t="n">
        <v>230</v>
      </c>
      <c r="H163" s="26" t="inlineStr">
        <is>
          <t>لا</t>
        </is>
      </c>
      <c r="I163" s="26" t="inlineStr">
        <is>
          <t>بعد 31-7-2026 – خارج الفترة</t>
        </is>
      </c>
    </row>
    <row r="164">
      <c r="A164" s="26" t="n">
        <v>163</v>
      </c>
      <c r="B164" s="26" t="inlineStr">
        <is>
          <t>حسين مصطفى – مستودع الرياض</t>
        </is>
      </c>
      <c r="C164" s="27" t="n">
        <v>46238</v>
      </c>
      <c r="D164" s="26" t="inlineStr">
        <is>
          <t>SUPPLIES COFFEE &amp; مياهTEA للشرب للعمال</t>
        </is>
      </c>
      <c r="E164" s="26" t="inlineStr"/>
      <c r="F164" s="26" t="inlineStr">
        <is>
          <t>خدمات ومرافق (كهرباء/مياه/إنترنت/إنشاءات)</t>
        </is>
      </c>
      <c r="G164" s="28" t="n">
        <v>70</v>
      </c>
      <c r="H164" s="26" t="inlineStr">
        <is>
          <t>لا</t>
        </is>
      </c>
      <c r="I164" s="26" t="inlineStr">
        <is>
          <t>بعد 31-7-2026 – خارج الفترة</t>
        </is>
      </c>
    </row>
    <row r="165">
      <c r="A165" s="26" t="n">
        <v>164</v>
      </c>
      <c r="B165" s="26" t="inlineStr">
        <is>
          <t>حسين مصطفى – مستودع الرياض</t>
        </is>
      </c>
      <c r="C165" s="27" t="n">
        <v>46238</v>
      </c>
      <c r="D165" s="26" t="inlineStr">
        <is>
          <t>شراء مسمامير وسيلكون للمزرعة</t>
        </is>
      </c>
      <c r="E165" s="26" t="inlineStr">
        <is>
          <t>RN-DEPARTMENT</t>
        </is>
      </c>
      <c r="F165" s="26" t="inlineStr">
        <is>
          <t>مصروفات تشغيل المزرعة</t>
        </is>
      </c>
      <c r="G165" s="28" t="n">
        <v>90</v>
      </c>
      <c r="H165" s="26" t="inlineStr">
        <is>
          <t>لا</t>
        </is>
      </c>
      <c r="I165" s="26" t="inlineStr">
        <is>
          <t>بعد 31-7-2026 – خارج الفترة</t>
        </is>
      </c>
    </row>
    <row r="166">
      <c r="A166" s="26" t="n">
        <v>165</v>
      </c>
      <c r="B166" s="26" t="inlineStr">
        <is>
          <t>حسين مصطفى – مستودع الرياض</t>
        </is>
      </c>
      <c r="C166" s="27" t="n">
        <v>46238</v>
      </c>
      <c r="D166" s="26" t="inlineStr">
        <is>
          <t>SUPPLIES شفطCLEANING الصرف الصحي بالمزرعة T N E I P I C E R D E M A N E H T R O F Y L E L O S D E D N E T N I D N A L A I T N E D I F N O C S I T N E M U C O D S I H T 0551019506 | SABOUR ABDEL AHMED ENG. 18:06 2026, Aug 09 Generated: v10.0 ERP Unified NSC</t>
        </is>
      </c>
      <c r="E166" s="26" t="inlineStr"/>
      <c r="F166" s="26" t="inlineStr">
        <is>
          <t>خدمات ومرافق (كهرباء/مياه/إنترنت/إنشاءات)</t>
        </is>
      </c>
      <c r="G166" s="28" t="n">
        <v>300</v>
      </c>
      <c r="H166" s="26" t="inlineStr">
        <is>
          <t>لا</t>
        </is>
      </c>
      <c r="I166" s="26" t="inlineStr">
        <is>
          <t>بعد 31-7-2026 – خارج الفترة</t>
        </is>
      </c>
    </row>
    <row r="167">
      <c r="A167" s="26" t="n">
        <v>166</v>
      </c>
      <c r="B167" s="26" t="inlineStr">
        <is>
          <t>حسين مصطفى – مستودع الرياض</t>
        </is>
      </c>
      <c r="C167" s="27" t="n">
        <v>46238</v>
      </c>
      <c r="D167" s="26" t="inlineStr">
        <is>
          <t>شراء اكواع سباكة ولفة احبال ونبل نحاس</t>
        </is>
      </c>
      <c r="E167" s="26" t="inlineStr">
        <is>
          <t>EQUIP. &amp; DEVICE MAINTENANCE</t>
        </is>
      </c>
      <c r="F167" s="26" t="inlineStr">
        <is>
          <t>خدمات ومرافق (كهرباء/مياه/إنترنت/إنشاءات)</t>
        </is>
      </c>
      <c r="G167" s="28" t="n">
        <v>75</v>
      </c>
      <c r="H167" s="26" t="inlineStr">
        <is>
          <t>لا</t>
        </is>
      </c>
      <c r="I167" s="26" t="inlineStr">
        <is>
          <t>بعد 31-7-2026 – خارج الفترة</t>
        </is>
      </c>
    </row>
    <row r="168">
      <c r="A168" s="26" t="n">
        <v>167</v>
      </c>
      <c r="B168" s="26" t="inlineStr">
        <is>
          <t>حسين مصطفى – مستودع الرياض</t>
        </is>
      </c>
      <c r="C168" s="27" t="n">
        <v>46238</v>
      </c>
      <c r="D168" s="26" t="inlineStr">
        <is>
          <t>بنزين للسيارة الوانيت</t>
        </is>
      </c>
      <c r="E168" s="26" t="inlineStr">
        <is>
          <t>VHC-5564</t>
        </is>
      </c>
      <c r="F168" s="26" t="inlineStr">
        <is>
          <t>وقود (ديزل/بنزين)</t>
        </is>
      </c>
      <c r="G168" s="28" t="n">
        <v>139.74</v>
      </c>
      <c r="H168" s="26" t="inlineStr">
        <is>
          <t>لا</t>
        </is>
      </c>
      <c r="I168" s="26" t="inlineStr">
        <is>
          <t>بعد 31-7-2026 – خارج الفترة</t>
        </is>
      </c>
    </row>
    <row r="169">
      <c r="A169" s="26" t="n">
        <v>168</v>
      </c>
      <c r="B169" s="26" t="inlineStr">
        <is>
          <t>حسين مصطفى – مستودع الرياض</t>
        </is>
      </c>
      <c r="C169" s="27" t="n">
        <v>46238</v>
      </c>
      <c r="D169" s="26" t="inlineStr">
        <is>
          <t>عمل كفر السيارة الوانيت</t>
        </is>
      </c>
      <c r="E169" s="26" t="inlineStr">
        <is>
          <t>VHC-5564</t>
        </is>
      </c>
      <c r="F169" s="26" t="inlineStr">
        <is>
          <t>صيانة سيارات</t>
        </is>
      </c>
      <c r="G169" s="28" t="n">
        <v>40</v>
      </c>
      <c r="H169" s="26" t="inlineStr">
        <is>
          <t>لا</t>
        </is>
      </c>
      <c r="I169" s="26" t="inlineStr">
        <is>
          <t>بعد 31-7-2026 – خارج الفترة</t>
        </is>
      </c>
    </row>
    <row r="170">
      <c r="A170" s="26" t="n">
        <v>169</v>
      </c>
      <c r="B170" s="26" t="inlineStr">
        <is>
          <t>حسين مصطفى – مستودع الرياض</t>
        </is>
      </c>
      <c r="C170" s="27" t="n">
        <v>46238</v>
      </c>
      <c r="D170" s="26" t="inlineStr">
        <is>
          <t>اصالح مواتير مراوح وخزانات المزرعة</t>
        </is>
      </c>
      <c r="E170" s="26" t="inlineStr">
        <is>
          <t>EQUIP. &amp; DEVICE MAINTENANCE</t>
        </is>
      </c>
      <c r="F170" s="26" t="inlineStr">
        <is>
          <t>خدمات ومرافق (كهرباء/مياه/إنترنت/إنشاءات)</t>
        </is>
      </c>
      <c r="G170" s="28" t="n">
        <v>900</v>
      </c>
      <c r="H170" s="26" t="inlineStr">
        <is>
          <t>لا</t>
        </is>
      </c>
      <c r="I170" s="26" t="inlineStr">
        <is>
          <t>بعد 31-7-2026 – خارج الفترة</t>
        </is>
      </c>
    </row>
    <row r="171">
      <c r="A171" s="26" t="n">
        <v>170</v>
      </c>
      <c r="B171" s="26" t="inlineStr">
        <is>
          <t>حسين مصطفى – مستودع الرياض</t>
        </is>
      </c>
      <c r="C171" s="27" t="n">
        <v>46238</v>
      </c>
      <c r="D171" s="26" t="inlineStr">
        <is>
          <t>شراء سلك تربيط</t>
        </is>
      </c>
      <c r="E171" s="26" t="inlineStr">
        <is>
          <t>RN-DEPARTMENT</t>
        </is>
      </c>
      <c r="F171" s="26" t="inlineStr">
        <is>
          <t>مصروفات تشغيل المزرعة</t>
        </is>
      </c>
      <c r="G171" s="28" t="n">
        <v>40.25</v>
      </c>
      <c r="H171" s="26" t="inlineStr">
        <is>
          <t>لا</t>
        </is>
      </c>
      <c r="I171" s="26" t="inlineStr">
        <is>
          <t>بعد 31-7-2026 – خارج الفترة</t>
        </is>
      </c>
    </row>
    <row r="172">
      <c r="A172" s="26" t="n">
        <v>171</v>
      </c>
      <c r="B172" s="26" t="inlineStr">
        <is>
          <t>حسين مصطفى – مستودع الرياض</t>
        </is>
      </c>
      <c r="C172" s="27" t="n">
        <v>46238</v>
      </c>
      <c r="D172" s="26" t="inlineStr">
        <is>
          <t>SUPPLIES COFFEE &amp; مياهTEA للشرب للعمال</t>
        </is>
      </c>
      <c r="E172" s="26" t="inlineStr"/>
      <c r="F172" s="26" t="inlineStr">
        <is>
          <t>خدمات ومرافق (كهرباء/مياه/إنترنت/إنشاءات)</t>
        </is>
      </c>
      <c r="G172" s="28" t="n">
        <v>70</v>
      </c>
      <c r="H172" s="26" t="inlineStr">
        <is>
          <t>لا</t>
        </is>
      </c>
      <c r="I172" s="26" t="inlineStr">
        <is>
          <t>بعد 31-7-2026 – خارج الفترة</t>
        </is>
      </c>
    </row>
    <row r="173">
      <c r="A173" s="26" t="n">
        <v>172</v>
      </c>
      <c r="B173" s="26" t="inlineStr">
        <is>
          <t>حسين مصطفى – مستودع الرياض</t>
        </is>
      </c>
      <c r="C173" s="27" t="n">
        <v>46238</v>
      </c>
      <c r="D173" s="26" t="inlineStr">
        <is>
          <t>B82 - شراء سيور للمراوح</t>
        </is>
      </c>
      <c r="E173" s="26" t="inlineStr">
        <is>
          <t>EQUIP. &amp; DEVICE MAINTENANCE</t>
        </is>
      </c>
      <c r="F173" s="26" t="inlineStr">
        <is>
          <t>خدمات ومرافق (كهرباء/مياه/إنترنت/إنشاءات)</t>
        </is>
      </c>
      <c r="G173" s="28" t="n">
        <v>126.01</v>
      </c>
      <c r="H173" s="26" t="inlineStr">
        <is>
          <t>لا</t>
        </is>
      </c>
      <c r="I173" s="26" t="inlineStr">
        <is>
          <t>بعد 31-7-2026 – خارج الفترة</t>
        </is>
      </c>
    </row>
    <row r="174">
      <c r="A174" s="26" t="n">
        <v>173</v>
      </c>
      <c r="B174" s="26" t="inlineStr">
        <is>
          <t>حسين مصطفى – مستودع الرياض</t>
        </is>
      </c>
      <c r="C174" s="27" t="n">
        <v>46238</v>
      </c>
      <c r="D174" s="26" t="inlineStr">
        <is>
          <t>قيمةNS-DEPARTMENT اجرة سيارة لتوصيل اوراق الشئون للرياض يوم 2026-7-1</t>
        </is>
      </c>
      <c r="E174" s="26" t="inlineStr"/>
      <c r="F174" s="26" t="inlineStr">
        <is>
          <t>نقل خارجي</t>
        </is>
      </c>
      <c r="G174" s="28" t="n">
        <v>280</v>
      </c>
      <c r="H174" s="26" t="inlineStr">
        <is>
          <t>لا</t>
        </is>
      </c>
      <c r="I174" s="26" t="inlineStr">
        <is>
          <t>بعد 31-7-2026 – خارج الفترة</t>
        </is>
      </c>
    </row>
    <row r="175">
      <c r="A175" s="26" t="n">
        <v>174</v>
      </c>
      <c r="B175" s="26" t="inlineStr">
        <is>
          <t>إسماعيل جان حبيب – سيارة 3010</t>
        </is>
      </c>
      <c r="C175" s="27" t="n">
        <v>46240</v>
      </c>
      <c r="D175" s="26" t="inlineStr">
        <is>
          <t>سوالر س اسماعيل يوم 2026-8-3</t>
        </is>
      </c>
      <c r="E175" s="26" t="inlineStr">
        <is>
          <t>VHC-3010</t>
        </is>
      </c>
      <c r="F175" s="26" t="inlineStr">
        <is>
          <t>وقود (ديزل/بنزين)</t>
        </is>
      </c>
      <c r="G175" s="28" t="n">
        <v>150</v>
      </c>
      <c r="H175" s="26" t="inlineStr">
        <is>
          <t>لا</t>
        </is>
      </c>
      <c r="I175" s="26" t="inlineStr">
        <is>
          <t>بعد 31-7-2026 – خارج الفترة</t>
        </is>
      </c>
    </row>
    <row r="176">
      <c r="A176" s="26" t="n">
        <v>175</v>
      </c>
      <c r="B176" s="26" t="inlineStr">
        <is>
          <t>إسماعيل جان حبيب – سيارة 3010</t>
        </is>
      </c>
      <c r="C176" s="27" t="n">
        <v>46240</v>
      </c>
      <c r="D176" s="26" t="inlineStr">
        <is>
          <t>سوالر اسماعيل يوم 2026-8-6</t>
        </is>
      </c>
      <c r="E176" s="26" t="inlineStr">
        <is>
          <t>VHC-3010</t>
        </is>
      </c>
      <c r="F176" s="26" t="inlineStr">
        <is>
          <t>وقود (ديزل/بنزين)</t>
        </is>
      </c>
      <c r="G176" s="28" t="n">
        <v>200</v>
      </c>
      <c r="H176" s="26" t="inlineStr">
        <is>
          <t>لا</t>
        </is>
      </c>
      <c r="I176" s="26" t="inlineStr">
        <is>
          <t>بعد 31-7-2026 – خارج الفترة</t>
        </is>
      </c>
    </row>
    <row r="177">
      <c r="A177" s="26" t="n">
        <v>176</v>
      </c>
      <c r="B177" s="26" t="inlineStr">
        <is>
          <t>حسين مصطفى – مستودع الرياض</t>
        </is>
      </c>
      <c r="C177" s="27" t="n">
        <v>46240</v>
      </c>
      <c r="D177" s="26" t="inlineStr">
        <is>
          <t>شراء مبيدات الشجار والحشائش يوم 2026-8-3</t>
        </is>
      </c>
      <c r="E177" s="26" t="inlineStr">
        <is>
          <t>RN-DEPARTMENT</t>
        </is>
      </c>
      <c r="F177" s="26" t="inlineStr">
        <is>
          <t>مصروفات تشغيل المزرعة</t>
        </is>
      </c>
      <c r="G177" s="28" t="n">
        <v>405</v>
      </c>
      <c r="H177" s="26" t="inlineStr">
        <is>
          <t>لا</t>
        </is>
      </c>
      <c r="I177" s="26" t="inlineStr">
        <is>
          <t>بعد 31-7-2026 – خارج الفترة</t>
        </is>
      </c>
    </row>
    <row r="178">
      <c r="A178" s="26" t="n">
        <v>177</v>
      </c>
      <c r="B178" s="26" t="inlineStr">
        <is>
          <t>حسين مصطفى – مستودع الرياض</t>
        </is>
      </c>
      <c r="C178" s="27" t="n">
        <v>46242</v>
      </c>
      <c r="D178" s="26" t="inlineStr">
        <is>
          <t>بنزين للوانيت 5564 - يوم 2026-8-7</t>
        </is>
      </c>
      <c r="E178" s="26" t="inlineStr">
        <is>
          <t>VHC-5564</t>
        </is>
      </c>
      <c r="F178" s="26" t="inlineStr">
        <is>
          <t>وقود (ديزل/بنزين)</t>
        </is>
      </c>
      <c r="G178" s="28" t="n">
        <v>60.02</v>
      </c>
      <c r="H178" s="26" t="inlineStr">
        <is>
          <t>لا</t>
        </is>
      </c>
      <c r="I178" s="26" t="inlineStr">
        <is>
          <t>بعد 31-7-2026 – خارج الفترة</t>
        </is>
      </c>
    </row>
    <row r="179">
      <c r="A179" s="26" t="n">
        <v>178</v>
      </c>
      <c r="B179" s="26" t="inlineStr">
        <is>
          <t>عظمت الله خان – سيارة 1219</t>
        </is>
      </c>
      <c r="C179" s="27" t="n">
        <v>46242</v>
      </c>
      <c r="D179" s="26" t="inlineStr">
        <is>
          <t>سوالر س - عصمت يوم 2026-8-8</t>
        </is>
      </c>
      <c r="E179" s="26" t="inlineStr">
        <is>
          <t>VHC-1219</t>
        </is>
      </c>
      <c r="F179" s="26" t="inlineStr">
        <is>
          <t>وقود (ديزل/بنزين)</t>
        </is>
      </c>
      <c r="G179" s="28" t="n">
        <v>250</v>
      </c>
      <c r="H179" s="26" t="inlineStr">
        <is>
          <t>لا</t>
        </is>
      </c>
      <c r="I179" s="26" t="inlineStr">
        <is>
          <t>بعد 31-7-2026 – خارج الفترة</t>
        </is>
      </c>
    </row>
    <row r="180">
      <c r="A180" s="21" t="inlineStr"/>
      <c r="B180" s="21" t="inlineStr"/>
      <c r="C180" s="21" t="inlineStr"/>
      <c r="D180" s="21" t="inlineStr">
        <is>
          <t>الإجمالي</t>
        </is>
      </c>
      <c r="E180" s="21" t="inlineStr"/>
      <c r="F180" s="21" t="inlineStr"/>
      <c r="G180" s="22">
        <f>SUM(G2:G179)</f>
        <v/>
      </c>
      <c r="H180" s="21" t="n"/>
      <c r="I180" s="21" t="n"/>
    </row>
  </sheetData>
  <autoFilter ref="A1:I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20" customWidth="1" min="4" max="4"/>
    <col width="20" customWidth="1" min="5" max="5"/>
    <col width="16" customWidth="1" min="6" max="6"/>
  </cols>
  <sheetData>
    <row r="1">
      <c r="A1" s="2" t="inlineStr">
        <is>
          <t>صاحب العهدة</t>
        </is>
      </c>
      <c r="B1" s="2" t="inlineStr">
        <is>
          <t>المنصرف له (إجمالي العهدة)</t>
        </is>
      </c>
      <c r="C1" s="2" t="inlineStr">
        <is>
          <t>المسوّى بمستندات</t>
        </is>
      </c>
      <c r="D1" s="2" t="inlineStr">
        <is>
          <t>الرصيد المتبقي بدون تسوية</t>
        </is>
      </c>
      <c r="E1" s="2" t="inlineStr">
        <is>
          <t>منها داخل الفترة حتى 31-7</t>
        </is>
      </c>
      <c r="F1" s="2" t="inlineStr">
        <is>
          <t>منها بعد 31-7</t>
        </is>
      </c>
    </row>
    <row r="2">
      <c r="A2" s="23" t="inlineStr">
        <is>
          <t>حسين مصطفى – مستودع الرياض</t>
        </is>
      </c>
      <c r="B2" s="25" t="n">
        <v>46018.39</v>
      </c>
      <c r="C2" s="25" t="n">
        <v>45136.41</v>
      </c>
      <c r="D2" s="25" t="n">
        <v>881.98</v>
      </c>
      <c r="E2" s="25" t="n">
        <v>41615.39</v>
      </c>
      <c r="F2" s="25" t="n">
        <v>3521.02</v>
      </c>
    </row>
    <row r="3">
      <c r="A3" s="23" t="inlineStr">
        <is>
          <t>إسماعيل جان حبيب – سيارة 3010</t>
        </is>
      </c>
      <c r="B3" s="25" t="n">
        <v>2153</v>
      </c>
      <c r="C3" s="25" t="n">
        <v>2003.05</v>
      </c>
      <c r="D3" s="25" t="n">
        <v>149.95</v>
      </c>
      <c r="E3" s="25" t="n">
        <v>1253.05</v>
      </c>
      <c r="F3" s="25" t="n">
        <v>750</v>
      </c>
    </row>
    <row r="4">
      <c r="A4" s="23" t="inlineStr">
        <is>
          <t>عظمت الله خان – سيارة 1219</t>
        </is>
      </c>
      <c r="B4" s="25" t="n">
        <v>2500</v>
      </c>
      <c r="C4" s="25" t="n">
        <v>1988.02</v>
      </c>
      <c r="D4" s="25" t="n">
        <v>511.98</v>
      </c>
      <c r="E4" s="25" t="n">
        <v>1293.02</v>
      </c>
      <c r="F4" s="25" t="n">
        <v>695</v>
      </c>
    </row>
    <row r="5">
      <c r="A5" s="23" t="inlineStr">
        <is>
          <t>عماد حمدي – سيارة 3010</t>
        </is>
      </c>
      <c r="B5" s="25" t="n">
        <v>690</v>
      </c>
      <c r="C5" s="25" t="n">
        <v>690</v>
      </c>
      <c r="D5" s="25" t="n">
        <v>0</v>
      </c>
      <c r="E5" s="25" t="n">
        <v>690</v>
      </c>
      <c r="F5" s="25" t="n">
        <v>0</v>
      </c>
    </row>
    <row r="6">
      <c r="A6" s="21" t="inlineStr">
        <is>
          <t>الإجمالي</t>
        </is>
      </c>
      <c r="B6" s="22">
        <f>SUM(B2:B5)</f>
        <v/>
      </c>
      <c r="C6" s="22">
        <f>SUM(C2:C5)</f>
        <v/>
      </c>
      <c r="D6" s="22">
        <f>SUM(D2:D5)</f>
        <v/>
      </c>
      <c r="E6" s="22">
        <f>SUM(E2:E5)</f>
        <v/>
      </c>
      <c r="F6" s="22">
        <f>SUM(F2:F5)</f>
        <v/>
      </c>
    </row>
    <row r="8">
      <c r="A8" s="29" t="inlineStr">
        <is>
          <t>المصروفات حسب البند (داخل الفترة حتى 31-7-2026)</t>
        </is>
      </c>
    </row>
    <row r="9">
      <c r="A9" s="2" t="inlineStr">
        <is>
          <t>البند</t>
        </is>
      </c>
      <c r="B9" s="2" t="inlineStr">
        <is>
          <t>المبلغ</t>
        </is>
      </c>
      <c r="C9" s="2" t="inlineStr">
        <is>
          <t>عدد الحركات</t>
        </is>
      </c>
      <c r="D9" s="2" t="n"/>
      <c r="E9" s="2" t="n"/>
      <c r="F9" s="2" t="n"/>
    </row>
    <row r="10">
      <c r="A10" s="23" t="inlineStr">
        <is>
          <t>وقود (ديزل/بنزين)</t>
        </is>
      </c>
      <c r="B10" s="25" t="n">
        <v>13997.32</v>
      </c>
      <c r="C10" s="23" t="n">
        <v>64</v>
      </c>
      <c r="D10" s="23" t="n"/>
      <c r="E10" s="23" t="n"/>
      <c r="F10" s="23" t="n"/>
    </row>
    <row r="11">
      <c r="A11" s="23" t="inlineStr">
        <is>
          <t>صيانة سيارات</t>
        </is>
      </c>
      <c r="B11" s="25" t="n">
        <v>13421.86</v>
      </c>
      <c r="C11" s="23" t="n">
        <v>39</v>
      </c>
      <c r="D11" s="23" t="n"/>
      <c r="E11" s="23" t="n"/>
      <c r="F11" s="23" t="n"/>
    </row>
    <row r="12">
      <c r="A12" s="23" t="inlineStr">
        <is>
          <t>خدمات ومرافق (كهرباء/مياه/إنترنت/إنشاءات)</t>
        </is>
      </c>
      <c r="B12" s="25" t="n">
        <v>11253.65</v>
      </c>
      <c r="C12" s="23" t="n">
        <v>23</v>
      </c>
      <c r="D12" s="23" t="n"/>
      <c r="E12" s="23" t="n"/>
      <c r="F12" s="23" t="n"/>
    </row>
    <row r="13">
      <c r="A13" s="23" t="inlineStr">
        <is>
          <t>مصروفات تشغيل المزرعة</t>
        </is>
      </c>
      <c r="B13" s="25" t="n">
        <v>3674.38</v>
      </c>
      <c r="C13" s="23" t="n">
        <v>17</v>
      </c>
      <c r="D13" s="23" t="n"/>
      <c r="E13" s="23" t="n"/>
      <c r="F13" s="23" t="n"/>
    </row>
    <row r="14">
      <c r="A14" s="23" t="inlineStr">
        <is>
          <t>رواتب وعمولات وانتقالات</t>
        </is>
      </c>
      <c r="B14" s="25" t="n">
        <v>2504.25</v>
      </c>
      <c r="C14" s="23" t="n">
        <v>4</v>
      </c>
      <c r="D14" s="23" t="n"/>
      <c r="E14" s="23" t="n"/>
      <c r="F14" s="23" t="n"/>
    </row>
    <row r="15">
      <c r="A15" s="21" t="inlineStr">
        <is>
          <t>الإجمالي</t>
        </is>
      </c>
      <c r="B15" s="22">
        <f>SUM(B10:B14)</f>
        <v/>
      </c>
      <c r="C15" s="21">
        <f>SUM(C10:C14)</f>
        <v/>
      </c>
      <c r="D15" s="21" t="n"/>
      <c r="E15" s="21" t="n"/>
      <c r="F15" s="21" t="n"/>
    </row>
    <row r="17">
      <c r="A17" s="29" t="inlineStr">
        <is>
          <t>المصروفات حسب السيارة / المستفيد (داخل الفترة)</t>
        </is>
      </c>
    </row>
    <row r="18">
      <c r="A18" s="2" t="inlineStr">
        <is>
          <t>المستفيد</t>
        </is>
      </c>
      <c r="B18" s="2" t="inlineStr">
        <is>
          <t>المبلغ</t>
        </is>
      </c>
      <c r="C18" s="2" t="inlineStr">
        <is>
          <t>عدد الحركات</t>
        </is>
      </c>
      <c r="D18" s="2" t="n"/>
      <c r="E18" s="2" t="n"/>
      <c r="F18" s="2" t="n"/>
    </row>
    <row r="19">
      <c r="A19" s="23" t="inlineStr">
        <is>
          <t>سيارة 3010 (عماد)</t>
        </is>
      </c>
      <c r="B19" s="25" t="n">
        <v>14033.16</v>
      </c>
      <c r="C19" s="23" t="n">
        <v>52</v>
      </c>
      <c r="D19" s="23" t="n"/>
      <c r="E19" s="23" t="n"/>
      <c r="F19" s="23" t="n"/>
    </row>
    <row r="20">
      <c r="A20" s="23" t="inlineStr">
        <is>
          <t>مصروفات المزرعة</t>
        </is>
      </c>
      <c r="B20" s="25" t="n">
        <v>11747.11</v>
      </c>
      <c r="C20" s="23" t="n">
        <v>22</v>
      </c>
      <c r="D20" s="23" t="n"/>
      <c r="E20" s="23" t="n"/>
      <c r="F20" s="23" t="n"/>
    </row>
    <row r="21">
      <c r="A21" s="23" t="inlineStr">
        <is>
          <t>سيارة 1219 (عصمت)</t>
        </is>
      </c>
      <c r="B21" s="25" t="n">
        <v>11176.31</v>
      </c>
      <c r="C21" s="23" t="n">
        <v>42</v>
      </c>
      <c r="D21" s="23" t="n"/>
      <c r="E21" s="23" t="n"/>
      <c r="F21" s="23" t="n"/>
    </row>
    <row r="22">
      <c r="A22" s="23" t="inlineStr">
        <is>
          <t>أفراد (عمولات/انتقالات)</t>
        </is>
      </c>
      <c r="B22" s="25" t="n">
        <v>2794.25</v>
      </c>
      <c r="C22" s="23" t="n">
        <v>4</v>
      </c>
      <c r="D22" s="23" t="n"/>
      <c r="E22" s="23" t="n"/>
      <c r="F22" s="23" t="n"/>
    </row>
    <row r="23">
      <c r="A23" s="23" t="inlineStr">
        <is>
          <t>سيارة 5564 (الوانيت)</t>
        </is>
      </c>
      <c r="B23" s="25" t="n">
        <v>2669.71</v>
      </c>
      <c r="C23" s="23" t="n">
        <v>10</v>
      </c>
      <c r="D23" s="23" t="n"/>
      <c r="E23" s="23" t="n"/>
      <c r="F23" s="23" t="n"/>
    </row>
    <row r="24">
      <c r="A24" s="23" t="inlineStr">
        <is>
          <t>قسم مزرعة الرياض</t>
        </is>
      </c>
      <c r="B24" s="25" t="n">
        <v>2430.92</v>
      </c>
      <c r="C24" s="23" t="n">
        <v>17</v>
      </c>
      <c r="D24" s="23" t="n"/>
      <c r="E24" s="23" t="n"/>
      <c r="F24" s="23" t="n"/>
    </row>
    <row r="25">
      <c r="A25" s="21" t="inlineStr">
        <is>
          <t>الإجمالي</t>
        </is>
      </c>
      <c r="B25" s="22">
        <f>SUM(B19:B24)</f>
        <v/>
      </c>
      <c r="C25" s="21">
        <f>SUM(C19:C24)</f>
        <v/>
      </c>
      <c r="D25" s="21" t="n"/>
      <c r="E25" s="21" t="n"/>
      <c r="F25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24" customWidth="1" min="4" max="4"/>
    <col width="24" customWidth="1" min="5" max="5"/>
    <col width="13" customWidth="1" min="6" max="6"/>
    <col width="8" customWidth="1" min="7" max="7"/>
    <col width="13" customWidth="1" min="8" max="8"/>
    <col width="7" customWidth="1" min="9" max="9"/>
    <col width="16" customWidth="1" min="10" max="10"/>
    <col width="34" customWidth="1" min="11" max="11"/>
    <col width="70" customWidth="1" min="12" max="12"/>
  </cols>
  <sheetData>
    <row r="1">
      <c r="A1" s="2" t="inlineStr">
        <is>
          <t>م</t>
        </is>
      </c>
      <c r="B1" s="2" t="inlineStr">
        <is>
          <t>التاريخ</t>
        </is>
      </c>
      <c r="C1" s="2" t="inlineStr">
        <is>
          <t>المورد / البيان</t>
        </is>
      </c>
      <c r="D1" s="2" t="inlineStr">
        <is>
          <t>أمر الشراء / الاسم</t>
        </is>
      </c>
      <c r="E1" s="2" t="inlineStr">
        <is>
          <t>المرجع</t>
        </is>
      </c>
      <c r="F1" s="2" t="inlineStr">
        <is>
          <t>قبل الضريبة</t>
        </is>
      </c>
      <c r="G1" s="2" t="inlineStr">
        <is>
          <t>الضريبة %</t>
        </is>
      </c>
      <c r="H1" s="2" t="inlineStr">
        <is>
          <t>الإجمالي</t>
        </is>
      </c>
      <c r="I1" s="2" t="inlineStr">
        <is>
          <t>مدفوع</t>
        </is>
      </c>
      <c r="J1" s="2" t="inlineStr">
        <is>
          <t>جهة الدفع</t>
        </is>
      </c>
      <c r="K1" s="2" t="inlineStr">
        <is>
          <t>التصنيف</t>
        </is>
      </c>
      <c r="L1" s="2" t="inlineStr">
        <is>
          <t>ملاحظة</t>
        </is>
      </c>
    </row>
    <row r="2">
      <c r="A2" s="26" t="n">
        <v>1</v>
      </c>
      <c r="B2" s="27" t="n">
        <v>45809</v>
      </c>
      <c r="C2" s="26" t="inlineStr">
        <is>
          <t>الشركة السعوديه للكهرباء</t>
        </is>
      </c>
      <c r="D2" s="26" t="inlineStr">
        <is>
          <t>RIYADH NURSERY</t>
        </is>
      </c>
      <c r="E2" s="26" t="inlineStr">
        <is>
          <t>فاتوره كهرباء شهر 6</t>
        </is>
      </c>
      <c r="F2" s="28" t="n">
        <v>5220.27</v>
      </c>
      <c r="G2" s="26" t="n">
        <v>15</v>
      </c>
      <c r="H2" s="28" t="n">
        <v>6003.31</v>
      </c>
      <c r="I2" s="26" t="inlineStr">
        <is>
          <t>نعم</t>
        </is>
      </c>
      <c r="J2" s="26" t="inlineStr">
        <is>
          <t>مزرعة الرياض (عهدة/صندوق)</t>
        </is>
      </c>
      <c r="K2" s="26" t="inlineStr">
        <is>
          <t>خدمات (كهرباء/مياه/اتصالات)</t>
        </is>
      </c>
      <c r="L2" s="26" t="inlineStr">
        <is>
          <t>قبل 1-7-2025 (فاتورة كهرباء شهر 6)</t>
        </is>
      </c>
    </row>
    <row r="3">
      <c r="A3" s="23" t="n">
        <v>2</v>
      </c>
      <c r="B3" s="24" t="n">
        <v>45839</v>
      </c>
      <c r="C3" s="23" t="inlineStr">
        <is>
          <t>الشركة السعوديه للكهرباء</t>
        </is>
      </c>
      <c r="D3" s="23" t="inlineStr">
        <is>
          <t>RIYADH NURSERY</t>
        </is>
      </c>
      <c r="E3" s="23" t="inlineStr">
        <is>
          <t>ايصال الكهرباء شهر 7</t>
        </is>
      </c>
      <c r="F3" s="25" t="n">
        <v>3955.58</v>
      </c>
      <c r="G3" s="23" t="n">
        <v>15</v>
      </c>
      <c r="H3" s="25" t="n">
        <v>4548.92</v>
      </c>
      <c r="I3" s="23" t="inlineStr">
        <is>
          <t>نعم</t>
        </is>
      </c>
      <c r="J3" s="23" t="inlineStr">
        <is>
          <t>مزرعة الرياض (عهدة/صندوق)</t>
        </is>
      </c>
      <c r="K3" s="23" t="inlineStr">
        <is>
          <t>خدمات (كهرباء/مياه/اتصالات)</t>
        </is>
      </c>
      <c r="L3" s="23" t="inlineStr"/>
    </row>
    <row r="4">
      <c r="A4" s="23" t="n">
        <v>3</v>
      </c>
      <c r="B4" s="24" t="n">
        <v>45839</v>
      </c>
      <c r="C4" s="23" t="inlineStr">
        <is>
          <t>رواتب</t>
        </is>
      </c>
      <c r="D4" s="23" t="inlineStr">
        <is>
          <t>RIYADH NURSERY</t>
        </is>
      </c>
      <c r="E4" s="23" t="inlineStr">
        <is>
          <t>رواتب شهر 7</t>
        </is>
      </c>
      <c r="F4" s="25" t="n">
        <v>24332.17</v>
      </c>
      <c r="G4" s="23" t="n">
        <v>15</v>
      </c>
      <c r="H4" s="25" t="n">
        <v>27982</v>
      </c>
      <c r="I4" s="23" t="inlineStr">
        <is>
          <t>نعم</t>
        </is>
      </c>
      <c r="J4" s="23" t="inlineStr">
        <is>
          <t>مزرعة الرياض (عهدة/صندوق)</t>
        </is>
      </c>
      <c r="K4" s="23" t="inlineStr">
        <is>
          <t>رواتب وعمولات</t>
        </is>
      </c>
      <c r="L4" s="23" t="inlineStr"/>
    </row>
    <row r="5">
      <c r="A5" s="23" t="n">
        <v>4</v>
      </c>
      <c r="B5" s="24" t="n">
        <v>45840</v>
      </c>
      <c r="C5" s="23" t="inlineStr">
        <is>
          <t>الوقود</t>
        </is>
      </c>
      <c r="D5" s="23" t="inlineStr">
        <is>
          <t>RIYADH NURSERY</t>
        </is>
      </c>
      <c r="E5" s="23" t="n"/>
      <c r="F5" s="25" t="n">
        <v>217.42</v>
      </c>
      <c r="G5" s="23" t="n">
        <v>15</v>
      </c>
      <c r="H5" s="25" t="n">
        <v>250.03</v>
      </c>
      <c r="I5" s="23" t="inlineStr">
        <is>
          <t>نعم</t>
        </is>
      </c>
      <c r="J5" s="23" t="inlineStr">
        <is>
          <t>مزرعة الرياض (عهدة/صندوق)</t>
        </is>
      </c>
      <c r="K5" s="23" t="inlineStr">
        <is>
          <t>وقود</t>
        </is>
      </c>
      <c r="L5" s="23" t="inlineStr"/>
    </row>
    <row r="6">
      <c r="A6" s="23" t="n">
        <v>5</v>
      </c>
      <c r="B6" s="24" t="n">
        <v>45840</v>
      </c>
      <c r="C6" s="23" t="inlineStr">
        <is>
          <t>ينابع المئويه لتحلية المياه</t>
        </is>
      </c>
      <c r="D6" s="23" t="inlineStr">
        <is>
          <t>RIYADH NURSERY</t>
        </is>
      </c>
      <c r="E6" s="23" t="inlineStr">
        <is>
          <t>رد مياه</t>
        </is>
      </c>
      <c r="F6" s="25" t="n">
        <v>52.17</v>
      </c>
      <c r="G6" s="23" t="n">
        <v>15</v>
      </c>
      <c r="H6" s="25" t="n">
        <v>60</v>
      </c>
      <c r="I6" s="23" t="inlineStr">
        <is>
          <t>نعم</t>
        </is>
      </c>
      <c r="J6" s="23" t="inlineStr">
        <is>
          <t>مزرعة الرياض (عهدة/صندوق)</t>
        </is>
      </c>
      <c r="K6" s="23" t="inlineStr">
        <is>
          <t>خدمات (كهرباء/مياه/اتصالات)</t>
        </is>
      </c>
      <c r="L6" s="23" t="inlineStr"/>
    </row>
    <row r="7">
      <c r="A7" s="23" t="n">
        <v>6</v>
      </c>
      <c r="B7" s="24" t="n">
        <v>45840</v>
      </c>
      <c r="C7" s="23" t="inlineStr">
        <is>
          <t>الوقود</t>
        </is>
      </c>
      <c r="D7" s="23" t="inlineStr">
        <is>
          <t>RIYADH NURSERY</t>
        </is>
      </c>
      <c r="E7" s="23" t="inlineStr">
        <is>
          <t>غسيل سياره</t>
        </is>
      </c>
      <c r="F7" s="25" t="n">
        <v>52.17</v>
      </c>
      <c r="G7" s="23" t="n">
        <v>15</v>
      </c>
      <c r="H7" s="25" t="n">
        <v>60</v>
      </c>
      <c r="I7" s="23" t="inlineStr">
        <is>
          <t>نعم</t>
        </is>
      </c>
      <c r="J7" s="23" t="inlineStr">
        <is>
          <t>مزرعة الرياض (عهدة/صندوق)</t>
        </is>
      </c>
      <c r="K7" s="23" t="inlineStr">
        <is>
          <t>وقود</t>
        </is>
      </c>
      <c r="L7" s="23" t="inlineStr"/>
    </row>
    <row r="8">
      <c r="A8" s="23" t="n">
        <v>7</v>
      </c>
      <c r="B8" s="24" t="n">
        <v>45840</v>
      </c>
      <c r="C8" s="23" t="inlineStr">
        <is>
          <t>محطة المجمع لخدمات السيارات</t>
        </is>
      </c>
      <c r="D8" s="23" t="inlineStr">
        <is>
          <t>RIYADH NURSERY</t>
        </is>
      </c>
      <c r="E8" s="23" t="inlineStr">
        <is>
          <t>بنشر كفر السياره</t>
        </is>
      </c>
      <c r="F8" s="25" t="n">
        <v>13.04</v>
      </c>
      <c r="G8" s="23" t="n">
        <v>15</v>
      </c>
      <c r="H8" s="25" t="n">
        <v>15</v>
      </c>
      <c r="I8" s="23" t="inlineStr">
        <is>
          <t>نعم</t>
        </is>
      </c>
      <c r="J8" s="23" t="inlineStr">
        <is>
          <t>مزرعة الرياض (عهدة/صندوق)</t>
        </is>
      </c>
      <c r="K8" s="23" t="inlineStr">
        <is>
          <t>صيانة سيارات ومعدات</t>
        </is>
      </c>
      <c r="L8" s="23" t="inlineStr"/>
    </row>
    <row r="9">
      <c r="A9" s="23" t="n">
        <v>8</v>
      </c>
      <c r="B9" s="24" t="n">
        <v>45841</v>
      </c>
      <c r="C9" s="23" t="inlineStr">
        <is>
          <t>الوقود</t>
        </is>
      </c>
      <c r="D9" s="23" t="inlineStr">
        <is>
          <t>RIYADH NURSERY</t>
        </is>
      </c>
      <c r="E9" s="23" t="n"/>
      <c r="F9" s="25" t="n">
        <v>93.04000000000001</v>
      </c>
      <c r="G9" s="23" t="n">
        <v>15</v>
      </c>
      <c r="H9" s="25" t="n">
        <v>107</v>
      </c>
      <c r="I9" s="23" t="inlineStr">
        <is>
          <t>نعم</t>
        </is>
      </c>
      <c r="J9" s="23" t="inlineStr">
        <is>
          <t>مزرعة الرياض (عهدة/صندوق)</t>
        </is>
      </c>
      <c r="K9" s="23" t="inlineStr">
        <is>
          <t>وقود</t>
        </is>
      </c>
      <c r="L9" s="23" t="inlineStr"/>
    </row>
    <row r="10">
      <c r="A10" s="23" t="n">
        <v>9</v>
      </c>
      <c r="B10" s="24" t="n">
        <v>45841</v>
      </c>
      <c r="C10" s="23" t="inlineStr">
        <is>
          <t>الوقود</t>
        </is>
      </c>
      <c r="D10" s="23" t="inlineStr">
        <is>
          <t>RIYADH NURSERY</t>
        </is>
      </c>
      <c r="E10" s="23" t="n"/>
      <c r="F10" s="25" t="n">
        <v>111.3</v>
      </c>
      <c r="G10" s="23" t="n">
        <v>15</v>
      </c>
      <c r="H10" s="25" t="n">
        <v>128</v>
      </c>
      <c r="I10" s="23" t="inlineStr">
        <is>
          <t>نعم</t>
        </is>
      </c>
      <c r="J10" s="23" t="inlineStr">
        <is>
          <t>مزرعة الرياض (عهدة/صندوق)</t>
        </is>
      </c>
      <c r="K10" s="23" t="inlineStr">
        <is>
          <t>وقود</t>
        </is>
      </c>
      <c r="L10" s="23" t="inlineStr"/>
    </row>
    <row r="11">
      <c r="A11" s="23" t="n">
        <v>10</v>
      </c>
      <c r="B11" s="24" t="n">
        <v>45842</v>
      </c>
      <c r="C11" s="23" t="inlineStr">
        <is>
          <t>الوقود</t>
        </is>
      </c>
      <c r="D11" s="23" t="inlineStr">
        <is>
          <t>RIYADH NURSERY</t>
        </is>
      </c>
      <c r="E11" s="23" t="n"/>
      <c r="F11" s="25" t="n">
        <v>185.22</v>
      </c>
      <c r="G11" s="23" t="n">
        <v>15</v>
      </c>
      <c r="H11" s="25" t="n">
        <v>213</v>
      </c>
      <c r="I11" s="23" t="inlineStr">
        <is>
          <t>نعم</t>
        </is>
      </c>
      <c r="J11" s="23" t="inlineStr">
        <is>
          <t>مزرعة الرياض (عهدة/صندوق)</t>
        </is>
      </c>
      <c r="K11" s="23" t="inlineStr">
        <is>
          <t>وقود</t>
        </is>
      </c>
      <c r="L11" s="23" t="inlineStr"/>
    </row>
    <row r="12">
      <c r="A12" s="23" t="n">
        <v>11</v>
      </c>
      <c r="B12" s="24" t="n">
        <v>45843</v>
      </c>
      <c r="C12" s="23" t="inlineStr">
        <is>
          <t>الوقود</t>
        </is>
      </c>
      <c r="D12" s="23" t="inlineStr">
        <is>
          <t>RIYADH NURSERY</t>
        </is>
      </c>
      <c r="E12" s="23" t="n"/>
      <c r="F12" s="25" t="n">
        <v>132.17</v>
      </c>
      <c r="G12" s="23" t="n">
        <v>15</v>
      </c>
      <c r="H12" s="25" t="n">
        <v>152</v>
      </c>
      <c r="I12" s="23" t="inlineStr">
        <is>
          <t>نعم</t>
        </is>
      </c>
      <c r="J12" s="23" t="inlineStr">
        <is>
          <t>مزرعة الرياض (عهدة/صندوق)</t>
        </is>
      </c>
      <c r="K12" s="23" t="inlineStr">
        <is>
          <t>وقود</t>
        </is>
      </c>
      <c r="L12" s="23" t="inlineStr"/>
    </row>
    <row r="13">
      <c r="A13" s="23" t="n">
        <v>12</v>
      </c>
      <c r="B13" s="24" t="n">
        <v>45843</v>
      </c>
      <c r="C13" s="23" t="inlineStr">
        <is>
          <t>الوقود</t>
        </is>
      </c>
      <c r="D13" s="23" t="inlineStr">
        <is>
          <t>RIYADH NURSERY</t>
        </is>
      </c>
      <c r="E13" s="23" t="n"/>
      <c r="F13" s="25" t="n">
        <v>204.35</v>
      </c>
      <c r="G13" s="23" t="n">
        <v>15</v>
      </c>
      <c r="H13" s="25" t="n">
        <v>235</v>
      </c>
      <c r="I13" s="23" t="inlineStr">
        <is>
          <t>نعم</t>
        </is>
      </c>
      <c r="J13" s="23" t="inlineStr">
        <is>
          <t>مزرعة الرياض (عهدة/صندوق)</t>
        </is>
      </c>
      <c r="K13" s="23" t="inlineStr">
        <is>
          <t>وقود</t>
        </is>
      </c>
      <c r="L13" s="23" t="inlineStr"/>
    </row>
    <row r="14">
      <c r="A14" s="23" t="n">
        <v>13</v>
      </c>
      <c r="B14" s="24" t="n">
        <v>45843</v>
      </c>
      <c r="C14" s="23" t="inlineStr">
        <is>
          <t>الوقود</t>
        </is>
      </c>
      <c r="D14" s="23" t="inlineStr">
        <is>
          <t>RIYADH NURSERY</t>
        </is>
      </c>
      <c r="E14" s="23" t="n"/>
      <c r="F14" s="25" t="n">
        <v>78.29000000000001</v>
      </c>
      <c r="G14" s="23" t="n">
        <v>15</v>
      </c>
      <c r="H14" s="25" t="n">
        <v>90.03</v>
      </c>
      <c r="I14" s="23" t="inlineStr">
        <is>
          <t>نعم</t>
        </is>
      </c>
      <c r="J14" s="23" t="inlineStr">
        <is>
          <t>مزرعة الرياض (عهدة/صندوق)</t>
        </is>
      </c>
      <c r="K14" s="23" t="inlineStr">
        <is>
          <t>وقود</t>
        </is>
      </c>
      <c r="L14" s="23" t="inlineStr"/>
    </row>
    <row r="15">
      <c r="A15" s="23" t="n">
        <v>14</v>
      </c>
      <c r="B15" s="24" t="n">
        <v>45848</v>
      </c>
      <c r="C15" s="23" t="inlineStr">
        <is>
          <t>الوقود</t>
        </is>
      </c>
      <c r="D15" s="23" t="inlineStr">
        <is>
          <t>RIYADH NURSERY</t>
        </is>
      </c>
      <c r="E15" s="23" t="n"/>
      <c r="F15" s="25" t="n">
        <v>173.91</v>
      </c>
      <c r="G15" s="23" t="n">
        <v>15</v>
      </c>
      <c r="H15" s="25" t="n">
        <v>200</v>
      </c>
      <c r="I15" s="23" t="inlineStr">
        <is>
          <t>نعم</t>
        </is>
      </c>
      <c r="J15" s="23" t="inlineStr">
        <is>
          <t>مزرعة الرياض (عهدة/صندوق)</t>
        </is>
      </c>
      <c r="K15" s="23" t="inlineStr">
        <is>
          <t>وقود</t>
        </is>
      </c>
      <c r="L15" s="23" t="inlineStr"/>
    </row>
    <row r="16">
      <c r="A16" s="23" t="n">
        <v>15</v>
      </c>
      <c r="B16" s="24" t="n">
        <v>45852</v>
      </c>
      <c r="C16" s="23" t="inlineStr">
        <is>
          <t>الوقود</t>
        </is>
      </c>
      <c r="D16" s="23" t="inlineStr">
        <is>
          <t>RIYADH NURSERY</t>
        </is>
      </c>
      <c r="E16" s="23" t="n"/>
      <c r="F16" s="25" t="n">
        <v>191.3</v>
      </c>
      <c r="G16" s="23" t="n">
        <v>15</v>
      </c>
      <c r="H16" s="25" t="n">
        <v>220</v>
      </c>
      <c r="I16" s="23" t="inlineStr">
        <is>
          <t>نعم</t>
        </is>
      </c>
      <c r="J16" s="23" t="inlineStr">
        <is>
          <t>مزرعة الرياض (عهدة/صندوق)</t>
        </is>
      </c>
      <c r="K16" s="23" t="inlineStr">
        <is>
          <t>وقود</t>
        </is>
      </c>
      <c r="L16" s="23" t="inlineStr"/>
    </row>
    <row r="17">
      <c r="A17" s="23" t="n">
        <v>16</v>
      </c>
      <c r="B17" s="24" t="n">
        <v>45854</v>
      </c>
      <c r="C17" s="23" t="inlineStr">
        <is>
          <t>ينابع المئويه لتحلية المياه</t>
        </is>
      </c>
      <c r="D17" s="23" t="inlineStr">
        <is>
          <t>RIYADH NURSERY</t>
        </is>
      </c>
      <c r="E17" s="23" t="n"/>
      <c r="F17" s="25" t="n">
        <v>52.17</v>
      </c>
      <c r="G17" s="23" t="n">
        <v>15</v>
      </c>
      <c r="H17" s="25" t="n">
        <v>60</v>
      </c>
      <c r="I17" s="23" t="inlineStr">
        <is>
          <t>نعم</t>
        </is>
      </c>
      <c r="J17" s="23" t="inlineStr">
        <is>
          <t>مزرعة الرياض (عهدة/صندوق)</t>
        </is>
      </c>
      <c r="K17" s="23" t="inlineStr">
        <is>
          <t>خدمات (كهرباء/مياه/اتصالات)</t>
        </is>
      </c>
      <c r="L17" s="23" t="inlineStr"/>
    </row>
    <row r="18">
      <c r="A18" s="36" t="n">
        <v>17</v>
      </c>
      <c r="B18" s="37" t="n">
        <v>45854</v>
      </c>
      <c r="C18" s="36" t="inlineStr">
        <is>
          <t>مؤسسة بساتين الرياض</t>
        </is>
      </c>
      <c r="D18" s="36" t="inlineStr">
        <is>
          <t>RIYADH NURSERY-PO876</t>
        </is>
      </c>
      <c r="E18" s="36" t="inlineStr">
        <is>
          <t>شراء بذور</t>
        </is>
      </c>
      <c r="F18" s="38" t="n">
        <v>17180</v>
      </c>
      <c r="G18" s="36" t="n">
        <v>15</v>
      </c>
      <c r="H18" s="38" t="n">
        <v>19757</v>
      </c>
      <c r="I18" s="36" t="inlineStr">
        <is>
          <t>لا</t>
        </is>
      </c>
      <c r="J18" s="36" t="inlineStr">
        <is>
          <t>مزرعة الرياض (عهدة/صندوق)</t>
        </is>
      </c>
      <c r="K18" s="36" t="inlineStr">
        <is>
          <t>مشتريات نباتات وبذور</t>
        </is>
      </c>
      <c r="L18" s="36" t="inlineStr">
        <is>
          <t>غير مدفوع في 2025 – تم سداده في 2026 ضمن أمر PO-287-REV1</t>
        </is>
      </c>
    </row>
    <row r="19">
      <c r="A19" s="23" t="n">
        <v>18</v>
      </c>
      <c r="B19" s="24" t="n">
        <v>45855</v>
      </c>
      <c r="C19" s="23" t="inlineStr">
        <is>
          <t>الوقود</t>
        </is>
      </c>
      <c r="D19" s="23" t="inlineStr">
        <is>
          <t>RIYADH NURSERY</t>
        </is>
      </c>
      <c r="E19" s="23" t="n"/>
      <c r="F19" s="25" t="n">
        <v>173.91</v>
      </c>
      <c r="G19" s="23" t="n">
        <v>15</v>
      </c>
      <c r="H19" s="25" t="n">
        <v>200</v>
      </c>
      <c r="I19" s="23" t="inlineStr">
        <is>
          <t>نعم</t>
        </is>
      </c>
      <c r="J19" s="23" t="inlineStr">
        <is>
          <t>مزرعة الرياض (عهدة/صندوق)</t>
        </is>
      </c>
      <c r="K19" s="23" t="inlineStr">
        <is>
          <t>وقود</t>
        </is>
      </c>
      <c r="L19" s="23" t="inlineStr"/>
    </row>
    <row r="20">
      <c r="A20" s="23" t="n">
        <v>19</v>
      </c>
      <c r="B20" s="24" t="n">
        <v>45859</v>
      </c>
      <c r="C20" s="23" t="inlineStr">
        <is>
          <t>الوقود</t>
        </is>
      </c>
      <c r="D20" s="23" t="inlineStr">
        <is>
          <t>RIYADH NURSERY</t>
        </is>
      </c>
      <c r="E20" s="23" t="n"/>
      <c r="F20" s="25" t="n">
        <v>173.91</v>
      </c>
      <c r="G20" s="23" t="n">
        <v>15</v>
      </c>
      <c r="H20" s="25" t="n">
        <v>200</v>
      </c>
      <c r="I20" s="23" t="inlineStr">
        <is>
          <t>نعم</t>
        </is>
      </c>
      <c r="J20" s="23" t="inlineStr">
        <is>
          <t>مزرعة الرياض (عهدة/صندوق)</t>
        </is>
      </c>
      <c r="K20" s="23" t="inlineStr">
        <is>
          <t>وقود</t>
        </is>
      </c>
      <c r="L20" s="23" t="inlineStr"/>
    </row>
    <row r="21">
      <c r="A21" s="23" t="n">
        <v>20</v>
      </c>
      <c r="B21" s="24" t="n">
        <v>45860</v>
      </c>
      <c r="C21" s="23" t="inlineStr">
        <is>
          <t>الأمور الإدارية</t>
        </is>
      </c>
      <c r="D21" s="23" t="inlineStr">
        <is>
          <t>RIYADH NURSERY</t>
        </is>
      </c>
      <c r="E21" s="23" t="inlineStr">
        <is>
          <t>ادوات كهربائيه</t>
        </is>
      </c>
      <c r="F21" s="25" t="n">
        <v>30.43</v>
      </c>
      <c r="G21" s="23" t="n">
        <v>15</v>
      </c>
      <c r="H21" s="25" t="n">
        <v>35</v>
      </c>
      <c r="I21" s="23" t="inlineStr">
        <is>
          <t>نعم</t>
        </is>
      </c>
      <c r="J21" s="23" t="inlineStr">
        <is>
          <t>مزرعة الرياض (عهدة/صندوق)</t>
        </is>
      </c>
      <c r="K21" s="23" t="inlineStr">
        <is>
          <t>مصروفات إدارية وأخرى</t>
        </is>
      </c>
      <c r="L21" s="23" t="inlineStr"/>
    </row>
    <row r="22">
      <c r="A22" s="23" t="n">
        <v>21</v>
      </c>
      <c r="B22" s="24" t="n">
        <v>45860</v>
      </c>
      <c r="C22" s="23" t="inlineStr">
        <is>
          <t>الوقود</t>
        </is>
      </c>
      <c r="D22" s="23" t="inlineStr">
        <is>
          <t>RIYADH NURSERY</t>
        </is>
      </c>
      <c r="E22" s="23" t="n"/>
      <c r="F22" s="25" t="n">
        <v>60.87</v>
      </c>
      <c r="G22" s="23" t="n">
        <v>15</v>
      </c>
      <c r="H22" s="25" t="n">
        <v>70</v>
      </c>
      <c r="I22" s="23" t="inlineStr">
        <is>
          <t>نعم</t>
        </is>
      </c>
      <c r="J22" s="23" t="inlineStr">
        <is>
          <t>مزرعة الرياض (عهدة/صندوق)</t>
        </is>
      </c>
      <c r="K22" s="23" t="inlineStr">
        <is>
          <t>وقود</t>
        </is>
      </c>
      <c r="L22" s="23" t="inlineStr"/>
    </row>
    <row r="23">
      <c r="A23" s="23" t="n">
        <v>22</v>
      </c>
      <c r="B23" s="24" t="n">
        <v>45862</v>
      </c>
      <c r="C23" s="23" t="inlineStr">
        <is>
          <t>الوقود</t>
        </is>
      </c>
      <c r="D23" s="23" t="inlineStr">
        <is>
          <t>RIYADH NURSERY</t>
        </is>
      </c>
      <c r="E23" s="23" t="n"/>
      <c r="F23" s="25" t="n">
        <v>173.91</v>
      </c>
      <c r="G23" s="23" t="n">
        <v>15</v>
      </c>
      <c r="H23" s="25" t="n">
        <v>200</v>
      </c>
      <c r="I23" s="23" t="inlineStr">
        <is>
          <t>نعم</t>
        </is>
      </c>
      <c r="J23" s="23" t="inlineStr">
        <is>
          <t>مزرعة الرياض (عهدة/صندوق)</t>
        </is>
      </c>
      <c r="K23" s="23" t="inlineStr">
        <is>
          <t>وقود</t>
        </is>
      </c>
      <c r="L23" s="23" t="inlineStr"/>
    </row>
    <row r="24">
      <c r="A24" s="23" t="n">
        <v>23</v>
      </c>
      <c r="B24" s="24" t="n">
        <v>45865</v>
      </c>
      <c r="C24" s="23" t="inlineStr">
        <is>
          <t>الأمور الإدارية</t>
        </is>
      </c>
      <c r="D24" s="23" t="inlineStr">
        <is>
          <t>RIYADH NURSERY</t>
        </is>
      </c>
      <c r="E24" s="23" t="inlineStr">
        <is>
          <t>ادوات كهرباء</t>
        </is>
      </c>
      <c r="F24" s="25" t="n">
        <v>837.39</v>
      </c>
      <c r="G24" s="23" t="n">
        <v>15</v>
      </c>
      <c r="H24" s="25" t="n">
        <v>963</v>
      </c>
      <c r="I24" s="23" t="inlineStr">
        <is>
          <t>نعم</t>
        </is>
      </c>
      <c r="J24" s="23" t="inlineStr">
        <is>
          <t>مزرعة الرياض (عهدة/صندوق)</t>
        </is>
      </c>
      <c r="K24" s="23" t="inlineStr">
        <is>
          <t>مصروفات إدارية وأخرى</t>
        </is>
      </c>
      <c r="L24" s="23" t="inlineStr"/>
    </row>
    <row r="25">
      <c r="A25" s="23" t="n">
        <v>24</v>
      </c>
      <c r="B25" s="24" t="n">
        <v>45865</v>
      </c>
      <c r="C25" s="23" t="inlineStr">
        <is>
          <t>الوقود</t>
        </is>
      </c>
      <c r="D25" s="23" t="inlineStr">
        <is>
          <t>RIYADH NURSERY</t>
        </is>
      </c>
      <c r="E25" s="23" t="n"/>
      <c r="F25" s="25" t="n">
        <v>173.91</v>
      </c>
      <c r="G25" s="23" t="n">
        <v>15</v>
      </c>
      <c r="H25" s="25" t="n">
        <v>200</v>
      </c>
      <c r="I25" s="23" t="inlineStr">
        <is>
          <t>نعم</t>
        </is>
      </c>
      <c r="J25" s="23" t="inlineStr">
        <is>
          <t>مزرعة الرياض (عهدة/صندوق)</t>
        </is>
      </c>
      <c r="K25" s="23" t="inlineStr">
        <is>
          <t>وقود</t>
        </is>
      </c>
      <c r="L25" s="23" t="inlineStr"/>
    </row>
    <row r="26">
      <c r="A26" s="23" t="n">
        <v>25</v>
      </c>
      <c r="B26" s="24" t="n">
        <v>45866</v>
      </c>
      <c r="C26" s="23" t="inlineStr">
        <is>
          <t>مصنعيات</t>
        </is>
      </c>
      <c r="D26" s="23" t="inlineStr">
        <is>
          <t>RIYADH NURSERY</t>
        </is>
      </c>
      <c r="E26" s="23" t="inlineStr">
        <is>
          <t>اجره كهربائى</t>
        </is>
      </c>
      <c r="F26" s="25" t="n">
        <v>434.78</v>
      </c>
      <c r="G26" s="23" t="n">
        <v>15</v>
      </c>
      <c r="H26" s="25" t="n">
        <v>500</v>
      </c>
      <c r="I26" s="23" t="inlineStr">
        <is>
          <t>نعم</t>
        </is>
      </c>
      <c r="J26" s="23" t="inlineStr">
        <is>
          <t>مزرعة الرياض (عهدة/صندوق)</t>
        </is>
      </c>
      <c r="K26" s="23" t="inlineStr">
        <is>
          <t>صيانة وإنشاءات المزرعة</t>
        </is>
      </c>
      <c r="L26" s="23" t="inlineStr"/>
    </row>
    <row r="27">
      <c r="A27" s="23" t="n">
        <v>26</v>
      </c>
      <c r="B27" s="24" t="n">
        <v>45866</v>
      </c>
      <c r="C27" s="23" t="inlineStr">
        <is>
          <t>الوقود</t>
        </is>
      </c>
      <c r="D27" s="23" t="inlineStr">
        <is>
          <t>RIYADH NURSERY</t>
        </is>
      </c>
      <c r="E27" s="23" t="n"/>
      <c r="F27" s="25" t="n">
        <v>213.04</v>
      </c>
      <c r="G27" s="23" t="n">
        <v>15</v>
      </c>
      <c r="H27" s="25" t="n">
        <v>245</v>
      </c>
      <c r="I27" s="23" t="inlineStr">
        <is>
          <t>نعم</t>
        </is>
      </c>
      <c r="J27" s="23" t="inlineStr">
        <is>
          <t>مزرعة الرياض (عهدة/صندوق)</t>
        </is>
      </c>
      <c r="K27" s="23" t="inlineStr">
        <is>
          <t>وقود</t>
        </is>
      </c>
      <c r="L27" s="23" t="inlineStr"/>
    </row>
    <row r="28">
      <c r="A28" s="23" t="n">
        <v>27</v>
      </c>
      <c r="B28" s="24" t="n">
        <v>45866</v>
      </c>
      <c r="C28" s="23" t="inlineStr">
        <is>
          <t>الأمور الإدارية</t>
        </is>
      </c>
      <c r="D28" s="23" t="inlineStr">
        <is>
          <t>RIYADH NURSERY</t>
        </is>
      </c>
      <c r="E28" s="23" t="inlineStr">
        <is>
          <t>ادوات سباكه</t>
        </is>
      </c>
      <c r="F28" s="25" t="n">
        <v>2865.22</v>
      </c>
      <c r="G28" s="23" t="n">
        <v>15</v>
      </c>
      <c r="H28" s="25" t="n">
        <v>3295</v>
      </c>
      <c r="I28" s="23" t="inlineStr">
        <is>
          <t>نعم</t>
        </is>
      </c>
      <c r="J28" s="23" t="inlineStr">
        <is>
          <t>مزرعة الرياض (عهدة/صندوق)</t>
        </is>
      </c>
      <c r="K28" s="23" t="inlineStr">
        <is>
          <t>مصروفات إدارية وأخرى</t>
        </is>
      </c>
      <c r="L28" s="23" t="inlineStr"/>
    </row>
    <row r="29">
      <c r="A29" s="23" t="n">
        <v>28</v>
      </c>
      <c r="B29" s="24" t="n">
        <v>45867</v>
      </c>
      <c r="C29" s="23" t="inlineStr">
        <is>
          <t>الأمور الإدارية</t>
        </is>
      </c>
      <c r="D29" s="23" t="inlineStr">
        <is>
          <t>RIYADH NURSERY</t>
        </is>
      </c>
      <c r="E29" s="23" t="inlineStr">
        <is>
          <t>قفل + سلسله</t>
        </is>
      </c>
      <c r="F29" s="25" t="n">
        <v>143.48</v>
      </c>
      <c r="G29" s="23" t="n">
        <v>15</v>
      </c>
      <c r="H29" s="25" t="n">
        <v>165</v>
      </c>
      <c r="I29" s="23" t="inlineStr">
        <is>
          <t>نعم</t>
        </is>
      </c>
      <c r="J29" s="23" t="inlineStr">
        <is>
          <t>مزرعة الرياض (عهدة/صندوق)</t>
        </is>
      </c>
      <c r="K29" s="23" t="inlineStr">
        <is>
          <t>مصروفات إدارية وأخرى</t>
        </is>
      </c>
      <c r="L29" s="23" t="inlineStr"/>
    </row>
    <row r="30">
      <c r="A30" s="23" t="n">
        <v>29</v>
      </c>
      <c r="B30" s="24" t="n">
        <v>45868</v>
      </c>
      <c r="C30" s="23" t="inlineStr">
        <is>
          <t>ينابع المئويه لتحلية المياه</t>
        </is>
      </c>
      <c r="D30" s="23" t="inlineStr">
        <is>
          <t>RIYADH NURSERY</t>
        </is>
      </c>
      <c r="E30" s="23" t="n"/>
      <c r="F30" s="25" t="n">
        <v>52.17</v>
      </c>
      <c r="G30" s="23" t="n">
        <v>15</v>
      </c>
      <c r="H30" s="25" t="n">
        <v>60</v>
      </c>
      <c r="I30" s="23" t="inlineStr">
        <is>
          <t>نعم</t>
        </is>
      </c>
      <c r="J30" s="23" t="inlineStr">
        <is>
          <t>مزرعة الرياض (عهدة/صندوق)</t>
        </is>
      </c>
      <c r="K30" s="23" t="inlineStr">
        <is>
          <t>خدمات (كهرباء/مياه/اتصالات)</t>
        </is>
      </c>
      <c r="L30" s="23" t="inlineStr"/>
    </row>
    <row r="31">
      <c r="A31" s="23" t="n">
        <v>30</v>
      </c>
      <c r="B31" s="24" t="n">
        <v>45868</v>
      </c>
      <c r="C31" s="23" t="inlineStr">
        <is>
          <t>الأمور الإدارية</t>
        </is>
      </c>
      <c r="D31" s="23" t="inlineStr">
        <is>
          <t>RIYADH NURSERY</t>
        </is>
      </c>
      <c r="E31" s="23" t="n"/>
      <c r="F31" s="25" t="n">
        <v>165</v>
      </c>
      <c r="G31" s="23" t="n">
        <v>15</v>
      </c>
      <c r="H31" s="25" t="n">
        <v>189.75</v>
      </c>
      <c r="I31" s="23" t="inlineStr">
        <is>
          <t>نعم</t>
        </is>
      </c>
      <c r="J31" s="23" t="inlineStr">
        <is>
          <t>مزرعة الرياض (عهدة/صندوق)</t>
        </is>
      </c>
      <c r="K31" s="23" t="inlineStr">
        <is>
          <t>مصروفات إدارية وأخرى</t>
        </is>
      </c>
      <c r="L31" s="23" t="inlineStr"/>
    </row>
    <row r="32">
      <c r="A32" s="23" t="n">
        <v>31</v>
      </c>
      <c r="B32" s="24" t="n">
        <v>45868</v>
      </c>
      <c r="C32" s="23" t="inlineStr">
        <is>
          <t>الوقود</t>
        </is>
      </c>
      <c r="D32" s="23" t="inlineStr">
        <is>
          <t>RIYADH NURSERY</t>
        </is>
      </c>
      <c r="E32" s="23" t="inlineStr">
        <is>
          <t>توصيل 2 مكيف مع التركيب</t>
        </is>
      </c>
      <c r="F32" s="25" t="n">
        <v>260.87</v>
      </c>
      <c r="G32" s="23" t="n">
        <v>15</v>
      </c>
      <c r="H32" s="25" t="n">
        <v>300</v>
      </c>
      <c r="I32" s="23" t="inlineStr">
        <is>
          <t>نعم</t>
        </is>
      </c>
      <c r="J32" s="23" t="inlineStr">
        <is>
          <t>مزرعة الرياض (عهدة/صندوق)</t>
        </is>
      </c>
      <c r="K32" s="23" t="inlineStr">
        <is>
          <t>وقود</t>
        </is>
      </c>
      <c r="L32" s="23" t="inlineStr"/>
    </row>
    <row r="33">
      <c r="A33" s="23" t="n">
        <v>32</v>
      </c>
      <c r="B33" s="24" t="n">
        <v>45869</v>
      </c>
      <c r="C33" s="23" t="inlineStr">
        <is>
          <t>الوقود</t>
        </is>
      </c>
      <c r="D33" s="23" t="inlineStr">
        <is>
          <t>RIYADH NURSERY</t>
        </is>
      </c>
      <c r="E33" s="23" t="n"/>
      <c r="F33" s="25" t="n">
        <v>232.17</v>
      </c>
      <c r="G33" s="23" t="n">
        <v>15</v>
      </c>
      <c r="H33" s="25" t="n">
        <v>267</v>
      </c>
      <c r="I33" s="23" t="inlineStr">
        <is>
          <t>نعم</t>
        </is>
      </c>
      <c r="J33" s="23" t="inlineStr">
        <is>
          <t>مزرعة الرياض (عهدة/صندوق)</t>
        </is>
      </c>
      <c r="K33" s="23" t="inlineStr">
        <is>
          <t>وقود</t>
        </is>
      </c>
      <c r="L33" s="23" t="inlineStr"/>
    </row>
    <row r="34">
      <c r="A34" s="23" t="n">
        <v>33</v>
      </c>
      <c r="B34" s="24" t="n">
        <v>45869</v>
      </c>
      <c r="C34" s="23" t="inlineStr">
        <is>
          <t>الوقود</t>
        </is>
      </c>
      <c r="D34" s="23" t="inlineStr">
        <is>
          <t>RIYADH NURSERY</t>
        </is>
      </c>
      <c r="E34" s="23" t="n"/>
      <c r="F34" s="25" t="n">
        <v>210.65</v>
      </c>
      <c r="G34" s="23" t="n">
        <v>15</v>
      </c>
      <c r="H34" s="25" t="n">
        <v>242.25</v>
      </c>
      <c r="I34" s="23" t="inlineStr">
        <is>
          <t>نعم</t>
        </is>
      </c>
      <c r="J34" s="23" t="inlineStr">
        <is>
          <t>مزرعة الرياض (عهدة/صندوق)</t>
        </is>
      </c>
      <c r="K34" s="23" t="inlineStr">
        <is>
          <t>وقود</t>
        </is>
      </c>
      <c r="L34" s="23" t="inlineStr"/>
    </row>
    <row r="35">
      <c r="A35" s="23" t="n">
        <v>34</v>
      </c>
      <c r="B35" s="24" t="n">
        <v>45870</v>
      </c>
      <c r="C35" s="23" t="inlineStr">
        <is>
          <t>الوقود</t>
        </is>
      </c>
      <c r="D35" s="23" t="inlineStr">
        <is>
          <t>RIYADH NURSERY</t>
        </is>
      </c>
      <c r="E35" s="23" t="n"/>
      <c r="F35" s="25" t="n">
        <v>221.75</v>
      </c>
      <c r="G35" s="23" t="n">
        <v>15</v>
      </c>
      <c r="H35" s="25" t="n">
        <v>255.01</v>
      </c>
      <c r="I35" s="23" t="inlineStr">
        <is>
          <t>نعم</t>
        </is>
      </c>
      <c r="J35" s="23" t="inlineStr">
        <is>
          <t>مزرعة الرياض (عهدة/صندوق)</t>
        </is>
      </c>
      <c r="K35" s="23" t="inlineStr">
        <is>
          <t>وقود</t>
        </is>
      </c>
      <c r="L35" s="23" t="inlineStr"/>
    </row>
    <row r="36">
      <c r="A36" s="23" t="n">
        <v>35</v>
      </c>
      <c r="B36" s="24" t="n">
        <v>45870</v>
      </c>
      <c r="C36" s="23" t="inlineStr">
        <is>
          <t>الطعام</t>
        </is>
      </c>
      <c r="D36" s="23" t="inlineStr">
        <is>
          <t>RIYADH NURSERY</t>
        </is>
      </c>
      <c r="E36" s="23" t="inlineStr">
        <is>
          <t>وجبة سفر تيمور من تبوك ال</t>
        </is>
      </c>
      <c r="F36" s="25" t="n">
        <v>30.43</v>
      </c>
      <c r="G36" s="23" t="n">
        <v>15</v>
      </c>
      <c r="H36" s="25" t="n">
        <v>35</v>
      </c>
      <c r="I36" s="23" t="inlineStr">
        <is>
          <t>نعم</t>
        </is>
      </c>
      <c r="J36" s="23" t="inlineStr">
        <is>
          <t>مزرعة الرياض (عهدة/صندوق)</t>
        </is>
      </c>
      <c r="K36" s="23" t="inlineStr">
        <is>
          <t>مصروفات إدارية وأخرى</t>
        </is>
      </c>
      <c r="L36" s="23" t="inlineStr"/>
    </row>
    <row r="37">
      <c r="A37" s="23" t="n">
        <v>36</v>
      </c>
      <c r="B37" s="24" t="n">
        <v>45870</v>
      </c>
      <c r="C37" s="23" t="inlineStr">
        <is>
          <t>الشركة السعوديه للكهرباء</t>
        </is>
      </c>
      <c r="D37" s="23" t="inlineStr">
        <is>
          <t>RIYADH NURSERY</t>
        </is>
      </c>
      <c r="E37" s="23" t="n"/>
      <c r="F37" s="25" t="n">
        <v>3931.59</v>
      </c>
      <c r="G37" s="23" t="n">
        <v>15</v>
      </c>
      <c r="H37" s="25" t="n">
        <v>4521.33</v>
      </c>
      <c r="I37" s="23" t="inlineStr">
        <is>
          <t>نعم</t>
        </is>
      </c>
      <c r="J37" s="23" t="inlineStr">
        <is>
          <t>مزرعة الرياض (عهدة/صندوق)</t>
        </is>
      </c>
      <c r="K37" s="23" t="inlineStr">
        <is>
          <t>خدمات (كهرباء/مياه/اتصالات)</t>
        </is>
      </c>
      <c r="L37" s="23" t="inlineStr"/>
    </row>
    <row r="38">
      <c r="A38" s="23" t="n">
        <v>37</v>
      </c>
      <c r="B38" s="24" t="n">
        <v>45871</v>
      </c>
      <c r="C38" s="23" t="inlineStr">
        <is>
          <t>الطعام</t>
        </is>
      </c>
      <c r="D38" s="23" t="inlineStr">
        <is>
          <t>RIYADH NURSERY</t>
        </is>
      </c>
      <c r="E38" s="23" t="inlineStr">
        <is>
          <t>وجبة سفر تيمور من تبوك ال</t>
        </is>
      </c>
      <c r="F38" s="25" t="n">
        <v>13.91</v>
      </c>
      <c r="G38" s="23" t="n">
        <v>15</v>
      </c>
      <c r="H38" s="25" t="n">
        <v>16</v>
      </c>
      <c r="I38" s="23" t="inlineStr">
        <is>
          <t>نعم</t>
        </is>
      </c>
      <c r="J38" s="23" t="inlineStr">
        <is>
          <t>مزرعة الرياض (عهدة/صندوق)</t>
        </is>
      </c>
      <c r="K38" s="23" t="inlineStr">
        <is>
          <t>مصروفات إدارية وأخرى</t>
        </is>
      </c>
      <c r="L38" s="23" t="inlineStr"/>
    </row>
    <row r="39">
      <c r="A39" s="23" t="n">
        <v>38</v>
      </c>
      <c r="B39" s="24" t="n">
        <v>45871</v>
      </c>
      <c r="C39" s="23" t="inlineStr">
        <is>
          <t>الطعام</t>
        </is>
      </c>
      <c r="D39" s="23" t="inlineStr">
        <is>
          <t>RIYADH NURSERY</t>
        </is>
      </c>
      <c r="E39" s="23" t="inlineStr">
        <is>
          <t>وجبة سفر تيمور من تبوك ال</t>
        </is>
      </c>
      <c r="F39" s="25" t="n">
        <v>14.78</v>
      </c>
      <c r="G39" s="23" t="n">
        <v>15</v>
      </c>
      <c r="H39" s="25" t="n">
        <v>17</v>
      </c>
      <c r="I39" s="23" t="inlineStr">
        <is>
          <t>نعم</t>
        </is>
      </c>
      <c r="J39" s="23" t="inlineStr">
        <is>
          <t>مزرعة الرياض (عهدة/صندوق)</t>
        </is>
      </c>
      <c r="K39" s="23" t="inlineStr">
        <is>
          <t>مصروفات إدارية وأخرى</t>
        </is>
      </c>
      <c r="L39" s="23" t="inlineStr"/>
    </row>
    <row r="40">
      <c r="A40" s="23" t="n">
        <v>39</v>
      </c>
      <c r="B40" s="24" t="n">
        <v>45871</v>
      </c>
      <c r="C40" s="23" t="inlineStr">
        <is>
          <t>الوقود</t>
        </is>
      </c>
      <c r="D40" s="23" t="inlineStr">
        <is>
          <t>RIYADH NURSERY</t>
        </is>
      </c>
      <c r="E40" s="23" t="inlineStr">
        <is>
          <t>صيانة الاونيت فى المزرعه</t>
        </is>
      </c>
      <c r="F40" s="25" t="n">
        <v>260.87</v>
      </c>
      <c r="G40" s="23" t="n">
        <v>15</v>
      </c>
      <c r="H40" s="25" t="n">
        <v>300</v>
      </c>
      <c r="I40" s="23" t="inlineStr">
        <is>
          <t>نعم</t>
        </is>
      </c>
      <c r="J40" s="23" t="inlineStr">
        <is>
          <t>مزرعة الرياض (عهدة/صندوق)</t>
        </is>
      </c>
      <c r="K40" s="23" t="inlineStr">
        <is>
          <t>وقود</t>
        </is>
      </c>
      <c r="L40" s="23" t="inlineStr"/>
    </row>
    <row r="41">
      <c r="A41" s="23" t="n">
        <v>40</v>
      </c>
      <c r="B41" s="24" t="n">
        <v>45871</v>
      </c>
      <c r="C41" s="23" t="inlineStr">
        <is>
          <t>الوقود</t>
        </is>
      </c>
      <c r="D41" s="23" t="inlineStr">
        <is>
          <t>RIYADH NURSERY</t>
        </is>
      </c>
      <c r="E41" s="23" t="n"/>
      <c r="F41" s="25" t="n">
        <v>204.35</v>
      </c>
      <c r="G41" s="23" t="n">
        <v>15</v>
      </c>
      <c r="H41" s="25" t="n">
        <v>235</v>
      </c>
      <c r="I41" s="23" t="inlineStr">
        <is>
          <t>نعم</t>
        </is>
      </c>
      <c r="J41" s="23" t="inlineStr">
        <is>
          <t>مزرعة الرياض (عهدة/صندوق)</t>
        </is>
      </c>
      <c r="K41" s="23" t="inlineStr">
        <is>
          <t>وقود</t>
        </is>
      </c>
      <c r="L41" s="23" t="inlineStr"/>
    </row>
    <row r="42">
      <c r="A42" s="23" t="n">
        <v>41</v>
      </c>
      <c r="B42" s="24" t="n">
        <v>45871</v>
      </c>
      <c r="C42" s="23" t="inlineStr">
        <is>
          <t>الوقود</t>
        </is>
      </c>
      <c r="D42" s="23" t="inlineStr">
        <is>
          <t>RIYADH NURSERY</t>
        </is>
      </c>
      <c r="E42" s="23" t="n"/>
      <c r="F42" s="25" t="n">
        <v>244.37</v>
      </c>
      <c r="G42" s="23" t="n">
        <v>15</v>
      </c>
      <c r="H42" s="25" t="n">
        <v>281.02</v>
      </c>
      <c r="I42" s="23" t="inlineStr">
        <is>
          <t>نعم</t>
        </is>
      </c>
      <c r="J42" s="23" t="inlineStr">
        <is>
          <t>مزرعة الرياض (عهدة/صندوق)</t>
        </is>
      </c>
      <c r="K42" s="23" t="inlineStr">
        <is>
          <t>وقود</t>
        </is>
      </c>
      <c r="L42" s="23" t="inlineStr"/>
    </row>
    <row r="43">
      <c r="A43" s="23" t="n">
        <v>42</v>
      </c>
      <c r="B43" s="24" t="n">
        <v>45872</v>
      </c>
      <c r="C43" s="23" t="inlineStr">
        <is>
          <t>صيانة</t>
        </is>
      </c>
      <c r="D43" s="23" t="inlineStr">
        <is>
          <t>RIYADH NURSERY</t>
        </is>
      </c>
      <c r="E43" s="23" t="inlineStr">
        <is>
          <t>لمبة فرامل شغل يد</t>
        </is>
      </c>
      <c r="F43" s="25" t="n">
        <v>73.91</v>
      </c>
      <c r="G43" s="23" t="n">
        <v>15</v>
      </c>
      <c r="H43" s="25" t="n">
        <v>85</v>
      </c>
      <c r="I43" s="23" t="inlineStr">
        <is>
          <t>نعم</t>
        </is>
      </c>
      <c r="J43" s="23" t="inlineStr">
        <is>
          <t>مزرعة الرياض (عهدة/صندوق)</t>
        </is>
      </c>
      <c r="K43" s="23" t="inlineStr">
        <is>
          <t>صيانة وإنشاءات المزرعة</t>
        </is>
      </c>
      <c r="L43" s="23" t="inlineStr"/>
    </row>
    <row r="44">
      <c r="A44" s="23" t="n">
        <v>43</v>
      </c>
      <c r="B44" s="24" t="n">
        <v>45872</v>
      </c>
      <c r="C44" s="23" t="inlineStr">
        <is>
          <t>الطعام</t>
        </is>
      </c>
      <c r="D44" s="23" t="inlineStr">
        <is>
          <t>RIYADH NURSERY</t>
        </is>
      </c>
      <c r="E44" s="23" t="n"/>
      <c r="F44" s="25" t="n">
        <v>10.43</v>
      </c>
      <c r="G44" s="23" t="n">
        <v>15</v>
      </c>
      <c r="H44" s="25" t="n">
        <v>12</v>
      </c>
      <c r="I44" s="23" t="inlineStr">
        <is>
          <t>نعم</t>
        </is>
      </c>
      <c r="J44" s="23" t="inlineStr">
        <is>
          <t>مزرعة الرياض (عهدة/صندوق)</t>
        </is>
      </c>
      <c r="K44" s="23" t="inlineStr">
        <is>
          <t>مصروفات إدارية وأخرى</t>
        </is>
      </c>
      <c r="L44" s="23" t="inlineStr"/>
    </row>
    <row r="45">
      <c r="A45" s="23" t="n">
        <v>44</v>
      </c>
      <c r="B45" s="24" t="n">
        <v>45872</v>
      </c>
      <c r="C45" s="23" t="inlineStr">
        <is>
          <t>مصروفات ناسيس الرياض</t>
        </is>
      </c>
      <c r="D45" s="23" t="inlineStr">
        <is>
          <t>RIYADH NURSERY</t>
        </is>
      </c>
      <c r="E45" s="23" t="inlineStr">
        <is>
          <t>فاتورة الكمبيوتر</t>
        </is>
      </c>
      <c r="F45" s="25" t="n">
        <v>373.91</v>
      </c>
      <c r="G45" s="23" t="n">
        <v>15</v>
      </c>
      <c r="H45" s="25" t="n">
        <v>430</v>
      </c>
      <c r="I45" s="23" t="inlineStr">
        <is>
          <t>نعم</t>
        </is>
      </c>
      <c r="J45" s="23" t="inlineStr">
        <is>
          <t>مزرعة الرياض (عهدة/صندوق)</t>
        </is>
      </c>
      <c r="K45" s="23" t="inlineStr">
        <is>
          <t>مصروفات إدارية وأخرى</t>
        </is>
      </c>
      <c r="L45" s="23" t="inlineStr"/>
    </row>
    <row r="46">
      <c r="A46" s="36" t="n">
        <v>45</v>
      </c>
      <c r="B46" s="37" t="n">
        <v>45873</v>
      </c>
      <c r="C46" s="36" t="inlineStr">
        <is>
          <t>شركة غرس نجد الزراعيه</t>
        </is>
      </c>
      <c r="D46" s="36" t="inlineStr">
        <is>
          <t>RIYADH NURSERY</t>
        </is>
      </c>
      <c r="E46" s="36" t="n"/>
      <c r="F46" s="38" t="n">
        <v>12621.74</v>
      </c>
      <c r="G46" s="36" t="n">
        <v>15</v>
      </c>
      <c r="H46" s="38" t="n">
        <v>14515</v>
      </c>
      <c r="I46" s="36" t="inlineStr">
        <is>
          <t>لا</t>
        </is>
      </c>
      <c r="J46" s="36" t="inlineStr">
        <is>
          <t>مزرعة الرياض (عهدة/صندوق)</t>
        </is>
      </c>
      <c r="K46" s="36" t="inlineStr">
        <is>
          <t>مشتريات نباتات وبذور</t>
        </is>
      </c>
      <c r="L46" s="36" t="inlineStr">
        <is>
          <t>غير مدفوع في 2025 – تم سداده في 2026 ضمن أمر PO-295 (14,515)</t>
        </is>
      </c>
    </row>
    <row r="47">
      <c r="A47" s="23" t="n">
        <v>46</v>
      </c>
      <c r="B47" s="24" t="n">
        <v>45874</v>
      </c>
      <c r="C47" s="23" t="inlineStr">
        <is>
          <t>مصروفات ناسيس الرياض</t>
        </is>
      </c>
      <c r="D47" s="23" t="inlineStr">
        <is>
          <t>RIYADH NURSERY</t>
        </is>
      </c>
      <c r="E47" s="23" t="n"/>
      <c r="F47" s="25" t="n">
        <v>203.48</v>
      </c>
      <c r="G47" s="23" t="n">
        <v>15</v>
      </c>
      <c r="H47" s="25" t="n">
        <v>234</v>
      </c>
      <c r="I47" s="23" t="inlineStr">
        <is>
          <t>نعم</t>
        </is>
      </c>
      <c r="J47" s="23" t="inlineStr">
        <is>
          <t>مزرعة الرياض (عهدة/صندوق)</t>
        </is>
      </c>
      <c r="K47" s="23" t="inlineStr">
        <is>
          <t>مصروفات إدارية وأخرى</t>
        </is>
      </c>
      <c r="L47" s="23" t="inlineStr"/>
    </row>
    <row r="48">
      <c r="A48" s="23" t="n">
        <v>47</v>
      </c>
      <c r="B48" s="24" t="n">
        <v>45876</v>
      </c>
      <c r="C48" s="23" t="inlineStr">
        <is>
          <t>الوقود</t>
        </is>
      </c>
      <c r="D48" s="23" t="inlineStr">
        <is>
          <t>RIYADH NURSERY</t>
        </is>
      </c>
      <c r="E48" s="23" t="n"/>
      <c r="F48" s="25" t="n">
        <v>173.91</v>
      </c>
      <c r="G48" s="23" t="n">
        <v>15</v>
      </c>
      <c r="H48" s="25" t="n">
        <v>200</v>
      </c>
      <c r="I48" s="23" t="inlineStr">
        <is>
          <t>نعم</t>
        </is>
      </c>
      <c r="J48" s="23" t="inlineStr">
        <is>
          <t>مزرعة الرياض (عهدة/صندوق)</t>
        </is>
      </c>
      <c r="K48" s="23" t="inlineStr">
        <is>
          <t>وقود</t>
        </is>
      </c>
      <c r="L48" s="23" t="inlineStr"/>
    </row>
    <row r="49">
      <c r="A49" s="23" t="n">
        <v>48</v>
      </c>
      <c r="B49" s="24" t="n">
        <v>45878</v>
      </c>
      <c r="C49" s="23" t="inlineStr">
        <is>
          <t>مصروفات ناسيس الرياض</t>
        </is>
      </c>
      <c r="D49" s="23" t="inlineStr">
        <is>
          <t>RIYADH NURSERY</t>
        </is>
      </c>
      <c r="E49" s="23" t="inlineStr">
        <is>
          <t>فاتورة الكمبيوتر</t>
        </is>
      </c>
      <c r="F49" s="25" t="n">
        <v>782.61</v>
      </c>
      <c r="G49" s="23" t="n">
        <v>15</v>
      </c>
      <c r="H49" s="25" t="n">
        <v>900</v>
      </c>
      <c r="I49" s="23" t="inlineStr">
        <is>
          <t>نعم</t>
        </is>
      </c>
      <c r="J49" s="23" t="inlineStr">
        <is>
          <t>مزرعة الرياض (عهدة/صندوق)</t>
        </is>
      </c>
      <c r="K49" s="23" t="inlineStr">
        <is>
          <t>مصروفات إدارية وأخرى</t>
        </is>
      </c>
      <c r="L49" s="23" t="inlineStr"/>
    </row>
    <row r="50">
      <c r="A50" s="23" t="n">
        <v>49</v>
      </c>
      <c r="B50" s="24" t="n">
        <v>45878</v>
      </c>
      <c r="C50" s="23" t="inlineStr">
        <is>
          <t>مصروفات ناسيس الرياض</t>
        </is>
      </c>
      <c r="D50" s="23" t="inlineStr">
        <is>
          <t>RIYADH NURSERY</t>
        </is>
      </c>
      <c r="E50" s="23" t="inlineStr">
        <is>
          <t>فاتورة الكمبيوتر</t>
        </is>
      </c>
      <c r="F50" s="25" t="n">
        <v>334.78</v>
      </c>
      <c r="G50" s="23" t="n">
        <v>15</v>
      </c>
      <c r="H50" s="25" t="n">
        <v>385</v>
      </c>
      <c r="I50" s="23" t="inlineStr">
        <is>
          <t>نعم</t>
        </is>
      </c>
      <c r="J50" s="23" t="inlineStr">
        <is>
          <t>مزرعة الرياض (عهدة/صندوق)</t>
        </is>
      </c>
      <c r="K50" s="23" t="inlineStr">
        <is>
          <t>مصروفات إدارية وأخرى</t>
        </is>
      </c>
      <c r="L50" s="23" t="inlineStr"/>
    </row>
    <row r="51">
      <c r="A51" s="23" t="n">
        <v>50</v>
      </c>
      <c r="B51" s="24" t="n">
        <v>45879</v>
      </c>
      <c r="C51" s="23" t="inlineStr">
        <is>
          <t>الوقود</t>
        </is>
      </c>
      <c r="D51" s="23" t="inlineStr">
        <is>
          <t>RIYADH NURSERY</t>
        </is>
      </c>
      <c r="E51" s="23" t="n"/>
      <c r="F51" s="25" t="n">
        <v>173.91</v>
      </c>
      <c r="G51" s="23" t="n">
        <v>15</v>
      </c>
      <c r="H51" s="25" t="n">
        <v>200</v>
      </c>
      <c r="I51" s="23" t="inlineStr">
        <is>
          <t>نعم</t>
        </is>
      </c>
      <c r="J51" s="23" t="inlineStr">
        <is>
          <t>مزرعة الرياض (عهدة/صندوق)</t>
        </is>
      </c>
      <c r="K51" s="23" t="inlineStr">
        <is>
          <t>وقود</t>
        </is>
      </c>
      <c r="L51" s="23" t="inlineStr"/>
    </row>
    <row r="52">
      <c r="A52" s="36" t="n">
        <v>51</v>
      </c>
      <c r="B52" s="37" t="n">
        <v>45880</v>
      </c>
      <c r="C52" s="36" t="inlineStr">
        <is>
          <t>مشتل الجوده المطلقه لزراعه</t>
        </is>
      </c>
      <c r="D52" s="36" t="inlineStr">
        <is>
          <t>RIYADH NURSERY-PO878</t>
        </is>
      </c>
      <c r="E52" s="36" t="inlineStr">
        <is>
          <t>40 نخل سايكس</t>
        </is>
      </c>
      <c r="F52" s="38" t="n">
        <v>10434.78</v>
      </c>
      <c r="G52" s="36" t="n">
        <v>15</v>
      </c>
      <c r="H52" s="38" t="n">
        <v>12000</v>
      </c>
      <c r="I52" s="36" t="inlineStr">
        <is>
          <t>لا</t>
        </is>
      </c>
      <c r="J52" s="36" t="inlineStr">
        <is>
          <t>مزرعة الرياض (عهدة/صندوق)</t>
        </is>
      </c>
      <c r="K52" s="36" t="inlineStr">
        <is>
          <t>مشتريات نباتات وبذور</t>
        </is>
      </c>
      <c r="L52" s="36" t="inlineStr">
        <is>
          <t>غير مدفوع في 2025 – تم سداده في 2026 ضمن أمر PO-296</t>
        </is>
      </c>
    </row>
    <row r="53">
      <c r="A53" s="30" t="n">
        <v>52</v>
      </c>
      <c r="B53" s="39" t="n">
        <v>45880</v>
      </c>
      <c r="C53" s="30" t="inlineStr">
        <is>
          <t>شركة المدارات السعودية للتجارة والاستيراد</t>
        </is>
      </c>
      <c r="D53" s="30" t="inlineStr">
        <is>
          <t>RIYADH NURSERY-PO599</t>
        </is>
      </c>
      <c r="E53" s="30" t="inlineStr">
        <is>
          <t>تحويل بنكى</t>
        </is>
      </c>
      <c r="F53" s="31" t="n">
        <v>4000</v>
      </c>
      <c r="G53" s="30" t="n">
        <v>15</v>
      </c>
      <c r="H53" s="31" t="n">
        <v>4600</v>
      </c>
      <c r="I53" s="30" t="inlineStr">
        <is>
          <t>نعم</t>
        </is>
      </c>
      <c r="J53" s="30" t="inlineStr">
        <is>
          <t>مزرعة تبوك (نسما) – تحويل بنكي</t>
        </is>
      </c>
      <c r="K53" s="30" t="inlineStr">
        <is>
          <t>مواد زراعية (بيتموس/بيرلايت/أسمدة/مبيدات)</t>
        </is>
      </c>
      <c r="L53" s="30" t="inlineStr">
        <is>
          <t>مدفوع عن طريق مزرعة تبوك – مديونية على مزرعة الرياض</t>
        </is>
      </c>
    </row>
    <row r="54">
      <c r="A54" s="36" t="n">
        <v>53</v>
      </c>
      <c r="B54" s="37" t="n">
        <v>45880</v>
      </c>
      <c r="C54" s="36" t="inlineStr">
        <is>
          <t>مشتل الجوده المطلقه لزراعه</t>
        </is>
      </c>
      <c r="D54" s="36" t="inlineStr">
        <is>
          <t>RIYADH NURSERY-PO877</t>
        </is>
      </c>
      <c r="E54" s="36" t="n"/>
      <c r="F54" s="38" t="n">
        <v>32652.17</v>
      </c>
      <c r="G54" s="36" t="n">
        <v>15</v>
      </c>
      <c r="H54" s="38" t="n">
        <v>37550</v>
      </c>
      <c r="I54" s="36" t="inlineStr">
        <is>
          <t>لا</t>
        </is>
      </c>
      <c r="J54" s="36" t="inlineStr">
        <is>
          <t>مزرعة الرياض (عهدة/صندوق)</t>
        </is>
      </c>
      <c r="K54" s="36" t="inlineStr">
        <is>
          <t>مشتريات نباتات وبذور</t>
        </is>
      </c>
      <c r="L54" s="36" t="inlineStr">
        <is>
          <t>غير مدفوع في 2025 – تم سداده في 2026 ضمن أمر PO-296</t>
        </is>
      </c>
    </row>
    <row r="55">
      <c r="A55" s="23" t="n">
        <v>54</v>
      </c>
      <c r="B55" s="24" t="n">
        <v>45880</v>
      </c>
      <c r="C55" s="23" t="inlineStr">
        <is>
          <t>الوقود</t>
        </is>
      </c>
      <c r="D55" s="23" t="inlineStr">
        <is>
          <t>RIYADH NURSERY</t>
        </is>
      </c>
      <c r="E55" s="23" t="n"/>
      <c r="F55" s="25" t="n">
        <v>173.91</v>
      </c>
      <c r="G55" s="23" t="n">
        <v>15</v>
      </c>
      <c r="H55" s="25" t="n">
        <v>200</v>
      </c>
      <c r="I55" s="23" t="inlineStr">
        <is>
          <t>نعم</t>
        </is>
      </c>
      <c r="J55" s="23" t="inlineStr">
        <is>
          <t>مزرعة الرياض (عهدة/صندوق)</t>
        </is>
      </c>
      <c r="K55" s="23" t="inlineStr">
        <is>
          <t>وقود</t>
        </is>
      </c>
      <c r="L55" s="23" t="inlineStr"/>
    </row>
    <row r="56">
      <c r="A56" s="23" t="n">
        <v>55</v>
      </c>
      <c r="B56" s="24" t="n">
        <v>45882</v>
      </c>
      <c r="C56" s="23" t="inlineStr">
        <is>
          <t>موسسة المحترف الامثل لتجاره</t>
        </is>
      </c>
      <c r="D56" s="23" t="inlineStr">
        <is>
          <t>RIYADH NURSERY</t>
        </is>
      </c>
      <c r="E56" s="23" t="inlineStr">
        <is>
          <t>شراء اشياء سباكه</t>
        </is>
      </c>
      <c r="F56" s="25" t="n">
        <v>60</v>
      </c>
      <c r="G56" s="23" t="n">
        <v>15</v>
      </c>
      <c r="H56" s="25" t="n">
        <v>69</v>
      </c>
      <c r="I56" s="23" t="inlineStr">
        <is>
          <t>نعم</t>
        </is>
      </c>
      <c r="J56" s="23" t="inlineStr">
        <is>
          <t>مزرعة الرياض (عهدة/صندوق)</t>
        </is>
      </c>
      <c r="K56" s="23" t="inlineStr">
        <is>
          <t>مصروفات إدارية وأخرى</t>
        </is>
      </c>
      <c r="L56" s="23" t="inlineStr"/>
    </row>
    <row r="57">
      <c r="A57" s="23" t="n">
        <v>56</v>
      </c>
      <c r="B57" s="24" t="n">
        <v>45883</v>
      </c>
      <c r="C57" s="23" t="inlineStr">
        <is>
          <t>الوقود</t>
        </is>
      </c>
      <c r="D57" s="23" t="inlineStr">
        <is>
          <t>RIYADH NURSERY</t>
        </is>
      </c>
      <c r="E57" s="23" t="n"/>
      <c r="F57" s="25" t="n">
        <v>173.91</v>
      </c>
      <c r="G57" s="23" t="n">
        <v>15</v>
      </c>
      <c r="H57" s="25" t="n">
        <v>200</v>
      </c>
      <c r="I57" s="23" t="inlineStr">
        <is>
          <t>نعم</t>
        </is>
      </c>
      <c r="J57" s="23" t="inlineStr">
        <is>
          <t>مزرعة الرياض (عهدة/صندوق)</t>
        </is>
      </c>
      <c r="K57" s="23" t="inlineStr">
        <is>
          <t>وقود</t>
        </is>
      </c>
      <c r="L57" s="23" t="inlineStr"/>
    </row>
    <row r="58">
      <c r="A58" s="23" t="n">
        <v>57</v>
      </c>
      <c r="B58" s="24" t="n">
        <v>45885</v>
      </c>
      <c r="C58" s="23" t="inlineStr">
        <is>
          <t>الوقود</t>
        </is>
      </c>
      <c r="D58" s="23" t="inlineStr">
        <is>
          <t>RIYADH NURSERY</t>
        </is>
      </c>
      <c r="E58" s="23" t="n"/>
      <c r="F58" s="25" t="n">
        <v>200</v>
      </c>
      <c r="G58" s="23" t="n">
        <v>15</v>
      </c>
      <c r="H58" s="25" t="n">
        <v>230</v>
      </c>
      <c r="I58" s="23" t="inlineStr">
        <is>
          <t>نعم</t>
        </is>
      </c>
      <c r="J58" s="23" t="inlineStr">
        <is>
          <t>مزرعة الرياض (عهدة/صندوق)</t>
        </is>
      </c>
      <c r="K58" s="23" t="inlineStr">
        <is>
          <t>وقود</t>
        </is>
      </c>
      <c r="L58" s="23" t="inlineStr"/>
    </row>
    <row r="59">
      <c r="A59" s="23" t="n">
        <v>58</v>
      </c>
      <c r="B59" s="24" t="n">
        <v>45885</v>
      </c>
      <c r="C59" s="23" t="inlineStr">
        <is>
          <t>مؤسسة اركان ود للتجاره</t>
        </is>
      </c>
      <c r="D59" s="23" t="inlineStr">
        <is>
          <t>RIYADH NURSERY</t>
        </is>
      </c>
      <c r="E59" s="23" t="n"/>
      <c r="F59" s="25" t="n">
        <v>18.26</v>
      </c>
      <c r="G59" s="23" t="n">
        <v>15</v>
      </c>
      <c r="H59" s="25" t="n">
        <v>21</v>
      </c>
      <c r="I59" s="23" t="inlineStr">
        <is>
          <t>نعم</t>
        </is>
      </c>
      <c r="J59" s="23" t="inlineStr">
        <is>
          <t>مزرعة الرياض (عهدة/صندوق)</t>
        </is>
      </c>
      <c r="K59" s="23" t="inlineStr">
        <is>
          <t>صيانة وإنشاءات المزرعة</t>
        </is>
      </c>
      <c r="L59" s="23" t="inlineStr"/>
    </row>
    <row r="60">
      <c r="A60" s="23" t="n">
        <v>59</v>
      </c>
      <c r="B60" s="24" t="n">
        <v>45885</v>
      </c>
      <c r="C60" s="23" t="inlineStr">
        <is>
          <t>ينابع المئويه لتحلية المياه</t>
        </is>
      </c>
      <c r="D60" s="23" t="inlineStr">
        <is>
          <t>RIYADH NURSERY</t>
        </is>
      </c>
      <c r="E60" s="23" t="n"/>
      <c r="F60" s="25" t="n">
        <v>52.17</v>
      </c>
      <c r="G60" s="23" t="n">
        <v>15</v>
      </c>
      <c r="H60" s="25" t="n">
        <v>60</v>
      </c>
      <c r="I60" s="23" t="inlineStr">
        <is>
          <t>نعم</t>
        </is>
      </c>
      <c r="J60" s="23" t="inlineStr">
        <is>
          <t>مزرعة الرياض (عهدة/صندوق)</t>
        </is>
      </c>
      <c r="K60" s="23" t="inlineStr">
        <is>
          <t>خدمات (كهرباء/مياه/اتصالات)</t>
        </is>
      </c>
      <c r="L60" s="23" t="inlineStr"/>
    </row>
    <row r="61">
      <c r="A61" s="30" t="n">
        <v>60</v>
      </c>
      <c r="B61" s="39" t="n">
        <v>45887</v>
      </c>
      <c r="C61" s="30" t="inlineStr">
        <is>
          <t>Arabian Vermiculite Industries (AVI)</t>
        </is>
      </c>
      <c r="D61" s="30" t="inlineStr">
        <is>
          <t>RIYADH NURSERY</t>
        </is>
      </c>
      <c r="E61" s="30" t="inlineStr">
        <is>
          <t>تحويل بنكى</t>
        </is>
      </c>
      <c r="F61" s="31" t="n">
        <v>14820</v>
      </c>
      <c r="G61" s="30" t="n">
        <v>15</v>
      </c>
      <c r="H61" s="31" t="n">
        <v>17043</v>
      </c>
      <c r="I61" s="30" t="inlineStr">
        <is>
          <t>نعم</t>
        </is>
      </c>
      <c r="J61" s="30" t="inlineStr">
        <is>
          <t>مزرعة تبوك (نسما) – تحويل بنكي</t>
        </is>
      </c>
      <c r="K61" s="30" t="inlineStr">
        <is>
          <t>مواد زراعية (بيتموس/بيرلايت/أسمدة/مبيدات)</t>
        </is>
      </c>
      <c r="L61" s="30" t="inlineStr">
        <is>
          <t>مدفوع عن طريق مزرعة تبوك – مديونية على مزرعة الرياض</t>
        </is>
      </c>
    </row>
    <row r="62">
      <c r="A62" s="30" t="n">
        <v>61</v>
      </c>
      <c r="B62" s="39" t="n">
        <v>45887</v>
      </c>
      <c r="C62" s="30" t="inlineStr">
        <is>
          <t>شركة التاج المميزة التجارية</t>
        </is>
      </c>
      <c r="D62" s="30" t="inlineStr">
        <is>
          <t>RIYADH NURSERY-PO#627</t>
        </is>
      </c>
      <c r="E62" s="30" t="inlineStr">
        <is>
          <t>تحويل بنكى</t>
        </is>
      </c>
      <c r="F62" s="31" t="n">
        <v>23500</v>
      </c>
      <c r="G62" s="30" t="n">
        <v>15</v>
      </c>
      <c r="H62" s="31" t="n">
        <v>27025</v>
      </c>
      <c r="I62" s="30" t="inlineStr">
        <is>
          <t>نعم</t>
        </is>
      </c>
      <c r="J62" s="30" t="inlineStr">
        <is>
          <t>مزرعة تبوك (نسما) – تحويل بنكي</t>
        </is>
      </c>
      <c r="K62" s="30" t="inlineStr">
        <is>
          <t>مواد زراعية (بيتموس/بيرلايت/أسمدة/مبيدات)</t>
        </is>
      </c>
      <c r="L62" s="30" t="inlineStr">
        <is>
          <t>مدفوع عن طريق مزرعة تبوك – مديونية على مزرعة الرياض</t>
        </is>
      </c>
    </row>
    <row r="63">
      <c r="A63" s="23" t="n">
        <v>62</v>
      </c>
      <c r="B63" s="24" t="n">
        <v>45889</v>
      </c>
      <c r="C63" s="23" t="inlineStr">
        <is>
          <t>موسسة بيت الوسيط لتجاره</t>
        </is>
      </c>
      <c r="D63" s="23" t="inlineStr">
        <is>
          <t>RIYADH NURSERY</t>
        </is>
      </c>
      <c r="E63" s="23" t="n"/>
      <c r="F63" s="25" t="n">
        <v>104.35</v>
      </c>
      <c r="G63" s="23" t="n">
        <v>15</v>
      </c>
      <c r="H63" s="25" t="n">
        <v>120</v>
      </c>
      <c r="I63" s="23" t="inlineStr">
        <is>
          <t>نعم</t>
        </is>
      </c>
      <c r="J63" s="23" t="inlineStr">
        <is>
          <t>مزرعة الرياض (عهدة/صندوق)</t>
        </is>
      </c>
      <c r="K63" s="23" t="inlineStr">
        <is>
          <t>مواد زراعية (بيتموس/بيرلايت/أسمدة/مبيدات)</t>
        </is>
      </c>
      <c r="L63" s="23" t="inlineStr"/>
    </row>
    <row r="64">
      <c r="A64" s="23" t="n">
        <v>63</v>
      </c>
      <c r="B64" s="24" t="n">
        <v>45889</v>
      </c>
      <c r="C64" s="23" t="inlineStr">
        <is>
          <t>الوقود</t>
        </is>
      </c>
      <c r="D64" s="23" t="inlineStr">
        <is>
          <t>RIYADH NURSERY</t>
        </is>
      </c>
      <c r="E64" s="23" t="n"/>
      <c r="F64" s="25" t="n">
        <v>173.91</v>
      </c>
      <c r="G64" s="23" t="n">
        <v>15</v>
      </c>
      <c r="H64" s="25" t="n">
        <v>200</v>
      </c>
      <c r="I64" s="23" t="inlineStr">
        <is>
          <t>نعم</t>
        </is>
      </c>
      <c r="J64" s="23" t="inlineStr">
        <is>
          <t>مزرعة الرياض (عهدة/صندوق)</t>
        </is>
      </c>
      <c r="K64" s="23" t="inlineStr">
        <is>
          <t>وقود</t>
        </is>
      </c>
      <c r="L64" s="23" t="inlineStr"/>
    </row>
    <row r="65">
      <c r="A65" s="23" t="n">
        <v>64</v>
      </c>
      <c r="B65" s="24" t="n">
        <v>45889</v>
      </c>
      <c r="C65" s="23" t="inlineStr">
        <is>
          <t>الوقود</t>
        </is>
      </c>
      <c r="D65" s="23" t="inlineStr">
        <is>
          <t>RIYADH NURSERY</t>
        </is>
      </c>
      <c r="E65" s="23" t="n"/>
      <c r="F65" s="25" t="n">
        <v>59.17</v>
      </c>
      <c r="G65" s="23" t="n">
        <v>15</v>
      </c>
      <c r="H65" s="25" t="n">
        <v>68.04000000000001</v>
      </c>
      <c r="I65" s="23" t="inlineStr">
        <is>
          <t>نعم</t>
        </is>
      </c>
      <c r="J65" s="23" t="inlineStr">
        <is>
          <t>مزرعة الرياض (عهدة/صندوق)</t>
        </is>
      </c>
      <c r="K65" s="23" t="inlineStr">
        <is>
          <t>وقود</t>
        </is>
      </c>
      <c r="L65" s="23" t="inlineStr"/>
    </row>
    <row r="66">
      <c r="A66" s="23" t="n">
        <v>65</v>
      </c>
      <c r="B66" s="24" t="n">
        <v>45890</v>
      </c>
      <c r="C66" s="23" t="inlineStr">
        <is>
          <t>الوقود</t>
        </is>
      </c>
      <c r="D66" s="23" t="inlineStr">
        <is>
          <t>RIYADH NURSERY</t>
        </is>
      </c>
      <c r="E66" s="23" t="n"/>
      <c r="F66" s="25" t="n">
        <v>173.91</v>
      </c>
      <c r="G66" s="23" t="n">
        <v>15</v>
      </c>
      <c r="H66" s="25" t="n">
        <v>200</v>
      </c>
      <c r="I66" s="23" t="inlineStr">
        <is>
          <t>نعم</t>
        </is>
      </c>
      <c r="J66" s="23" t="inlineStr">
        <is>
          <t>مزرعة الرياض (عهدة/صندوق)</t>
        </is>
      </c>
      <c r="K66" s="23" t="inlineStr">
        <is>
          <t>وقود</t>
        </is>
      </c>
      <c r="L66" s="23" t="inlineStr"/>
    </row>
    <row r="67">
      <c r="A67" s="23" t="n">
        <v>66</v>
      </c>
      <c r="B67" s="24" t="n">
        <v>45890</v>
      </c>
      <c r="C67" s="23" t="inlineStr">
        <is>
          <t>موسسسة افاق الاليه لادوات الكهربيه</t>
        </is>
      </c>
      <c r="D67" s="23" t="inlineStr">
        <is>
          <t>RIYADH NURSERY</t>
        </is>
      </c>
      <c r="E67" s="23" t="inlineStr">
        <is>
          <t>شراء سلك تربيط</t>
        </is>
      </c>
      <c r="F67" s="25" t="n">
        <v>30.5</v>
      </c>
      <c r="G67" s="23" t="n">
        <v>15</v>
      </c>
      <c r="H67" s="25" t="n">
        <v>35.08</v>
      </c>
      <c r="I67" s="23" t="inlineStr">
        <is>
          <t>نعم</t>
        </is>
      </c>
      <c r="J67" s="23" t="inlineStr">
        <is>
          <t>مزرعة الرياض (عهدة/صندوق)</t>
        </is>
      </c>
      <c r="K67" s="23" t="inlineStr">
        <is>
          <t>صيانة وإنشاءات المزرعة</t>
        </is>
      </c>
      <c r="L67" s="23" t="inlineStr"/>
    </row>
    <row r="68">
      <c r="A68" s="23" t="n">
        <v>67</v>
      </c>
      <c r="B68" s="24" t="n">
        <v>45894</v>
      </c>
      <c r="C68" s="23" t="inlineStr">
        <is>
          <t>الوقود</t>
        </is>
      </c>
      <c r="D68" s="23" t="inlineStr">
        <is>
          <t>RIYADH NURSERY</t>
        </is>
      </c>
      <c r="E68" s="23" t="n"/>
      <c r="F68" s="25" t="n">
        <v>173.91</v>
      </c>
      <c r="G68" s="23" t="n">
        <v>15</v>
      </c>
      <c r="H68" s="25" t="n">
        <v>200</v>
      </c>
      <c r="I68" s="23" t="inlineStr">
        <is>
          <t>نعم</t>
        </is>
      </c>
      <c r="J68" s="23" t="inlineStr">
        <is>
          <t>مزرعة الرياض (عهدة/صندوق)</t>
        </is>
      </c>
      <c r="K68" s="23" t="inlineStr">
        <is>
          <t>وقود</t>
        </is>
      </c>
      <c r="L68" s="23" t="inlineStr"/>
    </row>
    <row r="69">
      <c r="A69" s="23" t="n">
        <v>68</v>
      </c>
      <c r="B69" s="24" t="n">
        <v>45894</v>
      </c>
      <c r="C69" s="23" t="inlineStr">
        <is>
          <t>موسسة الدلتا الخضراء للتجاره</t>
        </is>
      </c>
      <c r="D69" s="23" t="inlineStr">
        <is>
          <t>RIYADH NURSERY</t>
        </is>
      </c>
      <c r="E69" s="23" t="n"/>
      <c r="F69" s="25" t="n">
        <v>40</v>
      </c>
      <c r="G69" s="23" t="n">
        <v>15</v>
      </c>
      <c r="H69" s="25" t="n">
        <v>46</v>
      </c>
      <c r="I69" s="23" t="inlineStr">
        <is>
          <t>نعم</t>
        </is>
      </c>
      <c r="J69" s="23" t="inlineStr">
        <is>
          <t>مزرعة الرياض (عهدة/صندوق)</t>
        </is>
      </c>
      <c r="K69" s="23" t="inlineStr">
        <is>
          <t>مشتريات نباتات وبذور</t>
        </is>
      </c>
      <c r="L69" s="23" t="inlineStr"/>
    </row>
    <row r="70">
      <c r="A70" s="23" t="n">
        <v>69</v>
      </c>
      <c r="B70" s="24" t="n">
        <v>45894</v>
      </c>
      <c r="C70" s="23" t="inlineStr">
        <is>
          <t>شركة التلال الزراعيه</t>
        </is>
      </c>
      <c r="D70" s="23" t="inlineStr">
        <is>
          <t>RIYADH NURSERY</t>
        </is>
      </c>
      <c r="E70" s="23" t="n"/>
      <c r="F70" s="25" t="n">
        <v>60.87</v>
      </c>
      <c r="G70" s="23" t="n">
        <v>15</v>
      </c>
      <c r="H70" s="25" t="n">
        <v>70</v>
      </c>
      <c r="I70" s="23" t="inlineStr">
        <is>
          <t>نعم</t>
        </is>
      </c>
      <c r="J70" s="23" t="inlineStr">
        <is>
          <t>مزرعة الرياض (عهدة/صندوق)</t>
        </is>
      </c>
      <c r="K70" s="23" t="inlineStr">
        <is>
          <t>مصروفات إدارية وأخرى</t>
        </is>
      </c>
      <c r="L70" s="23" t="inlineStr"/>
    </row>
    <row r="71">
      <c r="A71" s="23" t="n">
        <v>70</v>
      </c>
      <c r="B71" s="24" t="n">
        <v>45894</v>
      </c>
      <c r="C71" s="23" t="inlineStr">
        <is>
          <t>شركة التقنيات المتطوره الحديثه</t>
        </is>
      </c>
      <c r="D71" s="23" t="inlineStr">
        <is>
          <t>RIYADH NURSERY</t>
        </is>
      </c>
      <c r="E71" s="23" t="inlineStr">
        <is>
          <t>شراء غطاس 1/2 حصان</t>
        </is>
      </c>
      <c r="F71" s="25" t="n">
        <v>400</v>
      </c>
      <c r="G71" s="23" t="n">
        <v>15</v>
      </c>
      <c r="H71" s="25" t="n">
        <v>460</v>
      </c>
      <c r="I71" s="23" t="inlineStr">
        <is>
          <t>نعم</t>
        </is>
      </c>
      <c r="J71" s="23" t="inlineStr">
        <is>
          <t>مزرعة الرياض (عهدة/صندوق)</t>
        </is>
      </c>
      <c r="K71" s="23" t="inlineStr">
        <is>
          <t>مصروفات إدارية وأخرى</t>
        </is>
      </c>
      <c r="L71" s="23" t="inlineStr"/>
    </row>
    <row r="72">
      <c r="A72" s="36" t="n">
        <v>71</v>
      </c>
      <c r="B72" s="37" t="n">
        <v>45897</v>
      </c>
      <c r="C72" s="36" t="inlineStr">
        <is>
          <t>مؤسسة بساتين الرياض</t>
        </is>
      </c>
      <c r="D72" s="36" t="inlineStr">
        <is>
          <t>RIYADH NURSERY-PO711</t>
        </is>
      </c>
      <c r="E72" s="36" t="n"/>
      <c r="F72" s="38" t="n">
        <v>37949.57</v>
      </c>
      <c r="G72" s="36" t="n">
        <v>15</v>
      </c>
      <c r="H72" s="38" t="n">
        <v>43642</v>
      </c>
      <c r="I72" s="36" t="inlineStr">
        <is>
          <t>لا</t>
        </is>
      </c>
      <c r="J72" s="36" t="inlineStr">
        <is>
          <t>مزرعة الرياض (عهدة/صندوق)</t>
        </is>
      </c>
      <c r="K72" s="36" t="inlineStr">
        <is>
          <t>مشتريات نباتات وبذور</t>
        </is>
      </c>
      <c r="L72" s="36" t="inlineStr">
        <is>
          <t>غير مدفوع في 2025 – تم سداده في 2026 ضمن أمر PO-288</t>
        </is>
      </c>
    </row>
    <row r="73">
      <c r="A73" s="23" t="n">
        <v>72</v>
      </c>
      <c r="B73" s="24" t="n">
        <v>45897</v>
      </c>
      <c r="C73" s="23" t="inlineStr">
        <is>
          <t>الوقود</t>
        </is>
      </c>
      <c r="D73" s="23" t="inlineStr">
        <is>
          <t>RIYADH NURSERY</t>
        </is>
      </c>
      <c r="E73" s="23" t="n"/>
      <c r="F73" s="25" t="n">
        <v>217.39</v>
      </c>
      <c r="G73" s="23" t="n">
        <v>15</v>
      </c>
      <c r="H73" s="25" t="n">
        <v>250</v>
      </c>
      <c r="I73" s="23" t="inlineStr">
        <is>
          <t>نعم</t>
        </is>
      </c>
      <c r="J73" s="23" t="inlineStr">
        <is>
          <t>مزرعة الرياض (عهدة/صندوق)</t>
        </is>
      </c>
      <c r="K73" s="23" t="inlineStr">
        <is>
          <t>وقود</t>
        </is>
      </c>
      <c r="L73" s="23" t="inlineStr"/>
    </row>
    <row r="74">
      <c r="A74" s="23" t="n">
        <v>73</v>
      </c>
      <c r="B74" s="24" t="n">
        <v>45900</v>
      </c>
      <c r="C74" s="23" t="inlineStr">
        <is>
          <t>ينابع المئويه لتحلية المياه</t>
        </is>
      </c>
      <c r="D74" s="23" t="inlineStr">
        <is>
          <t>RIYADH NURSERY</t>
        </is>
      </c>
      <c r="E74" s="23" t="n"/>
      <c r="F74" s="25" t="n">
        <v>52.17</v>
      </c>
      <c r="G74" s="23" t="n">
        <v>15</v>
      </c>
      <c r="H74" s="25" t="n">
        <v>60</v>
      </c>
      <c r="I74" s="23" t="inlineStr">
        <is>
          <t>نعم</t>
        </is>
      </c>
      <c r="J74" s="23" t="inlineStr">
        <is>
          <t>مزرعة الرياض (عهدة/صندوق)</t>
        </is>
      </c>
      <c r="K74" s="23" t="inlineStr">
        <is>
          <t>خدمات (كهرباء/مياه/اتصالات)</t>
        </is>
      </c>
      <c r="L74" s="23" t="inlineStr"/>
    </row>
    <row r="75">
      <c r="A75" s="23" t="n">
        <v>74</v>
      </c>
      <c r="B75" s="24" t="n">
        <v>45900</v>
      </c>
      <c r="C75" s="23" t="inlineStr">
        <is>
          <t>الوقود</t>
        </is>
      </c>
      <c r="D75" s="23" t="inlineStr">
        <is>
          <t>RIYADH NURSERY</t>
        </is>
      </c>
      <c r="E75" s="23" t="n"/>
      <c r="F75" s="25" t="n">
        <v>17.39</v>
      </c>
      <c r="G75" s="23" t="n">
        <v>15</v>
      </c>
      <c r="H75" s="25" t="n">
        <v>20</v>
      </c>
      <c r="I75" s="23" t="inlineStr">
        <is>
          <t>نعم</t>
        </is>
      </c>
      <c r="J75" s="23" t="inlineStr">
        <is>
          <t>مزرعة الرياض (عهدة/صندوق)</t>
        </is>
      </c>
      <c r="K75" s="23" t="inlineStr">
        <is>
          <t>وقود</t>
        </is>
      </c>
      <c r="L75" s="23" t="inlineStr"/>
    </row>
    <row r="76">
      <c r="A76" s="23" t="n">
        <v>75</v>
      </c>
      <c r="B76" s="24" t="n">
        <v>45900</v>
      </c>
      <c r="C76" s="23" t="inlineStr">
        <is>
          <t>الوقود</t>
        </is>
      </c>
      <c r="D76" s="23" t="inlineStr">
        <is>
          <t>RIYADH NURSERY</t>
        </is>
      </c>
      <c r="E76" s="23" t="n"/>
      <c r="F76" s="25" t="n">
        <v>60.87</v>
      </c>
      <c r="G76" s="23" t="n">
        <v>15</v>
      </c>
      <c r="H76" s="25" t="n">
        <v>70</v>
      </c>
      <c r="I76" s="23" t="inlineStr">
        <is>
          <t>نعم</t>
        </is>
      </c>
      <c r="J76" s="23" t="inlineStr">
        <is>
          <t>مزرعة الرياض (عهدة/صندوق)</t>
        </is>
      </c>
      <c r="K76" s="23" t="inlineStr">
        <is>
          <t>وقود</t>
        </is>
      </c>
      <c r="L76" s="23" t="inlineStr"/>
    </row>
    <row r="77">
      <c r="A77" s="30" t="n">
        <v>76</v>
      </c>
      <c r="B77" s="39" t="n">
        <v>45901</v>
      </c>
      <c r="C77" s="30" t="inlineStr">
        <is>
          <t>شركة التكامل</t>
        </is>
      </c>
      <c r="D77" s="30" t="inlineStr">
        <is>
          <t>RIYADH NURSERYpo-747</t>
        </is>
      </c>
      <c r="E77" s="30" t="inlineStr">
        <is>
          <t>تحويل بنكى</t>
        </is>
      </c>
      <c r="F77" s="31" t="n">
        <v>19440</v>
      </c>
      <c r="G77" s="30" t="n">
        <v>15</v>
      </c>
      <c r="H77" s="31" t="n">
        <v>22356</v>
      </c>
      <c r="I77" s="30" t="inlineStr">
        <is>
          <t>نعم</t>
        </is>
      </c>
      <c r="J77" s="30" t="inlineStr">
        <is>
          <t>مزرعة تبوك (نسما) – تحويل بنكي</t>
        </is>
      </c>
      <c r="K77" s="30" t="inlineStr">
        <is>
          <t>مشتريات نباتات وبذور</t>
        </is>
      </c>
      <c r="L77" s="30" t="inlineStr">
        <is>
          <t>مدفوع عن طريق مزرعة تبوك – مديونية على مزرعة الرياض</t>
        </is>
      </c>
    </row>
    <row r="78">
      <c r="A78" s="36" t="n">
        <v>77</v>
      </c>
      <c r="B78" s="37" t="n">
        <v>45902</v>
      </c>
      <c r="C78" s="36" t="inlineStr">
        <is>
          <t>الوقود</t>
        </is>
      </c>
      <c r="D78" s="36" t="inlineStr">
        <is>
          <t>RIYADH NURSERY</t>
        </is>
      </c>
      <c r="E78" s="36" t="n"/>
      <c r="F78" s="38" t="n">
        <v>173.91</v>
      </c>
      <c r="G78" s="36" t="n">
        <v>15</v>
      </c>
      <c r="H78" s="38" t="n">
        <v>200</v>
      </c>
      <c r="I78" s="36" t="inlineStr">
        <is>
          <t>نعم</t>
        </is>
      </c>
      <c r="J78" s="36" t="inlineStr">
        <is>
          <t>مزرعة الرياض (عهدة/صندوق)</t>
        </is>
      </c>
      <c r="K78" s="36" t="inlineStr">
        <is>
          <t>وقود</t>
        </is>
      </c>
      <c r="L78" s="36" t="inlineStr">
        <is>
          <t>⚠ نفس المورد ونفس التاريخ ونفس القيمة مكرر – يلزم التأكد</t>
        </is>
      </c>
    </row>
    <row r="79">
      <c r="A79" s="36" t="n">
        <v>78</v>
      </c>
      <c r="B79" s="37" t="n">
        <v>45902</v>
      </c>
      <c r="C79" s="36" t="inlineStr">
        <is>
          <t>الوقود</t>
        </is>
      </c>
      <c r="D79" s="36" t="inlineStr">
        <is>
          <t>RIYADH NURSERY</t>
        </is>
      </c>
      <c r="E79" s="36" t="n"/>
      <c r="F79" s="38" t="n">
        <v>173.91</v>
      </c>
      <c r="G79" s="36" t="n">
        <v>15</v>
      </c>
      <c r="H79" s="38" t="n">
        <v>200</v>
      </c>
      <c r="I79" s="36" t="inlineStr">
        <is>
          <t>نعم</t>
        </is>
      </c>
      <c r="J79" s="36" t="inlineStr">
        <is>
          <t>مزرعة الرياض (عهدة/صندوق)</t>
        </is>
      </c>
      <c r="K79" s="36" t="inlineStr">
        <is>
          <t>وقود</t>
        </is>
      </c>
      <c r="L79" s="36" t="inlineStr">
        <is>
          <t>⚠ نفس المورد ونفس التاريخ ونفس القيمة مكرر – يلزم التأكد</t>
        </is>
      </c>
    </row>
    <row r="80">
      <c r="A80" s="23" t="n">
        <v>79</v>
      </c>
      <c r="B80" s="24" t="n">
        <v>45905</v>
      </c>
      <c r="C80" s="23" t="inlineStr">
        <is>
          <t>الوقود</t>
        </is>
      </c>
      <c r="D80" s="23" t="inlineStr">
        <is>
          <t>RIYADH NURSERY</t>
        </is>
      </c>
      <c r="E80" s="23" t="inlineStr">
        <is>
          <t>غيار زيت + فلتر زيت +شحم</t>
        </is>
      </c>
      <c r="F80" s="25" t="n">
        <v>204.35</v>
      </c>
      <c r="G80" s="23" t="n">
        <v>15</v>
      </c>
      <c r="H80" s="25" t="n">
        <v>235</v>
      </c>
      <c r="I80" s="23" t="inlineStr">
        <is>
          <t>نعم</t>
        </is>
      </c>
      <c r="J80" s="23" t="inlineStr">
        <is>
          <t>مزرعة الرياض (عهدة/صندوق)</t>
        </is>
      </c>
      <c r="K80" s="23" t="inlineStr">
        <is>
          <t>وقود</t>
        </is>
      </c>
      <c r="L80" s="23" t="inlineStr"/>
    </row>
    <row r="81">
      <c r="A81" s="36" t="n">
        <v>80</v>
      </c>
      <c r="B81" s="37" t="n">
        <v>45913</v>
      </c>
      <c r="C81" s="36" t="inlineStr">
        <is>
          <t>شركة سائح لى للبلاستيك المحدوده</t>
        </is>
      </c>
      <c r="D81" s="36" t="inlineStr">
        <is>
          <t>RIYADH NURSERY-PO749</t>
        </is>
      </c>
      <c r="E81" s="36" t="inlineStr">
        <is>
          <t>تحويل بنكى</t>
        </is>
      </c>
      <c r="F81" s="38" t="n">
        <v>1965.6</v>
      </c>
      <c r="G81" s="36" t="n">
        <v>15</v>
      </c>
      <c r="H81" s="38" t="n">
        <v>2260.44</v>
      </c>
      <c r="I81" s="36" t="inlineStr">
        <is>
          <t>نعم</t>
        </is>
      </c>
      <c r="J81" s="36" t="inlineStr">
        <is>
          <t>مزرعة تبوك (نسما) – تحويل بنكي</t>
        </is>
      </c>
      <c r="K81" s="36" t="inlineStr">
        <is>
          <t>مستلزمات إنتاج (مراكن/فلين/مفارش)</t>
        </is>
      </c>
      <c r="L81" s="36" t="inlineStr">
        <is>
          <t>مدفوع عن طريق مزرعة تبوك – مديونية على مزرعة الرياض | ⚠ نفس المورد ونفس التاريخ ونفس القيمة مكرر – يلزم التأكد</t>
        </is>
      </c>
    </row>
    <row r="82">
      <c r="A82" s="36" t="n">
        <v>81</v>
      </c>
      <c r="B82" s="37" t="n">
        <v>45913</v>
      </c>
      <c r="C82" s="36" t="inlineStr">
        <is>
          <t>شركة سائح لى للبلاستيك المحدوده</t>
        </is>
      </c>
      <c r="D82" s="36" t="inlineStr">
        <is>
          <t>RIYADH NURSERY-PO-736</t>
        </is>
      </c>
      <c r="E82" s="36" t="inlineStr">
        <is>
          <t>تحويل بنكى</t>
        </is>
      </c>
      <c r="F82" s="38" t="n">
        <v>1965.6</v>
      </c>
      <c r="G82" s="36" t="n">
        <v>15</v>
      </c>
      <c r="H82" s="38" t="n">
        <v>2260.44</v>
      </c>
      <c r="I82" s="36" t="inlineStr">
        <is>
          <t>نعم</t>
        </is>
      </c>
      <c r="J82" s="36" t="inlineStr">
        <is>
          <t>مزرعة تبوك (نسما) – تحويل بنكي</t>
        </is>
      </c>
      <c r="K82" s="36" t="inlineStr">
        <is>
          <t>مستلزمات إنتاج (مراكن/فلين/مفارش)</t>
        </is>
      </c>
      <c r="L82" s="36" t="inlineStr">
        <is>
          <t>مدفوع عن طريق مزرعة تبوك – مديونية على مزرعة الرياض | ⚠ نفس المورد ونفس التاريخ ونفس القيمة مكرر – يلزم التأكد</t>
        </is>
      </c>
    </row>
    <row r="83">
      <c r="A83" s="23" t="n">
        <v>82</v>
      </c>
      <c r="B83" s="24" t="n">
        <v>45913</v>
      </c>
      <c r="C83" s="23" t="inlineStr">
        <is>
          <t>الوقود</t>
        </is>
      </c>
      <c r="D83" s="23" t="inlineStr">
        <is>
          <t>RIYADH NURSERY</t>
        </is>
      </c>
      <c r="E83" s="23" t="n"/>
      <c r="F83" s="25" t="n">
        <v>30.43</v>
      </c>
      <c r="G83" s="23" t="n">
        <v>15</v>
      </c>
      <c r="H83" s="25" t="n">
        <v>35</v>
      </c>
      <c r="I83" s="23" t="inlineStr">
        <is>
          <t>نعم</t>
        </is>
      </c>
      <c r="J83" s="23" t="inlineStr">
        <is>
          <t>مزرعة الرياض (عهدة/صندوق)</t>
        </is>
      </c>
      <c r="K83" s="23" t="inlineStr">
        <is>
          <t>وقود</t>
        </is>
      </c>
      <c r="L83" s="23" t="inlineStr"/>
    </row>
    <row r="84">
      <c r="A84" s="36" t="n">
        <v>83</v>
      </c>
      <c r="B84" s="37" t="n">
        <v>45913</v>
      </c>
      <c r="C84" s="36" t="inlineStr">
        <is>
          <t>الوقود</t>
        </is>
      </c>
      <c r="D84" s="36" t="inlineStr">
        <is>
          <t>RIYADH NURSERY</t>
        </is>
      </c>
      <c r="E84" s="36" t="n"/>
      <c r="F84" s="38" t="n">
        <v>173.91</v>
      </c>
      <c r="G84" s="36" t="n">
        <v>15</v>
      </c>
      <c r="H84" s="38" t="n">
        <v>200</v>
      </c>
      <c r="I84" s="36" t="inlineStr">
        <is>
          <t>نعم</t>
        </is>
      </c>
      <c r="J84" s="36" t="inlineStr">
        <is>
          <t>مزرعة الرياض (عهدة/صندوق)</t>
        </is>
      </c>
      <c r="K84" s="36" t="inlineStr">
        <is>
          <t>وقود</t>
        </is>
      </c>
      <c r="L84" s="36" t="inlineStr">
        <is>
          <t>⚠ نفس المورد ونفس التاريخ ونفس القيمة مكرر – يلزم التأكد</t>
        </is>
      </c>
    </row>
    <row r="85">
      <c r="A85" s="23" t="n">
        <v>84</v>
      </c>
      <c r="B85" s="24" t="n">
        <v>45913</v>
      </c>
      <c r="C85" s="23" t="inlineStr">
        <is>
          <t>الوقود</t>
        </is>
      </c>
      <c r="D85" s="23" t="inlineStr">
        <is>
          <t>RIYADH NURSERY</t>
        </is>
      </c>
      <c r="E85" s="23" t="n"/>
      <c r="F85" s="25" t="n">
        <v>60.87</v>
      </c>
      <c r="G85" s="23" t="n">
        <v>15</v>
      </c>
      <c r="H85" s="25" t="n">
        <v>70</v>
      </c>
      <c r="I85" s="23" t="inlineStr">
        <is>
          <t>نعم</t>
        </is>
      </c>
      <c r="J85" s="23" t="inlineStr">
        <is>
          <t>مزرعة الرياض (عهدة/صندوق)</t>
        </is>
      </c>
      <c r="K85" s="23" t="inlineStr">
        <is>
          <t>وقود</t>
        </is>
      </c>
      <c r="L85" s="23" t="inlineStr"/>
    </row>
    <row r="86">
      <c r="A86" s="36" t="n">
        <v>85</v>
      </c>
      <c r="B86" s="37" t="n">
        <v>45913</v>
      </c>
      <c r="C86" s="36" t="inlineStr">
        <is>
          <t>الوقود</t>
        </is>
      </c>
      <c r="D86" s="36" t="inlineStr">
        <is>
          <t>RIYADH NURSERY</t>
        </is>
      </c>
      <c r="E86" s="36" t="n"/>
      <c r="F86" s="38" t="n">
        <v>173.91</v>
      </c>
      <c r="G86" s="36" t="n">
        <v>15</v>
      </c>
      <c r="H86" s="38" t="n">
        <v>200</v>
      </c>
      <c r="I86" s="36" t="inlineStr">
        <is>
          <t>نعم</t>
        </is>
      </c>
      <c r="J86" s="36" t="inlineStr">
        <is>
          <t>مزرعة الرياض (عهدة/صندوق)</t>
        </is>
      </c>
      <c r="K86" s="36" t="inlineStr">
        <is>
          <t>وقود</t>
        </is>
      </c>
      <c r="L86" s="36" t="inlineStr">
        <is>
          <t>⚠ نفس المورد ونفس التاريخ ونفس القيمة مكرر – يلزم التأكد</t>
        </is>
      </c>
    </row>
    <row r="87">
      <c r="A87" s="23" t="n">
        <v>86</v>
      </c>
      <c r="B87" s="24" t="n">
        <v>45913</v>
      </c>
      <c r="C87" s="23" t="inlineStr">
        <is>
          <t>الوقود</t>
        </is>
      </c>
      <c r="D87" s="23" t="inlineStr">
        <is>
          <t>RIYADH NURSERY</t>
        </is>
      </c>
      <c r="E87" s="23" t="n"/>
      <c r="F87" s="25" t="n">
        <v>217.39</v>
      </c>
      <c r="G87" s="23" t="n">
        <v>15</v>
      </c>
      <c r="H87" s="25" t="n">
        <v>250</v>
      </c>
      <c r="I87" s="23" t="inlineStr">
        <is>
          <t>نعم</t>
        </is>
      </c>
      <c r="J87" s="23" t="inlineStr">
        <is>
          <t>مزرعة الرياض (عهدة/صندوق)</t>
        </is>
      </c>
      <c r="K87" s="23" t="inlineStr">
        <is>
          <t>وقود</t>
        </is>
      </c>
      <c r="L87" s="23" t="inlineStr"/>
    </row>
    <row r="88">
      <c r="A88" s="36" t="n">
        <v>87</v>
      </c>
      <c r="B88" s="37" t="n">
        <v>45913</v>
      </c>
      <c r="C88" s="36" t="inlineStr">
        <is>
          <t>مؤسسة بساتين الرياض</t>
        </is>
      </c>
      <c r="D88" s="36" t="inlineStr">
        <is>
          <t>RIYADH NURSERY-PO748</t>
        </is>
      </c>
      <c r="E88" s="36" t="inlineStr">
        <is>
          <t>غير مدفوعه</t>
        </is>
      </c>
      <c r="F88" s="38" t="n">
        <v>37055</v>
      </c>
      <c r="G88" s="36" t="n">
        <v>15</v>
      </c>
      <c r="H88" s="38" t="n">
        <v>42613.25</v>
      </c>
      <c r="I88" s="36" t="inlineStr">
        <is>
          <t>لا</t>
        </is>
      </c>
      <c r="J88" s="36" t="inlineStr">
        <is>
          <t>مزرعة الرياض (عهدة/صندوق)</t>
        </is>
      </c>
      <c r="K88" s="36" t="inlineStr">
        <is>
          <t>مشتريات نباتات وبذور</t>
        </is>
      </c>
      <c r="L88" s="36" t="inlineStr">
        <is>
          <t>غير مدفوع في 2025 – تم سداده في 2026 ضمن أمر PO-288</t>
        </is>
      </c>
    </row>
    <row r="89">
      <c r="A89" s="23" t="n">
        <v>88</v>
      </c>
      <c r="B89" s="24" t="n">
        <v>45914</v>
      </c>
      <c r="C89" s="23" t="inlineStr">
        <is>
          <t>الوقود</t>
        </is>
      </c>
      <c r="D89" s="23" t="inlineStr">
        <is>
          <t>RIYADH NURSERY</t>
        </is>
      </c>
      <c r="E89" s="23" t="n"/>
      <c r="F89" s="25" t="n">
        <v>226.09</v>
      </c>
      <c r="G89" s="23" t="n">
        <v>15</v>
      </c>
      <c r="H89" s="25" t="n">
        <v>260</v>
      </c>
      <c r="I89" s="23" t="inlineStr">
        <is>
          <t>نعم</t>
        </is>
      </c>
      <c r="J89" s="23" t="inlineStr">
        <is>
          <t>مزرعة الرياض (عهدة/صندوق)</t>
        </is>
      </c>
      <c r="K89" s="23" t="inlineStr">
        <is>
          <t>وقود</t>
        </is>
      </c>
      <c r="L89" s="23" t="inlineStr"/>
    </row>
    <row r="90">
      <c r="A90" s="23" t="n">
        <v>89</v>
      </c>
      <c r="B90" s="24" t="n">
        <v>45915</v>
      </c>
      <c r="C90" s="23" t="inlineStr">
        <is>
          <t>ينابع المئويه لتحلية المياه</t>
        </is>
      </c>
      <c r="D90" s="23" t="inlineStr">
        <is>
          <t>RIYADH NURSERY</t>
        </is>
      </c>
      <c r="E90" s="23" t="n"/>
      <c r="F90" s="25" t="n">
        <v>52.17</v>
      </c>
      <c r="G90" s="23" t="n">
        <v>15</v>
      </c>
      <c r="H90" s="25" t="n">
        <v>60</v>
      </c>
      <c r="I90" s="23" t="inlineStr">
        <is>
          <t>نعم</t>
        </is>
      </c>
      <c r="J90" s="23" t="inlineStr">
        <is>
          <t>مزرعة الرياض (عهدة/صندوق)</t>
        </is>
      </c>
      <c r="K90" s="23" t="inlineStr">
        <is>
          <t>خدمات (كهرباء/مياه/اتصالات)</t>
        </is>
      </c>
      <c r="L90" s="23" t="inlineStr"/>
    </row>
    <row r="91">
      <c r="A91" s="23" t="n">
        <v>90</v>
      </c>
      <c r="B91" s="24" t="n">
        <v>45918</v>
      </c>
      <c r="C91" s="23" t="inlineStr">
        <is>
          <t>شركة ايراد المتحدة التجارية</t>
        </is>
      </c>
      <c r="D91" s="23" t="inlineStr">
        <is>
          <t>RIYADH NURSERY-PO809</t>
        </is>
      </c>
      <c r="E91" s="23" t="n"/>
      <c r="F91" s="25" t="n">
        <v>2295.68</v>
      </c>
      <c r="G91" s="23" t="n">
        <v>15</v>
      </c>
      <c r="H91" s="25" t="n">
        <v>2640.03</v>
      </c>
      <c r="I91" s="23" t="inlineStr">
        <is>
          <t>نعم</t>
        </is>
      </c>
      <c r="J91" s="23" t="inlineStr">
        <is>
          <t>مزرعة الرياض (عهدة/صندوق)</t>
        </is>
      </c>
      <c r="K91" s="23" t="inlineStr">
        <is>
          <t>مواد زراعية (بيتموس/بيرلايت/أسمدة/مبيدات)</t>
        </is>
      </c>
      <c r="L91" s="23" t="inlineStr"/>
    </row>
    <row r="92">
      <c r="A92" s="23" t="n">
        <v>91</v>
      </c>
      <c r="B92" s="24" t="n">
        <v>45918</v>
      </c>
      <c r="C92" s="23" t="inlineStr">
        <is>
          <t>موسسة بيت الوسيط لتجاره</t>
        </is>
      </c>
      <c r="D92" s="23" t="inlineStr">
        <is>
          <t>RIYADH NURSERY</t>
        </is>
      </c>
      <c r="E92" s="23" t="n"/>
      <c r="F92" s="25" t="n">
        <v>143.48</v>
      </c>
      <c r="G92" s="23" t="n">
        <v>15</v>
      </c>
      <c r="H92" s="25" t="n">
        <v>165</v>
      </c>
      <c r="I92" s="23" t="inlineStr">
        <is>
          <t>نعم</t>
        </is>
      </c>
      <c r="J92" s="23" t="inlineStr">
        <is>
          <t>مزرعة الرياض (عهدة/صندوق)</t>
        </is>
      </c>
      <c r="K92" s="23" t="inlineStr">
        <is>
          <t>مواد زراعية (بيتموس/بيرلايت/أسمدة/مبيدات)</t>
        </is>
      </c>
      <c r="L92" s="23" t="inlineStr"/>
    </row>
    <row r="93">
      <c r="A93" s="23" t="n">
        <v>92</v>
      </c>
      <c r="B93" s="24" t="n">
        <v>45918</v>
      </c>
      <c r="C93" s="23" t="inlineStr">
        <is>
          <t>مصنع المراعى للاسمدة</t>
        </is>
      </c>
      <c r="D93" s="23" t="inlineStr">
        <is>
          <t>RIYADH NURSERY</t>
        </is>
      </c>
      <c r="E93" s="23" t="inlineStr">
        <is>
          <t>مرفق طلب التوريد</t>
        </is>
      </c>
      <c r="F93" s="25" t="n">
        <v>121.74</v>
      </c>
      <c r="G93" s="23" t="n">
        <v>15</v>
      </c>
      <c r="H93" s="25" t="n">
        <v>140</v>
      </c>
      <c r="I93" s="23" t="inlineStr">
        <is>
          <t>نعم</t>
        </is>
      </c>
      <c r="J93" s="23" t="inlineStr">
        <is>
          <t>مزرعة الرياض (عهدة/صندوق)</t>
        </is>
      </c>
      <c r="K93" s="23" t="inlineStr">
        <is>
          <t>مصروفات إدارية وأخرى</t>
        </is>
      </c>
      <c r="L93" s="23" t="inlineStr"/>
    </row>
    <row r="94">
      <c r="A94" s="30" t="n">
        <v>93</v>
      </c>
      <c r="B94" s="39" t="n">
        <v>45920</v>
      </c>
      <c r="C94" s="30" t="inlineStr">
        <is>
          <t>شركة التاج المميزة التجارية</t>
        </is>
      </c>
      <c r="D94" s="30" t="inlineStr">
        <is>
          <t>RIYADH NURSERY PO-743</t>
        </is>
      </c>
      <c r="E94" s="30" t="inlineStr">
        <is>
          <t>تحويل بنكى</t>
        </is>
      </c>
      <c r="F94" s="31" t="n">
        <v>25000</v>
      </c>
      <c r="G94" s="30" t="n">
        <v>15</v>
      </c>
      <c r="H94" s="31" t="n">
        <v>28750</v>
      </c>
      <c r="I94" s="30" t="inlineStr">
        <is>
          <t>نعم</t>
        </is>
      </c>
      <c r="J94" s="30" t="inlineStr">
        <is>
          <t>مزرعة تبوك (نسما) – تحويل بنكي</t>
        </is>
      </c>
      <c r="K94" s="30" t="inlineStr">
        <is>
          <t>مواد زراعية (بيتموس/بيرلايت/أسمدة/مبيدات)</t>
        </is>
      </c>
      <c r="L94" s="30" t="inlineStr">
        <is>
          <t>مدفوع عن طريق مزرعة تبوك – مديونية على مزرعة الرياض</t>
        </is>
      </c>
    </row>
    <row r="95">
      <c r="A95" s="23" t="n">
        <v>94</v>
      </c>
      <c r="B95" s="24" t="n">
        <v>45920</v>
      </c>
      <c r="C95" s="23" t="inlineStr">
        <is>
          <t>الوقود</t>
        </is>
      </c>
      <c r="D95" s="23" t="inlineStr">
        <is>
          <t>RIYADH NURSERY</t>
        </is>
      </c>
      <c r="E95" s="23" t="n"/>
      <c r="F95" s="25" t="n">
        <v>173.91</v>
      </c>
      <c r="G95" s="23" t="n">
        <v>15</v>
      </c>
      <c r="H95" s="25" t="n">
        <v>200</v>
      </c>
      <c r="I95" s="23" t="inlineStr">
        <is>
          <t>نعم</t>
        </is>
      </c>
      <c r="J95" s="23" t="inlineStr">
        <is>
          <t>مزرعة الرياض (عهدة/صندوق)</t>
        </is>
      </c>
      <c r="K95" s="23" t="inlineStr">
        <is>
          <t>وقود</t>
        </is>
      </c>
      <c r="L95" s="23" t="inlineStr"/>
    </row>
    <row r="96">
      <c r="A96" s="23" t="n">
        <v>95</v>
      </c>
      <c r="B96" s="24" t="n">
        <v>45920</v>
      </c>
      <c r="C96" s="23" t="inlineStr">
        <is>
          <t>ورشة اليسر الراجح للميكانيك</t>
        </is>
      </c>
      <c r="D96" s="23" t="inlineStr">
        <is>
          <t>RIYADH NURSERY</t>
        </is>
      </c>
      <c r="E96" s="23" t="n"/>
      <c r="F96" s="25" t="n">
        <v>86.95999999999999</v>
      </c>
      <c r="G96" s="23" t="n">
        <v>15</v>
      </c>
      <c r="H96" s="25" t="n">
        <v>100</v>
      </c>
      <c r="I96" s="23" t="inlineStr">
        <is>
          <t>نعم</t>
        </is>
      </c>
      <c r="J96" s="23" t="inlineStr">
        <is>
          <t>مزرعة الرياض (عهدة/صندوق)</t>
        </is>
      </c>
      <c r="K96" s="23" t="inlineStr">
        <is>
          <t>صيانة سيارات ومعدات</t>
        </is>
      </c>
      <c r="L96" s="23" t="inlineStr"/>
    </row>
    <row r="97">
      <c r="A97" s="23" t="n">
        <v>96</v>
      </c>
      <c r="B97" s="24" t="n">
        <v>45920</v>
      </c>
      <c r="C97" s="23" t="inlineStr">
        <is>
          <t>مؤسسة نجم المفاتيح</t>
        </is>
      </c>
      <c r="D97" s="23" t="inlineStr">
        <is>
          <t>RIYADH NURSERY</t>
        </is>
      </c>
      <c r="E97" s="23" t="n"/>
      <c r="F97" s="25" t="n">
        <v>17.39</v>
      </c>
      <c r="G97" s="23" t="n">
        <v>15</v>
      </c>
      <c r="H97" s="25" t="n">
        <v>20</v>
      </c>
      <c r="I97" s="23" t="inlineStr">
        <is>
          <t>نعم</t>
        </is>
      </c>
      <c r="J97" s="23" t="inlineStr">
        <is>
          <t>مزرعة الرياض (عهدة/صندوق)</t>
        </is>
      </c>
      <c r="K97" s="23" t="inlineStr">
        <is>
          <t>مصروفات إدارية وأخرى</t>
        </is>
      </c>
      <c r="L97" s="23" t="inlineStr"/>
    </row>
    <row r="98">
      <c r="A98" s="23" t="n">
        <v>97</v>
      </c>
      <c r="B98" s="24" t="n">
        <v>45920</v>
      </c>
      <c r="C98" s="23" t="inlineStr">
        <is>
          <t>مؤسسة نوفا المتحده</t>
        </is>
      </c>
      <c r="D98" s="23" t="inlineStr">
        <is>
          <t>RIYADH NURSERY</t>
        </is>
      </c>
      <c r="E98" s="23" t="n"/>
      <c r="F98" s="25" t="n">
        <v>54.78</v>
      </c>
      <c r="G98" s="23" t="n">
        <v>15</v>
      </c>
      <c r="H98" s="25" t="n">
        <v>63</v>
      </c>
      <c r="I98" s="23" t="inlineStr">
        <is>
          <t>نعم</t>
        </is>
      </c>
      <c r="J98" s="23" t="inlineStr">
        <is>
          <t>مزرعة الرياض (عهدة/صندوق)</t>
        </is>
      </c>
      <c r="K98" s="23" t="inlineStr">
        <is>
          <t>مصروفات إدارية وأخرى</t>
        </is>
      </c>
      <c r="L98" s="23" t="inlineStr"/>
    </row>
    <row r="99">
      <c r="A99" s="23" t="n">
        <v>98</v>
      </c>
      <c r="B99" s="24" t="n">
        <v>45920</v>
      </c>
      <c r="C99" s="23" t="inlineStr">
        <is>
          <t>مؤسسة تلال الربيع للمفارش</t>
        </is>
      </c>
      <c r="D99" s="23" t="inlineStr">
        <is>
          <t>RIYADH NURSERY</t>
        </is>
      </c>
      <c r="E99" s="23" t="n"/>
      <c r="F99" s="25" t="n">
        <v>1078.26</v>
      </c>
      <c r="G99" s="23" t="n">
        <v>15</v>
      </c>
      <c r="H99" s="25" t="n">
        <v>1240</v>
      </c>
      <c r="I99" s="23" t="inlineStr">
        <is>
          <t>نعم</t>
        </is>
      </c>
      <c r="J99" s="23" t="inlineStr">
        <is>
          <t>مزرعة الرياض (عهدة/صندوق)</t>
        </is>
      </c>
      <c r="K99" s="23" t="inlineStr">
        <is>
          <t>مصروفات إدارية وأخرى</t>
        </is>
      </c>
      <c r="L99" s="23" t="inlineStr"/>
    </row>
    <row r="100">
      <c r="A100" s="30" t="n">
        <v>99</v>
      </c>
      <c r="B100" s="39" t="n">
        <v>45921</v>
      </c>
      <c r="C100" s="30" t="inlineStr">
        <is>
          <t>شركة المدارات السعودية للتجارة والاستيراد</t>
        </is>
      </c>
      <c r="D100" s="30" t="inlineStr">
        <is>
          <t>RIYADH NURSERY-PO785</t>
        </is>
      </c>
      <c r="E100" s="30" t="inlineStr">
        <is>
          <t>تحويل بنكى</t>
        </is>
      </c>
      <c r="F100" s="31" t="n">
        <v>8000</v>
      </c>
      <c r="G100" s="30" t="n">
        <v>15</v>
      </c>
      <c r="H100" s="31" t="n">
        <v>9200</v>
      </c>
      <c r="I100" s="30" t="inlineStr">
        <is>
          <t>نعم</t>
        </is>
      </c>
      <c r="J100" s="30" t="inlineStr">
        <is>
          <t>مزرعة تبوك (نسما) – تحويل بنكي</t>
        </is>
      </c>
      <c r="K100" s="30" t="inlineStr">
        <is>
          <t>مواد زراعية (بيتموس/بيرلايت/أسمدة/مبيدات)</t>
        </is>
      </c>
      <c r="L100" s="30" t="inlineStr">
        <is>
          <t>مدفوع عن طريق مزرعة تبوك – مديونية على مزرعة الرياض</t>
        </is>
      </c>
    </row>
    <row r="101">
      <c r="A101" s="36" t="n">
        <v>100</v>
      </c>
      <c r="B101" s="37" t="n">
        <v>45924</v>
      </c>
      <c r="C101" s="36" t="inlineStr">
        <is>
          <t>مؤسسة بساتين الرياض</t>
        </is>
      </c>
      <c r="D101" s="36" t="inlineStr">
        <is>
          <t>RIYADH NURSERY PO838</t>
        </is>
      </c>
      <c r="E101" s="36" t="n"/>
      <c r="F101" s="38" t="n">
        <v>36290</v>
      </c>
      <c r="G101" s="36" t="n">
        <v>15</v>
      </c>
      <c r="H101" s="38" t="n">
        <v>41733.5</v>
      </c>
      <c r="I101" s="36" t="inlineStr">
        <is>
          <t>لا</t>
        </is>
      </c>
      <c r="J101" s="36" t="inlineStr">
        <is>
          <t>مزرعة الرياض (عهدة/صندوق)</t>
        </is>
      </c>
      <c r="K101" s="36" t="inlineStr">
        <is>
          <t>مشتريات نباتات وبذور</t>
        </is>
      </c>
      <c r="L101" s="36" t="inlineStr">
        <is>
          <t>غير مدفوع في 2025 – تم سداده في 2026 ضمن أمر PO-287-REV1</t>
        </is>
      </c>
    </row>
    <row r="102">
      <c r="A102" s="23" t="n">
        <v>101</v>
      </c>
      <c r="B102" s="24" t="n">
        <v>45924</v>
      </c>
      <c r="C102" s="23" t="inlineStr">
        <is>
          <t>مؤسسة رغدان للزراعه</t>
        </is>
      </c>
      <c r="D102" s="23" t="inlineStr">
        <is>
          <t>RIYADH NURSERY</t>
        </is>
      </c>
      <c r="E102" s="23" t="n"/>
      <c r="F102" s="25" t="n">
        <v>252.17</v>
      </c>
      <c r="G102" s="23" t="n">
        <v>15</v>
      </c>
      <c r="H102" s="25" t="n">
        <v>290</v>
      </c>
      <c r="I102" s="23" t="inlineStr">
        <is>
          <t>نعم</t>
        </is>
      </c>
      <c r="J102" s="23" t="inlineStr">
        <is>
          <t>مزرعة الرياض (عهدة/صندوق)</t>
        </is>
      </c>
      <c r="K102" s="23" t="inlineStr">
        <is>
          <t>مشتريات نباتات وبذور</t>
        </is>
      </c>
      <c r="L102" s="23" t="inlineStr"/>
    </row>
    <row r="103">
      <c r="A103" s="23" t="n">
        <v>102</v>
      </c>
      <c r="B103" s="24" t="n">
        <v>45924</v>
      </c>
      <c r="C103" s="23" t="inlineStr">
        <is>
          <t>الوقود</t>
        </is>
      </c>
      <c r="D103" s="23" t="inlineStr">
        <is>
          <t>RIYADH NURSERY</t>
        </is>
      </c>
      <c r="E103" s="23" t="n"/>
      <c r="F103" s="25" t="n">
        <v>173.91</v>
      </c>
      <c r="G103" s="23" t="n">
        <v>15</v>
      </c>
      <c r="H103" s="25" t="n">
        <v>200</v>
      </c>
      <c r="I103" s="23" t="inlineStr">
        <is>
          <t>نعم</t>
        </is>
      </c>
      <c r="J103" s="23" t="inlineStr">
        <is>
          <t>مزرعة الرياض (عهدة/صندوق)</t>
        </is>
      </c>
      <c r="K103" s="23" t="inlineStr">
        <is>
          <t>وقود</t>
        </is>
      </c>
      <c r="L103" s="23" t="inlineStr"/>
    </row>
    <row r="104">
      <c r="A104" s="23" t="n">
        <v>103</v>
      </c>
      <c r="B104" s="24" t="n">
        <v>45924</v>
      </c>
      <c r="C104" s="23" t="inlineStr">
        <is>
          <t>الوقود</t>
        </is>
      </c>
      <c r="D104" s="23" t="inlineStr">
        <is>
          <t>RIYADH NURSERY</t>
        </is>
      </c>
      <c r="E104" s="23" t="n"/>
      <c r="F104" s="25" t="n">
        <v>31.28</v>
      </c>
      <c r="G104" s="23" t="n">
        <v>15</v>
      </c>
      <c r="H104" s="25" t="n">
        <v>35.97</v>
      </c>
      <c r="I104" s="23" t="inlineStr">
        <is>
          <t>نعم</t>
        </is>
      </c>
      <c r="J104" s="23" t="inlineStr">
        <is>
          <t>مزرعة الرياض (عهدة/صندوق)</t>
        </is>
      </c>
      <c r="K104" s="23" t="inlineStr">
        <is>
          <t>وقود</t>
        </is>
      </c>
      <c r="L104" s="23" t="inlineStr"/>
    </row>
    <row r="105">
      <c r="A105" s="23" t="n">
        <v>104</v>
      </c>
      <c r="B105" s="24" t="n">
        <v>45924</v>
      </c>
      <c r="C105" s="23" t="inlineStr">
        <is>
          <t>الوقود</t>
        </is>
      </c>
      <c r="D105" s="23" t="inlineStr">
        <is>
          <t>RIYADH NURSERY</t>
        </is>
      </c>
      <c r="E105" s="23" t="n"/>
      <c r="F105" s="25" t="n">
        <v>217.41</v>
      </c>
      <c r="G105" s="23" t="n">
        <v>15</v>
      </c>
      <c r="H105" s="25" t="n">
        <v>250.02</v>
      </c>
      <c r="I105" s="23" t="inlineStr">
        <is>
          <t>نعم</t>
        </is>
      </c>
      <c r="J105" s="23" t="inlineStr">
        <is>
          <t>مزرعة الرياض (عهدة/صندوق)</t>
        </is>
      </c>
      <c r="K105" s="23" t="inlineStr">
        <is>
          <t>وقود</t>
        </is>
      </c>
      <c r="L105" s="23" t="inlineStr"/>
    </row>
    <row r="106">
      <c r="A106" s="23" t="n">
        <v>105</v>
      </c>
      <c r="B106" s="24" t="n">
        <v>45924</v>
      </c>
      <c r="C106" s="23" t="inlineStr">
        <is>
          <t>شركة اليمنى للسيارات</t>
        </is>
      </c>
      <c r="D106" s="23" t="inlineStr">
        <is>
          <t>RIYADH NURSERY</t>
        </is>
      </c>
      <c r="E106" s="23" t="n"/>
      <c r="F106" s="25" t="n">
        <v>890.5</v>
      </c>
      <c r="G106" s="23" t="n">
        <v>15</v>
      </c>
      <c r="H106" s="25" t="n">
        <v>1024.07</v>
      </c>
      <c r="I106" s="23" t="inlineStr">
        <is>
          <t>نعم</t>
        </is>
      </c>
      <c r="J106" s="23" t="inlineStr">
        <is>
          <t>مزرعة الرياض (عهدة/صندوق)</t>
        </is>
      </c>
      <c r="K106" s="23" t="inlineStr">
        <is>
          <t>صيانة سيارات ومعدات</t>
        </is>
      </c>
      <c r="L106" s="23" t="inlineStr"/>
    </row>
    <row r="107">
      <c r="A107" s="23" t="n">
        <v>106</v>
      </c>
      <c r="B107" s="24" t="n">
        <v>45925</v>
      </c>
      <c r="C107" s="23" t="inlineStr">
        <is>
          <t>صيدلة تبون الطبيه</t>
        </is>
      </c>
      <c r="D107" s="23" t="inlineStr">
        <is>
          <t>RIYADH NURSERY</t>
        </is>
      </c>
      <c r="E107" s="23" t="n"/>
      <c r="F107" s="25" t="n">
        <v>25.65</v>
      </c>
      <c r="G107" s="23" t="n">
        <v>15</v>
      </c>
      <c r="H107" s="25" t="n">
        <v>29.5</v>
      </c>
      <c r="I107" s="23" t="inlineStr">
        <is>
          <t>نعم</t>
        </is>
      </c>
      <c r="J107" s="23" t="inlineStr">
        <is>
          <t>مزرعة الرياض (عهدة/صندوق)</t>
        </is>
      </c>
      <c r="K107" s="23" t="inlineStr">
        <is>
          <t>مصروفات إدارية وأخرى</t>
        </is>
      </c>
      <c r="L107" s="23" t="inlineStr"/>
    </row>
    <row r="108">
      <c r="A108" s="23" t="n">
        <v>107</v>
      </c>
      <c r="B108" s="24" t="n">
        <v>45925</v>
      </c>
      <c r="C108" s="23" t="inlineStr">
        <is>
          <t>شركة حقول السلام للتجاره</t>
        </is>
      </c>
      <c r="D108" s="23" t="inlineStr">
        <is>
          <t>RIYADH NURSERY</t>
        </is>
      </c>
      <c r="E108" s="23" t="n"/>
      <c r="F108" s="25" t="n">
        <v>156.52</v>
      </c>
      <c r="G108" s="23" t="n">
        <v>15</v>
      </c>
      <c r="H108" s="25" t="n">
        <v>180</v>
      </c>
      <c r="I108" s="23" t="inlineStr">
        <is>
          <t>نعم</t>
        </is>
      </c>
      <c r="J108" s="23" t="inlineStr">
        <is>
          <t>مزرعة الرياض (عهدة/صندوق)</t>
        </is>
      </c>
      <c r="K108" s="23" t="inlineStr">
        <is>
          <t>مشتريات نباتات وبذور</t>
        </is>
      </c>
      <c r="L108" s="23" t="inlineStr"/>
    </row>
    <row r="109">
      <c r="A109" s="23" t="n">
        <v>108</v>
      </c>
      <c r="B109" s="24" t="n">
        <v>45925</v>
      </c>
      <c r="C109" s="23" t="inlineStr">
        <is>
          <t>شركة حقول السلام للتجاره</t>
        </is>
      </c>
      <c r="D109" s="23" t="inlineStr">
        <is>
          <t>RIYADH NURSERY</t>
        </is>
      </c>
      <c r="E109" s="23" t="inlineStr">
        <is>
          <t>شراء مبيدات</t>
        </is>
      </c>
      <c r="F109" s="25" t="n">
        <v>347.82</v>
      </c>
      <c r="G109" s="23" t="n">
        <v>15</v>
      </c>
      <c r="H109" s="25" t="n">
        <v>399.99</v>
      </c>
      <c r="I109" s="23" t="inlineStr">
        <is>
          <t>نعم</t>
        </is>
      </c>
      <c r="J109" s="23" t="inlineStr">
        <is>
          <t>مزرعة الرياض (عهدة/صندوق)</t>
        </is>
      </c>
      <c r="K109" s="23" t="inlineStr">
        <is>
          <t>مشتريات نباتات وبذور</t>
        </is>
      </c>
      <c r="L109" s="23" t="inlineStr"/>
    </row>
    <row r="110">
      <c r="A110" s="23" t="n">
        <v>109</v>
      </c>
      <c r="B110" s="24" t="n">
        <v>45925</v>
      </c>
      <c r="C110" s="23" t="inlineStr">
        <is>
          <t>موسسسة افاق الاليه لادوات الكهربيه</t>
        </is>
      </c>
      <c r="D110" s="23" t="inlineStr">
        <is>
          <t>RIYADH NURSERY</t>
        </is>
      </c>
      <c r="E110" s="23" t="n"/>
      <c r="F110" s="25" t="n">
        <v>2799.13</v>
      </c>
      <c r="G110" s="23" t="n">
        <v>15</v>
      </c>
      <c r="H110" s="25" t="n">
        <v>3219</v>
      </c>
      <c r="I110" s="23" t="inlineStr">
        <is>
          <t>نعم</t>
        </is>
      </c>
      <c r="J110" s="23" t="inlineStr">
        <is>
          <t>مزرعة الرياض (عهدة/صندوق)</t>
        </is>
      </c>
      <c r="K110" s="23" t="inlineStr">
        <is>
          <t>صيانة وإنشاءات المزرعة</t>
        </is>
      </c>
      <c r="L110" s="23" t="inlineStr"/>
    </row>
    <row r="111">
      <c r="A111" s="30" t="n">
        <v>110</v>
      </c>
      <c r="B111" s="39" t="n">
        <v>45926</v>
      </c>
      <c r="C111" s="30" t="inlineStr">
        <is>
          <t>شركة سائح لى للبلاستيك المحدوده</t>
        </is>
      </c>
      <c r="D111" s="30" t="inlineStr">
        <is>
          <t>RIYADH NURSERY</t>
        </is>
      </c>
      <c r="E111" s="30" t="inlineStr">
        <is>
          <t>تحويل بنكى</t>
        </is>
      </c>
      <c r="F111" s="31" t="n">
        <v>3931.2</v>
      </c>
      <c r="G111" s="30" t="n">
        <v>15</v>
      </c>
      <c r="H111" s="31" t="n">
        <v>4520.88</v>
      </c>
      <c r="I111" s="30" t="inlineStr">
        <is>
          <t>نعم</t>
        </is>
      </c>
      <c r="J111" s="30" t="inlineStr">
        <is>
          <t>مزرعة تبوك (نسما) – تحويل بنكي</t>
        </is>
      </c>
      <c r="K111" s="30" t="inlineStr">
        <is>
          <t>مستلزمات إنتاج (مراكن/فلين/مفارش)</t>
        </is>
      </c>
      <c r="L111" s="30" t="inlineStr">
        <is>
          <t>مدفوع عن طريق مزرعة تبوك – مديونية على مزرعة الرياض</t>
        </is>
      </c>
    </row>
    <row r="112">
      <c r="A112" s="23" t="n">
        <v>111</v>
      </c>
      <c r="B112" s="24" t="n">
        <v>45927</v>
      </c>
      <c r="C112" s="23" t="inlineStr">
        <is>
          <t>الوقود</t>
        </is>
      </c>
      <c r="D112" s="23" t="inlineStr">
        <is>
          <t>RIYADH NURSERY</t>
        </is>
      </c>
      <c r="E112" s="23" t="n"/>
      <c r="F112" s="25" t="n">
        <v>173.91</v>
      </c>
      <c r="G112" s="23" t="n">
        <v>15</v>
      </c>
      <c r="H112" s="25" t="n">
        <v>200</v>
      </c>
      <c r="I112" s="23" t="inlineStr">
        <is>
          <t>نعم</t>
        </is>
      </c>
      <c r="J112" s="23" t="inlineStr">
        <is>
          <t>مزرعة الرياض (عهدة/صندوق)</t>
        </is>
      </c>
      <c r="K112" s="23" t="inlineStr">
        <is>
          <t>وقود</t>
        </is>
      </c>
      <c r="L112" s="23" t="inlineStr"/>
    </row>
    <row r="113">
      <c r="A113" s="23" t="n">
        <v>112</v>
      </c>
      <c r="B113" s="24" t="n">
        <v>45929</v>
      </c>
      <c r="C113" s="23" t="inlineStr">
        <is>
          <t>الوقود</t>
        </is>
      </c>
      <c r="D113" s="23" t="inlineStr">
        <is>
          <t>RIYADH NURSERY</t>
        </is>
      </c>
      <c r="E113" s="23" t="n"/>
      <c r="F113" s="25" t="n">
        <v>130.43</v>
      </c>
      <c r="G113" s="23" t="n">
        <v>15</v>
      </c>
      <c r="H113" s="25" t="n">
        <v>150</v>
      </c>
      <c r="I113" s="23" t="inlineStr">
        <is>
          <t>نعم</t>
        </is>
      </c>
      <c r="J113" s="23" t="inlineStr">
        <is>
          <t>مزرعة الرياض (عهدة/صندوق)</t>
        </is>
      </c>
      <c r="K113" s="23" t="inlineStr">
        <is>
          <t>وقود</t>
        </is>
      </c>
      <c r="L113" s="23" t="inlineStr"/>
    </row>
    <row r="114">
      <c r="A114" s="36" t="n">
        <v>113</v>
      </c>
      <c r="B114" s="37" t="n">
        <v>45930</v>
      </c>
      <c r="C114" s="36" t="inlineStr">
        <is>
          <t>تجديد الباقه</t>
        </is>
      </c>
      <c r="D114" s="36" t="inlineStr">
        <is>
          <t>RIYADH NURSERY</t>
        </is>
      </c>
      <c r="E114" s="36" t="n"/>
      <c r="F114" s="38" t="n">
        <v>30</v>
      </c>
      <c r="G114" s="36" t="n">
        <v>15</v>
      </c>
      <c r="H114" s="38" t="n">
        <v>34.5</v>
      </c>
      <c r="I114" s="36" t="inlineStr">
        <is>
          <t>نعم</t>
        </is>
      </c>
      <c r="J114" s="36" t="inlineStr">
        <is>
          <t>مزرعة الرياض (عهدة/صندوق)</t>
        </is>
      </c>
      <c r="K114" s="36" t="inlineStr">
        <is>
          <t>خدمات (كهرباء/مياه/اتصالات)</t>
        </is>
      </c>
      <c r="L114" s="36" t="inlineStr">
        <is>
          <t>⚠ نفس المورد ونفس التاريخ ونفس القيمة مكرر – يلزم التأكد</t>
        </is>
      </c>
    </row>
    <row r="115">
      <c r="A115" s="36" t="n">
        <v>114</v>
      </c>
      <c r="B115" s="37" t="n">
        <v>45930</v>
      </c>
      <c r="C115" s="36" t="inlineStr">
        <is>
          <t>تجديد الباقه</t>
        </is>
      </c>
      <c r="D115" s="36" t="inlineStr">
        <is>
          <t>RIYADH NURSERY</t>
        </is>
      </c>
      <c r="E115" s="36" t="n"/>
      <c r="F115" s="38" t="n">
        <v>30</v>
      </c>
      <c r="G115" s="36" t="n">
        <v>15</v>
      </c>
      <c r="H115" s="38" t="n">
        <v>34.5</v>
      </c>
      <c r="I115" s="36" t="inlineStr">
        <is>
          <t>نعم</t>
        </is>
      </c>
      <c r="J115" s="36" t="inlineStr">
        <is>
          <t>مزرعة الرياض (عهدة/صندوق)</t>
        </is>
      </c>
      <c r="K115" s="36" t="inlineStr">
        <is>
          <t>خدمات (كهرباء/مياه/اتصالات)</t>
        </is>
      </c>
      <c r="L115" s="36" t="inlineStr">
        <is>
          <t>⚠ نفس المورد ونفس التاريخ ونفس القيمة مكرر – يلزم التأكد</t>
        </is>
      </c>
    </row>
    <row r="116">
      <c r="A116" s="23" t="n">
        <v>115</v>
      </c>
      <c r="B116" s="24" t="n">
        <v>45930</v>
      </c>
      <c r="C116" s="23" t="inlineStr">
        <is>
          <t>تجديد الباقه</t>
        </is>
      </c>
      <c r="D116" s="23" t="inlineStr">
        <is>
          <t>RIYADH NURSERY</t>
        </is>
      </c>
      <c r="E116" s="23" t="n"/>
      <c r="F116" s="25" t="n">
        <v>100</v>
      </c>
      <c r="G116" s="23" t="n">
        <v>15</v>
      </c>
      <c r="H116" s="25" t="n">
        <v>115</v>
      </c>
      <c r="I116" s="23" t="inlineStr">
        <is>
          <t>نعم</t>
        </is>
      </c>
      <c r="J116" s="23" t="inlineStr">
        <is>
          <t>مزرعة الرياض (عهدة/صندوق)</t>
        </is>
      </c>
      <c r="K116" s="23" t="inlineStr">
        <is>
          <t>خدمات (كهرباء/مياه/اتصالات)</t>
        </is>
      </c>
      <c r="L116" s="23" t="inlineStr"/>
    </row>
    <row r="117">
      <c r="A117" s="23" t="n">
        <v>116</v>
      </c>
      <c r="B117" s="24" t="n">
        <v>45930</v>
      </c>
      <c r="C117" s="23" t="inlineStr">
        <is>
          <t>مؤسسة هيلاء عبيد الدوسرى</t>
        </is>
      </c>
      <c r="D117" s="23" t="inlineStr">
        <is>
          <t>RIYADH NURSERY</t>
        </is>
      </c>
      <c r="E117" s="23" t="n"/>
      <c r="F117" s="25" t="n">
        <v>417.39</v>
      </c>
      <c r="G117" s="23" t="n">
        <v>15</v>
      </c>
      <c r="H117" s="25" t="n">
        <v>480</v>
      </c>
      <c r="I117" s="23" t="inlineStr">
        <is>
          <t>نعم</t>
        </is>
      </c>
      <c r="J117" s="23" t="inlineStr">
        <is>
          <t>مزرعة الرياض (عهدة/صندوق)</t>
        </is>
      </c>
      <c r="K117" s="23" t="inlineStr">
        <is>
          <t>مصروفات إدارية وأخرى</t>
        </is>
      </c>
      <c r="L117" s="23" t="inlineStr"/>
    </row>
    <row r="118">
      <c r="A118" s="23" t="n">
        <v>117</v>
      </c>
      <c r="B118" s="24" t="n">
        <v>45930</v>
      </c>
      <c r="C118" s="23" t="inlineStr">
        <is>
          <t>ينابع المئويه لتحلية المياه</t>
        </is>
      </c>
      <c r="D118" s="23" t="inlineStr">
        <is>
          <t>RIYADH NURSERY</t>
        </is>
      </c>
      <c r="E118" s="23" t="n"/>
      <c r="F118" s="25" t="n">
        <v>52.17</v>
      </c>
      <c r="G118" s="23" t="n">
        <v>15</v>
      </c>
      <c r="H118" s="25" t="n">
        <v>60</v>
      </c>
      <c r="I118" s="23" t="inlineStr">
        <is>
          <t>نعم</t>
        </is>
      </c>
      <c r="J118" s="23" t="inlineStr">
        <is>
          <t>مزرعة الرياض (عهدة/صندوق)</t>
        </is>
      </c>
      <c r="K118" s="23" t="inlineStr">
        <is>
          <t>خدمات (كهرباء/مياه/اتصالات)</t>
        </is>
      </c>
      <c r="L118" s="23" t="inlineStr"/>
    </row>
    <row r="119">
      <c r="A119" s="23" t="n">
        <v>118</v>
      </c>
      <c r="B119" s="24" t="n">
        <v>45930</v>
      </c>
      <c r="C119" s="23" t="inlineStr">
        <is>
          <t>تجديد الباقه</t>
        </is>
      </c>
      <c r="D119" s="23" t="inlineStr">
        <is>
          <t>RIYADH NURSERY</t>
        </is>
      </c>
      <c r="E119" s="23" t="inlineStr">
        <is>
          <t>تجديد باقة مهندس محمد</t>
        </is>
      </c>
      <c r="F119" s="25" t="n">
        <v>113.04</v>
      </c>
      <c r="G119" s="23" t="n">
        <v>15</v>
      </c>
      <c r="H119" s="25" t="n">
        <v>130</v>
      </c>
      <c r="I119" s="23" t="inlineStr">
        <is>
          <t>نعم</t>
        </is>
      </c>
      <c r="J119" s="23" t="inlineStr">
        <is>
          <t>مزرعة الرياض (عهدة/صندوق)</t>
        </is>
      </c>
      <c r="K119" s="23" t="inlineStr">
        <is>
          <t>خدمات (كهرباء/مياه/اتصالات)</t>
        </is>
      </c>
      <c r="L119" s="23" t="inlineStr"/>
    </row>
    <row r="120">
      <c r="A120" s="30" t="n">
        <v>119</v>
      </c>
      <c r="B120" s="39" t="n">
        <v>45930</v>
      </c>
      <c r="C120" s="30" t="inlineStr">
        <is>
          <t>شركة الياسين الزراعية</t>
        </is>
      </c>
      <c r="D120" s="30" t="inlineStr">
        <is>
          <t>RIYADH NURSERY</t>
        </is>
      </c>
      <c r="E120" s="30" t="inlineStr">
        <is>
          <t>تحويل بنكى</t>
        </is>
      </c>
      <c r="F120" s="31" t="n">
        <v>50490</v>
      </c>
      <c r="G120" s="30" t="n">
        <v>15</v>
      </c>
      <c r="H120" s="31" t="n">
        <v>58063.5</v>
      </c>
      <c r="I120" s="30" t="inlineStr">
        <is>
          <t>نعم</t>
        </is>
      </c>
      <c r="J120" s="30" t="inlineStr">
        <is>
          <t>مزرعة تبوك (نسما) – تحويل بنكي</t>
        </is>
      </c>
      <c r="K120" s="30" t="inlineStr">
        <is>
          <t>مشتريات نباتات وبذور</t>
        </is>
      </c>
      <c r="L120" s="30" t="inlineStr">
        <is>
          <t>مدفوع عن طريق مزرعة تبوك – مديونية على مزرعة الرياض</t>
        </is>
      </c>
    </row>
    <row r="121">
      <c r="A121" s="23" t="n">
        <v>120</v>
      </c>
      <c r="B121" s="24" t="n">
        <v>45931</v>
      </c>
      <c r="C121" s="23" t="inlineStr">
        <is>
          <t>تموينات الدوسيرى</t>
        </is>
      </c>
      <c r="D121" s="23" t="inlineStr">
        <is>
          <t>RIYADH NURSERY</t>
        </is>
      </c>
      <c r="E121" s="23" t="inlineStr">
        <is>
          <t>شراء قفل</t>
        </is>
      </c>
      <c r="F121" s="25" t="n">
        <v>8.699999999999999</v>
      </c>
      <c r="G121" s="23" t="n">
        <v>15</v>
      </c>
      <c r="H121" s="25" t="n">
        <v>10</v>
      </c>
      <c r="I121" s="23" t="inlineStr">
        <is>
          <t>نعم</t>
        </is>
      </c>
      <c r="J121" s="23" t="inlineStr">
        <is>
          <t>مزرعة الرياض (عهدة/صندوق)</t>
        </is>
      </c>
      <c r="K121" s="23" t="inlineStr">
        <is>
          <t>مصروفات إدارية وأخرى</t>
        </is>
      </c>
      <c r="L121" s="23" t="inlineStr"/>
    </row>
    <row r="122">
      <c r="A122" s="23" t="n">
        <v>121</v>
      </c>
      <c r="B122" s="24" t="n">
        <v>45931</v>
      </c>
      <c r="C122" s="23" t="inlineStr">
        <is>
          <t>مؤسسة هيلاء عبيد الدوسرى</t>
        </is>
      </c>
      <c r="D122" s="23" t="inlineStr">
        <is>
          <t>RIYADH NURSERY</t>
        </is>
      </c>
      <c r="E122" s="23" t="n"/>
      <c r="F122" s="25" t="n">
        <v>217.39</v>
      </c>
      <c r="G122" s="23" t="n">
        <v>15</v>
      </c>
      <c r="H122" s="25" t="n">
        <v>250</v>
      </c>
      <c r="I122" s="23" t="inlineStr">
        <is>
          <t>نعم</t>
        </is>
      </c>
      <c r="J122" s="23" t="inlineStr">
        <is>
          <t>مزرعة الرياض (عهدة/صندوق)</t>
        </is>
      </c>
      <c r="K122" s="23" t="inlineStr">
        <is>
          <t>مصروفات إدارية وأخرى</t>
        </is>
      </c>
      <c r="L122" s="23" t="inlineStr"/>
    </row>
    <row r="123">
      <c r="A123" s="23" t="n">
        <v>122</v>
      </c>
      <c r="B123" s="24" t="n">
        <v>45931</v>
      </c>
      <c r="C123" s="23" t="inlineStr">
        <is>
          <t>مؤسسة على عيد المطيرى لزينة السيارات</t>
        </is>
      </c>
      <c r="D123" s="23" t="inlineStr">
        <is>
          <t>RIYADH NURSERY</t>
        </is>
      </c>
      <c r="E123" s="23" t="n"/>
      <c r="F123" s="25" t="n">
        <v>30.43</v>
      </c>
      <c r="G123" s="23" t="n">
        <v>15</v>
      </c>
      <c r="H123" s="25" t="n">
        <v>35</v>
      </c>
      <c r="I123" s="23" t="inlineStr">
        <is>
          <t>نعم</t>
        </is>
      </c>
      <c r="J123" s="23" t="inlineStr">
        <is>
          <t>مزرعة الرياض (عهدة/صندوق)</t>
        </is>
      </c>
      <c r="K123" s="23" t="inlineStr">
        <is>
          <t>صيانة سيارات ومعدات</t>
        </is>
      </c>
      <c r="L123" s="23" t="inlineStr"/>
    </row>
    <row r="124">
      <c r="A124" s="23" t="n">
        <v>123</v>
      </c>
      <c r="B124" s="24" t="n">
        <v>45931</v>
      </c>
      <c r="C124" s="23" t="inlineStr">
        <is>
          <t>الوقود</t>
        </is>
      </c>
      <c r="D124" s="23" t="inlineStr">
        <is>
          <t>RIYADH NURSERY</t>
        </is>
      </c>
      <c r="E124" s="23" t="n"/>
      <c r="F124" s="25" t="n">
        <v>217.39</v>
      </c>
      <c r="G124" s="23" t="n">
        <v>15</v>
      </c>
      <c r="H124" s="25" t="n">
        <v>250</v>
      </c>
      <c r="I124" s="23" t="inlineStr">
        <is>
          <t>نعم</t>
        </is>
      </c>
      <c r="J124" s="23" t="inlineStr">
        <is>
          <t>مزرعة الرياض (عهدة/صندوق)</t>
        </is>
      </c>
      <c r="K124" s="23" t="inlineStr">
        <is>
          <t>وقود</t>
        </is>
      </c>
      <c r="L124" s="23" t="inlineStr"/>
    </row>
    <row r="125">
      <c r="A125" s="23" t="n">
        <v>124</v>
      </c>
      <c r="B125" s="24" t="n">
        <v>45932</v>
      </c>
      <c r="C125" s="23" t="inlineStr">
        <is>
          <t>ورشة زهرة الجنادل</t>
        </is>
      </c>
      <c r="D125" s="23" t="inlineStr">
        <is>
          <t>RIYADH NURSERY</t>
        </is>
      </c>
      <c r="E125" s="23" t="n"/>
      <c r="F125" s="25" t="n">
        <v>147.83</v>
      </c>
      <c r="G125" s="23" t="n">
        <v>15</v>
      </c>
      <c r="H125" s="25" t="n">
        <v>170</v>
      </c>
      <c r="I125" s="23" t="inlineStr">
        <is>
          <t>نعم</t>
        </is>
      </c>
      <c r="J125" s="23" t="inlineStr">
        <is>
          <t>مزرعة الرياض (عهدة/صندوق)</t>
        </is>
      </c>
      <c r="K125" s="23" t="inlineStr">
        <is>
          <t>صيانة سيارات ومعدات</t>
        </is>
      </c>
      <c r="L125" s="23" t="inlineStr"/>
    </row>
    <row r="126">
      <c r="A126" s="23" t="n">
        <v>125</v>
      </c>
      <c r="B126" s="24" t="n">
        <v>45932</v>
      </c>
      <c r="C126" s="23" t="inlineStr">
        <is>
          <t>شركة امواج التميز للتجارة</t>
        </is>
      </c>
      <c r="D126" s="23" t="inlineStr">
        <is>
          <t>RIYADH NURSERY</t>
        </is>
      </c>
      <c r="E126" s="23" t="n"/>
      <c r="F126" s="25" t="n">
        <v>290</v>
      </c>
      <c r="G126" s="23" t="n">
        <v>15</v>
      </c>
      <c r="H126" s="25" t="n">
        <v>333.5</v>
      </c>
      <c r="I126" s="23" t="inlineStr">
        <is>
          <t>نعم</t>
        </is>
      </c>
      <c r="J126" s="23" t="inlineStr">
        <is>
          <t>مزرعة الرياض (عهدة/صندوق)</t>
        </is>
      </c>
      <c r="K126" s="23" t="inlineStr">
        <is>
          <t>مواد زراعية (بيتموس/بيرلايت/أسمدة/مبيدات)</t>
        </is>
      </c>
      <c r="L126" s="23" t="inlineStr"/>
    </row>
    <row r="127">
      <c r="A127" s="23" t="n">
        <v>126</v>
      </c>
      <c r="B127" s="24" t="n">
        <v>45932</v>
      </c>
      <c r="C127" s="23" t="inlineStr">
        <is>
          <t>مؤسسة تلال الربيع للمفارش</t>
        </is>
      </c>
      <c r="D127" s="23" t="inlineStr">
        <is>
          <t>RIYADH NURSERY</t>
        </is>
      </c>
      <c r="E127" s="23" t="n"/>
      <c r="F127" s="25" t="n">
        <v>409.57</v>
      </c>
      <c r="G127" s="23" t="n">
        <v>15</v>
      </c>
      <c r="H127" s="25" t="n">
        <v>471</v>
      </c>
      <c r="I127" s="23" t="inlineStr">
        <is>
          <t>نعم</t>
        </is>
      </c>
      <c r="J127" s="23" t="inlineStr">
        <is>
          <t>مزرعة الرياض (عهدة/صندوق)</t>
        </is>
      </c>
      <c r="K127" s="23" t="inlineStr">
        <is>
          <t>مصروفات إدارية وأخرى</t>
        </is>
      </c>
      <c r="L127" s="23" t="inlineStr"/>
    </row>
    <row r="128">
      <c r="A128" s="23" t="n">
        <v>127</v>
      </c>
      <c r="B128" s="24" t="n">
        <v>45932</v>
      </c>
      <c r="C128" s="23" t="inlineStr">
        <is>
          <t>شركة سائح لى للبلاستيك المحدوده</t>
        </is>
      </c>
      <c r="D128" s="23" t="inlineStr">
        <is>
          <t>RIYADH NURSERY  PO-929</t>
        </is>
      </c>
      <c r="E128" s="23" t="n"/>
      <c r="F128" s="25" t="n">
        <v>1965.6</v>
      </c>
      <c r="G128" s="23" t="n">
        <v>15</v>
      </c>
      <c r="H128" s="25" t="n">
        <v>2260.44</v>
      </c>
      <c r="I128" s="23" t="inlineStr">
        <is>
          <t>نعم</t>
        </is>
      </c>
      <c r="J128" s="23" t="inlineStr">
        <is>
          <t>مزرعة الرياض (عهدة/صندوق)</t>
        </is>
      </c>
      <c r="K128" s="23" t="inlineStr">
        <is>
          <t>مستلزمات إنتاج (مراكن/فلين/مفارش)</t>
        </is>
      </c>
      <c r="L128" s="23" t="inlineStr"/>
    </row>
    <row r="129">
      <c r="A129" s="23" t="n">
        <v>128</v>
      </c>
      <c r="B129" s="24" t="n">
        <v>45935</v>
      </c>
      <c r="C129" s="23" t="inlineStr">
        <is>
          <t>شركة الجزيرة الحديثة الزراعية</t>
        </is>
      </c>
      <c r="D129" s="23" t="inlineStr">
        <is>
          <t>WHK-2364</t>
        </is>
      </c>
      <c r="E129" s="23" t="inlineStr">
        <is>
          <t>مرفق طلب التوريد</t>
        </is>
      </c>
      <c r="F129" s="25" t="n">
        <v>36956.52</v>
      </c>
      <c r="G129" s="23" t="n">
        <v>15</v>
      </c>
      <c r="H129" s="25" t="n">
        <v>42500</v>
      </c>
      <c r="I129" s="23" t="inlineStr">
        <is>
          <t>نعم</t>
        </is>
      </c>
      <c r="J129" s="23" t="inlineStr">
        <is>
          <t>مزرعة الرياض (عهدة/صندوق)</t>
        </is>
      </c>
      <c r="K129" s="23" t="inlineStr">
        <is>
          <t>مشتريات زهور لعقد عرعر (WHK-2364)</t>
        </is>
      </c>
      <c r="L129" s="23" t="inlineStr">
        <is>
          <t>تكلفة زهور مشتراة لتوريد عقد عرعر لأبو خالد</t>
        </is>
      </c>
    </row>
    <row r="130">
      <c r="A130" s="23" t="n">
        <v>129</v>
      </c>
      <c r="B130" s="24" t="n">
        <v>45935</v>
      </c>
      <c r="C130" s="23" t="inlineStr">
        <is>
          <t>اللوازم المكتبية</t>
        </is>
      </c>
      <c r="D130" s="23" t="inlineStr">
        <is>
          <t>RIYADH NURSERY</t>
        </is>
      </c>
      <c r="E130" s="23" t="inlineStr">
        <is>
          <t>شراء ادوات للطبخ</t>
        </is>
      </c>
      <c r="F130" s="25" t="n">
        <v>224.35</v>
      </c>
      <c r="G130" s="23" t="n">
        <v>15</v>
      </c>
      <c r="H130" s="25" t="n">
        <v>258</v>
      </c>
      <c r="I130" s="23" t="inlineStr">
        <is>
          <t>نعم</t>
        </is>
      </c>
      <c r="J130" s="23" t="inlineStr">
        <is>
          <t>مزرعة الرياض (عهدة/صندوق)</t>
        </is>
      </c>
      <c r="K130" s="23" t="inlineStr">
        <is>
          <t>مصروفات إدارية وأخرى</t>
        </is>
      </c>
      <c r="L130" s="23" t="inlineStr"/>
    </row>
    <row r="131">
      <c r="A131" s="23" t="n">
        <v>130</v>
      </c>
      <c r="B131" s="24" t="n">
        <v>45935</v>
      </c>
      <c r="C131" s="23" t="inlineStr">
        <is>
          <t>شركة سائح لى للبلاستيك المحدوده</t>
        </is>
      </c>
      <c r="D131" s="23" t="inlineStr">
        <is>
          <t>RIYADH NURSERY</t>
        </is>
      </c>
      <c r="E131" s="23" t="inlineStr">
        <is>
          <t>شراء صناديق فلين</t>
        </is>
      </c>
      <c r="F131" s="25" t="n">
        <v>1780.8</v>
      </c>
      <c r="G131" s="23" t="n">
        <v>15</v>
      </c>
      <c r="H131" s="25" t="n">
        <v>2047.92</v>
      </c>
      <c r="I131" s="23" t="inlineStr">
        <is>
          <t>نعم</t>
        </is>
      </c>
      <c r="J131" s="23" t="inlineStr">
        <is>
          <t>مزرعة الرياض (عهدة/صندوق)</t>
        </is>
      </c>
      <c r="K131" s="23" t="inlineStr">
        <is>
          <t>مستلزمات إنتاج (مراكن/فلين/مفارش)</t>
        </is>
      </c>
      <c r="L131" s="23" t="inlineStr"/>
    </row>
    <row r="132">
      <c r="A132" s="36" t="n">
        <v>131</v>
      </c>
      <c r="B132" s="37" t="n">
        <v>45935</v>
      </c>
      <c r="C132" s="36" t="inlineStr">
        <is>
          <t>شركة سائح لى للبلاستيك المحدوده</t>
        </is>
      </c>
      <c r="D132" s="36" t="inlineStr">
        <is>
          <t>RIYADH NURSERY</t>
        </is>
      </c>
      <c r="E132" s="36" t="n"/>
      <c r="F132" s="38" t="n">
        <v>1965.6</v>
      </c>
      <c r="G132" s="36" t="n">
        <v>15</v>
      </c>
      <c r="H132" s="38" t="n">
        <v>2260.44</v>
      </c>
      <c r="I132" s="36" t="inlineStr">
        <is>
          <t>نعم</t>
        </is>
      </c>
      <c r="J132" s="36" t="inlineStr">
        <is>
          <t>مزرعة الرياض (عهدة/صندوق)</t>
        </is>
      </c>
      <c r="K132" s="36" t="inlineStr">
        <is>
          <t>مستلزمات إنتاج (مراكن/فلين/مفارش)</t>
        </is>
      </c>
      <c r="L132" s="36" t="inlineStr">
        <is>
          <t>⚠ نفس المورد ونفس التاريخ ونفس القيمة مكرر – يلزم التأكد</t>
        </is>
      </c>
    </row>
    <row r="133">
      <c r="A133" s="36" t="n">
        <v>132</v>
      </c>
      <c r="B133" s="37" t="n">
        <v>45935</v>
      </c>
      <c r="C133" s="36" t="inlineStr">
        <is>
          <t>شركة سائح لى للبلاستيك المحدوده</t>
        </is>
      </c>
      <c r="D133" s="36" t="inlineStr">
        <is>
          <t>RIYADH NURSERY</t>
        </is>
      </c>
      <c r="E133" s="36" t="n"/>
      <c r="F133" s="38" t="n">
        <v>1965.6</v>
      </c>
      <c r="G133" s="36" t="n">
        <v>15</v>
      </c>
      <c r="H133" s="38" t="n">
        <v>2260.44</v>
      </c>
      <c r="I133" s="36" t="inlineStr">
        <is>
          <t>نعم</t>
        </is>
      </c>
      <c r="J133" s="36" t="inlineStr">
        <is>
          <t>مزرعة الرياض (عهدة/صندوق)</t>
        </is>
      </c>
      <c r="K133" s="36" t="inlineStr">
        <is>
          <t>مستلزمات إنتاج (مراكن/فلين/مفارش)</t>
        </is>
      </c>
      <c r="L133" s="36" t="inlineStr">
        <is>
          <t>⚠ نفس المورد ونفس التاريخ ونفس القيمة مكرر – يلزم التأكد</t>
        </is>
      </c>
    </row>
    <row r="134">
      <c r="A134" s="36" t="n">
        <v>133</v>
      </c>
      <c r="B134" s="37" t="n">
        <v>45935</v>
      </c>
      <c r="C134" s="36" t="inlineStr">
        <is>
          <t>شركة سائح لى للبلاستيك المحدوده</t>
        </is>
      </c>
      <c r="D134" s="36" t="inlineStr">
        <is>
          <t>RIYADH NURSERY</t>
        </is>
      </c>
      <c r="E134" s="36" t="n"/>
      <c r="F134" s="38" t="n">
        <v>1965.6</v>
      </c>
      <c r="G134" s="36" t="n">
        <v>15</v>
      </c>
      <c r="H134" s="38" t="n">
        <v>2260.44</v>
      </c>
      <c r="I134" s="36" t="inlineStr">
        <is>
          <t>نعم</t>
        </is>
      </c>
      <c r="J134" s="36" t="inlineStr">
        <is>
          <t>مزرعة الرياض (عهدة/صندوق)</t>
        </is>
      </c>
      <c r="K134" s="36" t="inlineStr">
        <is>
          <t>مستلزمات إنتاج (مراكن/فلين/مفارش)</t>
        </is>
      </c>
      <c r="L134" s="36" t="inlineStr">
        <is>
          <t>⚠ نفس المورد ونفس التاريخ ونفس القيمة مكرر – يلزم التأكد</t>
        </is>
      </c>
    </row>
    <row r="135">
      <c r="A135" s="23" t="n">
        <v>134</v>
      </c>
      <c r="B135" s="24" t="n">
        <v>45936</v>
      </c>
      <c r="C135" s="23" t="inlineStr">
        <is>
          <t>مؤسسة تلال الربيع للمفارش</t>
        </is>
      </c>
      <c r="D135" s="23" t="inlineStr">
        <is>
          <t>RIYADH NURSERY</t>
        </is>
      </c>
      <c r="E135" s="23" t="n"/>
      <c r="F135" s="25" t="n">
        <v>105</v>
      </c>
      <c r="G135" s="23" t="n">
        <v>15</v>
      </c>
      <c r="H135" s="25" t="n">
        <v>120.75</v>
      </c>
      <c r="I135" s="23" t="inlineStr">
        <is>
          <t>نعم</t>
        </is>
      </c>
      <c r="J135" s="23" t="inlineStr">
        <is>
          <t>مزرعة الرياض (عهدة/صندوق)</t>
        </is>
      </c>
      <c r="K135" s="23" t="inlineStr">
        <is>
          <t>مصروفات إدارية وأخرى</t>
        </is>
      </c>
      <c r="L135" s="23" t="inlineStr"/>
    </row>
    <row r="136">
      <c r="A136" s="23" t="n">
        <v>135</v>
      </c>
      <c r="B136" s="24" t="n">
        <v>45936</v>
      </c>
      <c r="C136" s="23" t="inlineStr">
        <is>
          <t>ورشة زهرة الجنادل</t>
        </is>
      </c>
      <c r="D136" s="23" t="inlineStr">
        <is>
          <t>RIYADH NURSERY</t>
        </is>
      </c>
      <c r="E136" s="23" t="n"/>
      <c r="F136" s="25" t="n">
        <v>147.83</v>
      </c>
      <c r="G136" s="23" t="n">
        <v>15</v>
      </c>
      <c r="H136" s="25" t="n">
        <v>170</v>
      </c>
      <c r="I136" s="23" t="inlineStr">
        <is>
          <t>نعم</t>
        </is>
      </c>
      <c r="J136" s="23" t="inlineStr">
        <is>
          <t>مزرعة الرياض (عهدة/صندوق)</t>
        </is>
      </c>
      <c r="K136" s="23" t="inlineStr">
        <is>
          <t>صيانة سيارات ومعدات</t>
        </is>
      </c>
      <c r="L136" s="23" t="inlineStr"/>
    </row>
    <row r="137">
      <c r="A137" s="23" t="n">
        <v>136</v>
      </c>
      <c r="B137" s="24" t="n">
        <v>45936</v>
      </c>
      <c r="C137" s="23" t="inlineStr">
        <is>
          <t>شركة سائح لى للبلاستيك المحدوده</t>
        </is>
      </c>
      <c r="D137" s="23" t="inlineStr">
        <is>
          <t>RIYADH NURSERY</t>
        </is>
      </c>
      <c r="E137" s="23" t="n"/>
      <c r="F137" s="25" t="n">
        <v>1965.6</v>
      </c>
      <c r="G137" s="23" t="n">
        <v>15</v>
      </c>
      <c r="H137" s="25" t="n">
        <v>2260.44</v>
      </c>
      <c r="I137" s="23" t="inlineStr">
        <is>
          <t>نعم</t>
        </is>
      </c>
      <c r="J137" s="23" t="inlineStr">
        <is>
          <t>مزرعة الرياض (عهدة/صندوق)</t>
        </is>
      </c>
      <c r="K137" s="23" t="inlineStr">
        <is>
          <t>مستلزمات إنتاج (مراكن/فلين/مفارش)</t>
        </is>
      </c>
      <c r="L137" s="23" t="inlineStr"/>
    </row>
    <row r="138">
      <c r="A138" s="23" t="n">
        <v>137</v>
      </c>
      <c r="B138" s="24" t="n">
        <v>45936</v>
      </c>
      <c r="C138" s="23" t="inlineStr">
        <is>
          <t>الوقود</t>
        </is>
      </c>
      <c r="D138" s="23" t="inlineStr">
        <is>
          <t>RIYADH NURSERY</t>
        </is>
      </c>
      <c r="E138" s="23" t="n"/>
      <c r="F138" s="25" t="n">
        <v>217.39</v>
      </c>
      <c r="G138" s="23" t="n">
        <v>15</v>
      </c>
      <c r="H138" s="25" t="n">
        <v>250</v>
      </c>
      <c r="I138" s="23" t="inlineStr">
        <is>
          <t>نعم</t>
        </is>
      </c>
      <c r="J138" s="23" t="inlineStr">
        <is>
          <t>مزرعة الرياض (عهدة/صندوق)</t>
        </is>
      </c>
      <c r="K138" s="23" t="inlineStr">
        <is>
          <t>وقود</t>
        </is>
      </c>
      <c r="L138" s="23" t="inlineStr"/>
    </row>
    <row r="139">
      <c r="A139" s="23" t="n">
        <v>138</v>
      </c>
      <c r="B139" s="24" t="n">
        <v>45936</v>
      </c>
      <c r="C139" s="23" t="inlineStr">
        <is>
          <t>الوقود</t>
        </is>
      </c>
      <c r="D139" s="23" t="inlineStr">
        <is>
          <t>RIYADH NURSERY</t>
        </is>
      </c>
      <c r="E139" s="23" t="n"/>
      <c r="F139" s="25" t="n">
        <v>173.91</v>
      </c>
      <c r="G139" s="23" t="n">
        <v>15</v>
      </c>
      <c r="H139" s="25" t="n">
        <v>200</v>
      </c>
      <c r="I139" s="23" t="inlineStr">
        <is>
          <t>نعم</t>
        </is>
      </c>
      <c r="J139" s="23" t="inlineStr">
        <is>
          <t>مزرعة الرياض (عهدة/صندوق)</t>
        </is>
      </c>
      <c r="K139" s="23" t="inlineStr">
        <is>
          <t>وقود</t>
        </is>
      </c>
      <c r="L139" s="23" t="inlineStr"/>
    </row>
    <row r="140">
      <c r="A140" s="23" t="n">
        <v>139</v>
      </c>
      <c r="B140" s="24" t="n">
        <v>45938</v>
      </c>
      <c r="C140" s="23" t="inlineStr">
        <is>
          <t>صيانة</t>
        </is>
      </c>
      <c r="D140" s="23" t="inlineStr">
        <is>
          <t>RIYADH NURSERY</t>
        </is>
      </c>
      <c r="E140" s="23" t="n"/>
      <c r="F140" s="25" t="n">
        <v>26.09</v>
      </c>
      <c r="G140" s="23" t="n">
        <v>15</v>
      </c>
      <c r="H140" s="25" t="n">
        <v>30</v>
      </c>
      <c r="I140" s="23" t="inlineStr">
        <is>
          <t>نعم</t>
        </is>
      </c>
      <c r="J140" s="23" t="inlineStr">
        <is>
          <t>مزرعة الرياض (عهدة/صندوق)</t>
        </is>
      </c>
      <c r="K140" s="23" t="inlineStr">
        <is>
          <t>صيانة وإنشاءات المزرعة</t>
        </is>
      </c>
      <c r="L140" s="23" t="inlineStr"/>
    </row>
    <row r="141">
      <c r="A141" s="23" t="n">
        <v>140</v>
      </c>
      <c r="B141" s="24" t="n">
        <v>45938</v>
      </c>
      <c r="C141" s="23" t="inlineStr">
        <is>
          <t>إصلاحات</t>
        </is>
      </c>
      <c r="D141" s="23" t="inlineStr">
        <is>
          <t>RIYADH NURSERY</t>
        </is>
      </c>
      <c r="E141" s="23" t="inlineStr">
        <is>
          <t>300 ريال ايجار لودر يطلع</t>
        </is>
      </c>
      <c r="F141" s="25" t="n">
        <v>260.87</v>
      </c>
      <c r="G141" s="23" t="n">
        <v>15</v>
      </c>
      <c r="H141" s="25" t="n">
        <v>300</v>
      </c>
      <c r="I141" s="23" t="inlineStr">
        <is>
          <t>نعم</t>
        </is>
      </c>
      <c r="J141" s="23" t="inlineStr">
        <is>
          <t>مزرعة الرياض (عهدة/صندوق)</t>
        </is>
      </c>
      <c r="K141" s="23" t="inlineStr">
        <is>
          <t>مصروفات إدارية وأخرى</t>
        </is>
      </c>
      <c r="L141" s="23" t="inlineStr"/>
    </row>
    <row r="142">
      <c r="A142" s="23" t="n">
        <v>141</v>
      </c>
      <c r="B142" s="24" t="n">
        <v>45939</v>
      </c>
      <c r="C142" s="23" t="inlineStr">
        <is>
          <t>شركة الجزيرة الحديثة الزراعية</t>
        </is>
      </c>
      <c r="D142" s="23" t="inlineStr">
        <is>
          <t>WHK-2364</t>
        </is>
      </c>
      <c r="E142" s="23" t="inlineStr">
        <is>
          <t>مرفق طلب التوريد</t>
        </is>
      </c>
      <c r="F142" s="25" t="n">
        <v>34173.91</v>
      </c>
      <c r="G142" s="23" t="n">
        <v>15</v>
      </c>
      <c r="H142" s="25" t="n">
        <v>39300</v>
      </c>
      <c r="I142" s="23" t="inlineStr">
        <is>
          <t>نعم</t>
        </is>
      </c>
      <c r="J142" s="23" t="inlineStr">
        <is>
          <t>مزرعة الرياض (عهدة/صندوق)</t>
        </is>
      </c>
      <c r="K142" s="23" t="inlineStr">
        <is>
          <t>مشتريات زهور لعقد عرعر (WHK-2364)</t>
        </is>
      </c>
      <c r="L142" s="23" t="inlineStr">
        <is>
          <t>تكلفة زهور مشتراة لتوريد عقد عرعر لأبو خالد</t>
        </is>
      </c>
    </row>
    <row r="143">
      <c r="A143" s="23" t="n">
        <v>142</v>
      </c>
      <c r="B143" s="24" t="n">
        <v>45939</v>
      </c>
      <c r="C143" s="23" t="inlineStr">
        <is>
          <t>شركة امجاد الخليج</t>
        </is>
      </c>
      <c r="D143" s="23" t="inlineStr">
        <is>
          <t>RIYADH NURSERY</t>
        </is>
      </c>
      <c r="E143" s="23" t="inlineStr">
        <is>
          <t>51000 مركن 12 تم تعديل سع</t>
        </is>
      </c>
      <c r="F143" s="25" t="n">
        <v>8160</v>
      </c>
      <c r="G143" s="23" t="n">
        <v>0</v>
      </c>
      <c r="H143" s="25" t="n">
        <v>8160</v>
      </c>
      <c r="I143" s="23" t="inlineStr">
        <is>
          <t>نعم</t>
        </is>
      </c>
      <c r="J143" s="23" t="inlineStr">
        <is>
          <t>مزرعة الرياض (عهدة/صندوق)</t>
        </is>
      </c>
      <c r="K143" s="23" t="inlineStr">
        <is>
          <t>مصروفات إدارية وأخرى</t>
        </is>
      </c>
      <c r="L143" s="23" t="inlineStr"/>
    </row>
    <row r="144">
      <c r="A144" s="23" t="n">
        <v>143</v>
      </c>
      <c r="B144" s="24" t="n">
        <v>45939</v>
      </c>
      <c r="C144" s="23" t="inlineStr">
        <is>
          <t>الوقود</t>
        </is>
      </c>
      <c r="D144" s="23" t="inlineStr">
        <is>
          <t>RIYADH NURSERY</t>
        </is>
      </c>
      <c r="E144" s="23" t="n"/>
      <c r="F144" s="25" t="n">
        <v>30.43</v>
      </c>
      <c r="G144" s="23" t="n">
        <v>15</v>
      </c>
      <c r="H144" s="25" t="n">
        <v>35</v>
      </c>
      <c r="I144" s="23" t="inlineStr">
        <is>
          <t>نعم</t>
        </is>
      </c>
      <c r="J144" s="23" t="inlineStr">
        <is>
          <t>مزرعة الرياض (عهدة/صندوق)</t>
        </is>
      </c>
      <c r="K144" s="23" t="inlineStr">
        <is>
          <t>وقود</t>
        </is>
      </c>
      <c r="L144" s="23" t="inlineStr"/>
    </row>
    <row r="145">
      <c r="A145" s="23" t="n">
        <v>144</v>
      </c>
      <c r="B145" s="24" t="n">
        <v>45939</v>
      </c>
      <c r="C145" s="23" t="inlineStr">
        <is>
          <t>شركة محمد مبارك المسعودى للتجاره</t>
        </is>
      </c>
      <c r="D145" s="23" t="inlineStr">
        <is>
          <t>RIYADH NURSERY</t>
        </is>
      </c>
      <c r="E145" s="23" t="inlineStr">
        <is>
          <t>شراء ثلاجه وفريزر</t>
        </is>
      </c>
      <c r="F145" s="25" t="n">
        <v>1478.26</v>
      </c>
      <c r="G145" s="23" t="n">
        <v>15</v>
      </c>
      <c r="H145" s="25" t="n">
        <v>1700</v>
      </c>
      <c r="I145" s="23" t="inlineStr">
        <is>
          <t>نعم</t>
        </is>
      </c>
      <c r="J145" s="23" t="inlineStr">
        <is>
          <t>مزرعة الرياض (عهدة/صندوق)</t>
        </is>
      </c>
      <c r="K145" s="23" t="inlineStr">
        <is>
          <t>مصروفات إدارية وأخرى</t>
        </is>
      </c>
      <c r="L145" s="23" t="inlineStr"/>
    </row>
    <row r="146">
      <c r="A146" s="23" t="n">
        <v>145</v>
      </c>
      <c r="B146" s="24" t="n">
        <v>45940</v>
      </c>
      <c r="C146" s="23" t="inlineStr">
        <is>
          <t>البرمجيات</t>
        </is>
      </c>
      <c r="D146" s="23" t="inlineStr">
        <is>
          <t>RIYADH NURSERY</t>
        </is>
      </c>
      <c r="E146" s="23" t="n"/>
      <c r="F146" s="25" t="n">
        <v>891.3</v>
      </c>
      <c r="G146" s="23" t="n">
        <v>15</v>
      </c>
      <c r="H146" s="25" t="n">
        <v>1025</v>
      </c>
      <c r="I146" s="23" t="inlineStr">
        <is>
          <t>نعم</t>
        </is>
      </c>
      <c r="J146" s="23" t="inlineStr">
        <is>
          <t>مزرعة الرياض (عهدة/صندوق)</t>
        </is>
      </c>
      <c r="K146" s="23" t="inlineStr">
        <is>
          <t>مصروفات إدارية وأخرى</t>
        </is>
      </c>
      <c r="L146" s="23" t="inlineStr"/>
    </row>
    <row r="147">
      <c r="A147" s="23" t="n">
        <v>146</v>
      </c>
      <c r="B147" s="24" t="n">
        <v>45940</v>
      </c>
      <c r="C147" s="23" t="inlineStr">
        <is>
          <t>شركة زهور المدينة التجارية</t>
        </is>
      </c>
      <c r="D147" s="23" t="inlineStr">
        <is>
          <t>RIYADH NURSERY</t>
        </is>
      </c>
      <c r="E147" s="23" t="n"/>
      <c r="F147" s="25" t="n">
        <v>686.96</v>
      </c>
      <c r="G147" s="23" t="n">
        <v>15</v>
      </c>
      <c r="H147" s="25" t="n">
        <v>790</v>
      </c>
      <c r="I147" s="23" t="inlineStr">
        <is>
          <t>نعم</t>
        </is>
      </c>
      <c r="J147" s="23" t="inlineStr">
        <is>
          <t>مزرعة الرياض (عهدة/صندوق)</t>
        </is>
      </c>
      <c r="K147" s="23" t="inlineStr">
        <is>
          <t>مصروفات إدارية وأخرى</t>
        </is>
      </c>
      <c r="L147" s="23" t="inlineStr"/>
    </row>
    <row r="148">
      <c r="A148" s="23" t="n">
        <v>147</v>
      </c>
      <c r="B148" s="24" t="n">
        <v>45940</v>
      </c>
      <c r="C148" s="23" t="inlineStr">
        <is>
          <t>ينابع المئويه لتحلية المياه</t>
        </is>
      </c>
      <c r="D148" s="23" t="inlineStr">
        <is>
          <t>RIYADH NURSERY</t>
        </is>
      </c>
      <c r="E148" s="23" t="n"/>
      <c r="F148" s="25" t="n">
        <v>52.17</v>
      </c>
      <c r="G148" s="23" t="n">
        <v>15</v>
      </c>
      <c r="H148" s="25" t="n">
        <v>60</v>
      </c>
      <c r="I148" s="23" t="inlineStr">
        <is>
          <t>نعم</t>
        </is>
      </c>
      <c r="J148" s="23" t="inlineStr">
        <is>
          <t>مزرعة الرياض (عهدة/صندوق)</t>
        </is>
      </c>
      <c r="K148" s="23" t="inlineStr">
        <is>
          <t>خدمات (كهرباء/مياه/اتصالات)</t>
        </is>
      </c>
      <c r="L148" s="23" t="inlineStr"/>
    </row>
    <row r="149">
      <c r="A149" s="23" t="n">
        <v>148</v>
      </c>
      <c r="B149" s="24" t="n">
        <v>45940</v>
      </c>
      <c r="C149" s="23" t="inlineStr">
        <is>
          <t>الوقود</t>
        </is>
      </c>
      <c r="D149" s="23" t="inlineStr">
        <is>
          <t>RIYADH NURSERY</t>
        </is>
      </c>
      <c r="E149" s="23" t="n"/>
      <c r="F149" s="25" t="n">
        <v>30.45</v>
      </c>
      <c r="G149" s="23" t="n">
        <v>15</v>
      </c>
      <c r="H149" s="25" t="n">
        <v>35.02</v>
      </c>
      <c r="I149" s="23" t="inlineStr">
        <is>
          <t>نعم</t>
        </is>
      </c>
      <c r="J149" s="23" t="inlineStr">
        <is>
          <t>مزرعة الرياض (عهدة/صندوق)</t>
        </is>
      </c>
      <c r="K149" s="23" t="inlineStr">
        <is>
          <t>وقود</t>
        </is>
      </c>
      <c r="L149" s="23" t="inlineStr"/>
    </row>
    <row r="150">
      <c r="A150" s="23" t="n">
        <v>149</v>
      </c>
      <c r="B150" s="24" t="n">
        <v>45940</v>
      </c>
      <c r="C150" s="23" t="inlineStr">
        <is>
          <t>الوقود</t>
        </is>
      </c>
      <c r="D150" s="23" t="inlineStr">
        <is>
          <t>RIYADH NURSERY</t>
        </is>
      </c>
      <c r="E150" s="23" t="n"/>
      <c r="F150" s="25" t="n">
        <v>204.35</v>
      </c>
      <c r="G150" s="23" t="n">
        <v>15</v>
      </c>
      <c r="H150" s="25" t="n">
        <v>235</v>
      </c>
      <c r="I150" s="23" t="inlineStr">
        <is>
          <t>نعم</t>
        </is>
      </c>
      <c r="J150" s="23" t="inlineStr">
        <is>
          <t>مزرعة الرياض (عهدة/صندوق)</t>
        </is>
      </c>
      <c r="K150" s="23" t="inlineStr">
        <is>
          <t>وقود</t>
        </is>
      </c>
      <c r="L150" s="23" t="inlineStr"/>
    </row>
    <row r="151">
      <c r="A151" s="23" t="n">
        <v>150</v>
      </c>
      <c r="B151" s="24" t="n">
        <v>45941</v>
      </c>
      <c r="C151" s="23" t="inlineStr">
        <is>
          <t>مصنع شركة سانح لى للبلاستيك</t>
        </is>
      </c>
      <c r="D151" s="23" t="inlineStr">
        <is>
          <t>RIYADH NURSERY-PO955</t>
        </is>
      </c>
      <c r="E151" s="23" t="n"/>
      <c r="F151" s="25" t="n">
        <v>1965.6</v>
      </c>
      <c r="G151" s="23" t="n">
        <v>15</v>
      </c>
      <c r="H151" s="25" t="n">
        <v>2260.44</v>
      </c>
      <c r="I151" s="23" t="inlineStr">
        <is>
          <t>نعم</t>
        </is>
      </c>
      <c r="J151" s="23" t="inlineStr">
        <is>
          <t>مزرعة الرياض (عهدة/صندوق)</t>
        </is>
      </c>
      <c r="K151" s="23" t="inlineStr">
        <is>
          <t>مستلزمات إنتاج (مراكن/فلين/مفارش)</t>
        </is>
      </c>
      <c r="L151" s="23" t="inlineStr"/>
    </row>
    <row r="152">
      <c r="A152" s="23" t="n">
        <v>151</v>
      </c>
      <c r="B152" s="24" t="n">
        <v>45942</v>
      </c>
      <c r="C152" s="23" t="inlineStr">
        <is>
          <t>رواتب</t>
        </is>
      </c>
      <c r="D152" s="23" t="inlineStr">
        <is>
          <t>RIYADH NURSERY</t>
        </is>
      </c>
      <c r="E152" s="23" t="n"/>
      <c r="F152" s="25" t="n">
        <v>19565.22</v>
      </c>
      <c r="G152" s="23" t="n">
        <v>15</v>
      </c>
      <c r="H152" s="25" t="n">
        <v>22500</v>
      </c>
      <c r="I152" s="23" t="inlineStr">
        <is>
          <t>نعم</t>
        </is>
      </c>
      <c r="J152" s="23" t="inlineStr">
        <is>
          <t>مزرعة الرياض (عهدة/صندوق)</t>
        </is>
      </c>
      <c r="K152" s="23" t="inlineStr">
        <is>
          <t>رواتب وعمولات</t>
        </is>
      </c>
      <c r="L152" s="23" t="inlineStr"/>
    </row>
    <row r="153">
      <c r="A153" s="23" t="n">
        <v>152</v>
      </c>
      <c r="B153" s="24" t="n">
        <v>45942</v>
      </c>
      <c r="C153" s="23" t="inlineStr">
        <is>
          <t>رواتب</t>
        </is>
      </c>
      <c r="D153" s="23" t="inlineStr">
        <is>
          <t>RIYADH NURSERY</t>
        </is>
      </c>
      <c r="E153" s="23" t="n"/>
      <c r="F153" s="25" t="n">
        <v>20388.7</v>
      </c>
      <c r="G153" s="23" t="n">
        <v>15</v>
      </c>
      <c r="H153" s="25" t="n">
        <v>23447</v>
      </c>
      <c r="I153" s="23" t="inlineStr">
        <is>
          <t>نعم</t>
        </is>
      </c>
      <c r="J153" s="23" t="inlineStr">
        <is>
          <t>مزرعة الرياض (عهدة/صندوق)</t>
        </is>
      </c>
      <c r="K153" s="23" t="inlineStr">
        <is>
          <t>رواتب وعمولات</t>
        </is>
      </c>
      <c r="L153" s="23" t="inlineStr"/>
    </row>
    <row r="154">
      <c r="A154" s="23" t="n">
        <v>153</v>
      </c>
      <c r="B154" s="24" t="n">
        <v>45942</v>
      </c>
      <c r="C154" s="23" t="inlineStr">
        <is>
          <t>مصنع شركة سانح لى للبلاستيك</t>
        </is>
      </c>
      <c r="D154" s="23" t="inlineStr">
        <is>
          <t>RIYADH NURSERY-PO958</t>
        </is>
      </c>
      <c r="E154" s="23" t="n"/>
      <c r="F154" s="25" t="n">
        <v>1965.6</v>
      </c>
      <c r="G154" s="23" t="n">
        <v>15</v>
      </c>
      <c r="H154" s="25" t="n">
        <v>2260.44</v>
      </c>
      <c r="I154" s="23" t="inlineStr">
        <is>
          <t>نعم</t>
        </is>
      </c>
      <c r="J154" s="23" t="inlineStr">
        <is>
          <t>مزرعة الرياض (عهدة/صندوق)</t>
        </is>
      </c>
      <c r="K154" s="23" t="inlineStr">
        <is>
          <t>مستلزمات إنتاج (مراكن/فلين/مفارش)</t>
        </is>
      </c>
      <c r="L154" s="23" t="inlineStr"/>
    </row>
    <row r="155">
      <c r="A155" s="23" t="n">
        <v>154</v>
      </c>
      <c r="B155" s="24" t="n">
        <v>45942</v>
      </c>
      <c r="C155" s="23" t="inlineStr">
        <is>
          <t>HETA NURSERYS</t>
        </is>
      </c>
      <c r="D155" s="23" t="inlineStr">
        <is>
          <t>RIYADH NURSERY - PO959</t>
        </is>
      </c>
      <c r="E155" s="23" t="n"/>
      <c r="F155" s="25" t="n">
        <v>4065.22</v>
      </c>
      <c r="G155" s="23" t="n">
        <v>15</v>
      </c>
      <c r="H155" s="25" t="n">
        <v>4675</v>
      </c>
      <c r="I155" s="23" t="inlineStr">
        <is>
          <t>نعم</t>
        </is>
      </c>
      <c r="J155" s="23" t="inlineStr">
        <is>
          <t>مزرعة الرياض (عهدة/صندوق)</t>
        </is>
      </c>
      <c r="K155" s="23" t="inlineStr">
        <is>
          <t>مشتريات نباتات وبذور</t>
        </is>
      </c>
      <c r="L155" s="23" t="inlineStr"/>
    </row>
    <row r="156">
      <c r="A156" s="23" t="n">
        <v>155</v>
      </c>
      <c r="B156" s="24" t="n">
        <v>45942</v>
      </c>
      <c r="C156" s="23" t="inlineStr">
        <is>
          <t>HETA NURSERYS</t>
        </is>
      </c>
      <c r="D156" s="23" t="inlineStr">
        <is>
          <t>RIYADH NURSERY-PO956</t>
        </is>
      </c>
      <c r="E156" s="23" t="n"/>
      <c r="F156" s="25" t="n">
        <v>11920.65</v>
      </c>
      <c r="G156" s="23" t="n">
        <v>15</v>
      </c>
      <c r="H156" s="25" t="n">
        <v>13708.75</v>
      </c>
      <c r="I156" s="23" t="inlineStr">
        <is>
          <t>نعم</t>
        </is>
      </c>
      <c r="J156" s="23" t="inlineStr">
        <is>
          <t>مزرعة الرياض (عهدة/صندوق)</t>
        </is>
      </c>
      <c r="K156" s="23" t="inlineStr">
        <is>
          <t>مشتريات نباتات وبذور</t>
        </is>
      </c>
      <c r="L156" s="23" t="inlineStr"/>
    </row>
    <row r="157">
      <c r="A157" s="23" t="n">
        <v>156</v>
      </c>
      <c r="B157" s="24" t="n">
        <v>45942</v>
      </c>
      <c r="C157" s="23" t="inlineStr">
        <is>
          <t>موسسة الدلتا الخضراء للتجاره</t>
        </is>
      </c>
      <c r="D157" s="23" t="inlineStr">
        <is>
          <t>RIYADH NURSERY</t>
        </is>
      </c>
      <c r="E157" s="23" t="n"/>
      <c r="F157" s="25" t="n">
        <v>515</v>
      </c>
      <c r="G157" s="23" t="n">
        <v>15</v>
      </c>
      <c r="H157" s="25" t="n">
        <v>592.25</v>
      </c>
      <c r="I157" s="23" t="inlineStr">
        <is>
          <t>نعم</t>
        </is>
      </c>
      <c r="J157" s="23" t="inlineStr">
        <is>
          <t>مزرعة الرياض (عهدة/صندوق)</t>
        </is>
      </c>
      <c r="K157" s="23" t="inlineStr">
        <is>
          <t>مشتريات نباتات وبذور</t>
        </is>
      </c>
      <c r="L157" s="23" t="inlineStr"/>
    </row>
    <row r="158">
      <c r="A158" s="23" t="n">
        <v>157</v>
      </c>
      <c r="B158" s="24" t="n">
        <v>45943</v>
      </c>
      <c r="C158" s="23" t="inlineStr">
        <is>
          <t>هاتف الموبايل</t>
        </is>
      </c>
      <c r="D158" s="23" t="inlineStr">
        <is>
          <t>RIYADH NURSERY</t>
        </is>
      </c>
      <c r="E158" s="23" t="inlineStr">
        <is>
          <t>شحن جوال عصمت</t>
        </is>
      </c>
      <c r="F158" s="25" t="n">
        <v>100</v>
      </c>
      <c r="G158" s="23" t="n">
        <v>15</v>
      </c>
      <c r="H158" s="25" t="n">
        <v>115</v>
      </c>
      <c r="I158" s="23" t="inlineStr">
        <is>
          <t>نعم</t>
        </is>
      </c>
      <c r="J158" s="23" t="inlineStr">
        <is>
          <t>مزرعة الرياض (عهدة/صندوق)</t>
        </is>
      </c>
      <c r="K158" s="23" t="inlineStr">
        <is>
          <t>خدمات (كهرباء/مياه/اتصالات)</t>
        </is>
      </c>
      <c r="L158" s="23" t="inlineStr"/>
    </row>
    <row r="159">
      <c r="A159" s="23" t="n">
        <v>158</v>
      </c>
      <c r="B159" s="24" t="n">
        <v>45943</v>
      </c>
      <c r="C159" s="23" t="inlineStr">
        <is>
          <t>مؤسسة تركي بن محمد العتيبي للشحن</t>
        </is>
      </c>
      <c r="D159" s="23" t="inlineStr">
        <is>
          <t>RIYADH NURSERY</t>
        </is>
      </c>
      <c r="E159" s="23" t="n"/>
      <c r="F159" s="25" t="n">
        <v>69.56999999999999</v>
      </c>
      <c r="G159" s="23" t="n">
        <v>15</v>
      </c>
      <c r="H159" s="25" t="n">
        <v>80.01000000000001</v>
      </c>
      <c r="I159" s="23" t="inlineStr">
        <is>
          <t>نعم</t>
        </is>
      </c>
      <c r="J159" s="23" t="inlineStr">
        <is>
          <t>مزرعة الرياض (عهدة/صندوق)</t>
        </is>
      </c>
      <c r="K159" s="23" t="inlineStr">
        <is>
          <t>مصروفات إدارية وأخرى</t>
        </is>
      </c>
      <c r="L159" s="23" t="inlineStr"/>
    </row>
    <row r="160">
      <c r="A160" s="23" t="n">
        <v>159</v>
      </c>
      <c r="B160" s="24" t="n">
        <v>45943</v>
      </c>
      <c r="C160" s="23" t="inlineStr">
        <is>
          <t>اللوازم المكتبية</t>
        </is>
      </c>
      <c r="D160" s="23" t="inlineStr">
        <is>
          <t>RIYADH NURSERY</t>
        </is>
      </c>
      <c r="E160" s="23" t="n"/>
      <c r="F160" s="25" t="n">
        <v>43.26</v>
      </c>
      <c r="G160" s="23" t="n">
        <v>15</v>
      </c>
      <c r="H160" s="25" t="n">
        <v>49.75</v>
      </c>
      <c r="I160" s="23" t="inlineStr">
        <is>
          <t>نعم</t>
        </is>
      </c>
      <c r="J160" s="23" t="inlineStr">
        <is>
          <t>مزرعة الرياض (عهدة/صندوق)</t>
        </is>
      </c>
      <c r="K160" s="23" t="inlineStr">
        <is>
          <t>مصروفات إدارية وأخرى</t>
        </is>
      </c>
      <c r="L160" s="23" t="inlineStr"/>
    </row>
    <row r="161">
      <c r="A161" s="23" t="n">
        <v>160</v>
      </c>
      <c r="B161" s="24" t="n">
        <v>45944</v>
      </c>
      <c r="C161" s="23" t="inlineStr">
        <is>
          <t>مؤسسة المحترف الامثل للتجارة - سباكة</t>
        </is>
      </c>
      <c r="D161" s="23" t="inlineStr">
        <is>
          <t>RIYADH NURSERY</t>
        </is>
      </c>
      <c r="E161" s="23" t="n"/>
      <c r="F161" s="25" t="n">
        <v>234</v>
      </c>
      <c r="G161" s="23" t="n">
        <v>15</v>
      </c>
      <c r="H161" s="25" t="n">
        <v>269.1</v>
      </c>
      <c r="I161" s="23" t="inlineStr">
        <is>
          <t>نعم</t>
        </is>
      </c>
      <c r="J161" s="23" t="inlineStr">
        <is>
          <t>مزرعة الرياض (عهدة/صندوق)</t>
        </is>
      </c>
      <c r="K161" s="23" t="inlineStr">
        <is>
          <t>صيانة وإنشاءات المزرعة</t>
        </is>
      </c>
      <c r="L161" s="23" t="inlineStr"/>
    </row>
    <row r="162">
      <c r="A162" s="23" t="n">
        <v>161</v>
      </c>
      <c r="B162" s="24" t="n">
        <v>45944</v>
      </c>
      <c r="C162" s="23" t="inlineStr">
        <is>
          <t>مؤسسة قاعدة الركن التجارية - معدات زراعبة</t>
        </is>
      </c>
      <c r="D162" s="23" t="inlineStr">
        <is>
          <t>RIYADH NURSERY</t>
        </is>
      </c>
      <c r="E162" s="23" t="n"/>
      <c r="F162" s="25" t="n">
        <v>104.35</v>
      </c>
      <c r="G162" s="23" t="n">
        <v>15</v>
      </c>
      <c r="H162" s="25" t="n">
        <v>120</v>
      </c>
      <c r="I162" s="23" t="inlineStr">
        <is>
          <t>نعم</t>
        </is>
      </c>
      <c r="J162" s="23" t="inlineStr">
        <is>
          <t>مزرعة الرياض (عهدة/صندوق)</t>
        </is>
      </c>
      <c r="K162" s="23" t="inlineStr">
        <is>
          <t>مصروفات إدارية وأخرى</t>
        </is>
      </c>
      <c r="L162" s="23" t="inlineStr"/>
    </row>
    <row r="163">
      <c r="A163" s="23" t="n">
        <v>162</v>
      </c>
      <c r="B163" s="24" t="n">
        <v>45945</v>
      </c>
      <c r="C163" s="23" t="inlineStr">
        <is>
          <t>HETA NURSERYS</t>
        </is>
      </c>
      <c r="D163" s="23" t="inlineStr">
        <is>
          <t>RIYADH NURSERY - PO1003</t>
        </is>
      </c>
      <c r="E163" s="23" t="n"/>
      <c r="F163" s="25" t="n">
        <v>3826.09</v>
      </c>
      <c r="G163" s="23" t="n">
        <v>15</v>
      </c>
      <c r="H163" s="25" t="n">
        <v>4400</v>
      </c>
      <c r="I163" s="23" t="inlineStr">
        <is>
          <t>نعم</t>
        </is>
      </c>
      <c r="J163" s="23" t="inlineStr">
        <is>
          <t>مزرعة الرياض (عهدة/صندوق)</t>
        </is>
      </c>
      <c r="K163" s="23" t="inlineStr">
        <is>
          <t>مشتريات نباتات وبذور</t>
        </is>
      </c>
      <c r="L163" s="23" t="inlineStr"/>
    </row>
    <row r="164">
      <c r="A164" s="23" t="n">
        <v>163</v>
      </c>
      <c r="B164" s="24" t="n">
        <v>45945</v>
      </c>
      <c r="C164" s="23" t="inlineStr">
        <is>
          <t>مؤسسة رغدان للزراعه</t>
        </is>
      </c>
      <c r="D164" s="23" t="inlineStr">
        <is>
          <t>RIYADH NURSERY</t>
        </is>
      </c>
      <c r="E164" s="23" t="n"/>
      <c r="F164" s="25" t="n">
        <v>225.22</v>
      </c>
      <c r="G164" s="23" t="n">
        <v>15</v>
      </c>
      <c r="H164" s="25" t="n">
        <v>259</v>
      </c>
      <c r="I164" s="23" t="inlineStr">
        <is>
          <t>نعم</t>
        </is>
      </c>
      <c r="J164" s="23" t="inlineStr">
        <is>
          <t>مزرعة الرياض (عهدة/صندوق)</t>
        </is>
      </c>
      <c r="K164" s="23" t="inlineStr">
        <is>
          <t>مشتريات نباتات وبذور</t>
        </is>
      </c>
      <c r="L164" s="23" t="inlineStr"/>
    </row>
    <row r="165">
      <c r="A165" s="23" t="n">
        <v>164</v>
      </c>
      <c r="B165" s="24" t="n">
        <v>45945</v>
      </c>
      <c r="C165" s="23" t="inlineStr">
        <is>
          <t>رواتب</t>
        </is>
      </c>
      <c r="D165" s="23" t="inlineStr">
        <is>
          <t>RIYADH NURSERY</t>
        </is>
      </c>
      <c r="E165" s="23" t="n"/>
      <c r="F165" s="25" t="n">
        <v>695.65</v>
      </c>
      <c r="G165" s="23" t="n">
        <v>15</v>
      </c>
      <c r="H165" s="25" t="n">
        <v>800</v>
      </c>
      <c r="I165" s="23" t="inlineStr">
        <is>
          <t>نعم</t>
        </is>
      </c>
      <c r="J165" s="23" t="inlineStr">
        <is>
          <t>مزرعة الرياض (عهدة/صندوق)</t>
        </is>
      </c>
      <c r="K165" s="23" t="inlineStr">
        <is>
          <t>رواتب وعمولات</t>
        </is>
      </c>
      <c r="L165" s="23" t="inlineStr"/>
    </row>
    <row r="166">
      <c r="A166" s="23" t="n">
        <v>165</v>
      </c>
      <c r="B166" s="24" t="n">
        <v>45946</v>
      </c>
      <c r="C166" s="23" t="inlineStr">
        <is>
          <t>مؤسسة المحترف الامثل للتجارة - سباكة</t>
        </is>
      </c>
      <c r="D166" s="23" t="inlineStr">
        <is>
          <t>RIYADH NURSERY</t>
        </is>
      </c>
      <c r="E166" s="23" t="n"/>
      <c r="F166" s="25" t="n">
        <v>86</v>
      </c>
      <c r="G166" s="23" t="n">
        <v>15</v>
      </c>
      <c r="H166" s="25" t="n">
        <v>98.90000000000001</v>
      </c>
      <c r="I166" s="23" t="inlineStr">
        <is>
          <t>نعم</t>
        </is>
      </c>
      <c r="J166" s="23" t="inlineStr">
        <is>
          <t>مزرعة الرياض (عهدة/صندوق)</t>
        </is>
      </c>
      <c r="K166" s="23" t="inlineStr">
        <is>
          <t>صيانة وإنشاءات المزرعة</t>
        </is>
      </c>
      <c r="L166" s="23" t="inlineStr"/>
    </row>
    <row r="167">
      <c r="A167" s="23" t="n">
        <v>166</v>
      </c>
      <c r="B167" s="24" t="n">
        <v>45946</v>
      </c>
      <c r="C167" s="23" t="inlineStr">
        <is>
          <t>مؤسسة رواد سلام للتجارة</t>
        </is>
      </c>
      <c r="D167" s="23" t="inlineStr">
        <is>
          <t>RIYADH NURSERY</t>
        </is>
      </c>
      <c r="E167" s="23" t="n"/>
      <c r="F167" s="25" t="n">
        <v>478.26</v>
      </c>
      <c r="G167" s="23" t="n">
        <v>15</v>
      </c>
      <c r="H167" s="25" t="n">
        <v>550</v>
      </c>
      <c r="I167" s="23" t="inlineStr">
        <is>
          <t>نعم</t>
        </is>
      </c>
      <c r="J167" s="23" t="inlineStr">
        <is>
          <t>مزرعة الرياض (عهدة/صندوق)</t>
        </is>
      </c>
      <c r="K167" s="23" t="inlineStr">
        <is>
          <t>مواد زراعية (بيتموس/بيرلايت/أسمدة/مبيدات)</t>
        </is>
      </c>
      <c r="L167" s="23" t="inlineStr"/>
    </row>
    <row r="168">
      <c r="A168" s="23" t="n">
        <v>167</v>
      </c>
      <c r="B168" s="24" t="n">
        <v>45948</v>
      </c>
      <c r="C168" s="23" t="inlineStr">
        <is>
          <t>HETA NURSERYS</t>
        </is>
      </c>
      <c r="D168" s="23" t="inlineStr">
        <is>
          <t>RIYADH NURSERY - PO1020</t>
        </is>
      </c>
      <c r="E168" s="23" t="n"/>
      <c r="F168" s="25" t="n">
        <v>2869.57</v>
      </c>
      <c r="G168" s="23" t="n">
        <v>15</v>
      </c>
      <c r="H168" s="25" t="n">
        <v>3300</v>
      </c>
      <c r="I168" s="23" t="inlineStr">
        <is>
          <t>نعم</t>
        </is>
      </c>
      <c r="J168" s="23" t="inlineStr">
        <is>
          <t>مزرعة الرياض (عهدة/صندوق)</t>
        </is>
      </c>
      <c r="K168" s="23" t="inlineStr">
        <is>
          <t>مشتريات نباتات وبذور</t>
        </is>
      </c>
      <c r="L168" s="23" t="inlineStr"/>
    </row>
    <row r="169">
      <c r="A169" s="23" t="n">
        <v>168</v>
      </c>
      <c r="B169" s="24" t="n">
        <v>45948</v>
      </c>
      <c r="C169" s="23" t="inlineStr">
        <is>
          <t>سامي نقل - نولون</t>
        </is>
      </c>
      <c r="D169" s="23" t="inlineStr">
        <is>
          <t>RIYADH NURSERY</t>
        </is>
      </c>
      <c r="E169" s="23" t="n"/>
      <c r="F169" s="25" t="n">
        <v>304.35</v>
      </c>
      <c r="G169" s="23" t="n">
        <v>15</v>
      </c>
      <c r="H169" s="25" t="n">
        <v>350</v>
      </c>
      <c r="I169" s="23" t="inlineStr">
        <is>
          <t>نعم</t>
        </is>
      </c>
      <c r="J169" s="23" t="inlineStr">
        <is>
          <t>مزرعة الرياض (عهدة/صندوق)</t>
        </is>
      </c>
      <c r="K169" s="23" t="inlineStr">
        <is>
          <t>مصروفات إدارية وأخرى</t>
        </is>
      </c>
      <c r="L169" s="23" t="inlineStr"/>
    </row>
    <row r="170">
      <c r="A170" s="23" t="n">
        <v>169</v>
      </c>
      <c r="B170" s="24" t="n">
        <v>45948</v>
      </c>
      <c r="C170" s="23" t="inlineStr">
        <is>
          <t>مبسط العجفة لمواد البناء</t>
        </is>
      </c>
      <c r="D170" s="23" t="inlineStr">
        <is>
          <t>RIYADH NURSERY</t>
        </is>
      </c>
      <c r="E170" s="23" t="n"/>
      <c r="F170" s="25" t="n">
        <v>1869.57</v>
      </c>
      <c r="G170" s="23" t="n">
        <v>15</v>
      </c>
      <c r="H170" s="25" t="n">
        <v>2150</v>
      </c>
      <c r="I170" s="23" t="inlineStr">
        <is>
          <t>نعم</t>
        </is>
      </c>
      <c r="J170" s="23" t="inlineStr">
        <is>
          <t>مزرعة الرياض (عهدة/صندوق)</t>
        </is>
      </c>
      <c r="K170" s="23" t="inlineStr">
        <is>
          <t>صيانة وإنشاءات المزرعة</t>
        </is>
      </c>
      <c r="L170" s="23" t="inlineStr"/>
    </row>
    <row r="171">
      <c r="A171" s="23" t="n">
        <v>170</v>
      </c>
      <c r="B171" s="24" t="n">
        <v>45949</v>
      </c>
      <c r="C171" s="23" t="inlineStr">
        <is>
          <t>مصنع شركة سانح لى للبلاستيك</t>
        </is>
      </c>
      <c r="D171" s="23" t="inlineStr">
        <is>
          <t>RIYADH NURSERY - PO1023</t>
        </is>
      </c>
      <c r="E171" s="23" t="inlineStr">
        <is>
          <t>PO 1023</t>
        </is>
      </c>
      <c r="F171" s="25" t="n">
        <v>1965.6</v>
      </c>
      <c r="G171" s="23" t="n">
        <v>15</v>
      </c>
      <c r="H171" s="25" t="n">
        <v>2260.44</v>
      </c>
      <c r="I171" s="23" t="inlineStr">
        <is>
          <t>نعم</t>
        </is>
      </c>
      <c r="J171" s="23" t="inlineStr">
        <is>
          <t>مزرعة الرياض (عهدة/صندوق)</t>
        </is>
      </c>
      <c r="K171" s="23" t="inlineStr">
        <is>
          <t>مستلزمات إنتاج (مراكن/فلين/مفارش)</t>
        </is>
      </c>
      <c r="L171" s="23" t="inlineStr"/>
    </row>
    <row r="172">
      <c r="A172" s="23" t="n">
        <v>171</v>
      </c>
      <c r="B172" s="24" t="n">
        <v>45950</v>
      </c>
      <c r="C172" s="23" t="inlineStr">
        <is>
          <t>ينابع المئويه لتحلية المياه</t>
        </is>
      </c>
      <c r="D172" s="23" t="inlineStr">
        <is>
          <t>RIYADH NURSERY</t>
        </is>
      </c>
      <c r="E172" s="23" t="n"/>
      <c r="F172" s="25" t="n">
        <v>52.17</v>
      </c>
      <c r="G172" s="23" t="n">
        <v>15</v>
      </c>
      <c r="H172" s="25" t="n">
        <v>60</v>
      </c>
      <c r="I172" s="23" t="inlineStr">
        <is>
          <t>نعم</t>
        </is>
      </c>
      <c r="J172" s="23" t="inlineStr">
        <is>
          <t>مزرعة الرياض (عهدة/صندوق)</t>
        </is>
      </c>
      <c r="K172" s="23" t="inlineStr">
        <is>
          <t>خدمات (كهرباء/مياه/اتصالات)</t>
        </is>
      </c>
      <c r="L172" s="23" t="inlineStr"/>
    </row>
    <row r="173">
      <c r="A173" s="23" t="n">
        <v>172</v>
      </c>
      <c r="B173" s="24" t="n">
        <v>45950</v>
      </c>
      <c r="C173" s="23" t="inlineStr">
        <is>
          <t>مبسط العجفة لمواد البناء</t>
        </is>
      </c>
      <c r="D173" s="23" t="inlineStr">
        <is>
          <t>RIYADH NURSERY</t>
        </is>
      </c>
      <c r="E173" s="23" t="n"/>
      <c r="F173" s="25" t="n">
        <v>330.43</v>
      </c>
      <c r="G173" s="23" t="n">
        <v>15</v>
      </c>
      <c r="H173" s="25" t="n">
        <v>380</v>
      </c>
      <c r="I173" s="23" t="inlineStr">
        <is>
          <t>نعم</t>
        </is>
      </c>
      <c r="J173" s="23" t="inlineStr">
        <is>
          <t>مزرعة الرياض (عهدة/صندوق)</t>
        </is>
      </c>
      <c r="K173" s="23" t="inlineStr">
        <is>
          <t>صيانة وإنشاءات المزرعة</t>
        </is>
      </c>
      <c r="L173" s="23" t="inlineStr"/>
    </row>
    <row r="174">
      <c r="A174" s="23" t="n">
        <v>173</v>
      </c>
      <c r="B174" s="24" t="n">
        <v>45950</v>
      </c>
      <c r="C174" s="23" t="inlineStr">
        <is>
          <t>مصنع شركة سانح لى للبلاستيك</t>
        </is>
      </c>
      <c r="D174" s="23" t="inlineStr">
        <is>
          <t>RIYADH NURSERY - PO1034</t>
        </is>
      </c>
      <c r="E174" s="23" t="inlineStr">
        <is>
          <t>PO 1034</t>
        </is>
      </c>
      <c r="F174" s="25" t="n">
        <v>1965.6</v>
      </c>
      <c r="G174" s="23" t="n">
        <v>15</v>
      </c>
      <c r="H174" s="25" t="n">
        <v>2260.44</v>
      </c>
      <c r="I174" s="23" t="inlineStr">
        <is>
          <t>نعم</t>
        </is>
      </c>
      <c r="J174" s="23" t="inlineStr">
        <is>
          <t>مزرعة الرياض (عهدة/صندوق)</t>
        </is>
      </c>
      <c r="K174" s="23" t="inlineStr">
        <is>
          <t>مستلزمات إنتاج (مراكن/فلين/مفارش)</t>
        </is>
      </c>
      <c r="L174" s="23" t="inlineStr"/>
    </row>
    <row r="175">
      <c r="A175" s="23" t="n">
        <v>174</v>
      </c>
      <c r="B175" s="24" t="n">
        <v>45951</v>
      </c>
      <c r="C175" s="23" t="inlineStr">
        <is>
          <t>مؤسسة تلال الربيع للمفارش</t>
        </is>
      </c>
      <c r="D175" s="23" t="inlineStr">
        <is>
          <t>RIYADH NURSERY</t>
        </is>
      </c>
      <c r="E175" s="23" t="n"/>
      <c r="F175" s="25" t="n">
        <v>1382.39</v>
      </c>
      <c r="G175" s="23" t="n">
        <v>15</v>
      </c>
      <c r="H175" s="25" t="n">
        <v>1589.75</v>
      </c>
      <c r="I175" s="23" t="inlineStr">
        <is>
          <t>نعم</t>
        </is>
      </c>
      <c r="J175" s="23" t="inlineStr">
        <is>
          <t>مزرعة الرياض (عهدة/صندوق)</t>
        </is>
      </c>
      <c r="K175" s="23" t="inlineStr">
        <is>
          <t>مصروفات إدارية وأخرى</t>
        </is>
      </c>
      <c r="L175" s="23" t="inlineStr"/>
    </row>
    <row r="176">
      <c r="A176" s="23" t="n">
        <v>175</v>
      </c>
      <c r="B176" s="24" t="n">
        <v>45951</v>
      </c>
      <c r="C176" s="23" t="inlineStr">
        <is>
          <t>مؤسسة المحترف الامثل للتجارة - سباكة</t>
        </is>
      </c>
      <c r="D176" s="23" t="inlineStr">
        <is>
          <t>RIYADH NURSERY</t>
        </is>
      </c>
      <c r="E176" s="23" t="inlineStr">
        <is>
          <t>شحن جوال عصمت</t>
        </is>
      </c>
      <c r="F176" s="25" t="n">
        <v>310</v>
      </c>
      <c r="G176" s="23" t="n">
        <v>15</v>
      </c>
      <c r="H176" s="25" t="n">
        <v>356.5</v>
      </c>
      <c r="I176" s="23" t="inlineStr">
        <is>
          <t>نعم</t>
        </is>
      </c>
      <c r="J176" s="23" t="inlineStr">
        <is>
          <t>مزرعة الرياض (عهدة/صندوق)</t>
        </is>
      </c>
      <c r="K176" s="23" t="inlineStr">
        <is>
          <t>صيانة وإنشاءات المزرعة</t>
        </is>
      </c>
      <c r="L176" s="23" t="inlineStr"/>
    </row>
    <row r="177">
      <c r="A177" s="23" t="n">
        <v>176</v>
      </c>
      <c r="B177" s="24" t="n">
        <v>45953</v>
      </c>
      <c r="C177" s="23" t="inlineStr">
        <is>
          <t>مؤسسة النمور للخدمات التسويقية</t>
        </is>
      </c>
      <c r="D177" s="23" t="inlineStr">
        <is>
          <t>RIYADH NURSERY</t>
        </is>
      </c>
      <c r="E177" s="23" t="n"/>
      <c r="F177" s="25" t="n">
        <v>173.91</v>
      </c>
      <c r="G177" s="23" t="n">
        <v>15</v>
      </c>
      <c r="H177" s="25" t="n">
        <v>200</v>
      </c>
      <c r="I177" s="23" t="inlineStr">
        <is>
          <t>نعم</t>
        </is>
      </c>
      <c r="J177" s="23" t="inlineStr">
        <is>
          <t>مزرعة الرياض (عهدة/صندوق)</t>
        </is>
      </c>
      <c r="K177" s="23" t="inlineStr">
        <is>
          <t>مصروفات إدارية وأخرى</t>
        </is>
      </c>
      <c r="L177" s="23" t="inlineStr"/>
    </row>
    <row r="178">
      <c r="A178" s="23" t="n">
        <v>177</v>
      </c>
      <c r="B178" s="24" t="n">
        <v>45953</v>
      </c>
      <c r="C178" s="23" t="inlineStr">
        <is>
          <t>موسسة بيت الوسيط لتجاره</t>
        </is>
      </c>
      <c r="D178" s="23" t="inlineStr">
        <is>
          <t>RIYADH NURSERY</t>
        </is>
      </c>
      <c r="E178" s="23" t="n"/>
      <c r="F178" s="25" t="n">
        <v>260.87</v>
      </c>
      <c r="G178" s="23" t="n">
        <v>15</v>
      </c>
      <c r="H178" s="25" t="n">
        <v>300</v>
      </c>
      <c r="I178" s="23" t="inlineStr">
        <is>
          <t>نعم</t>
        </is>
      </c>
      <c r="J178" s="23" t="inlineStr">
        <is>
          <t>مزرعة الرياض (عهدة/صندوق)</t>
        </is>
      </c>
      <c r="K178" s="23" t="inlineStr">
        <is>
          <t>مواد زراعية (بيتموس/بيرلايت/أسمدة/مبيدات)</t>
        </is>
      </c>
      <c r="L178" s="23" t="inlineStr"/>
    </row>
    <row r="179">
      <c r="A179" s="23" t="n">
        <v>178</v>
      </c>
      <c r="B179" s="24" t="n">
        <v>45953</v>
      </c>
      <c r="C179" s="23" t="inlineStr">
        <is>
          <t>شركة التكامل</t>
        </is>
      </c>
      <c r="D179" s="23" t="inlineStr">
        <is>
          <t>RIYADH NURSERY</t>
        </is>
      </c>
      <c r="E179" s="23" t="n"/>
      <c r="F179" s="25" t="n">
        <v>730.3200000000001</v>
      </c>
      <c r="G179" s="23" t="n">
        <v>15</v>
      </c>
      <c r="H179" s="25" t="n">
        <v>839.87</v>
      </c>
      <c r="I179" s="23" t="inlineStr">
        <is>
          <t>نعم</t>
        </is>
      </c>
      <c r="J179" s="23" t="inlineStr">
        <is>
          <t>مزرعة الرياض (عهدة/صندوق)</t>
        </is>
      </c>
      <c r="K179" s="23" t="inlineStr">
        <is>
          <t>مشتريات نباتات وبذور</t>
        </is>
      </c>
      <c r="L179" s="23" t="inlineStr"/>
    </row>
    <row r="180">
      <c r="A180" s="23" t="n">
        <v>179</v>
      </c>
      <c r="B180" s="24" t="n">
        <v>45953</v>
      </c>
      <c r="C180" s="23" t="inlineStr">
        <is>
          <t>مؤسسة هيلاء عبيد الدوسرى</t>
        </is>
      </c>
      <c r="D180" s="23" t="inlineStr">
        <is>
          <t>RIYADH NURSERY</t>
        </is>
      </c>
      <c r="E180" s="23" t="n"/>
      <c r="F180" s="25" t="n">
        <v>204.35</v>
      </c>
      <c r="G180" s="23" t="n">
        <v>15</v>
      </c>
      <c r="H180" s="25" t="n">
        <v>235</v>
      </c>
      <c r="I180" s="23" t="inlineStr">
        <is>
          <t>نعم</t>
        </is>
      </c>
      <c r="J180" s="23" t="inlineStr">
        <is>
          <t>مزرعة الرياض (عهدة/صندوق)</t>
        </is>
      </c>
      <c r="K180" s="23" t="inlineStr">
        <is>
          <t>مصروفات إدارية وأخرى</t>
        </is>
      </c>
      <c r="L180" s="23" t="inlineStr"/>
    </row>
    <row r="181">
      <c r="A181" s="36" t="n">
        <v>180</v>
      </c>
      <c r="B181" s="37" t="n">
        <v>45953</v>
      </c>
      <c r="C181" s="36" t="inlineStr">
        <is>
          <t>شركة المدارات السعودية للتجارة والاستيراد</t>
        </is>
      </c>
      <c r="D181" s="36" t="inlineStr">
        <is>
          <t>RIYADH NURSERY - PO1040</t>
        </is>
      </c>
      <c r="E181" s="36" t="inlineStr">
        <is>
          <t>تم التحويل البنكى من نسما</t>
        </is>
      </c>
      <c r="F181" s="38" t="n">
        <v>44000</v>
      </c>
      <c r="G181" s="36" t="n">
        <v>15</v>
      </c>
      <c r="H181" s="38" t="n">
        <v>50600</v>
      </c>
      <c r="I181" s="36" t="inlineStr">
        <is>
          <t>نعم</t>
        </is>
      </c>
      <c r="J181" s="36" t="inlineStr">
        <is>
          <t>مزرعة تبوك (نسما) – تحويل بنكي</t>
        </is>
      </c>
      <c r="K181" s="36" t="inlineStr">
        <is>
          <t>مواد زراعية (بيتموس/بيرلايت/أسمدة/مبيدات)</t>
        </is>
      </c>
      <c r="L181" s="36" t="inlineStr">
        <is>
          <t>مدفوع عن طريق مزرعة تبوك – مديونية على مزرعة الرياض | ⚠ نفس المورد ونفس التاريخ ونفس القيمة مكرر – يلزم التأكد</t>
        </is>
      </c>
    </row>
    <row r="182">
      <c r="A182" s="36" t="n">
        <v>181</v>
      </c>
      <c r="B182" s="37" t="n">
        <v>45953</v>
      </c>
      <c r="C182" s="36" t="inlineStr">
        <is>
          <t>شركة المدارات السعودية للتجارة والاستيراد</t>
        </is>
      </c>
      <c r="D182" s="36" t="inlineStr">
        <is>
          <t>RIYADH NURSERY - PO1043</t>
        </is>
      </c>
      <c r="E182" s="36" t="inlineStr">
        <is>
          <t>اذن صرف نقدية 8</t>
        </is>
      </c>
      <c r="F182" s="38" t="n">
        <v>44000</v>
      </c>
      <c r="G182" s="36" t="n">
        <v>15</v>
      </c>
      <c r="H182" s="38" t="n">
        <v>50600</v>
      </c>
      <c r="I182" s="36" t="inlineStr">
        <is>
          <t>نعم</t>
        </is>
      </c>
      <c r="J182" s="36" t="inlineStr">
        <is>
          <t>مزرعة الرياض (عهدة/صندوق)</t>
        </is>
      </c>
      <c r="K182" s="36" t="inlineStr">
        <is>
          <t>مواد زراعية (بيتموس/بيرلايت/أسمدة/مبيدات)</t>
        </is>
      </c>
      <c r="L182" s="36" t="inlineStr">
        <is>
          <t>⚠ نفس المورد ونفس التاريخ ونفس القيمة مكرر – يلزم التأكد</t>
        </is>
      </c>
    </row>
    <row r="183">
      <c r="A183" s="23" t="n">
        <v>182</v>
      </c>
      <c r="B183" s="24" t="n">
        <v>45953</v>
      </c>
      <c r="C183" s="23" t="inlineStr">
        <is>
          <t>شركة المدارات السعودية للتجارة والاستيراد</t>
        </is>
      </c>
      <c r="D183" s="23" t="inlineStr">
        <is>
          <t>RIYADH NURSERY - PO1042</t>
        </is>
      </c>
      <c r="E183" s="23" t="inlineStr">
        <is>
          <t>اذن صرف نقدية 8</t>
        </is>
      </c>
      <c r="F183" s="25" t="n">
        <v>20000</v>
      </c>
      <c r="G183" s="23" t="n">
        <v>15</v>
      </c>
      <c r="H183" s="25" t="n">
        <v>23000</v>
      </c>
      <c r="I183" s="23" t="inlineStr">
        <is>
          <t>نعم</t>
        </is>
      </c>
      <c r="J183" s="23" t="inlineStr">
        <is>
          <t>مزرعة الرياض (عهدة/صندوق)</t>
        </is>
      </c>
      <c r="K183" s="23" t="inlineStr">
        <is>
          <t>مواد زراعية (بيتموس/بيرلايت/أسمدة/مبيدات)</t>
        </is>
      </c>
      <c r="L183" s="23" t="inlineStr"/>
    </row>
    <row r="184">
      <c r="A184" s="23" t="n">
        <v>183</v>
      </c>
      <c r="B184" s="24" t="n">
        <v>45954</v>
      </c>
      <c r="C184" s="23" t="inlineStr">
        <is>
          <t>شركة الجزيرة الحديثة الزراعية</t>
        </is>
      </c>
      <c r="D184" s="23" t="inlineStr">
        <is>
          <t>WHK-2364</t>
        </is>
      </c>
      <c r="E184" s="23" t="inlineStr">
        <is>
          <t>مرفق طلب التوريد</t>
        </is>
      </c>
      <c r="F184" s="25" t="n">
        <v>35740</v>
      </c>
      <c r="G184" s="23" t="n">
        <v>0</v>
      </c>
      <c r="H184" s="25" t="n">
        <v>35740</v>
      </c>
      <c r="I184" s="23" t="inlineStr">
        <is>
          <t>نعم</t>
        </is>
      </c>
      <c r="J184" s="23" t="inlineStr">
        <is>
          <t>مزرعة الرياض (عهدة/صندوق)</t>
        </is>
      </c>
      <c r="K184" s="23" t="inlineStr">
        <is>
          <t>مشتريات زهور لعقد عرعر (WHK-2364)</t>
        </is>
      </c>
      <c r="L184" s="23" t="inlineStr">
        <is>
          <t>تكلفة زهور مشتراة لتوريد عقد عرعر لأبو خالد</t>
        </is>
      </c>
    </row>
    <row r="185">
      <c r="A185" s="23" t="n">
        <v>184</v>
      </c>
      <c r="B185" s="24" t="n">
        <v>45955</v>
      </c>
      <c r="C185" s="23" t="inlineStr">
        <is>
          <t>مؤسسة هيلاء عبيد الدوسرى</t>
        </is>
      </c>
      <c r="D185" s="23" t="inlineStr">
        <is>
          <t>RIYADH NURSERY</t>
        </is>
      </c>
      <c r="E185" s="23" t="n"/>
      <c r="F185" s="25" t="n">
        <v>204.35</v>
      </c>
      <c r="G185" s="23" t="n">
        <v>15</v>
      </c>
      <c r="H185" s="25" t="n">
        <v>235</v>
      </c>
      <c r="I185" s="23" t="inlineStr">
        <is>
          <t>نعم</t>
        </is>
      </c>
      <c r="J185" s="23" t="inlineStr">
        <is>
          <t>مزرعة الرياض (عهدة/صندوق)</t>
        </is>
      </c>
      <c r="K185" s="23" t="inlineStr">
        <is>
          <t>مصروفات إدارية وأخرى</t>
        </is>
      </c>
      <c r="L185" s="23" t="inlineStr"/>
    </row>
    <row r="186">
      <c r="A186" s="23" t="n">
        <v>185</v>
      </c>
      <c r="B186" s="24" t="n">
        <v>45955</v>
      </c>
      <c r="C186" s="23" t="inlineStr">
        <is>
          <t>مؤسسة بساتين الرياض</t>
        </is>
      </c>
      <c r="D186" s="23" t="inlineStr">
        <is>
          <t>RIYADH NURSERY - PO1046</t>
        </is>
      </c>
      <c r="E186" s="23" t="inlineStr">
        <is>
          <t>PO 1046</t>
        </is>
      </c>
      <c r="F186" s="25" t="n">
        <v>12017.39</v>
      </c>
      <c r="G186" s="23" t="n">
        <v>15</v>
      </c>
      <c r="H186" s="25" t="n">
        <v>13820</v>
      </c>
      <c r="I186" s="23" t="inlineStr">
        <is>
          <t>نعم</t>
        </is>
      </c>
      <c r="J186" s="23" t="inlineStr">
        <is>
          <t>مزرعة الرياض (عهدة/صندوق)</t>
        </is>
      </c>
      <c r="K186" s="23" t="inlineStr">
        <is>
          <t>مشتريات نباتات وبذور</t>
        </is>
      </c>
      <c r="L186" s="23" t="inlineStr"/>
    </row>
    <row r="187">
      <c r="A187" s="23" t="n">
        <v>186</v>
      </c>
      <c r="B187" s="24" t="n">
        <v>45955</v>
      </c>
      <c r="C187" s="23" t="inlineStr">
        <is>
          <t>شركة التاج المميزة التجارية</t>
        </is>
      </c>
      <c r="D187" s="23" t="inlineStr">
        <is>
          <t>RIYADH NURSERY - PO1057+PO1061</t>
        </is>
      </c>
      <c r="E187" s="23" t="inlineStr">
        <is>
          <t>PO1061+PO1057</t>
        </is>
      </c>
      <c r="F187" s="25" t="n">
        <v>10750</v>
      </c>
      <c r="G187" s="23" t="n">
        <v>15</v>
      </c>
      <c r="H187" s="25" t="n">
        <v>12362.5</v>
      </c>
      <c r="I187" s="23" t="inlineStr">
        <is>
          <t>نعم</t>
        </is>
      </c>
      <c r="J187" s="23" t="inlineStr">
        <is>
          <t>مزرعة الرياض (عهدة/صندوق)</t>
        </is>
      </c>
      <c r="K187" s="23" t="inlineStr">
        <is>
          <t>مواد زراعية (بيتموس/بيرلايت/أسمدة/مبيدات)</t>
        </is>
      </c>
      <c r="L187" s="23" t="inlineStr"/>
    </row>
    <row r="188">
      <c r="A188" s="36" t="n">
        <v>187</v>
      </c>
      <c r="B188" s="37" t="n">
        <v>45955</v>
      </c>
      <c r="C188" s="36" t="inlineStr">
        <is>
          <t>مصنع شركة سانح لى للبلاستيك</t>
        </is>
      </c>
      <c r="D188" s="36" t="inlineStr">
        <is>
          <t>RIYADH NURSERY - PO1049</t>
        </is>
      </c>
      <c r="E188" s="36" t="inlineStr">
        <is>
          <t>PO 1049</t>
        </is>
      </c>
      <c r="F188" s="38" t="n">
        <v>1965.6</v>
      </c>
      <c r="G188" s="36" t="n">
        <v>15</v>
      </c>
      <c r="H188" s="38" t="n">
        <v>2260.44</v>
      </c>
      <c r="I188" s="36" t="inlineStr">
        <is>
          <t>نعم</t>
        </is>
      </c>
      <c r="J188" s="36" t="inlineStr">
        <is>
          <t>مزرعة الرياض (عهدة/صندوق)</t>
        </is>
      </c>
      <c r="K188" s="36" t="inlineStr">
        <is>
          <t>مستلزمات إنتاج (مراكن/فلين/مفارش)</t>
        </is>
      </c>
      <c r="L188" s="36" t="inlineStr">
        <is>
          <t>⚠ نفس المورد ونفس التاريخ ونفس القيمة مكرر – يلزم التأكد</t>
        </is>
      </c>
    </row>
    <row r="189">
      <c r="A189" s="36" t="n">
        <v>188</v>
      </c>
      <c r="B189" s="37" t="n">
        <v>45955</v>
      </c>
      <c r="C189" s="36" t="inlineStr">
        <is>
          <t>مصنع شركة سانح لى للبلاستيك</t>
        </is>
      </c>
      <c r="D189" s="36" t="inlineStr">
        <is>
          <t>RIYADH NURSERY - PO1048</t>
        </is>
      </c>
      <c r="E189" s="36" t="inlineStr">
        <is>
          <t>PO 1048</t>
        </is>
      </c>
      <c r="F189" s="38" t="n">
        <v>1965.6</v>
      </c>
      <c r="G189" s="36" t="n">
        <v>15</v>
      </c>
      <c r="H189" s="38" t="n">
        <v>2260.44</v>
      </c>
      <c r="I189" s="36" t="inlineStr">
        <is>
          <t>نعم</t>
        </is>
      </c>
      <c r="J189" s="36" t="inlineStr">
        <is>
          <t>مزرعة الرياض (عهدة/صندوق)</t>
        </is>
      </c>
      <c r="K189" s="36" t="inlineStr">
        <is>
          <t>مستلزمات إنتاج (مراكن/فلين/مفارش)</t>
        </is>
      </c>
      <c r="L189" s="36" t="inlineStr">
        <is>
          <t>⚠ نفس المورد ونفس التاريخ ونفس القيمة مكرر – يلزم التأكد</t>
        </is>
      </c>
    </row>
    <row r="190">
      <c r="A190" s="23" t="n">
        <v>189</v>
      </c>
      <c r="B190" s="24" t="n">
        <v>45956</v>
      </c>
      <c r="C190" s="23" t="inlineStr">
        <is>
          <t>مؤسسة الجودة النوعية للتجارة</t>
        </is>
      </c>
      <c r="D190" s="23" t="inlineStr">
        <is>
          <t>RIYADH NURSERY</t>
        </is>
      </c>
      <c r="E190" s="23" t="n"/>
      <c r="F190" s="25" t="n">
        <v>240</v>
      </c>
      <c r="G190" s="23" t="n">
        <v>15</v>
      </c>
      <c r="H190" s="25" t="n">
        <v>276</v>
      </c>
      <c r="I190" s="23" t="inlineStr">
        <is>
          <t>نعم</t>
        </is>
      </c>
      <c r="J190" s="23" t="inlineStr">
        <is>
          <t>مزرعة الرياض (عهدة/صندوق)</t>
        </is>
      </c>
      <c r="K190" s="23" t="inlineStr">
        <is>
          <t>مشتريات نباتات وبذور</t>
        </is>
      </c>
      <c r="L190" s="23" t="inlineStr"/>
    </row>
    <row r="191">
      <c r="A191" s="23" t="n">
        <v>190</v>
      </c>
      <c r="B191" s="24" t="n">
        <v>45956</v>
      </c>
      <c r="C191" s="23" t="inlineStr">
        <is>
          <t>الوقود</t>
        </is>
      </c>
      <c r="D191" s="23" t="inlineStr">
        <is>
          <t>RIYADH NURSERY</t>
        </is>
      </c>
      <c r="E191" s="23" t="inlineStr">
        <is>
          <t>باقي فواتير الديزل</t>
        </is>
      </c>
      <c r="F191" s="25" t="n">
        <v>878.63</v>
      </c>
      <c r="G191" s="23" t="n">
        <v>15</v>
      </c>
      <c r="H191" s="25" t="n">
        <v>1010.42</v>
      </c>
      <c r="I191" s="23" t="inlineStr">
        <is>
          <t>نعم</t>
        </is>
      </c>
      <c r="J191" s="23" t="inlineStr">
        <is>
          <t>مزرعة الرياض (عهدة/صندوق)</t>
        </is>
      </c>
      <c r="K191" s="23" t="inlineStr">
        <is>
          <t>وقود</t>
        </is>
      </c>
      <c r="L191" s="23" t="inlineStr"/>
    </row>
    <row r="192">
      <c r="A192" s="23" t="n">
        <v>191</v>
      </c>
      <c r="B192" s="24" t="n">
        <v>45956</v>
      </c>
      <c r="C192" s="23" t="inlineStr">
        <is>
          <t>الوقود</t>
        </is>
      </c>
      <c r="D192" s="23" t="inlineStr">
        <is>
          <t>RIYADH NURSERY</t>
        </is>
      </c>
      <c r="E192" s="23" t="inlineStr">
        <is>
          <t>فواتير ديزل من يوم 2-10 ح</t>
        </is>
      </c>
      <c r="F192" s="25" t="n">
        <v>773.91</v>
      </c>
      <c r="G192" s="23" t="n">
        <v>15</v>
      </c>
      <c r="H192" s="25" t="n">
        <v>890</v>
      </c>
      <c r="I192" s="23" t="inlineStr">
        <is>
          <t>نعم</t>
        </is>
      </c>
      <c r="J192" s="23" t="inlineStr">
        <is>
          <t>مزرعة الرياض (عهدة/صندوق)</t>
        </is>
      </c>
      <c r="K192" s="23" t="inlineStr">
        <is>
          <t>وقود</t>
        </is>
      </c>
      <c r="L192" s="23" t="inlineStr"/>
    </row>
    <row r="193">
      <c r="A193" s="23" t="n">
        <v>192</v>
      </c>
      <c r="B193" s="24" t="n">
        <v>45957</v>
      </c>
      <c r="C193" s="23" t="inlineStr">
        <is>
          <t>مصنع شركة سانح لى للبلاستيك</t>
        </is>
      </c>
      <c r="D193" s="23" t="inlineStr">
        <is>
          <t>RIYADH NURSERY</t>
        </is>
      </c>
      <c r="E193" s="23" t="inlineStr">
        <is>
          <t>PO 1066</t>
        </is>
      </c>
      <c r="F193" s="25" t="n">
        <v>1965.6</v>
      </c>
      <c r="G193" s="23" t="n">
        <v>15</v>
      </c>
      <c r="H193" s="25" t="n">
        <v>2260.44</v>
      </c>
      <c r="I193" s="23" t="inlineStr">
        <is>
          <t>نعم</t>
        </is>
      </c>
      <c r="J193" s="23" t="inlineStr">
        <is>
          <t>مزرعة الرياض (عهدة/صندوق)</t>
        </is>
      </c>
      <c r="K193" s="23" t="inlineStr">
        <is>
          <t>مستلزمات إنتاج (مراكن/فلين/مفارش)</t>
        </is>
      </c>
      <c r="L193" s="23" t="inlineStr"/>
    </row>
    <row r="194">
      <c r="A194" s="23" t="n">
        <v>193</v>
      </c>
      <c r="B194" s="24" t="n">
        <v>45957</v>
      </c>
      <c r="C194" s="23" t="inlineStr">
        <is>
          <t>هاتف الموبايل</t>
        </is>
      </c>
      <c r="D194" s="23" t="inlineStr">
        <is>
          <t>RIYADH NURSERY</t>
        </is>
      </c>
      <c r="E194" s="23" t="inlineStr">
        <is>
          <t>شحن جوال م - محمد</t>
        </is>
      </c>
      <c r="F194" s="25" t="n">
        <v>100</v>
      </c>
      <c r="G194" s="23" t="n">
        <v>15</v>
      </c>
      <c r="H194" s="25" t="n">
        <v>115</v>
      </c>
      <c r="I194" s="23" t="inlineStr">
        <is>
          <t>نعم</t>
        </is>
      </c>
      <c r="J194" s="23" t="inlineStr">
        <is>
          <t>مزرعة الرياض (عهدة/صندوق)</t>
        </is>
      </c>
      <c r="K194" s="23" t="inlineStr">
        <is>
          <t>خدمات (كهرباء/مياه/اتصالات)</t>
        </is>
      </c>
      <c r="L194" s="23" t="inlineStr"/>
    </row>
    <row r="195">
      <c r="A195" s="23" t="n">
        <v>194</v>
      </c>
      <c r="B195" s="24" t="n">
        <v>45958</v>
      </c>
      <c r="C195" s="23" t="inlineStr">
        <is>
          <t>مؤسسة المرافق والجودة للمقاولات العامة</t>
        </is>
      </c>
      <c r="D195" s="23" t="inlineStr">
        <is>
          <t>RIYADH NURSERY</t>
        </is>
      </c>
      <c r="E195" s="23" t="n"/>
      <c r="F195" s="25" t="n">
        <v>43</v>
      </c>
      <c r="G195" s="23" t="n">
        <v>15</v>
      </c>
      <c r="H195" s="25" t="n">
        <v>49.45</v>
      </c>
      <c r="I195" s="23" t="inlineStr">
        <is>
          <t>نعم</t>
        </is>
      </c>
      <c r="J195" s="23" t="inlineStr">
        <is>
          <t>مزرعة الرياض (عهدة/صندوق)</t>
        </is>
      </c>
      <c r="K195" s="23" t="inlineStr">
        <is>
          <t>صيانة وإنشاءات المزرعة</t>
        </is>
      </c>
      <c r="L195" s="23" t="inlineStr"/>
    </row>
    <row r="196">
      <c r="A196" s="23" t="n">
        <v>195</v>
      </c>
      <c r="B196" s="24" t="n">
        <v>45958</v>
      </c>
      <c r="C196" s="23" t="inlineStr">
        <is>
          <t>الوقود</t>
        </is>
      </c>
      <c r="D196" s="23" t="inlineStr">
        <is>
          <t>RIYADH NURSERY</t>
        </is>
      </c>
      <c r="E196" s="23" t="n"/>
      <c r="F196" s="25" t="n">
        <v>246.97</v>
      </c>
      <c r="G196" s="23" t="n">
        <v>15</v>
      </c>
      <c r="H196" s="25" t="n">
        <v>284.01</v>
      </c>
      <c r="I196" s="23" t="inlineStr">
        <is>
          <t>نعم</t>
        </is>
      </c>
      <c r="J196" s="23" t="inlineStr">
        <is>
          <t>مزرعة الرياض (عهدة/صندوق)</t>
        </is>
      </c>
      <c r="K196" s="23" t="inlineStr">
        <is>
          <t>وقود</t>
        </is>
      </c>
      <c r="L196" s="23" t="inlineStr"/>
    </row>
    <row r="197">
      <c r="A197" s="23" t="n">
        <v>196</v>
      </c>
      <c r="B197" s="24" t="n">
        <v>45958</v>
      </c>
      <c r="C197" s="23" t="inlineStr">
        <is>
          <t>الشركة السعوديه للكهرباء</t>
        </is>
      </c>
      <c r="D197" s="23" t="inlineStr">
        <is>
          <t>RIYADH NURSERY</t>
        </is>
      </c>
      <c r="E197" s="23" t="n"/>
      <c r="F197" s="25" t="n">
        <v>4499.47</v>
      </c>
      <c r="G197" s="23" t="n">
        <v>15</v>
      </c>
      <c r="H197" s="25" t="n">
        <v>5174.39</v>
      </c>
      <c r="I197" s="23" t="inlineStr">
        <is>
          <t>نعم</t>
        </is>
      </c>
      <c r="J197" s="23" t="inlineStr">
        <is>
          <t>مزرعة الرياض (عهدة/صندوق)</t>
        </is>
      </c>
      <c r="K197" s="23" t="inlineStr">
        <is>
          <t>خدمات (كهرباء/مياه/اتصالات)</t>
        </is>
      </c>
      <c r="L197" s="23" t="inlineStr"/>
    </row>
    <row r="198">
      <c r="A198" s="23" t="n">
        <v>197</v>
      </c>
      <c r="B198" s="24" t="n">
        <v>45959</v>
      </c>
      <c r="C198" s="23" t="inlineStr">
        <is>
          <t>مؤسسة اصداء الصحة للسباكة والكهرباء</t>
        </is>
      </c>
      <c r="D198" s="23" t="inlineStr">
        <is>
          <t>RIYADH NURSERY</t>
        </is>
      </c>
      <c r="E198" s="23" t="n"/>
      <c r="F198" s="25" t="n">
        <v>71.3</v>
      </c>
      <c r="G198" s="23" t="n">
        <v>15</v>
      </c>
      <c r="H198" s="25" t="n">
        <v>82</v>
      </c>
      <c r="I198" s="23" t="inlineStr">
        <is>
          <t>نعم</t>
        </is>
      </c>
      <c r="J198" s="23" t="inlineStr">
        <is>
          <t>مزرعة الرياض (عهدة/صندوق)</t>
        </is>
      </c>
      <c r="K198" s="23" t="inlineStr">
        <is>
          <t>خدمات (كهرباء/مياه/اتصالات)</t>
        </is>
      </c>
      <c r="L198" s="23" t="inlineStr"/>
    </row>
    <row r="199">
      <c r="A199" s="23" t="n">
        <v>198</v>
      </c>
      <c r="B199" s="24" t="n">
        <v>45959</v>
      </c>
      <c r="C199" s="23" t="inlineStr">
        <is>
          <t>اللوازم المكتبية</t>
        </is>
      </c>
      <c r="D199" s="23" t="inlineStr">
        <is>
          <t>RIYADH NURSERY</t>
        </is>
      </c>
      <c r="E199" s="23" t="n"/>
      <c r="F199" s="25" t="n">
        <v>75.22</v>
      </c>
      <c r="G199" s="23" t="n">
        <v>15</v>
      </c>
      <c r="H199" s="25" t="n">
        <v>86.5</v>
      </c>
      <c r="I199" s="23" t="inlineStr">
        <is>
          <t>نعم</t>
        </is>
      </c>
      <c r="J199" s="23" t="inlineStr">
        <is>
          <t>مزرعة الرياض (عهدة/صندوق)</t>
        </is>
      </c>
      <c r="K199" s="23" t="inlineStr">
        <is>
          <t>مصروفات إدارية وأخرى</t>
        </is>
      </c>
      <c r="L199" s="23" t="inlineStr"/>
    </row>
    <row r="200">
      <c r="A200" s="23" t="n">
        <v>199</v>
      </c>
      <c r="B200" s="24" t="n">
        <v>45960</v>
      </c>
      <c r="C200" s="23" t="inlineStr">
        <is>
          <t>مؤسسة المحترف الامثل للتجارة - سباكة</t>
        </is>
      </c>
      <c r="D200" s="23" t="inlineStr">
        <is>
          <t>RIYADH NURSERY</t>
        </is>
      </c>
      <c r="E200" s="23" t="n"/>
      <c r="F200" s="25" t="n">
        <v>97</v>
      </c>
      <c r="G200" s="23" t="n">
        <v>15</v>
      </c>
      <c r="H200" s="25" t="n">
        <v>111.55</v>
      </c>
      <c r="I200" s="23" t="inlineStr">
        <is>
          <t>نعم</t>
        </is>
      </c>
      <c r="J200" s="23" t="inlineStr">
        <is>
          <t>مزرعة الرياض (عهدة/صندوق)</t>
        </is>
      </c>
      <c r="K200" s="23" t="inlineStr">
        <is>
          <t>صيانة وإنشاءات المزرعة</t>
        </is>
      </c>
      <c r="L200" s="23" t="inlineStr"/>
    </row>
    <row r="201">
      <c r="A201" s="23" t="n">
        <v>200</v>
      </c>
      <c r="B201" s="24" t="n">
        <v>45960</v>
      </c>
      <c r="C201" s="23" t="inlineStr">
        <is>
          <t>هاتف الموبايل</t>
        </is>
      </c>
      <c r="D201" s="23" t="inlineStr">
        <is>
          <t>RIYADH NURSERY</t>
        </is>
      </c>
      <c r="E201" s="23" t="n"/>
      <c r="F201" s="25" t="n">
        <v>77.39</v>
      </c>
      <c r="G201" s="23" t="n">
        <v>15</v>
      </c>
      <c r="H201" s="25" t="n">
        <v>89</v>
      </c>
      <c r="I201" s="23" t="inlineStr">
        <is>
          <t>نعم</t>
        </is>
      </c>
      <c r="J201" s="23" t="inlineStr">
        <is>
          <t>مزرعة الرياض (عهدة/صندوق)</t>
        </is>
      </c>
      <c r="K201" s="23" t="inlineStr">
        <is>
          <t>خدمات (كهرباء/مياه/اتصالات)</t>
        </is>
      </c>
      <c r="L201" s="23" t="inlineStr"/>
    </row>
    <row r="202">
      <c r="A202" s="23" t="n">
        <v>201</v>
      </c>
      <c r="B202" s="24" t="n">
        <v>45960</v>
      </c>
      <c r="C202" s="23" t="inlineStr">
        <is>
          <t>مصنع شركة سانح لى للبلاستيك</t>
        </is>
      </c>
      <c r="D202" s="23" t="inlineStr">
        <is>
          <t>RIYADH NURSERY - PO1080</t>
        </is>
      </c>
      <c r="E202" s="23" t="n"/>
      <c r="F202" s="25" t="n">
        <v>1965.6</v>
      </c>
      <c r="G202" s="23" t="n">
        <v>15</v>
      </c>
      <c r="H202" s="25" t="n">
        <v>2260.44</v>
      </c>
      <c r="I202" s="23" t="inlineStr">
        <is>
          <t>نعم</t>
        </is>
      </c>
      <c r="J202" s="23" t="inlineStr">
        <is>
          <t>مزرعة الرياض (عهدة/صندوق)</t>
        </is>
      </c>
      <c r="K202" s="23" t="inlineStr">
        <is>
          <t>مستلزمات إنتاج (مراكن/فلين/مفارش)</t>
        </is>
      </c>
      <c r="L202" s="23" t="inlineStr"/>
    </row>
    <row r="203">
      <c r="A203" s="23" t="n">
        <v>202</v>
      </c>
      <c r="B203" s="24" t="n">
        <v>45961</v>
      </c>
      <c r="C203" s="23" t="inlineStr">
        <is>
          <t>مؤسسة بساتين الرياض</t>
        </is>
      </c>
      <c r="D203" s="23" t="inlineStr">
        <is>
          <t>RIYADH NURSERY</t>
        </is>
      </c>
      <c r="E203" s="23" t="n"/>
      <c r="F203" s="25" t="n">
        <v>495.65</v>
      </c>
      <c r="G203" s="23" t="n">
        <v>15</v>
      </c>
      <c r="H203" s="25" t="n">
        <v>570</v>
      </c>
      <c r="I203" s="23" t="inlineStr">
        <is>
          <t>نعم</t>
        </is>
      </c>
      <c r="J203" s="23" t="inlineStr">
        <is>
          <t>مزرعة الرياض (عهدة/صندوق)</t>
        </is>
      </c>
      <c r="K203" s="23" t="inlineStr">
        <is>
          <t>مشتريات نباتات وبذور</t>
        </is>
      </c>
      <c r="L203" s="23" t="inlineStr"/>
    </row>
    <row r="204">
      <c r="A204" s="23" t="n">
        <v>203</v>
      </c>
      <c r="B204" s="24" t="n">
        <v>45961</v>
      </c>
      <c r="C204" s="23" t="inlineStr">
        <is>
          <t>HETA NURSERYS</t>
        </is>
      </c>
      <c r="D204" s="23" t="inlineStr">
        <is>
          <t>RIYADH NURSERY</t>
        </is>
      </c>
      <c r="E204" s="23" t="n"/>
      <c r="F204" s="25" t="n">
        <v>6130.43</v>
      </c>
      <c r="G204" s="23" t="n">
        <v>15</v>
      </c>
      <c r="H204" s="25" t="n">
        <v>7050</v>
      </c>
      <c r="I204" s="23" t="inlineStr">
        <is>
          <t>نعم</t>
        </is>
      </c>
      <c r="J204" s="23" t="inlineStr">
        <is>
          <t>مزرعة الرياض (عهدة/صندوق)</t>
        </is>
      </c>
      <c r="K204" s="23" t="inlineStr">
        <is>
          <t>مشتريات نباتات وبذور</t>
        </is>
      </c>
      <c r="L204" s="23" t="inlineStr"/>
    </row>
    <row r="205">
      <c r="A205" s="23" t="n">
        <v>204</v>
      </c>
      <c r="B205" s="24" t="n">
        <v>45962</v>
      </c>
      <c r="C205" s="23" t="inlineStr">
        <is>
          <t>ينابع المئويه لتحلية المياه</t>
        </is>
      </c>
      <c r="D205" s="23" t="inlineStr">
        <is>
          <t>RIYADH NURSERY</t>
        </is>
      </c>
      <c r="E205" s="23" t="n"/>
      <c r="F205" s="25" t="n">
        <v>52.17</v>
      </c>
      <c r="G205" s="23" t="n">
        <v>15</v>
      </c>
      <c r="H205" s="25" t="n">
        <v>60</v>
      </c>
      <c r="I205" s="23" t="inlineStr">
        <is>
          <t>نعم</t>
        </is>
      </c>
      <c r="J205" s="23" t="inlineStr">
        <is>
          <t>مزرعة الرياض (عهدة/صندوق)</t>
        </is>
      </c>
      <c r="K205" s="23" t="inlineStr">
        <is>
          <t>خدمات (كهرباء/مياه/اتصالات)</t>
        </is>
      </c>
      <c r="L205" s="23" t="inlineStr"/>
    </row>
    <row r="206">
      <c r="A206" s="23" t="n">
        <v>205</v>
      </c>
      <c r="B206" s="24" t="n">
        <v>45963</v>
      </c>
      <c r="C206" s="23" t="inlineStr">
        <is>
          <t>HETA NURSERYS</t>
        </is>
      </c>
      <c r="D206" s="23" t="inlineStr">
        <is>
          <t>RIYADH NURSERY - PO1090</t>
        </is>
      </c>
      <c r="E206" s="23" t="n"/>
      <c r="F206" s="25" t="n">
        <v>6105.01</v>
      </c>
      <c r="G206" s="23" t="n">
        <v>15</v>
      </c>
      <c r="H206" s="25" t="n">
        <v>7020.76</v>
      </c>
      <c r="I206" s="23" t="inlineStr">
        <is>
          <t>نعم</t>
        </is>
      </c>
      <c r="J206" s="23" t="inlineStr">
        <is>
          <t>مزرعة الرياض (عهدة/صندوق)</t>
        </is>
      </c>
      <c r="K206" s="23" t="inlineStr">
        <is>
          <t>مشتريات نباتات وبذور</t>
        </is>
      </c>
      <c r="L206" s="23" t="inlineStr"/>
    </row>
    <row r="207">
      <c r="A207" s="23" t="n">
        <v>206</v>
      </c>
      <c r="B207" s="24" t="n">
        <v>45964</v>
      </c>
      <c r="C207" s="23" t="inlineStr">
        <is>
          <t>HETA NURSERYS</t>
        </is>
      </c>
      <c r="D207" s="23" t="inlineStr">
        <is>
          <t>RIYADH NURSERY - PO1094</t>
        </is>
      </c>
      <c r="E207" s="23" t="inlineStr">
        <is>
          <t>PO 1094</t>
        </is>
      </c>
      <c r="F207" s="25" t="n">
        <v>5826.09</v>
      </c>
      <c r="G207" s="23" t="n">
        <v>15</v>
      </c>
      <c r="H207" s="25" t="n">
        <v>6700</v>
      </c>
      <c r="I207" s="23" t="inlineStr">
        <is>
          <t>نعم</t>
        </is>
      </c>
      <c r="J207" s="23" t="inlineStr">
        <is>
          <t>مزرعة الرياض (عهدة/صندوق)</t>
        </is>
      </c>
      <c r="K207" s="23" t="inlineStr">
        <is>
          <t>مشتريات نباتات وبذور</t>
        </is>
      </c>
      <c r="L207" s="23" t="inlineStr"/>
    </row>
    <row r="208">
      <c r="A208" s="36" t="n">
        <v>207</v>
      </c>
      <c r="B208" s="37" t="n">
        <v>45965</v>
      </c>
      <c r="C208" s="36" t="inlineStr">
        <is>
          <t>مصنع شركة سانح لى للبلاستيك</t>
        </is>
      </c>
      <c r="D208" s="36" t="inlineStr">
        <is>
          <t>RIYADH NURSERY - PO1096</t>
        </is>
      </c>
      <c r="E208" s="36" t="inlineStr">
        <is>
          <t>سداد اذن صرف رقم 10</t>
        </is>
      </c>
      <c r="F208" s="38" t="n">
        <v>1965.6</v>
      </c>
      <c r="G208" s="36" t="n">
        <v>15</v>
      </c>
      <c r="H208" s="38" t="n">
        <v>2260.44</v>
      </c>
      <c r="I208" s="36" t="inlineStr">
        <is>
          <t>نعم</t>
        </is>
      </c>
      <c r="J208" s="36" t="inlineStr">
        <is>
          <t>مزرعة الرياض (عهدة/صندوق)</t>
        </is>
      </c>
      <c r="K208" s="36" t="inlineStr">
        <is>
          <t>مستلزمات إنتاج (مراكن/فلين/مفارش)</t>
        </is>
      </c>
      <c r="L208" s="36" t="inlineStr">
        <is>
          <t>⚠ نفس المورد ونفس التاريخ ونفس القيمة مكرر – يلزم التأكد</t>
        </is>
      </c>
    </row>
    <row r="209">
      <c r="A209" s="36" t="n">
        <v>208</v>
      </c>
      <c r="B209" s="37" t="n">
        <v>45965</v>
      </c>
      <c r="C209" s="36" t="inlineStr">
        <is>
          <t>مصنع شركة سانح لى للبلاستيك</t>
        </is>
      </c>
      <c r="D209" s="36" t="inlineStr">
        <is>
          <t>RIYADH NURSERY - PO1097</t>
        </is>
      </c>
      <c r="E209" s="36" t="inlineStr">
        <is>
          <t>سداد اذن صرف رقم 10</t>
        </is>
      </c>
      <c r="F209" s="38" t="n">
        <v>1965.6</v>
      </c>
      <c r="G209" s="36" t="n">
        <v>15</v>
      </c>
      <c r="H209" s="38" t="n">
        <v>2260.44</v>
      </c>
      <c r="I209" s="36" t="inlineStr">
        <is>
          <t>نعم</t>
        </is>
      </c>
      <c r="J209" s="36" t="inlineStr">
        <is>
          <t>مزرعة الرياض (عهدة/صندوق)</t>
        </is>
      </c>
      <c r="K209" s="36" t="inlineStr">
        <is>
          <t>مستلزمات إنتاج (مراكن/فلين/مفارش)</t>
        </is>
      </c>
      <c r="L209" s="36" t="inlineStr">
        <is>
          <t>⚠ نفس المورد ونفس التاريخ ونفس القيمة مكرر – يلزم التأكد</t>
        </is>
      </c>
    </row>
    <row r="210">
      <c r="A210" s="23" t="n">
        <v>209</v>
      </c>
      <c r="B210" s="24" t="n">
        <v>45965</v>
      </c>
      <c r="C210" s="23" t="inlineStr">
        <is>
          <t>الوقود</t>
        </is>
      </c>
      <c r="D210" s="23" t="inlineStr">
        <is>
          <t>RIYADH NURSERY</t>
        </is>
      </c>
      <c r="E210" s="23" t="n"/>
      <c r="F210" s="25" t="n">
        <v>60.87</v>
      </c>
      <c r="G210" s="23" t="n">
        <v>15</v>
      </c>
      <c r="H210" s="25" t="n">
        <v>70</v>
      </c>
      <c r="I210" s="23" t="inlineStr">
        <is>
          <t>نعم</t>
        </is>
      </c>
      <c r="J210" s="23" t="inlineStr">
        <is>
          <t>مزرعة الرياض (عهدة/صندوق)</t>
        </is>
      </c>
      <c r="K210" s="23" t="inlineStr">
        <is>
          <t>وقود</t>
        </is>
      </c>
      <c r="L210" s="23" t="inlineStr"/>
    </row>
    <row r="211">
      <c r="A211" s="23" t="n">
        <v>210</v>
      </c>
      <c r="B211" s="24" t="n">
        <v>45966</v>
      </c>
      <c r="C211" s="23" t="inlineStr">
        <is>
          <t>شركة الجزيرة الحديثة الزراعية</t>
        </is>
      </c>
      <c r="D211" s="23" t="inlineStr">
        <is>
          <t>WHK-2364</t>
        </is>
      </c>
      <c r="E211" s="23" t="inlineStr">
        <is>
          <t>مرفق طلب التوريد</t>
        </is>
      </c>
      <c r="F211" s="25" t="n">
        <v>19312.5</v>
      </c>
      <c r="G211" s="23" t="n">
        <v>0</v>
      </c>
      <c r="H211" s="25" t="n">
        <v>19312.5</v>
      </c>
      <c r="I211" s="23" t="inlineStr">
        <is>
          <t>نعم</t>
        </is>
      </c>
      <c r="J211" s="23" t="inlineStr">
        <is>
          <t>مزرعة الرياض (عهدة/صندوق)</t>
        </is>
      </c>
      <c r="K211" s="23" t="inlineStr">
        <is>
          <t>مشتريات زهور لعقد عرعر (WHK-2364)</t>
        </is>
      </c>
      <c r="L211" s="23" t="inlineStr">
        <is>
          <t>تكلفة زهور مشتراة لتوريد عقد عرعر لأبو خالد</t>
        </is>
      </c>
    </row>
    <row r="212">
      <c r="A212" s="23" t="n">
        <v>211</v>
      </c>
      <c r="B212" s="24" t="n">
        <v>45967</v>
      </c>
      <c r="C212" s="23" t="inlineStr">
        <is>
          <t>شركة ايراد المتحدة التجارية</t>
        </is>
      </c>
      <c r="D212" s="23" t="inlineStr">
        <is>
          <t>RIYADH NURSERY - PO1111</t>
        </is>
      </c>
      <c r="E212" s="23" t="inlineStr">
        <is>
          <t>اذن صرف رقم 11</t>
        </is>
      </c>
      <c r="F212" s="25" t="n">
        <v>3874</v>
      </c>
      <c r="G212" s="23" t="n">
        <v>15</v>
      </c>
      <c r="H212" s="25" t="n">
        <v>4455.1</v>
      </c>
      <c r="I212" s="23" t="inlineStr">
        <is>
          <t>نعم</t>
        </is>
      </c>
      <c r="J212" s="23" t="inlineStr">
        <is>
          <t>مزرعة الرياض (عهدة/صندوق)</t>
        </is>
      </c>
      <c r="K212" s="23" t="inlineStr">
        <is>
          <t>مواد زراعية (بيتموس/بيرلايت/أسمدة/مبيدات)</t>
        </is>
      </c>
      <c r="L212" s="23" t="inlineStr"/>
    </row>
    <row r="213">
      <c r="A213" s="23" t="n">
        <v>212</v>
      </c>
      <c r="B213" s="24" t="n">
        <v>45969</v>
      </c>
      <c r="C213" s="23" t="inlineStr">
        <is>
          <t>اللوازم المكتبية</t>
        </is>
      </c>
      <c r="D213" s="23" t="inlineStr">
        <is>
          <t>RIYADH NURSERY</t>
        </is>
      </c>
      <c r="E213" s="23" t="n"/>
      <c r="F213" s="25" t="n">
        <v>38.22</v>
      </c>
      <c r="G213" s="23" t="n">
        <v>15</v>
      </c>
      <c r="H213" s="25" t="n">
        <v>43.95</v>
      </c>
      <c r="I213" s="23" t="inlineStr">
        <is>
          <t>نعم</t>
        </is>
      </c>
      <c r="J213" s="23" t="inlineStr">
        <is>
          <t>مزرعة الرياض (عهدة/صندوق)</t>
        </is>
      </c>
      <c r="K213" s="23" t="inlineStr">
        <is>
          <t>مصروفات إدارية وأخرى</t>
        </is>
      </c>
      <c r="L213" s="23" t="inlineStr"/>
    </row>
    <row r="214">
      <c r="A214" s="23" t="n">
        <v>213</v>
      </c>
      <c r="B214" s="24" t="n">
        <v>45969</v>
      </c>
      <c r="C214" s="23" t="inlineStr">
        <is>
          <t>هاتف الموبايل</t>
        </is>
      </c>
      <c r="D214" s="23" t="inlineStr">
        <is>
          <t>RIYADH NURSERY</t>
        </is>
      </c>
      <c r="E214" s="23" t="n"/>
      <c r="F214" s="25" t="n">
        <v>100</v>
      </c>
      <c r="G214" s="23" t="n">
        <v>15</v>
      </c>
      <c r="H214" s="25" t="n">
        <v>115</v>
      </c>
      <c r="I214" s="23" t="inlineStr">
        <is>
          <t>نعم</t>
        </is>
      </c>
      <c r="J214" s="23" t="inlineStr">
        <is>
          <t>مزرعة الرياض (عهدة/صندوق)</t>
        </is>
      </c>
      <c r="K214" s="23" t="inlineStr">
        <is>
          <t>خدمات (كهرباء/مياه/اتصالات)</t>
        </is>
      </c>
      <c r="L214" s="23" t="inlineStr"/>
    </row>
    <row r="215">
      <c r="A215" s="23" t="n">
        <v>214</v>
      </c>
      <c r="B215" s="24" t="n">
        <v>45969</v>
      </c>
      <c r="C215" s="23" t="inlineStr">
        <is>
          <t>شركة موفق للمقاولات المحدودة</t>
        </is>
      </c>
      <c r="D215" s="23" t="inlineStr">
        <is>
          <t>RIYADH NURSERY</t>
        </is>
      </c>
      <c r="E215" s="23" t="n"/>
      <c r="F215" s="25" t="n">
        <v>246</v>
      </c>
      <c r="G215" s="23" t="n">
        <v>15</v>
      </c>
      <c r="H215" s="25" t="n">
        <v>282.9</v>
      </c>
      <c r="I215" s="23" t="inlineStr">
        <is>
          <t>نعم</t>
        </is>
      </c>
      <c r="J215" s="23" t="inlineStr">
        <is>
          <t>مزرعة الرياض (عهدة/صندوق)</t>
        </is>
      </c>
      <c r="K215" s="23" t="inlineStr">
        <is>
          <t>صيانة وإنشاءات المزرعة</t>
        </is>
      </c>
      <c r="L215" s="23" t="inlineStr"/>
    </row>
    <row r="216">
      <c r="A216" s="23" t="n">
        <v>215</v>
      </c>
      <c r="B216" s="24" t="n">
        <v>45969</v>
      </c>
      <c r="C216" s="23" t="inlineStr">
        <is>
          <t>مؤسسة المحترف الامثل للتجارة - سباكة</t>
        </is>
      </c>
      <c r="D216" s="23" t="inlineStr">
        <is>
          <t>RIYADH NURSERY</t>
        </is>
      </c>
      <c r="E216" s="23" t="n"/>
      <c r="F216" s="25" t="n">
        <v>528</v>
      </c>
      <c r="G216" s="23" t="n">
        <v>15</v>
      </c>
      <c r="H216" s="25" t="n">
        <v>607.2</v>
      </c>
      <c r="I216" s="23" t="inlineStr">
        <is>
          <t>نعم</t>
        </is>
      </c>
      <c r="J216" s="23" t="inlineStr">
        <is>
          <t>مزرعة الرياض (عهدة/صندوق)</t>
        </is>
      </c>
      <c r="K216" s="23" t="inlineStr">
        <is>
          <t>صيانة وإنشاءات المزرعة</t>
        </is>
      </c>
      <c r="L216" s="23" t="inlineStr"/>
    </row>
    <row r="217">
      <c r="A217" s="23" t="n">
        <v>216</v>
      </c>
      <c r="B217" s="24" t="n">
        <v>45969</v>
      </c>
      <c r="C217" s="23" t="inlineStr">
        <is>
          <t>مصنع شركة سانح لى للبلاستيك</t>
        </is>
      </c>
      <c r="D217" s="23" t="inlineStr">
        <is>
          <t>RIYADH NURSERY - PO1110</t>
        </is>
      </c>
      <c r="E217" s="23" t="inlineStr">
        <is>
          <t>اذن صرف رقم 13</t>
        </is>
      </c>
      <c r="F217" s="25" t="n">
        <v>1965.6</v>
      </c>
      <c r="G217" s="23" t="n">
        <v>15</v>
      </c>
      <c r="H217" s="25" t="n">
        <v>2260.44</v>
      </c>
      <c r="I217" s="23" t="inlineStr">
        <is>
          <t>نعم</t>
        </is>
      </c>
      <c r="J217" s="23" t="inlineStr">
        <is>
          <t>مزرعة الرياض (عهدة/صندوق)</t>
        </is>
      </c>
      <c r="K217" s="23" t="inlineStr">
        <is>
          <t>مستلزمات إنتاج (مراكن/فلين/مفارش)</t>
        </is>
      </c>
      <c r="L217" s="23" t="inlineStr"/>
    </row>
    <row r="218">
      <c r="A218" s="23" t="n">
        <v>217</v>
      </c>
      <c r="B218" s="24" t="n">
        <v>45970</v>
      </c>
      <c r="C218" s="23" t="inlineStr">
        <is>
          <t>الشركة المصرية الالمانية للانتاج الزراعي</t>
        </is>
      </c>
      <c r="D218" s="23" t="inlineStr">
        <is>
          <t>RIYADH NURSERY - PO1119</t>
        </is>
      </c>
      <c r="E218" s="23" t="inlineStr">
        <is>
          <t>مرفق وصل السداد</t>
        </is>
      </c>
      <c r="F218" s="25" t="n">
        <v>35112</v>
      </c>
      <c r="G218" s="23" t="n">
        <v>15</v>
      </c>
      <c r="H218" s="25" t="n">
        <v>40378.8</v>
      </c>
      <c r="I218" s="23" t="inlineStr">
        <is>
          <t>نعم</t>
        </is>
      </c>
      <c r="J218" s="23" t="inlineStr">
        <is>
          <t>مزرعة الرياض (عهدة/صندوق)</t>
        </is>
      </c>
      <c r="K218" s="23" t="inlineStr">
        <is>
          <t>مشتريات نباتات وبذور</t>
        </is>
      </c>
      <c r="L218" s="23" t="inlineStr"/>
    </row>
    <row r="219">
      <c r="A219" s="23" t="n">
        <v>218</v>
      </c>
      <c r="B219" s="24" t="n">
        <v>45970</v>
      </c>
      <c r="C219" s="23" t="inlineStr">
        <is>
          <t>الشركة المصرية الالمانية للانتاج الزراعي</t>
        </is>
      </c>
      <c r="D219" s="23" t="inlineStr">
        <is>
          <t>RIYADH NURSERY - PO1120</t>
        </is>
      </c>
      <c r="E219" s="23" t="inlineStr">
        <is>
          <t>اذن صرف رقم 53</t>
        </is>
      </c>
      <c r="F219" s="25" t="n">
        <v>37442</v>
      </c>
      <c r="G219" s="23" t="n">
        <v>0</v>
      </c>
      <c r="H219" s="25" t="n">
        <v>37442</v>
      </c>
      <c r="I219" s="23" t="inlineStr">
        <is>
          <t>نعم</t>
        </is>
      </c>
      <c r="J219" s="23" t="inlineStr">
        <is>
          <t>مزرعة الرياض (عهدة/صندوق)</t>
        </is>
      </c>
      <c r="K219" s="23" t="inlineStr">
        <is>
          <t>مشتريات نباتات وبذور</t>
        </is>
      </c>
      <c r="L219" s="23" t="inlineStr"/>
    </row>
    <row r="220">
      <c r="A220" s="23" t="n">
        <v>219</v>
      </c>
      <c r="B220" s="24" t="n">
        <v>45970</v>
      </c>
      <c r="C220" s="23" t="inlineStr">
        <is>
          <t>HETA NURSERYS</t>
        </is>
      </c>
      <c r="D220" s="23" t="inlineStr">
        <is>
          <t>RIYADH NURSERY - PO1118</t>
        </is>
      </c>
      <c r="E220" s="23" t="inlineStr">
        <is>
          <t>سداد بيد م - عادل</t>
        </is>
      </c>
      <c r="F220" s="25" t="n">
        <v>20586.96</v>
      </c>
      <c r="G220" s="23" t="n">
        <v>15</v>
      </c>
      <c r="H220" s="25" t="n">
        <v>23675</v>
      </c>
      <c r="I220" s="23" t="inlineStr">
        <is>
          <t>نعم</t>
        </is>
      </c>
      <c r="J220" s="23" t="inlineStr">
        <is>
          <t>مزرعة الرياض (عهدة/صندوق)</t>
        </is>
      </c>
      <c r="K220" s="23" t="inlineStr">
        <is>
          <t>مشتريات نباتات وبذور</t>
        </is>
      </c>
      <c r="L220" s="23" t="inlineStr"/>
    </row>
    <row r="221">
      <c r="A221" s="23" t="n">
        <v>220</v>
      </c>
      <c r="B221" s="24" t="n">
        <v>45970</v>
      </c>
      <c r="C221" s="23" t="inlineStr">
        <is>
          <t>HETA NURSERYS</t>
        </is>
      </c>
      <c r="D221" s="23" t="inlineStr">
        <is>
          <t>RIYADH NURSERY - PO1117</t>
        </is>
      </c>
      <c r="E221" s="23" t="inlineStr">
        <is>
          <t>سداد بيد م - عادل</t>
        </is>
      </c>
      <c r="F221" s="25" t="n">
        <v>9704.35</v>
      </c>
      <c r="G221" s="23" t="n">
        <v>15</v>
      </c>
      <c r="H221" s="25" t="n">
        <v>11160</v>
      </c>
      <c r="I221" s="23" t="inlineStr">
        <is>
          <t>نعم</t>
        </is>
      </c>
      <c r="J221" s="23" t="inlineStr">
        <is>
          <t>مزرعة الرياض (عهدة/صندوق)</t>
        </is>
      </c>
      <c r="K221" s="23" t="inlineStr">
        <is>
          <t>مشتريات نباتات وبذور</t>
        </is>
      </c>
      <c r="L221" s="23" t="inlineStr"/>
    </row>
    <row r="222">
      <c r="A222" s="23" t="n">
        <v>221</v>
      </c>
      <c r="B222" s="24" t="n">
        <v>45970</v>
      </c>
      <c r="C222" s="23" t="inlineStr">
        <is>
          <t>مصنع شركة سانح لى للبلاستيك</t>
        </is>
      </c>
      <c r="D222" s="23" t="inlineStr">
        <is>
          <t>RIYADH NURSERY - PO1114</t>
        </is>
      </c>
      <c r="E222" s="23" t="inlineStr">
        <is>
          <t>اذن صرف رقم 13</t>
        </is>
      </c>
      <c r="F222" s="25" t="n">
        <v>1965.6</v>
      </c>
      <c r="G222" s="23" t="n">
        <v>15</v>
      </c>
      <c r="H222" s="25" t="n">
        <v>2260.44</v>
      </c>
      <c r="I222" s="23" t="inlineStr">
        <is>
          <t>نعم</t>
        </is>
      </c>
      <c r="J222" s="23" t="inlineStr">
        <is>
          <t>مزرعة الرياض (عهدة/صندوق)</t>
        </is>
      </c>
      <c r="K222" s="23" t="inlineStr">
        <is>
          <t>مستلزمات إنتاج (مراكن/فلين/مفارش)</t>
        </is>
      </c>
      <c r="L222" s="23" t="inlineStr"/>
    </row>
    <row r="223">
      <c r="A223" s="23" t="n">
        <v>222</v>
      </c>
      <c r="B223" s="24" t="n">
        <v>45972</v>
      </c>
      <c r="C223" s="23" t="inlineStr">
        <is>
          <t>مصنع شركة سانح لى للبلاستيك</t>
        </is>
      </c>
      <c r="D223" s="23" t="inlineStr">
        <is>
          <t>RIYADH NURSERY - PO1124</t>
        </is>
      </c>
      <c r="E223" s="23" t="inlineStr">
        <is>
          <t>اذن صرف رقم 15</t>
        </is>
      </c>
      <c r="F223" s="25" t="n">
        <v>1965.6</v>
      </c>
      <c r="G223" s="23" t="n">
        <v>15</v>
      </c>
      <c r="H223" s="25" t="n">
        <v>2260.44</v>
      </c>
      <c r="I223" s="23" t="inlineStr">
        <is>
          <t>نعم</t>
        </is>
      </c>
      <c r="J223" s="23" t="inlineStr">
        <is>
          <t>مزرعة الرياض (عهدة/صندوق)</t>
        </is>
      </c>
      <c r="K223" s="23" t="inlineStr">
        <is>
          <t>مستلزمات إنتاج (مراكن/فلين/مفارش)</t>
        </is>
      </c>
      <c r="L223" s="23" t="inlineStr"/>
    </row>
    <row r="224">
      <c r="A224" s="23" t="n">
        <v>223</v>
      </c>
      <c r="B224" s="24" t="n">
        <v>45973</v>
      </c>
      <c r="C224" s="23" t="inlineStr">
        <is>
          <t>مصنع شركة سانح لى للبلاستيك</t>
        </is>
      </c>
      <c r="D224" s="23" t="inlineStr">
        <is>
          <t>RIYADH NURSERY - PO1042</t>
        </is>
      </c>
      <c r="E224" s="23" t="inlineStr">
        <is>
          <t>اذن صرف رقم 15</t>
        </is>
      </c>
      <c r="F224" s="25" t="n">
        <v>2486.4</v>
      </c>
      <c r="G224" s="23" t="n">
        <v>15</v>
      </c>
      <c r="H224" s="25" t="n">
        <v>2859.36</v>
      </c>
      <c r="I224" s="23" t="inlineStr">
        <is>
          <t>نعم</t>
        </is>
      </c>
      <c r="J224" s="23" t="inlineStr">
        <is>
          <t>مزرعة الرياض (عهدة/صندوق)</t>
        </is>
      </c>
      <c r="K224" s="23" t="inlineStr">
        <is>
          <t>مستلزمات إنتاج (مراكن/فلين/مفارش)</t>
        </is>
      </c>
      <c r="L224" s="23" t="inlineStr"/>
    </row>
    <row r="225">
      <c r="A225" s="23" t="n">
        <v>224</v>
      </c>
      <c r="B225" s="24" t="n">
        <v>45973</v>
      </c>
      <c r="C225" s="23" t="inlineStr">
        <is>
          <t>محطة المجمع لخدمات السيارات</t>
        </is>
      </c>
      <c r="D225" s="23" t="inlineStr">
        <is>
          <t>RIYADH NURSERY</t>
        </is>
      </c>
      <c r="E225" s="23" t="n"/>
      <c r="F225" s="25" t="n">
        <v>104.35</v>
      </c>
      <c r="G225" s="23" t="n">
        <v>15</v>
      </c>
      <c r="H225" s="25" t="n">
        <v>120</v>
      </c>
      <c r="I225" s="23" t="inlineStr">
        <is>
          <t>نعم</t>
        </is>
      </c>
      <c r="J225" s="23" t="inlineStr">
        <is>
          <t>مزرعة الرياض (عهدة/صندوق)</t>
        </is>
      </c>
      <c r="K225" s="23" t="inlineStr">
        <is>
          <t>صيانة سيارات ومعدات</t>
        </is>
      </c>
      <c r="L225" s="23" t="inlineStr"/>
    </row>
    <row r="226">
      <c r="A226" s="23" t="n">
        <v>225</v>
      </c>
      <c r="B226" s="24" t="n">
        <v>45973</v>
      </c>
      <c r="C226" s="23" t="inlineStr">
        <is>
          <t>شركة اليمنى للسيارات</t>
        </is>
      </c>
      <c r="D226" s="23" t="inlineStr">
        <is>
          <t>RIYADH NURSERY</t>
        </is>
      </c>
      <c r="E226" s="23" t="n"/>
      <c r="F226" s="25" t="n">
        <v>25.07</v>
      </c>
      <c r="G226" s="23" t="n">
        <v>15</v>
      </c>
      <c r="H226" s="25" t="n">
        <v>28.83</v>
      </c>
      <c r="I226" s="23" t="inlineStr">
        <is>
          <t>نعم</t>
        </is>
      </c>
      <c r="J226" s="23" t="inlineStr">
        <is>
          <t>مزرعة الرياض (عهدة/صندوق)</t>
        </is>
      </c>
      <c r="K226" s="23" t="inlineStr">
        <is>
          <t>صيانة سيارات ومعدات</t>
        </is>
      </c>
      <c r="L226" s="23" t="inlineStr"/>
    </row>
    <row r="227">
      <c r="A227" s="23" t="n">
        <v>226</v>
      </c>
      <c r="B227" s="24" t="n">
        <v>45973</v>
      </c>
      <c r="C227" s="23" t="inlineStr">
        <is>
          <t>شركة اليمنى للسيارات</t>
        </is>
      </c>
      <c r="D227" s="23" t="inlineStr">
        <is>
          <t>RIYADH NURSERY</t>
        </is>
      </c>
      <c r="E227" s="23" t="n"/>
      <c r="F227" s="25" t="n">
        <v>308.6</v>
      </c>
      <c r="G227" s="23" t="n">
        <v>15</v>
      </c>
      <c r="H227" s="25" t="n">
        <v>354.89</v>
      </c>
      <c r="I227" s="23" t="inlineStr">
        <is>
          <t>نعم</t>
        </is>
      </c>
      <c r="J227" s="23" t="inlineStr">
        <is>
          <t>مزرعة الرياض (عهدة/صندوق)</t>
        </is>
      </c>
      <c r="K227" s="23" t="inlineStr">
        <is>
          <t>صيانة سيارات ومعدات</t>
        </is>
      </c>
      <c r="L227" s="23" t="inlineStr"/>
    </row>
    <row r="228">
      <c r="A228" s="23" t="n">
        <v>227</v>
      </c>
      <c r="B228" s="24" t="n">
        <v>45974</v>
      </c>
      <c r="C228" s="23" t="inlineStr">
        <is>
          <t>رواتب</t>
        </is>
      </c>
      <c r="D228" s="23" t="inlineStr">
        <is>
          <t>RIYADH NURSERY</t>
        </is>
      </c>
      <c r="E228" s="23" t="inlineStr">
        <is>
          <t>اذن صرف رقم 14</t>
        </is>
      </c>
      <c r="F228" s="25" t="n">
        <v>32939.13</v>
      </c>
      <c r="G228" s="23" t="n">
        <v>15</v>
      </c>
      <c r="H228" s="25" t="n">
        <v>37880</v>
      </c>
      <c r="I228" s="23" t="inlineStr">
        <is>
          <t>نعم</t>
        </is>
      </c>
      <c r="J228" s="23" t="inlineStr">
        <is>
          <t>مزرعة الرياض (عهدة/صندوق)</t>
        </is>
      </c>
      <c r="K228" s="23" t="inlineStr">
        <is>
          <t>رواتب وعمولات</t>
        </is>
      </c>
      <c r="L228" s="23" t="inlineStr"/>
    </row>
    <row r="229">
      <c r="A229" s="23" t="n">
        <v>228</v>
      </c>
      <c r="B229" s="24" t="n">
        <v>45977</v>
      </c>
      <c r="C229" s="23" t="inlineStr">
        <is>
          <t>العمولة</t>
        </is>
      </c>
      <c r="D229" s="23" t="inlineStr">
        <is>
          <t>RIYADH NURSERY</t>
        </is>
      </c>
      <c r="E229" s="23" t="inlineStr">
        <is>
          <t>اذن صرف رقم 16</t>
        </is>
      </c>
      <c r="F229" s="25" t="n">
        <v>1160.87</v>
      </c>
      <c r="G229" s="23" t="n">
        <v>15</v>
      </c>
      <c r="H229" s="25" t="n">
        <v>1335</v>
      </c>
      <c r="I229" s="23" t="inlineStr">
        <is>
          <t>نعم</t>
        </is>
      </c>
      <c r="J229" s="23" t="inlineStr">
        <is>
          <t>مزرعة الرياض (عهدة/صندوق)</t>
        </is>
      </c>
      <c r="K229" s="23" t="inlineStr">
        <is>
          <t>رواتب وعمولات</t>
        </is>
      </c>
      <c r="L229" s="23" t="inlineStr"/>
    </row>
    <row r="230">
      <c r="A230" s="23" t="n">
        <v>229</v>
      </c>
      <c r="B230" s="24" t="n">
        <v>45978</v>
      </c>
      <c r="C230" s="23" t="inlineStr">
        <is>
          <t>شركة التاج المميزة التجارية</t>
        </is>
      </c>
      <c r="D230" s="23" t="inlineStr">
        <is>
          <t>RIYADH NURSERY - PO1178</t>
        </is>
      </c>
      <c r="E230" s="23" t="inlineStr">
        <is>
          <t>سداد بيد م - عادل</t>
        </is>
      </c>
      <c r="F230" s="25" t="n">
        <v>13000</v>
      </c>
      <c r="G230" s="23" t="n">
        <v>0</v>
      </c>
      <c r="H230" s="25" t="n">
        <v>13000</v>
      </c>
      <c r="I230" s="23" t="inlineStr">
        <is>
          <t>نعم</t>
        </is>
      </c>
      <c r="J230" s="23" t="inlineStr">
        <is>
          <t>مزرعة الرياض (عهدة/صندوق)</t>
        </is>
      </c>
      <c r="K230" s="23" t="inlineStr">
        <is>
          <t>مواد زراعية (بيتموس/بيرلايت/أسمدة/مبيدات)</t>
        </is>
      </c>
      <c r="L230" s="23" t="inlineStr"/>
    </row>
    <row r="231">
      <c r="A231" s="23" t="n">
        <v>230</v>
      </c>
      <c r="B231" s="24" t="n">
        <v>45978</v>
      </c>
      <c r="C231" s="23" t="inlineStr">
        <is>
          <t>ينابع المئويه لتحلية المياه</t>
        </is>
      </c>
      <c r="D231" s="23" t="inlineStr">
        <is>
          <t>RIYADH NURSERY</t>
        </is>
      </c>
      <c r="E231" s="23" t="n"/>
      <c r="F231" s="25" t="n">
        <v>52.17</v>
      </c>
      <c r="G231" s="23" t="n">
        <v>15</v>
      </c>
      <c r="H231" s="25" t="n">
        <v>60</v>
      </c>
      <c r="I231" s="23" t="inlineStr">
        <is>
          <t>نعم</t>
        </is>
      </c>
      <c r="J231" s="23" t="inlineStr">
        <is>
          <t>مزرعة الرياض (عهدة/صندوق)</t>
        </is>
      </c>
      <c r="K231" s="23" t="inlineStr">
        <is>
          <t>خدمات (كهرباء/مياه/اتصالات)</t>
        </is>
      </c>
      <c r="L231" s="23" t="inlineStr"/>
    </row>
    <row r="232">
      <c r="A232" s="23" t="n">
        <v>231</v>
      </c>
      <c r="B232" s="24" t="n">
        <v>45978</v>
      </c>
      <c r="C232" s="23" t="inlineStr">
        <is>
          <t>مصنع شركة سانح لى للبلاستيك</t>
        </is>
      </c>
      <c r="D232" s="23" t="inlineStr">
        <is>
          <t>RIYADH NURSERY - PO1177</t>
        </is>
      </c>
      <c r="E232" s="23" t="inlineStr">
        <is>
          <t>17اذن صرف رقم</t>
        </is>
      </c>
      <c r="F232" s="25" t="n">
        <v>1965.6</v>
      </c>
      <c r="G232" s="23" t="n">
        <v>15</v>
      </c>
      <c r="H232" s="25" t="n">
        <v>2260.44</v>
      </c>
      <c r="I232" s="23" t="inlineStr">
        <is>
          <t>نعم</t>
        </is>
      </c>
      <c r="J232" s="23" t="inlineStr">
        <is>
          <t>مزرعة الرياض (عهدة/صندوق)</t>
        </is>
      </c>
      <c r="K232" s="23" t="inlineStr">
        <is>
          <t>مستلزمات إنتاج (مراكن/فلين/مفارش)</t>
        </is>
      </c>
      <c r="L232" s="23" t="inlineStr"/>
    </row>
    <row r="233">
      <c r="A233" s="23" t="n">
        <v>232</v>
      </c>
      <c r="B233" s="24" t="n">
        <v>45980</v>
      </c>
      <c r="C233" s="23" t="inlineStr">
        <is>
          <t>GULF PERITE COMPANY</t>
        </is>
      </c>
      <c r="D233" s="23" t="inlineStr">
        <is>
          <t>RIYADH NURSERY</t>
        </is>
      </c>
      <c r="E233" s="23" t="inlineStr">
        <is>
          <t>مرفق طلب التوريد</t>
        </is>
      </c>
      <c r="F233" s="25" t="n">
        <v>17446.96</v>
      </c>
      <c r="G233" s="23" t="n">
        <v>15</v>
      </c>
      <c r="H233" s="25" t="n">
        <v>20064</v>
      </c>
      <c r="I233" s="23" t="inlineStr">
        <is>
          <t>نعم</t>
        </is>
      </c>
      <c r="J233" s="23" t="inlineStr">
        <is>
          <t>مزرعة الرياض (عهدة/صندوق)</t>
        </is>
      </c>
      <c r="K233" s="23" t="inlineStr">
        <is>
          <t>مواد زراعية (بيتموس/بيرلايت/أسمدة/مبيدات)</t>
        </is>
      </c>
      <c r="L233" s="23" t="inlineStr"/>
    </row>
    <row r="234">
      <c r="A234" s="23" t="n">
        <v>233</v>
      </c>
      <c r="B234" s="24" t="n">
        <v>45981</v>
      </c>
      <c r="C234" s="23" t="inlineStr">
        <is>
          <t>مصنع شركة سانح لى للبلاستيك</t>
        </is>
      </c>
      <c r="D234" s="23" t="inlineStr">
        <is>
          <t>RIYADH NURSERY - PO1197</t>
        </is>
      </c>
      <c r="E234" s="23" t="inlineStr">
        <is>
          <t>18سداد باذن صرف رقم</t>
        </is>
      </c>
      <c r="F234" s="25" t="n">
        <v>1965.6</v>
      </c>
      <c r="G234" s="23" t="n">
        <v>15</v>
      </c>
      <c r="H234" s="25" t="n">
        <v>2260.44</v>
      </c>
      <c r="I234" s="23" t="inlineStr">
        <is>
          <t>نعم</t>
        </is>
      </c>
      <c r="J234" s="23" t="inlineStr">
        <is>
          <t>مزرعة الرياض (عهدة/صندوق)</t>
        </is>
      </c>
      <c r="K234" s="23" t="inlineStr">
        <is>
          <t>مستلزمات إنتاج (مراكن/فلين/مفارش)</t>
        </is>
      </c>
      <c r="L234" s="23" t="inlineStr"/>
    </row>
    <row r="235">
      <c r="A235" s="23" t="n">
        <v>234</v>
      </c>
      <c r="B235" s="24" t="n">
        <v>45981</v>
      </c>
      <c r="C235" s="23" t="inlineStr">
        <is>
          <t>اللوازم المكتبية</t>
        </is>
      </c>
      <c r="D235" s="23" t="inlineStr">
        <is>
          <t>RIYADH NURSERY</t>
        </is>
      </c>
      <c r="E235" s="23" t="inlineStr">
        <is>
          <t>19باذن صرف رقم</t>
        </is>
      </c>
      <c r="F235" s="25" t="n">
        <v>173.91</v>
      </c>
      <c r="G235" s="23" t="n">
        <v>15</v>
      </c>
      <c r="H235" s="25" t="n">
        <v>200</v>
      </c>
      <c r="I235" s="23" t="inlineStr">
        <is>
          <t>نعم</t>
        </is>
      </c>
      <c r="J235" s="23" t="inlineStr">
        <is>
          <t>مزرعة الرياض (عهدة/صندوق)</t>
        </is>
      </c>
      <c r="K235" s="23" t="inlineStr">
        <is>
          <t>مصروفات إدارية وأخرى</t>
        </is>
      </c>
      <c r="L235" s="23" t="inlineStr"/>
    </row>
    <row r="236">
      <c r="A236" s="23" t="n">
        <v>235</v>
      </c>
      <c r="B236" s="24" t="n">
        <v>45981</v>
      </c>
      <c r="C236" s="23" t="inlineStr">
        <is>
          <t>مؤسسة المحترف الامثل للتجارة - سباكة</t>
        </is>
      </c>
      <c r="D236" s="23" t="inlineStr">
        <is>
          <t>RIYADH NURSERY</t>
        </is>
      </c>
      <c r="E236" s="23" t="n"/>
      <c r="F236" s="25" t="n">
        <v>45</v>
      </c>
      <c r="G236" s="23" t="n">
        <v>15</v>
      </c>
      <c r="H236" s="25" t="n">
        <v>51.75</v>
      </c>
      <c r="I236" s="23" t="inlineStr">
        <is>
          <t>نعم</t>
        </is>
      </c>
      <c r="J236" s="23" t="inlineStr">
        <is>
          <t>مزرعة الرياض (عهدة/صندوق)</t>
        </is>
      </c>
      <c r="K236" s="23" t="inlineStr">
        <is>
          <t>صيانة وإنشاءات المزرعة</t>
        </is>
      </c>
      <c r="L236" s="23" t="inlineStr"/>
    </row>
    <row r="237">
      <c r="A237" s="23" t="n">
        <v>236</v>
      </c>
      <c r="B237" s="24" t="n">
        <v>45983</v>
      </c>
      <c r="C237" s="23" t="inlineStr">
        <is>
          <t>هاتف الموبايل</t>
        </is>
      </c>
      <c r="D237" s="23" t="inlineStr">
        <is>
          <t>RIYADH NURSERY</t>
        </is>
      </c>
      <c r="E237" s="23" t="inlineStr">
        <is>
          <t>اذن صرف رقم 21</t>
        </is>
      </c>
      <c r="F237" s="25" t="n">
        <v>100</v>
      </c>
      <c r="G237" s="23" t="n">
        <v>15</v>
      </c>
      <c r="H237" s="25" t="n">
        <v>115</v>
      </c>
      <c r="I237" s="23" t="inlineStr">
        <is>
          <t>نعم</t>
        </is>
      </c>
      <c r="J237" s="23" t="inlineStr">
        <is>
          <t>مزرعة الرياض (عهدة/صندوق)</t>
        </is>
      </c>
      <c r="K237" s="23" t="inlineStr">
        <is>
          <t>خدمات (كهرباء/مياه/اتصالات)</t>
        </is>
      </c>
      <c r="L237" s="23" t="inlineStr"/>
    </row>
    <row r="238">
      <c r="A238" s="23" t="n">
        <v>237</v>
      </c>
      <c r="B238" s="24" t="n">
        <v>45983</v>
      </c>
      <c r="C238" s="23" t="inlineStr">
        <is>
          <t>مصنع شركة سانح لى للبلاستيك</t>
        </is>
      </c>
      <c r="D238" s="23" t="inlineStr">
        <is>
          <t>RIYADH NURSERY - PO1216</t>
        </is>
      </c>
      <c r="E238" s="23" t="inlineStr">
        <is>
          <t>اذن صرف رقم 20</t>
        </is>
      </c>
      <c r="F238" s="25" t="n">
        <v>1965.6</v>
      </c>
      <c r="G238" s="23" t="n">
        <v>15</v>
      </c>
      <c r="H238" s="25" t="n">
        <v>2260.44</v>
      </c>
      <c r="I238" s="23" t="inlineStr">
        <is>
          <t>نعم</t>
        </is>
      </c>
      <c r="J238" s="23" t="inlineStr">
        <is>
          <t>مزرعة الرياض (عهدة/صندوق)</t>
        </is>
      </c>
      <c r="K238" s="23" t="inlineStr">
        <is>
          <t>مستلزمات إنتاج (مراكن/فلين/مفارش)</t>
        </is>
      </c>
      <c r="L238" s="23" t="inlineStr"/>
    </row>
    <row r="239">
      <c r="A239" s="23" t="n">
        <v>238</v>
      </c>
      <c r="B239" s="24" t="n">
        <v>45984</v>
      </c>
      <c r="C239" s="23" t="inlineStr">
        <is>
          <t>مصنع شركة سانح لى للبلاستيك</t>
        </is>
      </c>
      <c r="D239" s="23" t="inlineStr">
        <is>
          <t>RIYADH NURSERY - PO1217</t>
        </is>
      </c>
      <c r="E239" s="23" t="inlineStr">
        <is>
          <t>اذن صرف رقم 22</t>
        </is>
      </c>
      <c r="F239" s="25" t="n">
        <v>1965.6</v>
      </c>
      <c r="G239" s="23" t="n">
        <v>15</v>
      </c>
      <c r="H239" s="25" t="n">
        <v>2260.44</v>
      </c>
      <c r="I239" s="23" t="inlineStr">
        <is>
          <t>نعم</t>
        </is>
      </c>
      <c r="J239" s="23" t="inlineStr">
        <is>
          <t>مزرعة الرياض (عهدة/صندوق)</t>
        </is>
      </c>
      <c r="K239" s="23" t="inlineStr">
        <is>
          <t>مستلزمات إنتاج (مراكن/فلين/مفارش)</t>
        </is>
      </c>
      <c r="L239" s="23" t="inlineStr"/>
    </row>
    <row r="240">
      <c r="A240" s="23" t="n">
        <v>239</v>
      </c>
      <c r="B240" s="24" t="n">
        <v>45984</v>
      </c>
      <c r="C240" s="23" t="inlineStr">
        <is>
          <t>عائشة لادوات السباكة والكهرباء</t>
        </is>
      </c>
      <c r="D240" s="23" t="inlineStr">
        <is>
          <t>RIYADH NURSERY</t>
        </is>
      </c>
      <c r="E240" s="23" t="n"/>
      <c r="F240" s="25" t="n">
        <v>100</v>
      </c>
      <c r="G240" s="23" t="n">
        <v>0</v>
      </c>
      <c r="H240" s="25" t="n">
        <v>100</v>
      </c>
      <c r="I240" s="23" t="inlineStr">
        <is>
          <t>نعم</t>
        </is>
      </c>
      <c r="J240" s="23" t="inlineStr">
        <is>
          <t>مزرعة الرياض (عهدة/صندوق)</t>
        </is>
      </c>
      <c r="K240" s="23" t="inlineStr">
        <is>
          <t>خدمات (كهرباء/مياه/اتصالات)</t>
        </is>
      </c>
      <c r="L240" s="23" t="inlineStr"/>
    </row>
    <row r="241">
      <c r="A241" s="23" t="n">
        <v>240</v>
      </c>
      <c r="B241" s="24" t="n">
        <v>45984</v>
      </c>
      <c r="C241" s="23" t="inlineStr">
        <is>
          <t>مؤسسة محمد عبدالله لبيع الاجهزة المستعملة</t>
        </is>
      </c>
      <c r="D241" s="23" t="inlineStr">
        <is>
          <t>RIYADH NURSERY</t>
        </is>
      </c>
      <c r="E241" s="23" t="n"/>
      <c r="F241" s="25" t="n">
        <v>700</v>
      </c>
      <c r="G241" s="23" t="n">
        <v>0</v>
      </c>
      <c r="H241" s="25" t="n">
        <v>700</v>
      </c>
      <c r="I241" s="23" t="inlineStr">
        <is>
          <t>نعم</t>
        </is>
      </c>
      <c r="J241" s="23" t="inlineStr">
        <is>
          <t>مزرعة الرياض (عهدة/صندوق)</t>
        </is>
      </c>
      <c r="K241" s="23" t="inlineStr">
        <is>
          <t>مصروفات إدارية وأخرى</t>
        </is>
      </c>
      <c r="L241" s="23" t="inlineStr"/>
    </row>
    <row r="242">
      <c r="A242" s="23" t="n">
        <v>241</v>
      </c>
      <c r="B242" s="24" t="n">
        <v>45984</v>
      </c>
      <c r="C242" s="23" t="inlineStr">
        <is>
          <t>GULF PERITE COMPANY</t>
        </is>
      </c>
      <c r="D242" s="23" t="inlineStr">
        <is>
          <t>RIYADH NURSERY - PO1189</t>
        </is>
      </c>
      <c r="E242" s="23" t="inlineStr">
        <is>
          <t>سداد من فرع تبوك</t>
        </is>
      </c>
      <c r="F242" s="25" t="n">
        <v>20064</v>
      </c>
      <c r="G242" s="23" t="n">
        <v>0</v>
      </c>
      <c r="H242" s="25" t="n">
        <v>20064</v>
      </c>
      <c r="I242" s="23" t="inlineStr">
        <is>
          <t>نعم</t>
        </is>
      </c>
      <c r="J242" s="23" t="inlineStr">
        <is>
          <t>مزرعة الرياض (عهدة/صندوق)</t>
        </is>
      </c>
      <c r="K242" s="23" t="inlineStr">
        <is>
          <t>مواد زراعية (بيتموس/بيرلايت/أسمدة/مبيدات)</t>
        </is>
      </c>
      <c r="L242" s="23" t="inlineStr"/>
    </row>
    <row r="243">
      <c r="A243" s="23" t="n">
        <v>242</v>
      </c>
      <c r="B243" s="24" t="n">
        <v>45985</v>
      </c>
      <c r="C243" s="23" t="inlineStr">
        <is>
          <t>شركة التاج المميزة التجارية</t>
        </is>
      </c>
      <c r="D243" s="23" t="inlineStr">
        <is>
          <t>RIYADH NURSERY - PO1213</t>
        </is>
      </c>
      <c r="E243" s="23" t="inlineStr">
        <is>
          <t>23سداد باذن صرف رقم</t>
        </is>
      </c>
      <c r="F243" s="25" t="n">
        <v>7500</v>
      </c>
      <c r="G243" s="23" t="n">
        <v>0</v>
      </c>
      <c r="H243" s="25" t="n">
        <v>7500</v>
      </c>
      <c r="I243" s="23" t="inlineStr">
        <is>
          <t>نعم</t>
        </is>
      </c>
      <c r="J243" s="23" t="inlineStr">
        <is>
          <t>مزرعة الرياض (عهدة/صندوق)</t>
        </is>
      </c>
      <c r="K243" s="23" t="inlineStr">
        <is>
          <t>مواد زراعية (بيتموس/بيرلايت/أسمدة/مبيدات)</t>
        </is>
      </c>
      <c r="L243" s="23" t="inlineStr"/>
    </row>
    <row r="244">
      <c r="A244" s="23" t="n">
        <v>243</v>
      </c>
      <c r="B244" s="24" t="n">
        <v>45985</v>
      </c>
      <c r="C244" s="23" t="inlineStr">
        <is>
          <t>مؤسسة بساتين الرياض</t>
        </is>
      </c>
      <c r="D244" s="23" t="inlineStr">
        <is>
          <t>RIYADH NURSERY - PO1221</t>
        </is>
      </c>
      <c r="E244" s="23" t="inlineStr">
        <is>
          <t>اذن صرف رقم 24</t>
        </is>
      </c>
      <c r="F244" s="25" t="n">
        <v>1040</v>
      </c>
      <c r="G244" s="23" t="n">
        <v>0</v>
      </c>
      <c r="H244" s="25" t="n">
        <v>1040</v>
      </c>
      <c r="I244" s="23" t="inlineStr">
        <is>
          <t>نعم</t>
        </is>
      </c>
      <c r="J244" s="23" t="inlineStr">
        <is>
          <t>مزرعة الرياض (عهدة/صندوق)</t>
        </is>
      </c>
      <c r="K244" s="23" t="inlineStr">
        <is>
          <t>مشتريات نباتات وبذور</t>
        </is>
      </c>
      <c r="L244" s="23" t="inlineStr"/>
    </row>
    <row r="245">
      <c r="A245" s="23" t="n">
        <v>244</v>
      </c>
      <c r="B245" s="24" t="n">
        <v>45987</v>
      </c>
      <c r="C245" s="23" t="inlineStr">
        <is>
          <t>الوقود</t>
        </is>
      </c>
      <c r="D245" s="23" t="inlineStr">
        <is>
          <t>RIYADH NURSERY</t>
        </is>
      </c>
      <c r="E245" s="23" t="inlineStr">
        <is>
          <t>25باذن صرف رقم</t>
        </is>
      </c>
      <c r="F245" s="25" t="n">
        <v>152.17</v>
      </c>
      <c r="G245" s="23" t="n">
        <v>15</v>
      </c>
      <c r="H245" s="25" t="n">
        <v>175</v>
      </c>
      <c r="I245" s="23" t="inlineStr">
        <is>
          <t>نعم</t>
        </is>
      </c>
      <c r="J245" s="23" t="inlineStr">
        <is>
          <t>مزرعة الرياض (عهدة/صندوق)</t>
        </is>
      </c>
      <c r="K245" s="23" t="inlineStr">
        <is>
          <t>وقود</t>
        </is>
      </c>
      <c r="L245" s="23" t="inlineStr"/>
    </row>
    <row r="246">
      <c r="A246" s="23" t="n">
        <v>245</v>
      </c>
      <c r="B246" s="24" t="n">
        <v>45987</v>
      </c>
      <c r="C246" s="23" t="inlineStr">
        <is>
          <t>هايبر ماركت لولو</t>
        </is>
      </c>
      <c r="D246" s="23" t="inlineStr">
        <is>
          <t>RIYADH NURSERY</t>
        </is>
      </c>
      <c r="E246" s="23" t="inlineStr">
        <is>
          <t>26باذن صرف رقم</t>
        </is>
      </c>
      <c r="F246" s="25" t="n">
        <v>197.39</v>
      </c>
      <c r="G246" s="23" t="n">
        <v>15</v>
      </c>
      <c r="H246" s="25" t="n">
        <v>227</v>
      </c>
      <c r="I246" s="23" t="inlineStr">
        <is>
          <t>نعم</t>
        </is>
      </c>
      <c r="J246" s="23" t="inlineStr">
        <is>
          <t>مزرعة الرياض (عهدة/صندوق)</t>
        </is>
      </c>
      <c r="K246" s="23" t="inlineStr">
        <is>
          <t>مصروفات إدارية وأخرى</t>
        </is>
      </c>
      <c r="L246" s="23" t="inlineStr"/>
    </row>
    <row r="247">
      <c r="A247" s="23" t="n">
        <v>246</v>
      </c>
      <c r="B247" s="24" t="n">
        <v>45989</v>
      </c>
      <c r="C247" s="23" t="inlineStr">
        <is>
          <t>مؤسسة هيلاء عبيد الدوسرى</t>
        </is>
      </c>
      <c r="D247" s="23" t="inlineStr">
        <is>
          <t>RIYADH NURSERY</t>
        </is>
      </c>
      <c r="E247" s="23" t="inlineStr">
        <is>
          <t>مرفق فاتورة</t>
        </is>
      </c>
      <c r="F247" s="25" t="n">
        <v>247.83</v>
      </c>
      <c r="G247" s="23" t="n">
        <v>15</v>
      </c>
      <c r="H247" s="25" t="n">
        <v>285</v>
      </c>
      <c r="I247" s="23" t="inlineStr">
        <is>
          <t>نعم</t>
        </is>
      </c>
      <c r="J247" s="23" t="inlineStr">
        <is>
          <t>مزرعة الرياض (عهدة/صندوق)</t>
        </is>
      </c>
      <c r="K247" s="23" t="inlineStr">
        <is>
          <t>مصروفات إدارية وأخرى</t>
        </is>
      </c>
      <c r="L247" s="23" t="inlineStr"/>
    </row>
    <row r="248">
      <c r="A248" s="23" t="n">
        <v>247</v>
      </c>
      <c r="B248" s="24" t="n">
        <v>45989</v>
      </c>
      <c r="C248" s="23" t="inlineStr">
        <is>
          <t>مؤسسة هيلاء عبيد الدوسرى</t>
        </is>
      </c>
      <c r="D248" s="23" t="inlineStr">
        <is>
          <t>RIYADH NURSERY</t>
        </is>
      </c>
      <c r="E248" s="23" t="inlineStr">
        <is>
          <t>مرفق فاتورة</t>
        </is>
      </c>
      <c r="F248" s="25" t="n">
        <v>265.22</v>
      </c>
      <c r="G248" s="23" t="n">
        <v>15</v>
      </c>
      <c r="H248" s="25" t="n">
        <v>305</v>
      </c>
      <c r="I248" s="23" t="inlineStr">
        <is>
          <t>نعم</t>
        </is>
      </c>
      <c r="J248" s="23" t="inlineStr">
        <is>
          <t>مزرعة الرياض (عهدة/صندوق)</t>
        </is>
      </c>
      <c r="K248" s="23" t="inlineStr">
        <is>
          <t>مصروفات إدارية وأخرى</t>
        </is>
      </c>
      <c r="L248" s="23" t="inlineStr"/>
    </row>
    <row r="249">
      <c r="A249" s="23" t="n">
        <v>248</v>
      </c>
      <c r="B249" s="24" t="n">
        <v>45989</v>
      </c>
      <c r="C249" s="23" t="inlineStr">
        <is>
          <t>صيانة</t>
        </is>
      </c>
      <c r="D249" s="23" t="inlineStr">
        <is>
          <t>RIYADH NURSERY</t>
        </is>
      </c>
      <c r="E249" s="23" t="inlineStr">
        <is>
          <t>اذن صرف رقم 27</t>
        </is>
      </c>
      <c r="F249" s="25" t="n">
        <v>250</v>
      </c>
      <c r="G249" s="23" t="n">
        <v>0</v>
      </c>
      <c r="H249" s="25" t="n">
        <v>250</v>
      </c>
      <c r="I249" s="23" t="inlineStr">
        <is>
          <t>نعم</t>
        </is>
      </c>
      <c r="J249" s="23" t="inlineStr">
        <is>
          <t>مزرعة الرياض (عهدة/صندوق)</t>
        </is>
      </c>
      <c r="K249" s="23" t="inlineStr">
        <is>
          <t>صيانة وإنشاءات المزرعة</t>
        </is>
      </c>
      <c r="L249" s="23" t="inlineStr"/>
    </row>
    <row r="250">
      <c r="A250" s="23" t="n">
        <v>249</v>
      </c>
      <c r="B250" s="24" t="n">
        <v>45989</v>
      </c>
      <c r="C250" s="23" t="inlineStr">
        <is>
          <t>الوقود</t>
        </is>
      </c>
      <c r="D250" s="23" t="inlineStr">
        <is>
          <t>RIYADH NURSERY</t>
        </is>
      </c>
      <c r="E250" s="23" t="inlineStr">
        <is>
          <t>مرفق فاتورة</t>
        </is>
      </c>
      <c r="F250" s="25" t="n">
        <v>147.83</v>
      </c>
      <c r="G250" s="23" t="n">
        <v>15</v>
      </c>
      <c r="H250" s="25" t="n">
        <v>170</v>
      </c>
      <c r="I250" s="23" t="inlineStr">
        <is>
          <t>نعم</t>
        </is>
      </c>
      <c r="J250" s="23" t="inlineStr">
        <is>
          <t>مزرعة الرياض (عهدة/صندوق)</t>
        </is>
      </c>
      <c r="K250" s="23" t="inlineStr">
        <is>
          <t>وقود</t>
        </is>
      </c>
      <c r="L250" s="23" t="inlineStr"/>
    </row>
    <row r="251">
      <c r="A251" s="23" t="n">
        <v>250</v>
      </c>
      <c r="B251" s="24" t="n">
        <v>45990</v>
      </c>
      <c r="C251" s="23" t="inlineStr">
        <is>
          <t>مؤسسة رواد سلام للتجارة</t>
        </is>
      </c>
      <c r="D251" s="23" t="inlineStr">
        <is>
          <t>RIYADH NURSERY</t>
        </is>
      </c>
      <c r="E251" s="23" t="n"/>
      <c r="F251" s="25" t="n">
        <v>678.48</v>
      </c>
      <c r="G251" s="23" t="n">
        <v>15</v>
      </c>
      <c r="H251" s="25" t="n">
        <v>780.25</v>
      </c>
      <c r="I251" s="23" t="inlineStr">
        <is>
          <t>نعم</t>
        </is>
      </c>
      <c r="J251" s="23" t="inlineStr">
        <is>
          <t>مزرعة الرياض (عهدة/صندوق)</t>
        </is>
      </c>
      <c r="K251" s="23" t="inlineStr">
        <is>
          <t>مواد زراعية (بيتموس/بيرلايت/أسمدة/مبيدات)</t>
        </is>
      </c>
      <c r="L251" s="23" t="inlineStr"/>
    </row>
    <row r="252">
      <c r="A252" s="23" t="n">
        <v>251</v>
      </c>
      <c r="B252" s="24" t="n">
        <v>45990</v>
      </c>
      <c r="C252" s="23" t="inlineStr">
        <is>
          <t>شركة مصنع الديكور والبولستيرين السعودي</t>
        </is>
      </c>
      <c r="D252" s="23" t="inlineStr">
        <is>
          <t>RIYADH NURSERY - PO1230</t>
        </is>
      </c>
      <c r="E252" s="23" t="inlineStr">
        <is>
          <t>28سداد باذن صرف رقم</t>
        </is>
      </c>
      <c r="F252" s="25" t="n">
        <v>2100</v>
      </c>
      <c r="G252" s="23" t="n">
        <v>15</v>
      </c>
      <c r="H252" s="25" t="n">
        <v>2415</v>
      </c>
      <c r="I252" s="23" t="inlineStr">
        <is>
          <t>نعم</t>
        </is>
      </c>
      <c r="J252" s="23" t="inlineStr">
        <is>
          <t>مزرعة الرياض (عهدة/صندوق)</t>
        </is>
      </c>
      <c r="K252" s="23" t="inlineStr">
        <is>
          <t>مستلزمات إنتاج (مراكن/فلين/مفارش)</t>
        </is>
      </c>
      <c r="L252" s="23" t="inlineStr"/>
    </row>
    <row r="253">
      <c r="A253" s="23" t="n">
        <v>252</v>
      </c>
      <c r="B253" s="24" t="n">
        <v>45991</v>
      </c>
      <c r="C253" s="23" t="inlineStr">
        <is>
          <t>الشركة السعوديه للكهرباء</t>
        </is>
      </c>
      <c r="D253" s="23" t="inlineStr">
        <is>
          <t>RIYADH NURSERY</t>
        </is>
      </c>
      <c r="E253" s="23" t="inlineStr">
        <is>
          <t>اذن صرف رقم 29</t>
        </is>
      </c>
      <c r="F253" s="25" t="n">
        <v>4416.26</v>
      </c>
      <c r="G253" s="23" t="n">
        <v>15</v>
      </c>
      <c r="H253" s="25" t="n">
        <v>5078.7</v>
      </c>
      <c r="I253" s="23" t="inlineStr">
        <is>
          <t>نعم</t>
        </is>
      </c>
      <c r="J253" s="23" t="inlineStr">
        <is>
          <t>مزرعة الرياض (عهدة/صندوق)</t>
        </is>
      </c>
      <c r="K253" s="23" t="inlineStr">
        <is>
          <t>خدمات (كهرباء/مياه/اتصالات)</t>
        </is>
      </c>
      <c r="L253" s="23" t="inlineStr"/>
    </row>
    <row r="254">
      <c r="A254" s="23" t="n">
        <v>253</v>
      </c>
      <c r="B254" s="24" t="n">
        <v>45992</v>
      </c>
      <c r="C254" s="23" t="inlineStr">
        <is>
          <t>صيانة</t>
        </is>
      </c>
      <c r="D254" s="23" t="inlineStr">
        <is>
          <t>RIYADH NURSERY</t>
        </is>
      </c>
      <c r="E254" s="23" t="n"/>
      <c r="F254" s="25" t="n">
        <v>15</v>
      </c>
      <c r="G254" s="23" t="n">
        <v>0</v>
      </c>
      <c r="H254" s="25" t="n">
        <v>15</v>
      </c>
      <c r="I254" s="23" t="inlineStr">
        <is>
          <t>نعم</t>
        </is>
      </c>
      <c r="J254" s="23" t="inlineStr">
        <is>
          <t>مزرعة الرياض (عهدة/صندوق)</t>
        </is>
      </c>
      <c r="K254" s="23" t="inlineStr">
        <is>
          <t>صيانة وإنشاءات المزرعة</t>
        </is>
      </c>
      <c r="L254" s="23" t="inlineStr"/>
    </row>
    <row r="255">
      <c r="A255" s="23" t="n">
        <v>254</v>
      </c>
      <c r="B255" s="24" t="n">
        <v>45992</v>
      </c>
      <c r="C255" s="23" t="inlineStr">
        <is>
          <t>شركة الرشيم الزراعية</t>
        </is>
      </c>
      <c r="D255" s="23" t="inlineStr">
        <is>
          <t>RIYADH NURSERY - PO1236</t>
        </is>
      </c>
      <c r="E255" s="23" t="n"/>
      <c r="F255" s="25" t="n">
        <v>1086.96</v>
      </c>
      <c r="G255" s="23" t="n">
        <v>15</v>
      </c>
      <c r="H255" s="25" t="n">
        <v>1250</v>
      </c>
      <c r="I255" s="23" t="inlineStr">
        <is>
          <t>نعم</t>
        </is>
      </c>
      <c r="J255" s="23" t="inlineStr">
        <is>
          <t>مزرعة الرياض (عهدة/صندوق)</t>
        </is>
      </c>
      <c r="K255" s="23" t="inlineStr">
        <is>
          <t>مشتريات نباتات وبذور</t>
        </is>
      </c>
      <c r="L255" s="23" t="inlineStr"/>
    </row>
    <row r="256">
      <c r="A256" s="23" t="n">
        <v>255</v>
      </c>
      <c r="B256" s="24" t="n">
        <v>45993</v>
      </c>
      <c r="C256" s="23" t="inlineStr">
        <is>
          <t>شركة مصنع الديكور والبولستيرين السعودي</t>
        </is>
      </c>
      <c r="D256" s="23" t="inlineStr">
        <is>
          <t>RIYADH NURSERY - PO1233</t>
        </is>
      </c>
      <c r="E256" s="23" t="inlineStr">
        <is>
          <t>اذن صرف رقم 30</t>
        </is>
      </c>
      <c r="F256" s="25" t="n">
        <v>2100</v>
      </c>
      <c r="G256" s="23" t="n">
        <v>15</v>
      </c>
      <c r="H256" s="25" t="n">
        <v>2415</v>
      </c>
      <c r="I256" s="23" t="inlineStr">
        <is>
          <t>نعم</t>
        </is>
      </c>
      <c r="J256" s="23" t="inlineStr">
        <is>
          <t>مزرعة الرياض (عهدة/صندوق)</t>
        </is>
      </c>
      <c r="K256" s="23" t="inlineStr">
        <is>
          <t>مستلزمات إنتاج (مراكن/فلين/مفارش)</t>
        </is>
      </c>
      <c r="L256" s="23" t="inlineStr"/>
    </row>
    <row r="257">
      <c r="A257" s="23" t="n">
        <v>256</v>
      </c>
      <c r="B257" s="24" t="n">
        <v>45993</v>
      </c>
      <c r="C257" s="23" t="inlineStr">
        <is>
          <t>هاتف الموبايل</t>
        </is>
      </c>
      <c r="D257" s="23" t="inlineStr">
        <is>
          <t>RIYADH NURSERY</t>
        </is>
      </c>
      <c r="E257" s="23" t="inlineStr">
        <is>
          <t>اذن صرف رقم 31</t>
        </is>
      </c>
      <c r="F257" s="25" t="n">
        <v>80</v>
      </c>
      <c r="G257" s="23" t="n">
        <v>0</v>
      </c>
      <c r="H257" s="25" t="n">
        <v>80</v>
      </c>
      <c r="I257" s="23" t="inlineStr">
        <is>
          <t>نعم</t>
        </is>
      </c>
      <c r="J257" s="23" t="inlineStr">
        <is>
          <t>مزرعة الرياض (عهدة/صندوق)</t>
        </is>
      </c>
      <c r="K257" s="23" t="inlineStr">
        <is>
          <t>خدمات (كهرباء/مياه/اتصالات)</t>
        </is>
      </c>
      <c r="L257" s="23" t="inlineStr"/>
    </row>
    <row r="258">
      <c r="A258" s="23" t="n">
        <v>257</v>
      </c>
      <c r="B258" s="24" t="n">
        <v>45994</v>
      </c>
      <c r="C258" s="23" t="inlineStr">
        <is>
          <t>ينابع المئويه لتحلية المياه</t>
        </is>
      </c>
      <c r="D258" s="23" t="inlineStr">
        <is>
          <t>RIYADH NURSERY</t>
        </is>
      </c>
      <c r="E258" s="23" t="inlineStr">
        <is>
          <t>اذن صرف رقم 32</t>
        </is>
      </c>
      <c r="F258" s="25" t="n">
        <v>60</v>
      </c>
      <c r="G258" s="23" t="n">
        <v>0</v>
      </c>
      <c r="H258" s="25" t="n">
        <v>60</v>
      </c>
      <c r="I258" s="23" t="inlineStr">
        <is>
          <t>نعم</t>
        </is>
      </c>
      <c r="J258" s="23" t="inlineStr">
        <is>
          <t>مزرعة الرياض (عهدة/صندوق)</t>
        </is>
      </c>
      <c r="K258" s="23" t="inlineStr">
        <is>
          <t>خدمات (كهرباء/مياه/اتصالات)</t>
        </is>
      </c>
      <c r="L258" s="23" t="inlineStr"/>
    </row>
    <row r="259">
      <c r="A259" s="23" t="n">
        <v>258</v>
      </c>
      <c r="B259" s="24" t="n">
        <v>45995</v>
      </c>
      <c r="C259" s="23" t="inlineStr">
        <is>
          <t>رواتب</t>
        </is>
      </c>
      <c r="D259" s="23" t="inlineStr">
        <is>
          <t>RIYADH NURSERY</t>
        </is>
      </c>
      <c r="E259" s="23" t="inlineStr">
        <is>
          <t>اذن صرف رقم 33</t>
        </is>
      </c>
      <c r="F259" s="25" t="n">
        <v>38365</v>
      </c>
      <c r="G259" s="23" t="n">
        <v>0</v>
      </c>
      <c r="H259" s="25" t="n">
        <v>38365</v>
      </c>
      <c r="I259" s="23" t="inlineStr">
        <is>
          <t>نعم</t>
        </is>
      </c>
      <c r="J259" s="23" t="inlineStr">
        <is>
          <t>مزرعة الرياض (عهدة/صندوق)</t>
        </is>
      </c>
      <c r="K259" s="23" t="inlineStr">
        <is>
          <t>رواتب وعمولات</t>
        </is>
      </c>
      <c r="L259" s="23" t="inlineStr"/>
    </row>
    <row r="260">
      <c r="A260" s="23" t="n">
        <v>259</v>
      </c>
      <c r="B260" s="24" t="n">
        <v>45995</v>
      </c>
      <c r="C260" s="23" t="inlineStr">
        <is>
          <t>الوقود</t>
        </is>
      </c>
      <c r="D260" s="23" t="inlineStr">
        <is>
          <t>RIYADH NURSERY</t>
        </is>
      </c>
      <c r="E260" s="23" t="inlineStr">
        <is>
          <t>اذن صرف رقم 35</t>
        </is>
      </c>
      <c r="F260" s="25" t="n">
        <v>86.95999999999999</v>
      </c>
      <c r="G260" s="23" t="n">
        <v>15</v>
      </c>
      <c r="H260" s="25" t="n">
        <v>100</v>
      </c>
      <c r="I260" s="23" t="inlineStr">
        <is>
          <t>نعم</t>
        </is>
      </c>
      <c r="J260" s="23" t="inlineStr">
        <is>
          <t>مزرعة الرياض (عهدة/صندوق)</t>
        </is>
      </c>
      <c r="K260" s="23" t="inlineStr">
        <is>
          <t>وقود</t>
        </is>
      </c>
      <c r="L260" s="23" t="inlineStr"/>
    </row>
    <row r="261">
      <c r="A261" s="23" t="n">
        <v>260</v>
      </c>
      <c r="B261" s="24" t="n">
        <v>45995</v>
      </c>
      <c r="C261" s="23" t="inlineStr">
        <is>
          <t>هاتف الموبايل</t>
        </is>
      </c>
      <c r="D261" s="23" t="inlineStr">
        <is>
          <t>RIYADH NURSERY</t>
        </is>
      </c>
      <c r="E261" s="23" t="inlineStr">
        <is>
          <t>اذن صرف رقم 34</t>
        </is>
      </c>
      <c r="F261" s="25" t="n">
        <v>115</v>
      </c>
      <c r="G261" s="23" t="n">
        <v>0</v>
      </c>
      <c r="H261" s="25" t="n">
        <v>115</v>
      </c>
      <c r="I261" s="23" t="inlineStr">
        <is>
          <t>نعم</t>
        </is>
      </c>
      <c r="J261" s="23" t="inlineStr">
        <is>
          <t>مزرعة الرياض (عهدة/صندوق)</t>
        </is>
      </c>
      <c r="K261" s="23" t="inlineStr">
        <is>
          <t>خدمات (كهرباء/مياه/اتصالات)</t>
        </is>
      </c>
      <c r="L261" s="23" t="inlineStr"/>
    </row>
    <row r="262">
      <c r="A262" s="23" t="n">
        <v>261</v>
      </c>
      <c r="B262" s="24" t="n">
        <v>45997</v>
      </c>
      <c r="C262" s="23" t="inlineStr">
        <is>
          <t>HETA NURSERYS</t>
        </is>
      </c>
      <c r="D262" s="23" t="inlineStr">
        <is>
          <t>RIYADH NURSERY - PO1247</t>
        </is>
      </c>
      <c r="E262" s="23" t="inlineStr">
        <is>
          <t>اذن صرف رقم 36</t>
        </is>
      </c>
      <c r="F262" s="25" t="n">
        <v>6600</v>
      </c>
      <c r="G262" s="23" t="n">
        <v>0</v>
      </c>
      <c r="H262" s="25" t="n">
        <v>6600</v>
      </c>
      <c r="I262" s="23" t="inlineStr">
        <is>
          <t>نعم</t>
        </is>
      </c>
      <c r="J262" s="23" t="inlineStr">
        <is>
          <t>مزرعة الرياض (عهدة/صندوق)</t>
        </is>
      </c>
      <c r="K262" s="23" t="inlineStr">
        <is>
          <t>مشتريات نباتات وبذور</t>
        </is>
      </c>
      <c r="L262" s="23" t="inlineStr"/>
    </row>
    <row r="263">
      <c r="A263" s="23" t="n">
        <v>262</v>
      </c>
      <c r="B263" s="24" t="n">
        <v>45999</v>
      </c>
      <c r="C263" s="23" t="inlineStr">
        <is>
          <t>موسسسة افاق الاليه لادوات الكهربيه</t>
        </is>
      </c>
      <c r="D263" s="23" t="inlineStr">
        <is>
          <t>RIYADH NURSERY</t>
        </is>
      </c>
      <c r="E263" s="23" t="n"/>
      <c r="F263" s="25" t="n">
        <v>274.78</v>
      </c>
      <c r="G263" s="23" t="n">
        <v>15</v>
      </c>
      <c r="H263" s="25" t="n">
        <v>316</v>
      </c>
      <c r="I263" s="23" t="inlineStr">
        <is>
          <t>نعم</t>
        </is>
      </c>
      <c r="J263" s="23" t="inlineStr">
        <is>
          <t>مزرعة الرياض (عهدة/صندوق)</t>
        </is>
      </c>
      <c r="K263" s="23" t="inlineStr">
        <is>
          <t>صيانة وإنشاءات المزرعة</t>
        </is>
      </c>
      <c r="L263" s="23" t="inlineStr"/>
    </row>
    <row r="264">
      <c r="A264" s="23" t="n">
        <v>263</v>
      </c>
      <c r="B264" s="24" t="n">
        <v>46000</v>
      </c>
      <c r="C264" s="23" t="inlineStr">
        <is>
          <t>مبسط العجفة لمواد البناء</t>
        </is>
      </c>
      <c r="D264" s="23" t="inlineStr">
        <is>
          <t>RIYADH NURSERY</t>
        </is>
      </c>
      <c r="E264" s="23" t="n"/>
      <c r="F264" s="25" t="n">
        <v>410</v>
      </c>
      <c r="G264" s="23" t="n">
        <v>0</v>
      </c>
      <c r="H264" s="25" t="n">
        <v>410</v>
      </c>
      <c r="I264" s="23" t="inlineStr">
        <is>
          <t>نعم</t>
        </is>
      </c>
      <c r="J264" s="23" t="inlineStr">
        <is>
          <t>مزرعة الرياض (عهدة/صندوق)</t>
        </is>
      </c>
      <c r="K264" s="23" t="inlineStr">
        <is>
          <t>صيانة وإنشاءات المزرعة</t>
        </is>
      </c>
      <c r="L264" s="23" t="inlineStr"/>
    </row>
    <row r="265">
      <c r="A265" s="23" t="n">
        <v>264</v>
      </c>
      <c r="B265" s="24" t="n">
        <v>46000</v>
      </c>
      <c r="C265" s="23" t="inlineStr">
        <is>
          <t>مركز الخرج سابقا للاواني المنزلية</t>
        </is>
      </c>
      <c r="D265" s="23" t="inlineStr">
        <is>
          <t>RIYADH NURSERY</t>
        </is>
      </c>
      <c r="E265" s="23" t="n"/>
      <c r="F265" s="25" t="n">
        <v>60</v>
      </c>
      <c r="G265" s="23" t="n">
        <v>0</v>
      </c>
      <c r="H265" s="25" t="n">
        <v>60</v>
      </c>
      <c r="I265" s="23" t="inlineStr">
        <is>
          <t>نعم</t>
        </is>
      </c>
      <c r="J265" s="23" t="inlineStr">
        <is>
          <t>مزرعة الرياض (عهدة/صندوق)</t>
        </is>
      </c>
      <c r="K265" s="23" t="inlineStr">
        <is>
          <t>مصروفات إدارية وأخرى</t>
        </is>
      </c>
      <c r="L265" s="23" t="inlineStr"/>
    </row>
    <row r="266">
      <c r="A266" s="23" t="n">
        <v>265</v>
      </c>
      <c r="B266" s="24" t="n">
        <v>46001</v>
      </c>
      <c r="C266" s="23" t="inlineStr">
        <is>
          <t>شركة مصنع الديكور والبولستيرين السعودي</t>
        </is>
      </c>
      <c r="D266" s="23" t="inlineStr">
        <is>
          <t>RIYADH NURSERY - PO1274</t>
        </is>
      </c>
      <c r="E266" s="23" t="inlineStr">
        <is>
          <t>اذن صرف رقم 37</t>
        </is>
      </c>
      <c r="F266" s="25" t="n">
        <v>2100</v>
      </c>
      <c r="G266" s="23" t="n">
        <v>15</v>
      </c>
      <c r="H266" s="25" t="n">
        <v>2415</v>
      </c>
      <c r="I266" s="23" t="inlineStr">
        <is>
          <t>نعم</t>
        </is>
      </c>
      <c r="J266" s="23" t="inlineStr">
        <is>
          <t>مزرعة الرياض (عهدة/صندوق)</t>
        </is>
      </c>
      <c r="K266" s="23" t="inlineStr">
        <is>
          <t>مستلزمات إنتاج (مراكن/فلين/مفارش)</t>
        </is>
      </c>
      <c r="L266" s="23" t="inlineStr"/>
    </row>
    <row r="267">
      <c r="A267" s="23" t="n">
        <v>266</v>
      </c>
      <c r="B267" s="24" t="n">
        <v>46002</v>
      </c>
      <c r="C267" s="23" t="inlineStr">
        <is>
          <t>مؤسسة المحترف الامثل للتجارة - سباكة</t>
        </is>
      </c>
      <c r="D267" s="23" t="inlineStr">
        <is>
          <t>RIYADH NURSERY</t>
        </is>
      </c>
      <c r="E267" s="23" t="n"/>
      <c r="F267" s="25" t="n">
        <v>85</v>
      </c>
      <c r="G267" s="23" t="n">
        <v>15</v>
      </c>
      <c r="H267" s="25" t="n">
        <v>97.75</v>
      </c>
      <c r="I267" s="23" t="inlineStr">
        <is>
          <t>نعم</t>
        </is>
      </c>
      <c r="J267" s="23" t="inlineStr">
        <is>
          <t>مزرعة الرياض (عهدة/صندوق)</t>
        </is>
      </c>
      <c r="K267" s="23" t="inlineStr">
        <is>
          <t>صيانة وإنشاءات المزرعة</t>
        </is>
      </c>
      <c r="L267" s="23" t="inlineStr"/>
    </row>
    <row r="268">
      <c r="A268" s="23" t="n">
        <v>267</v>
      </c>
      <c r="B268" s="24" t="n">
        <v>46002</v>
      </c>
      <c r="C268" s="23" t="inlineStr">
        <is>
          <t>شركة جوهرة الطيف للتجلرة</t>
        </is>
      </c>
      <c r="D268" s="23" t="inlineStr">
        <is>
          <t>RIYADH NURSERY</t>
        </is>
      </c>
      <c r="E268" s="23" t="n"/>
      <c r="F268" s="25" t="n">
        <v>17.39</v>
      </c>
      <c r="G268" s="23" t="n">
        <v>15</v>
      </c>
      <c r="H268" s="25" t="n">
        <v>20</v>
      </c>
      <c r="I268" s="23" t="inlineStr">
        <is>
          <t>نعم</t>
        </is>
      </c>
      <c r="J268" s="23" t="inlineStr">
        <is>
          <t>مزرعة الرياض (عهدة/صندوق)</t>
        </is>
      </c>
      <c r="K268" s="23" t="inlineStr">
        <is>
          <t>صيانة وإنشاءات المزرعة</t>
        </is>
      </c>
      <c r="L268" s="23" t="inlineStr"/>
    </row>
    <row r="269">
      <c r="A269" s="23" t="n">
        <v>268</v>
      </c>
      <c r="B269" s="24" t="n">
        <v>46002</v>
      </c>
      <c r="C269" s="23" t="inlineStr">
        <is>
          <t>شركة مصنع الديكور والبولستيرين السعودي</t>
        </is>
      </c>
      <c r="D269" s="23" t="inlineStr">
        <is>
          <t>RIYADH NURSERY - PO1277</t>
        </is>
      </c>
      <c r="E269" s="23" t="inlineStr">
        <is>
          <t>اذن صرف رقم 38</t>
        </is>
      </c>
      <c r="F269" s="25" t="n">
        <v>2100</v>
      </c>
      <c r="G269" s="23" t="n">
        <v>15</v>
      </c>
      <c r="H269" s="25" t="n">
        <v>2415</v>
      </c>
      <c r="I269" s="23" t="inlineStr">
        <is>
          <t>نعم</t>
        </is>
      </c>
      <c r="J269" s="23" t="inlineStr">
        <is>
          <t>مزرعة الرياض (عهدة/صندوق)</t>
        </is>
      </c>
      <c r="K269" s="23" t="inlineStr">
        <is>
          <t>مستلزمات إنتاج (مراكن/فلين/مفارش)</t>
        </is>
      </c>
      <c r="L269" s="23" t="inlineStr"/>
    </row>
    <row r="270">
      <c r="A270" s="23" t="n">
        <v>269</v>
      </c>
      <c r="B270" s="24" t="n">
        <v>46004</v>
      </c>
      <c r="C270" s="23" t="inlineStr">
        <is>
          <t>مؤسسة هيلاء عبيد الدوسرى</t>
        </is>
      </c>
      <c r="D270" s="23" t="inlineStr">
        <is>
          <t>RIYADH NURSERY</t>
        </is>
      </c>
      <c r="E270" s="23" t="n"/>
      <c r="F270" s="25" t="n">
        <v>308.7</v>
      </c>
      <c r="G270" s="23" t="n">
        <v>15</v>
      </c>
      <c r="H270" s="25" t="n">
        <v>355</v>
      </c>
      <c r="I270" s="23" t="inlineStr">
        <is>
          <t>نعم</t>
        </is>
      </c>
      <c r="J270" s="23" t="inlineStr">
        <is>
          <t>مزرعة الرياض (عهدة/صندوق)</t>
        </is>
      </c>
      <c r="K270" s="23" t="inlineStr">
        <is>
          <t>مصروفات إدارية وأخرى</t>
        </is>
      </c>
      <c r="L270" s="23" t="inlineStr"/>
    </row>
    <row r="271">
      <c r="A271" s="23" t="n">
        <v>270</v>
      </c>
      <c r="B271" s="24" t="n">
        <v>46004</v>
      </c>
      <c r="C271" s="23" t="inlineStr">
        <is>
          <t>الوقود</t>
        </is>
      </c>
      <c r="D271" s="23" t="inlineStr">
        <is>
          <t>RIYADH NURSERY</t>
        </is>
      </c>
      <c r="E271" s="23" t="n"/>
      <c r="F271" s="25" t="n">
        <v>121.61</v>
      </c>
      <c r="G271" s="23" t="n">
        <v>15</v>
      </c>
      <c r="H271" s="25" t="n">
        <v>139.85</v>
      </c>
      <c r="I271" s="23" t="inlineStr">
        <is>
          <t>نعم</t>
        </is>
      </c>
      <c r="J271" s="23" t="inlineStr">
        <is>
          <t>مزرعة الرياض (عهدة/صندوق)</t>
        </is>
      </c>
      <c r="K271" s="23" t="inlineStr">
        <is>
          <t>وقود</t>
        </is>
      </c>
      <c r="L271" s="23" t="inlineStr"/>
    </row>
    <row r="272">
      <c r="A272" s="23" t="n">
        <v>271</v>
      </c>
      <c r="B272" s="24" t="n">
        <v>46006</v>
      </c>
      <c r="C272" s="23" t="inlineStr">
        <is>
          <t>موسسة بيت الوسيط لتجاره</t>
        </is>
      </c>
      <c r="D272" s="23" t="inlineStr">
        <is>
          <t>RIYADH NURSERY</t>
        </is>
      </c>
      <c r="E272" s="23" t="n"/>
      <c r="F272" s="25" t="n">
        <v>452.17</v>
      </c>
      <c r="G272" s="23" t="n">
        <v>15</v>
      </c>
      <c r="H272" s="25" t="n">
        <v>520</v>
      </c>
      <c r="I272" s="23" t="inlineStr">
        <is>
          <t>نعم</t>
        </is>
      </c>
      <c r="J272" s="23" t="inlineStr">
        <is>
          <t>مزرعة الرياض (عهدة/صندوق)</t>
        </is>
      </c>
      <c r="K272" s="23" t="inlineStr">
        <is>
          <t>مواد زراعية (بيتموس/بيرلايت/أسمدة/مبيدات)</t>
        </is>
      </c>
      <c r="L272" s="23" t="inlineStr"/>
    </row>
    <row r="273">
      <c r="A273" s="23" t="n">
        <v>272</v>
      </c>
      <c r="B273" s="24" t="n">
        <v>46006</v>
      </c>
      <c r="C273" s="23" t="inlineStr">
        <is>
          <t>مؤسسة تلال الربيع للمفارش</t>
        </is>
      </c>
      <c r="D273" s="23" t="inlineStr">
        <is>
          <t>RIYADH NURSERY</t>
        </is>
      </c>
      <c r="E273" s="23" t="n"/>
      <c r="F273" s="25" t="n">
        <v>75</v>
      </c>
      <c r="G273" s="23" t="n">
        <v>15</v>
      </c>
      <c r="H273" s="25" t="n">
        <v>86.25</v>
      </c>
      <c r="I273" s="23" t="inlineStr">
        <is>
          <t>نعم</t>
        </is>
      </c>
      <c r="J273" s="23" t="inlineStr">
        <is>
          <t>مزرعة الرياض (عهدة/صندوق)</t>
        </is>
      </c>
      <c r="K273" s="23" t="inlineStr">
        <is>
          <t>مصروفات إدارية وأخرى</t>
        </is>
      </c>
      <c r="L273" s="23" t="inlineStr"/>
    </row>
    <row r="274">
      <c r="A274" s="23" t="n">
        <v>273</v>
      </c>
      <c r="B274" s="24" t="n">
        <v>46007</v>
      </c>
      <c r="C274" s="23" t="inlineStr">
        <is>
          <t>شركة التاج المميزة التجارية</t>
        </is>
      </c>
      <c r="D274" s="23" t="inlineStr">
        <is>
          <t>RIYADH NURSERY - PO1287</t>
        </is>
      </c>
      <c r="E274" s="23" t="inlineStr">
        <is>
          <t>اذن صرف رقم 39</t>
        </is>
      </c>
      <c r="F274" s="25" t="n">
        <v>14500</v>
      </c>
      <c r="G274" s="23" t="n">
        <v>0</v>
      </c>
      <c r="H274" s="25" t="n">
        <v>14500</v>
      </c>
      <c r="I274" s="23" t="inlineStr">
        <is>
          <t>نعم</t>
        </is>
      </c>
      <c r="J274" s="23" t="inlineStr">
        <is>
          <t>مزرعة الرياض (عهدة/صندوق)</t>
        </is>
      </c>
      <c r="K274" s="23" t="inlineStr">
        <is>
          <t>مواد زراعية (بيتموس/بيرلايت/أسمدة/مبيدات)</t>
        </is>
      </c>
      <c r="L274" s="23" t="inlineStr"/>
    </row>
    <row r="275">
      <c r="A275" s="23" t="n">
        <v>274</v>
      </c>
      <c r="B275" s="24" t="n">
        <v>46007</v>
      </c>
      <c r="C275" s="23" t="inlineStr">
        <is>
          <t>شركة ايراد المتحدة التجارية</t>
        </is>
      </c>
      <c r="D275" s="23" t="inlineStr">
        <is>
          <t>RIYADH NURSERY - PO1286</t>
        </is>
      </c>
      <c r="E275" s="23" t="n"/>
      <c r="F275" s="25" t="n">
        <v>3152.43</v>
      </c>
      <c r="G275" s="23" t="n">
        <v>15</v>
      </c>
      <c r="H275" s="25" t="n">
        <v>3625.29</v>
      </c>
      <c r="I275" s="23" t="inlineStr">
        <is>
          <t>نعم</t>
        </is>
      </c>
      <c r="J275" s="23" t="inlineStr">
        <is>
          <t>مزرعة الرياض (عهدة/صندوق)</t>
        </is>
      </c>
      <c r="K275" s="23" t="inlineStr">
        <is>
          <t>مواد زراعية (بيتموس/بيرلايت/أسمدة/مبيدات)</t>
        </is>
      </c>
      <c r="L275" s="23" t="inlineStr"/>
    </row>
    <row r="276">
      <c r="A276" s="23" t="n">
        <v>275</v>
      </c>
      <c r="B276" s="24" t="n">
        <v>46007</v>
      </c>
      <c r="C276" s="23" t="inlineStr">
        <is>
          <t>شركة مصنع الديكور والبولستيرين السعودي</t>
        </is>
      </c>
      <c r="D276" s="23" t="inlineStr">
        <is>
          <t>RIYADH NURSERY - PO1285</t>
        </is>
      </c>
      <c r="E276" s="23" t="inlineStr">
        <is>
          <t>اذن صرف رقم 40</t>
        </is>
      </c>
      <c r="F276" s="25" t="n">
        <v>7140</v>
      </c>
      <c r="G276" s="23" t="n">
        <v>15</v>
      </c>
      <c r="H276" s="25" t="n">
        <v>8211</v>
      </c>
      <c r="I276" s="23" t="inlineStr">
        <is>
          <t>نعم</t>
        </is>
      </c>
      <c r="J276" s="23" t="inlineStr">
        <is>
          <t>مزرعة الرياض (عهدة/صندوق)</t>
        </is>
      </c>
      <c r="K276" s="23" t="inlineStr">
        <is>
          <t>مستلزمات إنتاج (مراكن/فلين/مفارش)</t>
        </is>
      </c>
      <c r="L276" s="23" t="inlineStr"/>
    </row>
    <row r="277">
      <c r="A277" s="23" t="n">
        <v>276</v>
      </c>
      <c r="B277" s="24" t="n">
        <v>46008</v>
      </c>
      <c r="C277" s="23" t="inlineStr">
        <is>
          <t>ورشة الرحالة لصيانة البردات</t>
        </is>
      </c>
      <c r="D277" s="23" t="inlineStr">
        <is>
          <t>RIYADH NURSERY</t>
        </is>
      </c>
      <c r="E277" s="23" t="inlineStr">
        <is>
          <t>اذن صرف رقم 47</t>
        </is>
      </c>
      <c r="F277" s="25" t="n">
        <v>400</v>
      </c>
      <c r="G277" s="23" t="n">
        <v>0</v>
      </c>
      <c r="H277" s="25" t="n">
        <v>400</v>
      </c>
      <c r="I277" s="23" t="inlineStr">
        <is>
          <t>نعم</t>
        </is>
      </c>
      <c r="J277" s="23" t="inlineStr">
        <is>
          <t>مزرعة الرياض (عهدة/صندوق)</t>
        </is>
      </c>
      <c r="K277" s="23" t="inlineStr">
        <is>
          <t>صيانة سيارات ومعدات</t>
        </is>
      </c>
      <c r="L277" s="23" t="inlineStr"/>
    </row>
    <row r="278">
      <c r="A278" s="23" t="n">
        <v>277</v>
      </c>
      <c r="B278" s="24" t="n">
        <v>46008</v>
      </c>
      <c r="C278" s="23" t="inlineStr">
        <is>
          <t>ورشة الرحالة لصيانة البردات</t>
        </is>
      </c>
      <c r="D278" s="23" t="inlineStr">
        <is>
          <t>RIYADH NURSERY</t>
        </is>
      </c>
      <c r="E278" s="23" t="inlineStr">
        <is>
          <t>اذن صرف رقم 46</t>
        </is>
      </c>
      <c r="F278" s="25" t="n">
        <v>450</v>
      </c>
      <c r="G278" s="23" t="n">
        <v>0</v>
      </c>
      <c r="H278" s="25" t="n">
        <v>450</v>
      </c>
      <c r="I278" s="23" t="inlineStr">
        <is>
          <t>نعم</t>
        </is>
      </c>
      <c r="J278" s="23" t="inlineStr">
        <is>
          <t>مزرعة الرياض (عهدة/صندوق)</t>
        </is>
      </c>
      <c r="K278" s="23" t="inlineStr">
        <is>
          <t>صيانة سيارات ومعدات</t>
        </is>
      </c>
      <c r="L278" s="23" t="inlineStr"/>
    </row>
    <row r="279">
      <c r="A279" s="23" t="n">
        <v>278</v>
      </c>
      <c r="B279" s="24" t="n">
        <v>46008</v>
      </c>
      <c r="C279" s="23" t="inlineStr">
        <is>
          <t>ورشة الرحالة لصيانة البردات</t>
        </is>
      </c>
      <c r="D279" s="23" t="inlineStr">
        <is>
          <t>RIYADH NURSERY</t>
        </is>
      </c>
      <c r="E279" s="23" t="inlineStr">
        <is>
          <t>اذن صرف رقم 45</t>
        </is>
      </c>
      <c r="F279" s="25" t="n">
        <v>13000</v>
      </c>
      <c r="G279" s="23" t="n">
        <v>0</v>
      </c>
      <c r="H279" s="25" t="n">
        <v>13000</v>
      </c>
      <c r="I279" s="23" t="inlineStr">
        <is>
          <t>نعم</t>
        </is>
      </c>
      <c r="J279" s="23" t="inlineStr">
        <is>
          <t>مزرعة الرياض (عهدة/صندوق)</t>
        </is>
      </c>
      <c r="K279" s="23" t="inlineStr">
        <is>
          <t>صيانة سيارات ومعدات</t>
        </is>
      </c>
      <c r="L279" s="23" t="inlineStr"/>
    </row>
    <row r="280">
      <c r="A280" s="23" t="n">
        <v>279</v>
      </c>
      <c r="B280" s="24" t="n">
        <v>46008</v>
      </c>
      <c r="C280" s="23" t="inlineStr">
        <is>
          <t>ورشة الرحالة لصيانة البردات</t>
        </is>
      </c>
      <c r="D280" s="23" t="inlineStr">
        <is>
          <t>RIYADH NURSERY</t>
        </is>
      </c>
      <c r="E280" s="23" t="inlineStr">
        <is>
          <t>اذن صرف رقم 44</t>
        </is>
      </c>
      <c r="F280" s="25" t="n">
        <v>5000</v>
      </c>
      <c r="G280" s="23" t="n">
        <v>0</v>
      </c>
      <c r="H280" s="25" t="n">
        <v>5000</v>
      </c>
      <c r="I280" s="23" t="inlineStr">
        <is>
          <t>نعم</t>
        </is>
      </c>
      <c r="J280" s="23" t="inlineStr">
        <is>
          <t>مزرعة الرياض (عهدة/صندوق)</t>
        </is>
      </c>
      <c r="K280" s="23" t="inlineStr">
        <is>
          <t>صيانة سيارات ومعدات</t>
        </is>
      </c>
      <c r="L280" s="23" t="inlineStr"/>
    </row>
    <row r="281">
      <c r="A281" s="23" t="n">
        <v>280</v>
      </c>
      <c r="B281" s="24" t="n">
        <v>46008</v>
      </c>
      <c r="C281" s="23" t="inlineStr">
        <is>
          <t>العمولة</t>
        </is>
      </c>
      <c r="D281" s="23" t="inlineStr">
        <is>
          <t>RIYADH NURSERY</t>
        </is>
      </c>
      <c r="E281" s="23" t="inlineStr">
        <is>
          <t>اذن صرف رقم 43</t>
        </is>
      </c>
      <c r="F281" s="25" t="n">
        <v>300</v>
      </c>
      <c r="G281" s="23" t="n">
        <v>0</v>
      </c>
      <c r="H281" s="25" t="n">
        <v>300</v>
      </c>
      <c r="I281" s="23" t="inlineStr">
        <is>
          <t>نعم</t>
        </is>
      </c>
      <c r="J281" s="23" t="inlineStr">
        <is>
          <t>مزرعة الرياض (عهدة/صندوق)</t>
        </is>
      </c>
      <c r="K281" s="23" t="inlineStr">
        <is>
          <t>رواتب وعمولات</t>
        </is>
      </c>
      <c r="L281" s="23" t="inlineStr"/>
    </row>
    <row r="282">
      <c r="A282" s="23" t="n">
        <v>281</v>
      </c>
      <c r="B282" s="24" t="n">
        <v>46008</v>
      </c>
      <c r="C282" s="23" t="inlineStr">
        <is>
          <t>العمولة</t>
        </is>
      </c>
      <c r="D282" s="23" t="inlineStr">
        <is>
          <t>RIYADH NURSERY</t>
        </is>
      </c>
      <c r="E282" s="23" t="inlineStr">
        <is>
          <t>اذن صرف رقم 42</t>
        </is>
      </c>
      <c r="F282" s="25" t="n">
        <v>1400</v>
      </c>
      <c r="G282" s="23" t="n">
        <v>0</v>
      </c>
      <c r="H282" s="25" t="n">
        <v>1400</v>
      </c>
      <c r="I282" s="23" t="inlineStr">
        <is>
          <t>نعم</t>
        </is>
      </c>
      <c r="J282" s="23" t="inlineStr">
        <is>
          <t>مزرعة الرياض (عهدة/صندوق)</t>
        </is>
      </c>
      <c r="K282" s="23" t="inlineStr">
        <is>
          <t>رواتب وعمولات</t>
        </is>
      </c>
      <c r="L282" s="23" t="inlineStr"/>
    </row>
    <row r="283">
      <c r="A283" s="23" t="n">
        <v>282</v>
      </c>
      <c r="B283" s="24" t="n">
        <v>46008</v>
      </c>
      <c r="C283" s="23" t="inlineStr">
        <is>
          <t>هاتف الموبايل</t>
        </is>
      </c>
      <c r="D283" s="23" t="inlineStr">
        <is>
          <t>RIYADH NURSERY</t>
        </is>
      </c>
      <c r="E283" s="23" t="inlineStr">
        <is>
          <t>اذن صرف رقم 41</t>
        </is>
      </c>
      <c r="F283" s="25" t="n">
        <v>100</v>
      </c>
      <c r="G283" s="23" t="n">
        <v>15</v>
      </c>
      <c r="H283" s="25" t="n">
        <v>115</v>
      </c>
      <c r="I283" s="23" t="inlineStr">
        <is>
          <t>نعم</t>
        </is>
      </c>
      <c r="J283" s="23" t="inlineStr">
        <is>
          <t>مزرعة الرياض (عهدة/صندوق)</t>
        </is>
      </c>
      <c r="K283" s="23" t="inlineStr">
        <is>
          <t>خدمات (كهرباء/مياه/اتصالات)</t>
        </is>
      </c>
      <c r="L283" s="23" t="inlineStr"/>
    </row>
    <row r="284">
      <c r="A284" s="23" t="n">
        <v>283</v>
      </c>
      <c r="B284" s="24" t="n">
        <v>46011</v>
      </c>
      <c r="C284" s="23" t="inlineStr">
        <is>
          <t>مؤسسة المحترف الامثل للتجارة - سباكة</t>
        </is>
      </c>
      <c r="D284" s="23" t="inlineStr">
        <is>
          <t>RIYADH NURSERY</t>
        </is>
      </c>
      <c r="E284" s="23" t="n"/>
      <c r="F284" s="25" t="n">
        <v>265</v>
      </c>
      <c r="G284" s="23" t="n">
        <v>15</v>
      </c>
      <c r="H284" s="25" t="n">
        <v>304.75</v>
      </c>
      <c r="I284" s="23" t="inlineStr">
        <is>
          <t>نعم</t>
        </is>
      </c>
      <c r="J284" s="23" t="inlineStr">
        <is>
          <t>مزرعة الرياض (عهدة/صندوق)</t>
        </is>
      </c>
      <c r="K284" s="23" t="inlineStr">
        <is>
          <t>صيانة وإنشاءات المزرعة</t>
        </is>
      </c>
      <c r="L284" s="23" t="inlineStr"/>
    </row>
    <row r="285">
      <c r="A285" s="23" t="n">
        <v>284</v>
      </c>
      <c r="B285" s="24" t="n">
        <v>46011</v>
      </c>
      <c r="C285" s="23" t="inlineStr">
        <is>
          <t>ينابع المئويه لتحلية المياه</t>
        </is>
      </c>
      <c r="D285" s="23" t="inlineStr">
        <is>
          <t>RIYADH NURSERY</t>
        </is>
      </c>
      <c r="E285" s="23" t="n"/>
      <c r="F285" s="25" t="n">
        <v>60</v>
      </c>
      <c r="G285" s="23" t="n">
        <v>0</v>
      </c>
      <c r="H285" s="25" t="n">
        <v>60</v>
      </c>
      <c r="I285" s="23" t="inlineStr">
        <is>
          <t>نعم</t>
        </is>
      </c>
      <c r="J285" s="23" t="inlineStr">
        <is>
          <t>مزرعة الرياض (عهدة/صندوق)</t>
        </is>
      </c>
      <c r="K285" s="23" t="inlineStr">
        <is>
          <t>خدمات (كهرباء/مياه/اتصالات)</t>
        </is>
      </c>
      <c r="L285" s="23" t="inlineStr"/>
    </row>
    <row r="286">
      <c r="A286" s="23" t="n">
        <v>285</v>
      </c>
      <c r="B286" s="24" t="n">
        <v>46011</v>
      </c>
      <c r="C286" s="23" t="inlineStr">
        <is>
          <t>شركة حمد  المنيع وشركاه لاجهزة الكهربائية - المنيع</t>
        </is>
      </c>
      <c r="D286" s="23" t="inlineStr">
        <is>
          <t>RIYADH NURSERY</t>
        </is>
      </c>
      <c r="E286" s="23" t="n"/>
      <c r="F286" s="25" t="n">
        <v>216.41</v>
      </c>
      <c r="G286" s="23" t="n">
        <v>15</v>
      </c>
      <c r="H286" s="25" t="n">
        <v>248.87</v>
      </c>
      <c r="I286" s="23" t="inlineStr">
        <is>
          <t>نعم</t>
        </is>
      </c>
      <c r="J286" s="23" t="inlineStr">
        <is>
          <t>مزرعة الرياض (عهدة/صندوق)</t>
        </is>
      </c>
      <c r="K286" s="23" t="inlineStr">
        <is>
          <t>صيانة وإنشاءات المزرعة</t>
        </is>
      </c>
      <c r="L286" s="23" t="inlineStr"/>
    </row>
    <row r="287">
      <c r="A287" s="23" t="n">
        <v>286</v>
      </c>
      <c r="B287" s="24" t="n">
        <v>46012</v>
      </c>
      <c r="C287" s="23" t="inlineStr">
        <is>
          <t>مؤسسة المحترف الامثل للتجارة - سباكة</t>
        </is>
      </c>
      <c r="D287" s="23" t="inlineStr">
        <is>
          <t>RIYADH NURSERY</t>
        </is>
      </c>
      <c r="E287" s="23" t="n"/>
      <c r="F287" s="25" t="n">
        <v>110</v>
      </c>
      <c r="G287" s="23" t="n">
        <v>15</v>
      </c>
      <c r="H287" s="25" t="n">
        <v>126.5</v>
      </c>
      <c r="I287" s="23" t="inlineStr">
        <is>
          <t>نعم</t>
        </is>
      </c>
      <c r="J287" s="23" t="inlineStr">
        <is>
          <t>مزرعة الرياض (عهدة/صندوق)</t>
        </is>
      </c>
      <c r="K287" s="23" t="inlineStr">
        <is>
          <t>صيانة وإنشاءات المزرعة</t>
        </is>
      </c>
      <c r="L287" s="23" t="inlineStr"/>
    </row>
    <row r="288">
      <c r="A288" s="23" t="n">
        <v>287</v>
      </c>
      <c r="B288" s="24" t="n">
        <v>46014</v>
      </c>
      <c r="C288" s="23" t="inlineStr">
        <is>
          <t>مؤسسة روابي المعرفة التجارية</t>
        </is>
      </c>
      <c r="D288" s="23" t="inlineStr">
        <is>
          <t>RIYADH NURSERY</t>
        </is>
      </c>
      <c r="E288" s="23" t="n"/>
      <c r="F288" s="25" t="n">
        <v>173.04</v>
      </c>
      <c r="G288" s="23" t="n">
        <v>15</v>
      </c>
      <c r="H288" s="25" t="n">
        <v>199</v>
      </c>
      <c r="I288" s="23" t="inlineStr">
        <is>
          <t>نعم</t>
        </is>
      </c>
      <c r="J288" s="23" t="inlineStr">
        <is>
          <t>مزرعة الرياض (عهدة/صندوق)</t>
        </is>
      </c>
      <c r="K288" s="23" t="inlineStr">
        <is>
          <t>مصروفات إدارية وأخرى</t>
        </is>
      </c>
      <c r="L288" s="23" t="inlineStr"/>
    </row>
    <row r="289">
      <c r="A289" s="23" t="n">
        <v>288</v>
      </c>
      <c r="B289" s="24" t="n">
        <v>46014</v>
      </c>
      <c r="C289" s="23" t="inlineStr">
        <is>
          <t>شركة ضي العليا لتقنية المعلومات</t>
        </is>
      </c>
      <c r="D289" s="23" t="inlineStr">
        <is>
          <t>RIYADH NURSERY</t>
        </is>
      </c>
      <c r="E289" s="23" t="n"/>
      <c r="F289" s="25" t="n">
        <v>173.04</v>
      </c>
      <c r="G289" s="23" t="n">
        <v>15</v>
      </c>
      <c r="H289" s="25" t="n">
        <v>199</v>
      </c>
      <c r="I289" s="23" t="inlineStr">
        <is>
          <t>نعم</t>
        </is>
      </c>
      <c r="J289" s="23" t="inlineStr">
        <is>
          <t>مزرعة الرياض (عهدة/صندوق)</t>
        </is>
      </c>
      <c r="K289" s="23" t="inlineStr">
        <is>
          <t>خدمات (كهرباء/مياه/اتصالات)</t>
        </is>
      </c>
      <c r="L289" s="23" t="inlineStr"/>
    </row>
    <row r="290">
      <c r="A290" s="40" t="n">
        <v>289</v>
      </c>
      <c r="B290" s="41" t="n">
        <v>46016</v>
      </c>
      <c r="C290" s="40" t="inlineStr">
        <is>
          <t>شركة الجزيرة الحديثة الزراعية</t>
        </is>
      </c>
      <c r="D290" s="40" t="inlineStr">
        <is>
          <t>WHK-2364</t>
        </is>
      </c>
      <c r="E290" s="40" t="inlineStr">
        <is>
          <t>مرفق طلب التوريد</t>
        </is>
      </c>
      <c r="F290" s="42" t="n">
        <v>21250</v>
      </c>
      <c r="G290" s="40" t="n">
        <v>0</v>
      </c>
      <c r="H290" s="42" t="n">
        <v>21250</v>
      </c>
      <c r="I290" s="40" t="inlineStr">
        <is>
          <t>لا</t>
        </is>
      </c>
      <c r="J290" s="40" t="inlineStr">
        <is>
          <t>مزرعة الرياض (عهدة/صندوق)</t>
        </is>
      </c>
      <c r="K290" s="40" t="inlineStr">
        <is>
          <t>مشتريات زهور لعقد عرعر (WHK-2364)</t>
        </is>
      </c>
      <c r="L290" s="40" t="inlineStr">
        <is>
          <t>⚠ غير مدفوع – مديونية قائمة | تكلفة زهور مشتراة لتوريد عقد عرعر لأبو خالد</t>
        </is>
      </c>
    </row>
    <row r="291">
      <c r="A291" s="36" t="n">
        <v>290</v>
      </c>
      <c r="B291" s="37" t="n">
        <v>46016</v>
      </c>
      <c r="C291" s="36" t="inlineStr">
        <is>
          <t>شركة الجزيرة الحديثة الزراعية</t>
        </is>
      </c>
      <c r="D291" s="36" t="inlineStr">
        <is>
          <t>WHK-2364</t>
        </is>
      </c>
      <c r="E291" s="36" t="inlineStr">
        <is>
          <t>مرفق طلب التوريد</t>
        </is>
      </c>
      <c r="F291" s="38" t="n">
        <v>20000</v>
      </c>
      <c r="G291" s="36" t="n">
        <v>0</v>
      </c>
      <c r="H291" s="38" t="n">
        <v>20000</v>
      </c>
      <c r="I291" s="36" t="inlineStr">
        <is>
          <t>نعم</t>
        </is>
      </c>
      <c r="J291" s="36" t="inlineStr">
        <is>
          <t>مزرعة الرياض (عهدة/صندوق)</t>
        </is>
      </c>
      <c r="K291" s="36" t="inlineStr">
        <is>
          <t>مشتريات زهور لعقد عرعر (WHK-2364)</t>
        </is>
      </c>
      <c r="L291" s="36" t="inlineStr">
        <is>
          <t>⚠ نفس المورد ونفس التاريخ ونفس القيمة مكرر – يلزم التأكد | تكلفة زهور مشتراة لتوريد عقد عرعر لأبو خالد</t>
        </is>
      </c>
    </row>
    <row r="292">
      <c r="A292" s="36" t="n">
        <v>291</v>
      </c>
      <c r="B292" s="37" t="n">
        <v>46016</v>
      </c>
      <c r="C292" s="36" t="inlineStr">
        <is>
          <t>شركة الجزيرة الحديثة الزراعية</t>
        </is>
      </c>
      <c r="D292" s="36" t="inlineStr">
        <is>
          <t>WHK-2364</t>
        </is>
      </c>
      <c r="E292" s="36" t="inlineStr">
        <is>
          <t>مرفق طلب التوريد</t>
        </is>
      </c>
      <c r="F292" s="38" t="n">
        <v>20000</v>
      </c>
      <c r="G292" s="36" t="n">
        <v>0</v>
      </c>
      <c r="H292" s="38" t="n">
        <v>20000</v>
      </c>
      <c r="I292" s="36" t="inlineStr">
        <is>
          <t>نعم</t>
        </is>
      </c>
      <c r="J292" s="36" t="inlineStr">
        <is>
          <t>مزرعة الرياض (عهدة/صندوق)</t>
        </is>
      </c>
      <c r="K292" s="36" t="inlineStr">
        <is>
          <t>مشتريات زهور لعقد عرعر (WHK-2364)</t>
        </is>
      </c>
      <c r="L292" s="36" t="inlineStr">
        <is>
          <t>⚠ نفس المورد ونفس التاريخ ونفس القيمة مكرر – يلزم التأكد | تكلفة زهور مشتراة لتوريد عقد عرعر لأبو خالد</t>
        </is>
      </c>
    </row>
    <row r="293">
      <c r="A293" s="23" t="n">
        <v>292</v>
      </c>
      <c r="B293" s="24" t="n">
        <v>46017</v>
      </c>
      <c r="C293" s="23" t="inlineStr">
        <is>
          <t>موسسسة افاق الاليه لادوات الكهربيه</t>
        </is>
      </c>
      <c r="D293" s="23" t="inlineStr">
        <is>
          <t>RIYADH NURSERY</t>
        </is>
      </c>
      <c r="E293" s="23" t="inlineStr">
        <is>
          <t>اذن صرف 49</t>
        </is>
      </c>
      <c r="F293" s="25" t="n">
        <v>693</v>
      </c>
      <c r="G293" s="23" t="n">
        <v>0</v>
      </c>
      <c r="H293" s="25" t="n">
        <v>693</v>
      </c>
      <c r="I293" s="23" t="inlineStr">
        <is>
          <t>نعم</t>
        </is>
      </c>
      <c r="J293" s="23" t="inlineStr">
        <is>
          <t>مزرعة الرياض (عهدة/صندوق)</t>
        </is>
      </c>
      <c r="K293" s="23" t="inlineStr">
        <is>
          <t>صيانة وإنشاءات المزرعة</t>
        </is>
      </c>
      <c r="L293" s="23" t="inlineStr"/>
    </row>
    <row r="294">
      <c r="A294" s="23" t="n">
        <v>293</v>
      </c>
      <c r="B294" s="24" t="n">
        <v>46017</v>
      </c>
      <c r="C294" s="23" t="inlineStr">
        <is>
          <t>مؤسسة المحترف الامثل للتجارة - سباكة</t>
        </is>
      </c>
      <c r="D294" s="23" t="inlineStr">
        <is>
          <t>RIYADH NURSERY</t>
        </is>
      </c>
      <c r="E294" s="23" t="inlineStr">
        <is>
          <t>اذن صرف 48</t>
        </is>
      </c>
      <c r="F294" s="25" t="n">
        <v>225</v>
      </c>
      <c r="G294" s="23" t="n">
        <v>15</v>
      </c>
      <c r="H294" s="25" t="n">
        <v>258.75</v>
      </c>
      <c r="I294" s="23" t="inlineStr">
        <is>
          <t>نعم</t>
        </is>
      </c>
      <c r="J294" s="23" t="inlineStr">
        <is>
          <t>مزرعة الرياض (عهدة/صندوق)</t>
        </is>
      </c>
      <c r="K294" s="23" t="inlineStr">
        <is>
          <t>صيانة وإنشاءات المزرعة</t>
        </is>
      </c>
      <c r="L294" s="23" t="inlineStr"/>
    </row>
    <row r="295">
      <c r="A295" s="23" t="n">
        <v>294</v>
      </c>
      <c r="B295" s="24" t="n">
        <v>46018</v>
      </c>
      <c r="C295" s="23" t="inlineStr">
        <is>
          <t>مغلسة تركي مبلش رشيد الحربي</t>
        </is>
      </c>
      <c r="D295" s="23" t="inlineStr">
        <is>
          <t>RIYADH NURSERY</t>
        </is>
      </c>
      <c r="E295" s="23" t="inlineStr">
        <is>
          <t>اذن صرف رقم 50</t>
        </is>
      </c>
      <c r="F295" s="25" t="n">
        <v>60</v>
      </c>
      <c r="G295" s="23" t="n">
        <v>0</v>
      </c>
      <c r="H295" s="25" t="n">
        <v>60</v>
      </c>
      <c r="I295" s="23" t="inlineStr">
        <is>
          <t>نعم</t>
        </is>
      </c>
      <c r="J295" s="23" t="inlineStr">
        <is>
          <t>مزرعة الرياض (عهدة/صندوق)</t>
        </is>
      </c>
      <c r="K295" s="23" t="inlineStr">
        <is>
          <t>صيانة سيارات ومعدات</t>
        </is>
      </c>
      <c r="L295" s="23" t="inlineStr"/>
    </row>
    <row r="296">
      <c r="A296" s="23" t="n">
        <v>295</v>
      </c>
      <c r="B296" s="24" t="n">
        <v>46019</v>
      </c>
      <c r="C296" s="23" t="inlineStr">
        <is>
          <t>موسسسة افاق الاليه لادوات الكهربيه</t>
        </is>
      </c>
      <c r="D296" s="23" t="inlineStr">
        <is>
          <t>RIYADH NURSERY</t>
        </is>
      </c>
      <c r="E296" s="23" t="inlineStr">
        <is>
          <t>اذن صرف رقم 51</t>
        </is>
      </c>
      <c r="F296" s="25" t="n">
        <v>684</v>
      </c>
      <c r="G296" s="23" t="n">
        <v>0</v>
      </c>
      <c r="H296" s="25" t="n">
        <v>684</v>
      </c>
      <c r="I296" s="23" t="inlineStr">
        <is>
          <t>نعم</t>
        </is>
      </c>
      <c r="J296" s="23" t="inlineStr">
        <is>
          <t>مزرعة الرياض (عهدة/صندوق)</t>
        </is>
      </c>
      <c r="K296" s="23" t="inlineStr">
        <is>
          <t>صيانة وإنشاءات المزرعة</t>
        </is>
      </c>
      <c r="L296" s="23" t="inlineStr"/>
    </row>
    <row r="297">
      <c r="A297" s="23" t="n">
        <v>296</v>
      </c>
      <c r="B297" s="24" t="n">
        <v>46020</v>
      </c>
      <c r="C297" s="23" t="inlineStr">
        <is>
          <t>الشركة المصرية الالمانية للانتاج الزراعي</t>
        </is>
      </c>
      <c r="D297" s="23" t="inlineStr">
        <is>
          <t>RIYADH NURSERY - PO1278</t>
        </is>
      </c>
      <c r="E297" s="23" t="inlineStr">
        <is>
          <t>اذن صرف رقم 54</t>
        </is>
      </c>
      <c r="F297" s="25" t="n">
        <v>44662</v>
      </c>
      <c r="G297" s="23" t="n">
        <v>0</v>
      </c>
      <c r="H297" s="25" t="n">
        <v>44662</v>
      </c>
      <c r="I297" s="23" t="inlineStr">
        <is>
          <t>نعم</t>
        </is>
      </c>
      <c r="J297" s="23" t="inlineStr">
        <is>
          <t>مزرعة الرياض (عهدة/صندوق)</t>
        </is>
      </c>
      <c r="K297" s="23" t="inlineStr">
        <is>
          <t>مشتريات نباتات وبذور</t>
        </is>
      </c>
      <c r="L297" s="23" t="inlineStr"/>
    </row>
    <row r="298">
      <c r="A298" s="23" t="n">
        <v>297</v>
      </c>
      <c r="B298" s="24" t="n">
        <v>46020</v>
      </c>
      <c r="C298" s="23" t="inlineStr">
        <is>
          <t>الشركة السعوديه للكهرباء</t>
        </is>
      </c>
      <c r="D298" s="23" t="inlineStr">
        <is>
          <t>RIYADH NURSERY - PO1323</t>
        </is>
      </c>
      <c r="E298" s="23" t="inlineStr">
        <is>
          <t>اذن صرف رقم 52</t>
        </is>
      </c>
      <c r="F298" s="25" t="n">
        <v>3248.64</v>
      </c>
      <c r="G298" s="23" t="n">
        <v>15</v>
      </c>
      <c r="H298" s="25" t="n">
        <v>3735.94</v>
      </c>
      <c r="I298" s="23" t="inlineStr">
        <is>
          <t>نعم</t>
        </is>
      </c>
      <c r="J298" s="23" t="inlineStr">
        <is>
          <t>مزرعة الرياض (عهدة/صندوق)</t>
        </is>
      </c>
      <c r="K298" s="23" t="inlineStr">
        <is>
          <t>خدمات (كهرباء/مياه/اتصالات)</t>
        </is>
      </c>
      <c r="L298" s="23" t="inlineStr"/>
    </row>
    <row r="299">
      <c r="A299" s="23" t="n">
        <v>298</v>
      </c>
      <c r="B299" s="24" t="n">
        <v>46021</v>
      </c>
      <c r="C299" s="23" t="inlineStr">
        <is>
          <t>موسسسة افاق الاليه لادوات الكهربيه</t>
        </is>
      </c>
      <c r="D299" s="23" t="inlineStr">
        <is>
          <t>RIYADH NURSERY</t>
        </is>
      </c>
      <c r="E299" s="23" t="inlineStr">
        <is>
          <t>اذن صرف رقم 58</t>
        </is>
      </c>
      <c r="F299" s="25" t="n">
        <v>488</v>
      </c>
      <c r="G299" s="23" t="n">
        <v>0</v>
      </c>
      <c r="H299" s="25" t="n">
        <v>488</v>
      </c>
      <c r="I299" s="23" t="inlineStr">
        <is>
          <t>نعم</t>
        </is>
      </c>
      <c r="J299" s="23" t="inlineStr">
        <is>
          <t>مزرعة الرياض (عهدة/صندوق)</t>
        </is>
      </c>
      <c r="K299" s="23" t="inlineStr">
        <is>
          <t>صيانة وإنشاءات المزرعة</t>
        </is>
      </c>
      <c r="L299" s="23" t="inlineStr"/>
    </row>
    <row r="300">
      <c r="A300" s="23" t="n">
        <v>299</v>
      </c>
      <c r="B300" s="24" t="n">
        <v>46021</v>
      </c>
      <c r="C300" s="23" t="inlineStr">
        <is>
          <t>موسسسة افاق الاليه لادوات الكهربيه</t>
        </is>
      </c>
      <c r="D300" s="23" t="inlineStr">
        <is>
          <t>RIYADH NURSERY</t>
        </is>
      </c>
      <c r="E300" s="23" t="inlineStr">
        <is>
          <t>اذن صرف رقم 57</t>
        </is>
      </c>
      <c r="F300" s="25" t="n">
        <v>647</v>
      </c>
      <c r="G300" s="23" t="n">
        <v>0</v>
      </c>
      <c r="H300" s="25" t="n">
        <v>647</v>
      </c>
      <c r="I300" s="23" t="inlineStr">
        <is>
          <t>نعم</t>
        </is>
      </c>
      <c r="J300" s="23" t="inlineStr">
        <is>
          <t>مزرعة الرياض (عهدة/صندوق)</t>
        </is>
      </c>
      <c r="K300" s="23" t="inlineStr">
        <is>
          <t>صيانة وإنشاءات المزرعة</t>
        </is>
      </c>
      <c r="L300" s="23" t="inlineStr"/>
    </row>
    <row r="301">
      <c r="A301" s="23" t="n">
        <v>300</v>
      </c>
      <c r="B301" s="24" t="n">
        <v>46021</v>
      </c>
      <c r="C301" s="23" t="inlineStr">
        <is>
          <t>هاتف الموبايل</t>
        </is>
      </c>
      <c r="D301" s="23" t="inlineStr">
        <is>
          <t>RIYADH NURSERY</t>
        </is>
      </c>
      <c r="E301" s="23" t="inlineStr">
        <is>
          <t>اذن صرف رقم 56</t>
        </is>
      </c>
      <c r="F301" s="25" t="n">
        <v>104.35</v>
      </c>
      <c r="G301" s="23" t="n">
        <v>15</v>
      </c>
      <c r="H301" s="25" t="n">
        <v>120</v>
      </c>
      <c r="I301" s="23" t="inlineStr">
        <is>
          <t>نعم</t>
        </is>
      </c>
      <c r="J301" s="23" t="inlineStr">
        <is>
          <t>مزرعة الرياض (عهدة/صندوق)</t>
        </is>
      </c>
      <c r="K301" s="23" t="inlineStr">
        <is>
          <t>خدمات (كهرباء/مياه/اتصالات)</t>
        </is>
      </c>
      <c r="L301" s="23" t="inlineStr"/>
    </row>
    <row r="302">
      <c r="A302" s="23" t="n">
        <v>301</v>
      </c>
      <c r="B302" s="24" t="n">
        <v>46021</v>
      </c>
      <c r="C302" s="23" t="inlineStr">
        <is>
          <t>مصنعيات</t>
        </is>
      </c>
      <c r="D302" s="23" t="inlineStr">
        <is>
          <t>RIYADH NURSERY</t>
        </is>
      </c>
      <c r="E302" s="23" t="inlineStr">
        <is>
          <t>اذن صرف 61</t>
        </is>
      </c>
      <c r="F302" s="25" t="n">
        <v>1000</v>
      </c>
      <c r="G302" s="23" t="n">
        <v>0</v>
      </c>
      <c r="H302" s="25" t="n">
        <v>1000</v>
      </c>
      <c r="I302" s="23" t="inlineStr">
        <is>
          <t>نعم</t>
        </is>
      </c>
      <c r="J302" s="23" t="inlineStr">
        <is>
          <t>مزرعة الرياض (عهدة/صندوق)</t>
        </is>
      </c>
      <c r="K302" s="23" t="inlineStr">
        <is>
          <t>صيانة وإنشاءات المزرعة</t>
        </is>
      </c>
      <c r="L302" s="23" t="inlineStr"/>
    </row>
    <row r="303">
      <c r="A303" s="23" t="n">
        <v>302</v>
      </c>
      <c r="B303" s="24" t="n">
        <v>46021</v>
      </c>
      <c r="C303" s="23" t="inlineStr">
        <is>
          <t>مؤسسة هيلاء عبيد الدوسرى</t>
        </is>
      </c>
      <c r="D303" s="23" t="inlineStr">
        <is>
          <t>RIYADH NURSERY</t>
        </is>
      </c>
      <c r="E303" s="23" t="inlineStr">
        <is>
          <t>اذن صرف رقم 60</t>
        </is>
      </c>
      <c r="F303" s="25" t="n">
        <v>204.35</v>
      </c>
      <c r="G303" s="23" t="n">
        <v>15</v>
      </c>
      <c r="H303" s="25" t="n">
        <v>235</v>
      </c>
      <c r="I303" s="23" t="inlineStr">
        <is>
          <t>نعم</t>
        </is>
      </c>
      <c r="J303" s="23" t="inlineStr">
        <is>
          <t>مزرعة الرياض (عهدة/صندوق)</t>
        </is>
      </c>
      <c r="K303" s="23" t="inlineStr">
        <is>
          <t>مصروفات إدارية وأخرى</t>
        </is>
      </c>
      <c r="L303" s="23" t="inlineStr"/>
    </row>
    <row r="304">
      <c r="A304" s="23" t="n">
        <v>303</v>
      </c>
      <c r="B304" s="24" t="n">
        <v>46021</v>
      </c>
      <c r="C304" s="23" t="inlineStr">
        <is>
          <t>الوقود</t>
        </is>
      </c>
      <c r="D304" s="23" t="inlineStr">
        <is>
          <t>RIYADH NURSERY</t>
        </is>
      </c>
      <c r="E304" s="23" t="inlineStr">
        <is>
          <t>اذن صرف رقم 59</t>
        </is>
      </c>
      <c r="F304" s="25" t="n">
        <v>60.87</v>
      </c>
      <c r="G304" s="23" t="n">
        <v>15</v>
      </c>
      <c r="H304" s="25" t="n">
        <v>70</v>
      </c>
      <c r="I304" s="23" t="inlineStr">
        <is>
          <t>نعم</t>
        </is>
      </c>
      <c r="J304" s="23" t="inlineStr">
        <is>
          <t>مزرعة الرياض (عهدة/صندوق)</t>
        </is>
      </c>
      <c r="K304" s="23" t="inlineStr">
        <is>
          <t>وقود</t>
        </is>
      </c>
      <c r="L304" s="23" t="inlineStr"/>
    </row>
    <row r="305">
      <c r="A305" s="23" t="n">
        <v>304</v>
      </c>
      <c r="B305" s="24" t="n">
        <v>46021</v>
      </c>
      <c r="C305" s="23" t="inlineStr">
        <is>
          <t>فواز الخالدي - التخليص الجمركي</t>
        </is>
      </c>
      <c r="D305" s="23" t="inlineStr">
        <is>
          <t>RIYADH NURSERY - PO1329</t>
        </is>
      </c>
      <c r="E305" s="23" t="inlineStr">
        <is>
          <t>اذن صرف رقم 55</t>
        </is>
      </c>
      <c r="F305" s="25" t="n">
        <v>5189</v>
      </c>
      <c r="G305" s="23" t="n">
        <v>0</v>
      </c>
      <c r="H305" s="25" t="n">
        <v>5189</v>
      </c>
      <c r="I305" s="23" t="inlineStr">
        <is>
          <t>نعم</t>
        </is>
      </c>
      <c r="J305" s="23" t="inlineStr">
        <is>
          <t>مزرعة الرياض (عهدة/صندوق)</t>
        </is>
      </c>
      <c r="K305" s="23" t="inlineStr">
        <is>
          <t>تخليص جمركي</t>
        </is>
      </c>
      <c r="L305" s="23" t="inlineStr"/>
    </row>
    <row r="306">
      <c r="A306" s="23" t="n">
        <v>305</v>
      </c>
      <c r="B306" s="24" t="n">
        <v>46021</v>
      </c>
      <c r="C306" s="23" t="inlineStr">
        <is>
          <t>فواز الخالدي - التخليص الجمركي</t>
        </is>
      </c>
      <c r="D306" s="23" t="inlineStr">
        <is>
          <t>RIYADH NURSERY - PO1328</t>
        </is>
      </c>
      <c r="E306" s="23" t="inlineStr">
        <is>
          <t>اذن صرف رقم 54</t>
        </is>
      </c>
      <c r="F306" s="25" t="n">
        <v>2247.5</v>
      </c>
      <c r="G306" s="23" t="n">
        <v>0</v>
      </c>
      <c r="H306" s="25" t="n">
        <v>2247.5</v>
      </c>
      <c r="I306" s="23" t="inlineStr">
        <is>
          <t>نعم</t>
        </is>
      </c>
      <c r="J306" s="23" t="inlineStr">
        <is>
          <t>مزرعة الرياض (عهدة/صندوق)</t>
        </is>
      </c>
      <c r="K306" s="23" t="inlineStr">
        <is>
          <t>تخليص جمركي</t>
        </is>
      </c>
      <c r="L306" s="23" t="inlineStr"/>
    </row>
    <row r="307">
      <c r="A307" s="23" t="n">
        <v>306</v>
      </c>
      <c r="B307" s="24" t="n">
        <v>46021</v>
      </c>
      <c r="C307" s="23" t="inlineStr">
        <is>
          <t>فواز الخالدي - التخليص الجمركي</t>
        </is>
      </c>
      <c r="D307" s="23" t="inlineStr">
        <is>
          <t>RIYADH NURSERY - PO1326</t>
        </is>
      </c>
      <c r="E307" s="23" t="inlineStr">
        <is>
          <t>اذن صرف رقم 53</t>
        </is>
      </c>
      <c r="F307" s="25" t="n">
        <v>2592.5</v>
      </c>
      <c r="G307" s="23" t="n">
        <v>0</v>
      </c>
      <c r="H307" s="25" t="n">
        <v>2592.5</v>
      </c>
      <c r="I307" s="23" t="inlineStr">
        <is>
          <t>نعم</t>
        </is>
      </c>
      <c r="J307" s="23" t="inlineStr">
        <is>
          <t>مزرعة الرياض (عهدة/صندوق)</t>
        </is>
      </c>
      <c r="K307" s="23" t="inlineStr">
        <is>
          <t>تخليص جمركي</t>
        </is>
      </c>
      <c r="L307" s="23" t="inlineStr"/>
    </row>
    <row r="308">
      <c r="A308" s="21" t="inlineStr"/>
      <c r="B308" s="21" t="inlineStr"/>
      <c r="C308" s="21" t="inlineStr">
        <is>
          <t>الإجمالي</t>
        </is>
      </c>
      <c r="D308" s="21" t="inlineStr"/>
      <c r="E308" s="21" t="inlineStr"/>
      <c r="F308" s="22">
        <f>SUM(F2:F307)</f>
        <v/>
      </c>
      <c r="G308" s="21" t="inlineStr"/>
      <c r="H308" s="22">
        <f>SUM(H2:H307)</f>
        <v/>
      </c>
      <c r="I308" s="21" t="n"/>
      <c r="J308" s="21" t="n"/>
      <c r="K308" s="21" t="n"/>
      <c r="L308" s="21" t="n"/>
    </row>
  </sheetData>
  <autoFilter ref="A1:L3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18" customWidth="1" min="4" max="4"/>
    <col width="18" customWidth="1" min="5" max="5"/>
  </cols>
  <sheetData>
    <row r="1">
      <c r="A1" s="43" t="inlineStr">
        <is>
          <t>ملخص مصروفات مزرعة الرياض 2025 (1-7-2025 إلى 31-12-2025)</t>
        </is>
      </c>
    </row>
    <row r="3">
      <c r="A3" s="2" t="inlineStr">
        <is>
          <t>التصنيف</t>
        </is>
      </c>
      <c r="B3" s="2" t="inlineStr">
        <is>
          <t>الإجمالي</t>
        </is>
      </c>
      <c r="C3" s="2" t="inlineStr">
        <is>
          <t>عدد الحركات</t>
        </is>
      </c>
      <c r="D3" s="2" t="inlineStr">
        <is>
          <t>منها مدفوع عن طريق تبوك</t>
        </is>
      </c>
      <c r="E3" s="2" t="inlineStr">
        <is>
          <t>منها غير مدفوع</t>
        </is>
      </c>
    </row>
    <row r="4">
      <c r="A4" s="23" t="inlineStr">
        <is>
          <t>مشتريات نباتات وبذور</t>
        </is>
      </c>
      <c r="B4" s="25">
        <f>SUMIFS('مصروفات 2025 - تفصيل'!H2:H307,'مصروفات 2025 - تفصيل'!K2:K307,A4)</f>
        <v/>
      </c>
      <c r="C4" s="23">
        <f>COUNTIFS('مصروفات 2025 - تفصيل'!K2:K307,A4)</f>
        <v/>
      </c>
      <c r="D4" s="25">
        <f>SUMIFS('مصروفات 2025 - تفصيل'!H2:H307,'مصروفات 2025 - تفصيل'!K2:K307,A4,'مصروفات 2025 - تفصيل'!J2:J307,"مزرعة تبوك*")</f>
        <v/>
      </c>
      <c r="E4" s="25">
        <f>SUMIFS('مصروفات 2025 - تفصيل'!H2:H307,'مصروفات 2025 - تفصيل'!K2:K307,A4,'مصروفات 2025 - تفصيل'!I2:I307,"لا")</f>
        <v/>
      </c>
    </row>
    <row r="5">
      <c r="A5" s="23" t="inlineStr">
        <is>
          <t>مواد زراعية (بيتموس/بيرلايت/أسمدة/مبيدات)</t>
        </is>
      </c>
      <c r="B5" s="25">
        <f>SUMIFS('مصروفات 2025 - تفصيل'!H2:H307,'مصروفات 2025 - تفصيل'!K2:K307,A5)</f>
        <v/>
      </c>
      <c r="C5" s="23">
        <f>COUNTIFS('مصروفات 2025 - تفصيل'!K2:K307,A5)</f>
        <v/>
      </c>
      <c r="D5" s="25">
        <f>SUMIFS('مصروفات 2025 - تفصيل'!H2:H307,'مصروفات 2025 - تفصيل'!K2:K307,A5,'مصروفات 2025 - تفصيل'!J2:J307,"مزرعة تبوك*")</f>
        <v/>
      </c>
      <c r="E5" s="25">
        <f>SUMIFS('مصروفات 2025 - تفصيل'!H2:H307,'مصروفات 2025 - تفصيل'!K2:K307,A5,'مصروفات 2025 - تفصيل'!I2:I307,"لا")</f>
        <v/>
      </c>
    </row>
    <row r="6">
      <c r="A6" s="23" t="inlineStr">
        <is>
          <t>مشتريات زهور لعقد عرعر (WHK-2364)</t>
        </is>
      </c>
      <c r="B6" s="25">
        <f>SUMIFS('مصروفات 2025 - تفصيل'!H2:H307,'مصروفات 2025 - تفصيل'!K2:K307,A6)</f>
        <v/>
      </c>
      <c r="C6" s="23">
        <f>COUNTIFS('مصروفات 2025 - تفصيل'!K2:K307,A6)</f>
        <v/>
      </c>
      <c r="D6" s="25">
        <f>SUMIFS('مصروفات 2025 - تفصيل'!H2:H307,'مصروفات 2025 - تفصيل'!K2:K307,A6,'مصروفات 2025 - تفصيل'!J2:J307,"مزرعة تبوك*")</f>
        <v/>
      </c>
      <c r="E6" s="25">
        <f>SUMIFS('مصروفات 2025 - تفصيل'!H2:H307,'مصروفات 2025 - تفصيل'!K2:K307,A6,'مصروفات 2025 - تفصيل'!I2:I307,"لا")</f>
        <v/>
      </c>
    </row>
    <row r="7">
      <c r="A7" s="23" t="inlineStr">
        <is>
          <t>رواتب وعمولات</t>
        </is>
      </c>
      <c r="B7" s="25">
        <f>SUMIFS('مصروفات 2025 - تفصيل'!H2:H307,'مصروفات 2025 - تفصيل'!K2:K307,A7)</f>
        <v/>
      </c>
      <c r="C7" s="23">
        <f>COUNTIFS('مصروفات 2025 - تفصيل'!K2:K307,A7)</f>
        <v/>
      </c>
      <c r="D7" s="25">
        <f>SUMIFS('مصروفات 2025 - تفصيل'!H2:H307,'مصروفات 2025 - تفصيل'!K2:K307,A7,'مصروفات 2025 - تفصيل'!J2:J307,"مزرعة تبوك*")</f>
        <v/>
      </c>
      <c r="E7" s="25">
        <f>SUMIFS('مصروفات 2025 - تفصيل'!H2:H307,'مصروفات 2025 - تفصيل'!K2:K307,A7,'مصروفات 2025 - تفصيل'!I2:I307,"لا")</f>
        <v/>
      </c>
    </row>
    <row r="8">
      <c r="A8" s="23" t="inlineStr">
        <is>
          <t>مستلزمات إنتاج (مراكن/فلين/مفارش)</t>
        </is>
      </c>
      <c r="B8" s="25">
        <f>SUMIFS('مصروفات 2025 - تفصيل'!H2:H307,'مصروفات 2025 - تفصيل'!K2:K307,A8)</f>
        <v/>
      </c>
      <c r="C8" s="23">
        <f>COUNTIFS('مصروفات 2025 - تفصيل'!K2:K307,A8)</f>
        <v/>
      </c>
      <c r="D8" s="25">
        <f>SUMIFS('مصروفات 2025 - تفصيل'!H2:H307,'مصروفات 2025 - تفصيل'!K2:K307,A8,'مصروفات 2025 - تفصيل'!J2:J307,"مزرعة تبوك*")</f>
        <v/>
      </c>
      <c r="E8" s="25">
        <f>SUMIFS('مصروفات 2025 - تفصيل'!H2:H307,'مصروفات 2025 - تفصيل'!K2:K307,A8,'مصروفات 2025 - تفصيل'!I2:I307,"لا")</f>
        <v/>
      </c>
    </row>
    <row r="9">
      <c r="A9" s="23" t="inlineStr">
        <is>
          <t>خدمات (كهرباء/مياه/اتصالات)</t>
        </is>
      </c>
      <c r="B9" s="25">
        <f>SUMIFS('مصروفات 2025 - تفصيل'!H2:H307,'مصروفات 2025 - تفصيل'!K2:K307,A9)</f>
        <v/>
      </c>
      <c r="C9" s="23">
        <f>COUNTIFS('مصروفات 2025 - تفصيل'!K2:K307,A9)</f>
        <v/>
      </c>
      <c r="D9" s="25">
        <f>SUMIFS('مصروفات 2025 - تفصيل'!H2:H307,'مصروفات 2025 - تفصيل'!K2:K307,A9,'مصروفات 2025 - تفصيل'!J2:J307,"مزرعة تبوك*")</f>
        <v/>
      </c>
      <c r="E9" s="25">
        <f>SUMIFS('مصروفات 2025 - تفصيل'!H2:H307,'مصروفات 2025 - تفصيل'!K2:K307,A9,'مصروفات 2025 - تفصيل'!I2:I307,"لا")</f>
        <v/>
      </c>
    </row>
    <row r="10">
      <c r="A10" s="23" t="inlineStr">
        <is>
          <t>مصروفات إدارية وأخرى</t>
        </is>
      </c>
      <c r="B10" s="25">
        <f>SUMIFS('مصروفات 2025 - تفصيل'!H2:H307,'مصروفات 2025 - تفصيل'!K2:K307,A10)</f>
        <v/>
      </c>
      <c r="C10" s="23">
        <f>COUNTIFS('مصروفات 2025 - تفصيل'!K2:K307,A10)</f>
        <v/>
      </c>
      <c r="D10" s="25">
        <f>SUMIFS('مصروفات 2025 - تفصيل'!H2:H307,'مصروفات 2025 - تفصيل'!K2:K307,A10,'مصروفات 2025 - تفصيل'!J2:J307,"مزرعة تبوك*")</f>
        <v/>
      </c>
      <c r="E10" s="25">
        <f>SUMIFS('مصروفات 2025 - تفصيل'!H2:H307,'مصروفات 2025 - تفصيل'!K2:K307,A10,'مصروفات 2025 - تفصيل'!I2:I307,"لا")</f>
        <v/>
      </c>
    </row>
    <row r="11">
      <c r="A11" s="23" t="inlineStr">
        <is>
          <t>صيانة سيارات ومعدات</t>
        </is>
      </c>
      <c r="B11" s="25">
        <f>SUMIFS('مصروفات 2025 - تفصيل'!H2:H307,'مصروفات 2025 - تفصيل'!K2:K307,A11)</f>
        <v/>
      </c>
      <c r="C11" s="23">
        <f>COUNTIFS('مصروفات 2025 - تفصيل'!K2:K307,A11)</f>
        <v/>
      </c>
      <c r="D11" s="25">
        <f>SUMIFS('مصروفات 2025 - تفصيل'!H2:H307,'مصروفات 2025 - تفصيل'!K2:K307,A11,'مصروفات 2025 - تفصيل'!J2:J307,"مزرعة تبوك*")</f>
        <v/>
      </c>
      <c r="E11" s="25">
        <f>SUMIFS('مصروفات 2025 - تفصيل'!H2:H307,'مصروفات 2025 - تفصيل'!K2:K307,A11,'مصروفات 2025 - تفصيل'!I2:I307,"لا")</f>
        <v/>
      </c>
    </row>
    <row r="12">
      <c r="A12" s="23" t="inlineStr">
        <is>
          <t>صيانة وإنشاءات المزرعة</t>
        </is>
      </c>
      <c r="B12" s="25">
        <f>SUMIFS('مصروفات 2025 - تفصيل'!H2:H307,'مصروفات 2025 - تفصيل'!K2:K307,A12)</f>
        <v/>
      </c>
      <c r="C12" s="23">
        <f>COUNTIFS('مصروفات 2025 - تفصيل'!K2:K307,A12)</f>
        <v/>
      </c>
      <c r="D12" s="25">
        <f>SUMIFS('مصروفات 2025 - تفصيل'!H2:H307,'مصروفات 2025 - تفصيل'!K2:K307,A12,'مصروفات 2025 - تفصيل'!J2:J307,"مزرعة تبوك*")</f>
        <v/>
      </c>
      <c r="E12" s="25">
        <f>SUMIFS('مصروفات 2025 - تفصيل'!H2:H307,'مصروفات 2025 - تفصيل'!K2:K307,A12,'مصروفات 2025 - تفصيل'!I2:I307,"لا")</f>
        <v/>
      </c>
    </row>
    <row r="13">
      <c r="A13" s="23" t="inlineStr">
        <is>
          <t>وقود</t>
        </is>
      </c>
      <c r="B13" s="25">
        <f>SUMIFS('مصروفات 2025 - تفصيل'!H2:H307,'مصروفات 2025 - تفصيل'!K2:K307,A13)</f>
        <v/>
      </c>
      <c r="C13" s="23">
        <f>COUNTIFS('مصروفات 2025 - تفصيل'!K2:K307,A13)</f>
        <v/>
      </c>
      <c r="D13" s="25">
        <f>SUMIFS('مصروفات 2025 - تفصيل'!H2:H307,'مصروفات 2025 - تفصيل'!K2:K307,A13,'مصروفات 2025 - تفصيل'!J2:J307,"مزرعة تبوك*")</f>
        <v/>
      </c>
      <c r="E13" s="25">
        <f>SUMIFS('مصروفات 2025 - تفصيل'!H2:H307,'مصروفات 2025 - تفصيل'!K2:K307,A13,'مصروفات 2025 - تفصيل'!I2:I307,"لا")</f>
        <v/>
      </c>
    </row>
    <row r="14">
      <c r="A14" s="23" t="inlineStr">
        <is>
          <t>تخليص جمركي</t>
        </is>
      </c>
      <c r="B14" s="25">
        <f>SUMIFS('مصروفات 2025 - تفصيل'!H2:H307,'مصروفات 2025 - تفصيل'!K2:K307,A14)</f>
        <v/>
      </c>
      <c r="C14" s="23">
        <f>COUNTIFS('مصروفات 2025 - تفصيل'!K2:K307,A14)</f>
        <v/>
      </c>
      <c r="D14" s="25">
        <f>SUMIFS('مصروفات 2025 - تفصيل'!H2:H307,'مصروفات 2025 - تفصيل'!K2:K307,A14,'مصروفات 2025 - تفصيل'!J2:J307,"مزرعة تبوك*")</f>
        <v/>
      </c>
      <c r="E14" s="25">
        <f>SUMIFS('مصروفات 2025 - تفصيل'!H2:H307,'مصروفات 2025 - تفصيل'!K2:K307,A14,'مصروفات 2025 - تفصيل'!I2:I307,"لا")</f>
        <v/>
      </c>
    </row>
    <row r="15">
      <c r="A15" s="21" t="inlineStr">
        <is>
          <t>الإجمالي</t>
        </is>
      </c>
      <c r="B15" s="22">
        <f>SUM(B4:B14)</f>
        <v/>
      </c>
      <c r="C15" s="21">
        <f>SUM(C4:C14)</f>
        <v/>
      </c>
      <c r="D15" s="22">
        <f>SUM(D4:D14)</f>
        <v/>
      </c>
      <c r="E15" s="22">
        <f>SUM(E4:E14)</f>
        <v/>
      </c>
    </row>
    <row r="17">
      <c r="A17" s="29" t="inlineStr">
        <is>
          <t>حسب الشهر</t>
        </is>
      </c>
    </row>
    <row r="18">
      <c r="A18" s="2" t="inlineStr">
        <is>
          <t>الشهر</t>
        </is>
      </c>
      <c r="B18" s="2" t="inlineStr">
        <is>
          <t>الإجمالي</t>
        </is>
      </c>
      <c r="C18" s="2" t="inlineStr">
        <is>
          <t>عدد الحركات</t>
        </is>
      </c>
      <c r="D18" s="2" t="n"/>
      <c r="E18" s="2" t="n"/>
    </row>
    <row r="19">
      <c r="A19" s="23" t="inlineStr">
        <is>
          <t>06-2025</t>
        </is>
      </c>
      <c r="B19" s="25">
        <f>SUMIFS('مصروفات 2025 - تفصيل'!H2:H307,'مصروفات 2025 - تفصيل'!B2:B307,"&gt;="&amp;DATE(2025,6,1),'مصروفات 2025 - تفصيل'!B2:B307,"&lt;"&amp;DATE(2025,7,1))</f>
        <v/>
      </c>
      <c r="C19" s="23">
        <f>COUNTIFS('مصروفات 2025 - تفصيل'!B2:B307,"&gt;="&amp;DATE(2025,6,1),'مصروفات 2025 - تفصيل'!B2:B307,"&lt;"&amp;DATE(2025,7,1))</f>
        <v/>
      </c>
      <c r="D19" s="23" t="n"/>
      <c r="E19" s="23" t="n"/>
    </row>
    <row r="20">
      <c r="A20" s="23" t="inlineStr">
        <is>
          <t>07-2025</t>
        </is>
      </c>
      <c r="B20" s="25">
        <f>SUMIFS('مصروفات 2025 - تفصيل'!H2:H307,'مصروفات 2025 - تفصيل'!B2:B307,"&gt;="&amp;DATE(2025,7,1),'مصروفات 2025 - تفصيل'!B2:B307,"&lt;"&amp;DATE(2025,8,1))</f>
        <v/>
      </c>
      <c r="C20" s="23">
        <f>COUNTIFS('مصروفات 2025 - تفصيل'!B2:B307,"&gt;="&amp;DATE(2025,7,1),'مصروفات 2025 - تفصيل'!B2:B307,"&lt;"&amp;DATE(2025,8,1))</f>
        <v/>
      </c>
      <c r="D20" s="23" t="n"/>
      <c r="E20" s="23" t="n"/>
    </row>
    <row r="21">
      <c r="A21" s="23" t="inlineStr">
        <is>
          <t>08-2025</t>
        </is>
      </c>
      <c r="B21" s="25">
        <f>SUMIFS('مصروفات 2025 - تفصيل'!H2:H307,'مصروفات 2025 - تفصيل'!B2:B307,"&gt;="&amp;DATE(2025,8,1),'مصروفات 2025 - تفصيل'!B2:B307,"&lt;"&amp;DATE(2025,9,1))</f>
        <v/>
      </c>
      <c r="C21" s="23">
        <f>COUNTIFS('مصروفات 2025 - تفصيل'!B2:B307,"&gt;="&amp;DATE(2025,8,1),'مصروفات 2025 - تفصيل'!B2:B307,"&lt;"&amp;DATE(2025,9,1))</f>
        <v/>
      </c>
      <c r="D21" s="23" t="n"/>
      <c r="E21" s="23" t="n"/>
    </row>
    <row r="22">
      <c r="A22" s="23" t="inlineStr">
        <is>
          <t>09-2025</t>
        </is>
      </c>
      <c r="B22" s="25">
        <f>SUMIFS('مصروفات 2025 - تفصيل'!H2:H307,'مصروفات 2025 - تفصيل'!B2:B307,"&gt;="&amp;DATE(2025,9,1),'مصروفات 2025 - تفصيل'!B2:B307,"&lt;"&amp;DATE(2025,10,1))</f>
        <v/>
      </c>
      <c r="C22" s="23">
        <f>COUNTIFS('مصروفات 2025 - تفصيل'!B2:B307,"&gt;="&amp;DATE(2025,9,1),'مصروفات 2025 - تفصيل'!B2:B307,"&lt;"&amp;DATE(2025,10,1))</f>
        <v/>
      </c>
      <c r="D22" s="23" t="n"/>
      <c r="E22" s="23" t="n"/>
    </row>
    <row r="23">
      <c r="A23" s="23" t="inlineStr">
        <is>
          <t>10-2025</t>
        </is>
      </c>
      <c r="B23" s="25">
        <f>SUMIFS('مصروفات 2025 - تفصيل'!H2:H307,'مصروفات 2025 - تفصيل'!B2:B307,"&gt;="&amp;DATE(2025,10,1),'مصروفات 2025 - تفصيل'!B2:B307,"&lt;"&amp;DATE(2025,11,1))</f>
        <v/>
      </c>
      <c r="C23" s="23">
        <f>COUNTIFS('مصروفات 2025 - تفصيل'!B2:B307,"&gt;="&amp;DATE(2025,10,1),'مصروفات 2025 - تفصيل'!B2:B307,"&lt;"&amp;DATE(2025,11,1))</f>
        <v/>
      </c>
      <c r="D23" s="23" t="n"/>
      <c r="E23" s="23" t="n"/>
    </row>
    <row r="24">
      <c r="A24" s="23" t="inlineStr">
        <is>
          <t>11-2025</t>
        </is>
      </c>
      <c r="B24" s="25">
        <f>SUMIFS('مصروفات 2025 - تفصيل'!H2:H307,'مصروفات 2025 - تفصيل'!B2:B307,"&gt;="&amp;DATE(2025,11,1),'مصروفات 2025 - تفصيل'!B2:B307,"&lt;"&amp;DATE(2025,12,1))</f>
        <v/>
      </c>
      <c r="C24" s="23">
        <f>COUNTIFS('مصروفات 2025 - تفصيل'!B2:B307,"&gt;="&amp;DATE(2025,11,1),'مصروفات 2025 - تفصيل'!B2:B307,"&lt;"&amp;DATE(2025,12,1))</f>
        <v/>
      </c>
      <c r="D24" s="23" t="n"/>
      <c r="E24" s="23" t="n"/>
    </row>
    <row r="25">
      <c r="A25" s="23" t="inlineStr">
        <is>
          <t>12-2025</t>
        </is>
      </c>
      <c r="B25" s="25">
        <f>SUMIFS('مصروفات 2025 - تفصيل'!H2:H307,'مصروفات 2025 - تفصيل'!B2:B307,"&gt;="&amp;DATE(2025,12,1),'مصروفات 2025 - تفصيل'!B2:B307,"&lt;"&amp;DATE(2026,1,1))</f>
        <v/>
      </c>
      <c r="C25" s="23">
        <f>COUNTIFS('مصروفات 2025 - تفصيل'!B2:B307,"&gt;="&amp;DATE(2025,12,1),'مصروفات 2025 - تفصيل'!B2:B307,"&lt;"&amp;DATE(2026,1,1))</f>
        <v/>
      </c>
      <c r="D25" s="23" t="n"/>
      <c r="E25" s="23" t="n"/>
    </row>
    <row r="26">
      <c r="A26" s="21" t="inlineStr">
        <is>
          <t>الإجمالي</t>
        </is>
      </c>
      <c r="B26" s="22">
        <f>SUM(B19:B25)</f>
        <v/>
      </c>
      <c r="C26" s="21">
        <f>SUM(C19:C25)</f>
        <v/>
      </c>
      <c r="D26" s="21" t="n"/>
      <c r="E26" s="21" t="n"/>
    </row>
    <row r="28">
      <c r="A28" s="29" t="inlineStr">
        <is>
          <t>مبالغ دفعتها مزرعة تبوك عن مزرعة الرياض في 2025 (مديونية على مزرعة الرياض)</t>
        </is>
      </c>
    </row>
    <row r="29">
      <c r="A29" s="2" t="inlineStr">
        <is>
          <t>المورد</t>
        </is>
      </c>
      <c r="B29" s="2" t="inlineStr">
        <is>
          <t>التاريخ</t>
        </is>
      </c>
      <c r="C29" s="2" t="inlineStr">
        <is>
          <t>أمر الشراء</t>
        </is>
      </c>
      <c r="D29" s="2" t="inlineStr">
        <is>
          <t>المبلغ</t>
        </is>
      </c>
      <c r="E29" s="2" t="n"/>
    </row>
    <row r="30">
      <c r="A30" s="23" t="inlineStr">
        <is>
          <t>شركة المدارات السعودية للتجارة والاستيراد</t>
        </is>
      </c>
      <c r="B30" s="24" t="n">
        <v>45880</v>
      </c>
      <c r="C30" s="23" t="inlineStr">
        <is>
          <t>RIYADH NURSERY-PO599</t>
        </is>
      </c>
      <c r="D30" s="25" t="n">
        <v>4600</v>
      </c>
      <c r="E30" s="23" t="n"/>
    </row>
    <row r="31">
      <c r="A31" s="23" t="inlineStr">
        <is>
          <t>Arabian Vermiculite Industries (AVI)</t>
        </is>
      </c>
      <c r="B31" s="24" t="n">
        <v>45887</v>
      </c>
      <c r="C31" s="23" t="inlineStr">
        <is>
          <t>RIYADH NURSERY</t>
        </is>
      </c>
      <c r="D31" s="25" t="n">
        <v>17043</v>
      </c>
      <c r="E31" s="23" t="n"/>
    </row>
    <row r="32">
      <c r="A32" s="23" t="inlineStr">
        <is>
          <t>شركة التاج المميزة التجارية</t>
        </is>
      </c>
      <c r="B32" s="24" t="n">
        <v>45887</v>
      </c>
      <c r="C32" s="23" t="inlineStr">
        <is>
          <t>RIYADH NURSERY-PO#627</t>
        </is>
      </c>
      <c r="D32" s="25" t="n">
        <v>27025</v>
      </c>
      <c r="E32" s="23" t="n"/>
    </row>
    <row r="33">
      <c r="A33" s="23" t="inlineStr">
        <is>
          <t>شركة التكامل</t>
        </is>
      </c>
      <c r="B33" s="24" t="n">
        <v>45901</v>
      </c>
      <c r="C33" s="23" t="inlineStr">
        <is>
          <t>RIYADH NURSERYpo-747</t>
        </is>
      </c>
      <c r="D33" s="25" t="n">
        <v>22356</v>
      </c>
      <c r="E33" s="23" t="n"/>
    </row>
    <row r="34">
      <c r="A34" s="23" t="inlineStr">
        <is>
          <t>شركة سائح لى للبلاستيك المحدوده</t>
        </is>
      </c>
      <c r="B34" s="24" t="n">
        <v>45913</v>
      </c>
      <c r="C34" s="23" t="inlineStr">
        <is>
          <t>RIYADH NURSERY-PO749</t>
        </is>
      </c>
      <c r="D34" s="25" t="n">
        <v>2260.44</v>
      </c>
      <c r="E34" s="23" t="n"/>
    </row>
    <row r="35">
      <c r="A35" s="23" t="inlineStr">
        <is>
          <t>شركة سائح لى للبلاستيك المحدوده</t>
        </is>
      </c>
      <c r="B35" s="24" t="n">
        <v>45913</v>
      </c>
      <c r="C35" s="23" t="inlineStr">
        <is>
          <t>RIYADH NURSERY-PO-736</t>
        </is>
      </c>
      <c r="D35" s="25" t="n">
        <v>2260.44</v>
      </c>
      <c r="E35" s="23" t="n"/>
    </row>
    <row r="36">
      <c r="A36" s="23" t="inlineStr">
        <is>
          <t>شركة التاج المميزة التجارية</t>
        </is>
      </c>
      <c r="B36" s="24" t="n">
        <v>45920</v>
      </c>
      <c r="C36" s="23" t="inlineStr">
        <is>
          <t>RIYADH NURSERY PO-743</t>
        </is>
      </c>
      <c r="D36" s="25" t="n">
        <v>28750</v>
      </c>
      <c r="E36" s="23" t="n"/>
    </row>
    <row r="37">
      <c r="A37" s="23" t="inlineStr">
        <is>
          <t>شركة المدارات السعودية للتجارة والاستيراد</t>
        </is>
      </c>
      <c r="B37" s="24" t="n">
        <v>45921</v>
      </c>
      <c r="C37" s="23" t="inlineStr">
        <is>
          <t>RIYADH NURSERY-PO785</t>
        </is>
      </c>
      <c r="D37" s="25" t="n">
        <v>9200</v>
      </c>
      <c r="E37" s="23" t="n"/>
    </row>
    <row r="38">
      <c r="A38" s="23" t="inlineStr">
        <is>
          <t>شركة سائح لى للبلاستيك المحدوده</t>
        </is>
      </c>
      <c r="B38" s="24" t="n">
        <v>45926</v>
      </c>
      <c r="C38" s="23" t="inlineStr">
        <is>
          <t>RIYADH NURSERY</t>
        </is>
      </c>
      <c r="D38" s="25" t="n">
        <v>4520.88</v>
      </c>
      <c r="E38" s="23" t="n"/>
    </row>
    <row r="39">
      <c r="A39" s="23" t="inlineStr">
        <is>
          <t>شركة الياسين الزراعية</t>
        </is>
      </c>
      <c r="B39" s="24" t="n">
        <v>45930</v>
      </c>
      <c r="C39" s="23" t="inlineStr">
        <is>
          <t>RIYADH NURSERY</t>
        </is>
      </c>
      <c r="D39" s="25" t="n">
        <v>58063.5</v>
      </c>
      <c r="E39" s="23" t="n"/>
    </row>
    <row r="40">
      <c r="A40" s="23" t="inlineStr">
        <is>
          <t>شركة المدارات السعودية للتجارة والاستيراد</t>
        </is>
      </c>
      <c r="B40" s="24" t="n">
        <v>45953</v>
      </c>
      <c r="C40" s="23" t="inlineStr">
        <is>
          <t>RIYADH NURSERY - PO1040</t>
        </is>
      </c>
      <c r="D40" s="25" t="n">
        <v>50600</v>
      </c>
      <c r="E40" s="23" t="n"/>
    </row>
    <row r="41">
      <c r="A41" s="21" t="inlineStr">
        <is>
          <t>الإجمالي</t>
        </is>
      </c>
      <c r="B41" s="21" t="inlineStr"/>
      <c r="C41" s="21" t="inlineStr"/>
      <c r="D41" s="22">
        <f>SUM(D30:D40)</f>
        <v/>
      </c>
      <c r="E41" s="21" t="n"/>
    </row>
    <row r="42" ht="45" customHeight="1">
      <c r="A42" s="9" t="inlineStr"/>
    </row>
    <row r="43" ht="45" customHeight="1">
      <c r="A43" s="10" t="inlineStr">
        <is>
          <t>ملاحظات المراجعة:</t>
        </is>
      </c>
    </row>
    <row r="44" ht="45" customHeight="1">
      <c r="A44" s="9" t="inlineStr">
        <is>
          <t>1) ملفا 2025 متطابقان: الملف الثاني فيه كل حركات الأول + 6 حركات مشتريات من شركة الجزيرة الحديثة الزراعية لعقد عرعر WHK-2364. إجمالي مشتريات الجزيرة لعقد عرعر 7 حركات = 198,102.50 (منها 21,250 غير مدفوع). كل الحركات صحيحة ضريبياً.</t>
        </is>
      </c>
    </row>
    <row r="45" ht="45" customHeight="1">
      <c r="A45" s="9" t="inlineStr">
        <is>
          <t>2) مبالغ دفعتها تبوك: فلتر الملف الثاني (المرجع = تحويل بنكي) يُظهر 11 حركة بقيمة 226,679.26. ⚠ الرقم المكتوب يدوياً بالملف 269,099.26 أكبر بـ 42,420 بدون أي حركات تفسره – يلزم مستند.</t>
        </is>
      </c>
    </row>
    <row r="46" ht="45" customHeight="1">
      <c r="A46" s="9" t="inlineStr">
        <is>
          <t>3) ⚠ مشتريات 2025 غير مدفوعة تم سدادها في 2026 بأوامر شراء جديدة: PO711+PO748 (بساتين) = PO-288 (86,255.75)، PO838+PO876 (بساتين) = PO-287-REV1 (61,490.50)، PO877+PO878 (مشتل الجودة) = PO-296 (49,550)، غرس نجد = PO-295 (14,515). الإجمالي 211,811.25 – وهذا يفسر أن تواريخ هذه الأوامر يناير 2026 وأرقامها من تسلسل لاحق. يجب عدم احتسابها مرتين (مرة كمصروف 2025 ومرة كمشتريات 2026).</t>
        </is>
      </c>
    </row>
    <row r="47" ht="45" customHeight="1">
      <c r="A47" s="9" t="inlineStr">
        <is>
          <t>4) ⚠ مديونية قائمة من 2025: شركة الجزيرة الحديثة 21,250 (عقد عرعر) غير مدفوعة.</t>
        </is>
      </c>
    </row>
    <row r="48" ht="45" customHeight="1">
      <c r="A48" s="9" t="inlineStr">
        <is>
          <t>5) ⚠ حركات مكررة (نفس المورد والتاريخ والقيمة) تحتاج تأكيد – ملونة بالأصفر في التفصيل، أبرزها المدارات 50,600 مرتين في 23-10-2025 (PO1040 دفعته تبوك و PO1043 نقداً) والجزيرة 20,000 مرتين في 25-12-2025.</t>
        </is>
      </c>
    </row>
    <row r="49" ht="45" customHeight="1">
      <c r="A49" s="9" t="inlineStr">
        <is>
          <t>6) فاتورة كهرباء شهر 6 (6,003.31) تاريخها قبل 1-7-2025 – بالرمادي.</t>
        </is>
      </c>
    </row>
  </sheetData>
  <mergeCells count="9">
    <mergeCell ref="A48:E48"/>
    <mergeCell ref="A43:E43"/>
    <mergeCell ref="A42:E42"/>
    <mergeCell ref="A49:E49"/>
    <mergeCell ref="A47:E47"/>
    <mergeCell ref="A45:E45"/>
    <mergeCell ref="A1:E1"/>
    <mergeCell ref="A46:E46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2026-09-28T00:00:07Z</dcterms:created>
  <dcterms:modified xsi:type="dcterms:W3CDTF">2026-09-28T00:09:35Z</dcterms:modified>
</cp:coreProperties>
</file>